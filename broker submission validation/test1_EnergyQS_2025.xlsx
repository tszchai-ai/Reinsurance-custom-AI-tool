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fung\Desktop\Research\CAS grant AI\sample templates\broker testing\"/>
    </mc:Choice>
  </mc:AlternateContent>
  <xr:revisionPtr revIDLastSave="0" documentId="13_ncr:1_{CD5229DA-85C3-4C13-9FF8-C46A999B7BD4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Intro" sheetId="1" r:id="rId1"/>
    <sheet name="Premium summary" sheetId="2" r:id="rId2"/>
    <sheet name="Rate change" sheetId="3" r:id="rId3"/>
    <sheet name="Exposure listing" sheetId="4" r:id="rId4"/>
    <sheet name="Exposure summary" sheetId="5" r:id="rId5"/>
    <sheet name="Claim listing" sheetId="6" r:id="rId6"/>
    <sheet name="Loss triangles" sheetId="7" r:id="rId7"/>
  </sheets>
  <definedNames>
    <definedName name="_xlnm._FilterDatabase" localSheetId="5" hidden="1">'Claim listing'!$A$14:$R$239</definedName>
    <definedName name="_xlnm._FilterDatabase" localSheetId="3" hidden="1">'Exposure listing'!$A$14:$K$4611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IfquAMERIJ8RQauihr3UFHlT6cp1hWySJLfDRWhLMhE="/>
    </ext>
  </extLst>
</workbook>
</file>

<file path=xl/calcChain.xml><?xml version="1.0" encoding="utf-8"?>
<calcChain xmlns="http://schemas.openxmlformats.org/spreadsheetml/2006/main">
  <c r="F22" i="7" l="1"/>
  <c r="E23" i="7"/>
  <c r="D24" i="7"/>
  <c r="D26" i="7"/>
  <c r="E26" i="7"/>
  <c r="F26" i="7"/>
  <c r="G26" i="7"/>
  <c r="H26" i="7"/>
  <c r="I26" i="7"/>
  <c r="J26" i="7"/>
  <c r="K26" i="7"/>
  <c r="L26" i="7"/>
  <c r="M26" i="7"/>
  <c r="E25" i="7"/>
  <c r="F25" i="7"/>
  <c r="G25" i="7"/>
  <c r="H25" i="7"/>
  <c r="I25" i="7"/>
  <c r="J25" i="7"/>
  <c r="K25" i="7"/>
  <c r="L25" i="7"/>
  <c r="M25" i="7"/>
  <c r="F24" i="7"/>
  <c r="G24" i="7"/>
  <c r="H24" i="7"/>
  <c r="I24" i="7"/>
  <c r="J24" i="7"/>
  <c r="K24" i="7"/>
  <c r="L24" i="7"/>
  <c r="M24" i="7"/>
  <c r="G23" i="7"/>
  <c r="H23" i="7"/>
  <c r="I23" i="7"/>
  <c r="J23" i="7"/>
  <c r="K23" i="7"/>
  <c r="L23" i="7"/>
  <c r="M23" i="7"/>
  <c r="H22" i="7"/>
  <c r="I22" i="7"/>
  <c r="J22" i="7"/>
  <c r="K22" i="7"/>
  <c r="L22" i="7"/>
  <c r="M22" i="7"/>
  <c r="I21" i="7"/>
  <c r="J21" i="7"/>
  <c r="K21" i="7"/>
  <c r="L21" i="7"/>
  <c r="M21" i="7"/>
  <c r="J20" i="7"/>
  <c r="K20" i="7"/>
  <c r="L20" i="7"/>
  <c r="M20" i="7"/>
  <c r="K19" i="7"/>
  <c r="L19" i="7"/>
  <c r="M19" i="7"/>
  <c r="L18" i="7"/>
  <c r="M18" i="7"/>
  <c r="M17" i="7"/>
  <c r="C26" i="7"/>
  <c r="D25" i="7"/>
  <c r="C25" i="7"/>
  <c r="E24" i="7"/>
  <c r="C24" i="7"/>
  <c r="F23" i="7"/>
  <c r="D23" i="7"/>
  <c r="C23" i="7"/>
  <c r="G22" i="7"/>
  <c r="E22" i="7"/>
  <c r="D22" i="7"/>
  <c r="C22" i="7"/>
  <c r="H21" i="7"/>
  <c r="G21" i="7"/>
  <c r="F21" i="7"/>
  <c r="E21" i="7"/>
  <c r="D21" i="7"/>
  <c r="C21" i="7"/>
  <c r="I20" i="7"/>
  <c r="H20" i="7"/>
  <c r="G20" i="7"/>
  <c r="F20" i="7"/>
  <c r="E20" i="7"/>
  <c r="D20" i="7"/>
  <c r="C20" i="7"/>
  <c r="J19" i="7"/>
  <c r="I19" i="7"/>
  <c r="H19" i="7"/>
  <c r="G19" i="7"/>
  <c r="F19" i="7"/>
  <c r="E19" i="7"/>
  <c r="D19" i="7"/>
  <c r="C19" i="7"/>
  <c r="K18" i="7"/>
  <c r="J18" i="7"/>
  <c r="I18" i="7"/>
  <c r="H18" i="7"/>
  <c r="G18" i="7"/>
  <c r="F18" i="7"/>
  <c r="E18" i="7"/>
  <c r="D18" i="7"/>
  <c r="C18" i="7"/>
  <c r="L17" i="7"/>
  <c r="K17" i="7"/>
  <c r="J17" i="7"/>
  <c r="I17" i="7"/>
  <c r="H17" i="7"/>
  <c r="G17" i="7"/>
  <c r="F17" i="7"/>
  <c r="E17" i="7"/>
  <c r="D17" i="7"/>
  <c r="C17" i="7"/>
  <c r="M16" i="7"/>
  <c r="L16" i="7"/>
  <c r="K16" i="7"/>
  <c r="J16" i="7"/>
  <c r="I16" i="7"/>
  <c r="H16" i="7"/>
  <c r="G16" i="7"/>
  <c r="F16" i="7"/>
  <c r="E16" i="7"/>
  <c r="D16" i="7"/>
  <c r="J47" i="7"/>
  <c r="K47" i="7" s="1"/>
  <c r="L47" i="7" s="1"/>
  <c r="M47" i="7" s="1"/>
  <c r="J15" i="7"/>
  <c r="K15" i="7"/>
  <c r="L15" i="7" s="1"/>
  <c r="M15" i="7" s="1"/>
  <c r="A55" i="7"/>
  <c r="A56" i="7" s="1"/>
  <c r="A57" i="7" s="1"/>
  <c r="A58" i="7" s="1"/>
  <c r="A39" i="7"/>
  <c r="A40" i="7"/>
  <c r="A41" i="7" s="1"/>
  <c r="A42" i="7" s="1"/>
  <c r="A26" i="7"/>
  <c r="A23" i="7"/>
  <c r="A24" i="7"/>
  <c r="A25" i="7" s="1"/>
  <c r="C30" i="2"/>
  <c r="B30" i="2"/>
  <c r="A21" i="2"/>
  <c r="A22" i="2" s="1"/>
  <c r="A23" i="2" s="1"/>
  <c r="A24" i="2" s="1"/>
  <c r="A25" i="2" s="1"/>
  <c r="A26" i="2" s="1"/>
  <c r="A27" i="2" s="1"/>
  <c r="D21" i="2"/>
  <c r="B36" i="7" s="1"/>
  <c r="D22" i="2"/>
  <c r="B37" i="7" s="1"/>
  <c r="B21" i="7" s="1"/>
  <c r="D23" i="2"/>
  <c r="B38" i="7" s="1"/>
  <c r="B22" i="7" s="1"/>
  <c r="D24" i="2"/>
  <c r="B39" i="7" s="1"/>
  <c r="D25" i="2"/>
  <c r="B40" i="7" s="1"/>
  <c r="D26" i="2"/>
  <c r="B41" i="7" s="1"/>
  <c r="D27" i="2"/>
  <c r="B42" i="7" s="1"/>
  <c r="A11" i="3"/>
  <c r="A12" i="3" s="1"/>
  <c r="A13" i="3" s="1"/>
  <c r="A14" i="3" s="1"/>
  <c r="A15" i="3" s="1"/>
  <c r="A16" i="3" s="1"/>
  <c r="A17" i="3" s="1"/>
  <c r="A18" i="3" s="1"/>
  <c r="B4" i="2"/>
  <c r="B5" i="2"/>
  <c r="B10" i="1"/>
  <c r="B31" i="1"/>
  <c r="B6" i="7"/>
  <c r="B5" i="7"/>
  <c r="B6" i="6"/>
  <c r="A12" i="6" s="1"/>
  <c r="B5" i="6"/>
  <c r="B6" i="5"/>
  <c r="A18" i="5" s="1"/>
  <c r="B5" i="5"/>
  <c r="B6" i="4"/>
  <c r="A9" i="4" s="1"/>
  <c r="B5" i="4"/>
  <c r="B5" i="3"/>
  <c r="B3" i="2"/>
  <c r="B3" i="6" s="1"/>
  <c r="L14" i="5"/>
  <c r="L13" i="5"/>
  <c r="L12" i="5"/>
  <c r="J14" i="5"/>
  <c r="J13" i="5"/>
  <c r="J12" i="5"/>
  <c r="L11" i="5"/>
  <c r="J11" i="5"/>
  <c r="H15" i="5"/>
  <c r="I13" i="5" s="1"/>
  <c r="F15" i="5"/>
  <c r="G14" i="5" s="1"/>
  <c r="D15" i="5"/>
  <c r="B15" i="5"/>
  <c r="C16" i="7"/>
  <c r="A17" i="7"/>
  <c r="A18" i="7" s="1"/>
  <c r="A19" i="7" s="1"/>
  <c r="A20" i="7" s="1"/>
  <c r="A21" i="7" s="1"/>
  <c r="A22" i="7" s="1"/>
  <c r="D18" i="2"/>
  <c r="B33" i="7" s="1"/>
  <c r="B49" i="7" s="1"/>
  <c r="D19" i="2"/>
  <c r="B34" i="7" s="1"/>
  <c r="B18" i="7" s="1"/>
  <c r="D20" i="2"/>
  <c r="B35" i="7" s="1"/>
  <c r="D17" i="2"/>
  <c r="B32" i="7" s="1"/>
  <c r="B16" i="7" s="1"/>
  <c r="A18" i="2"/>
  <c r="A19" i="2" s="1"/>
  <c r="A20" i="2" s="1"/>
  <c r="A49" i="7"/>
  <c r="A50" i="7" s="1"/>
  <c r="A51" i="7" s="1"/>
  <c r="A52" i="7" s="1"/>
  <c r="A53" i="7" s="1"/>
  <c r="A54" i="7" s="1"/>
  <c r="D47" i="7"/>
  <c r="E47" i="7" s="1"/>
  <c r="F47" i="7" s="1"/>
  <c r="G47" i="7" s="1"/>
  <c r="H47" i="7" s="1"/>
  <c r="I47" i="7" s="1"/>
  <c r="A33" i="7"/>
  <c r="A34" i="7" s="1"/>
  <c r="A35" i="7" s="1"/>
  <c r="A36" i="7" s="1"/>
  <c r="A37" i="7" s="1"/>
  <c r="A38" i="7" s="1"/>
  <c r="D31" i="7"/>
  <c r="E31" i="7" s="1"/>
  <c r="F31" i="7" s="1"/>
  <c r="G31" i="7" s="1"/>
  <c r="H31" i="7" s="1"/>
  <c r="I31" i="7" s="1"/>
  <c r="J31" i="7" s="1"/>
  <c r="K31" i="7" s="1"/>
  <c r="L31" i="7" s="1"/>
  <c r="M31" i="7" s="1"/>
  <c r="D15" i="7"/>
  <c r="E15" i="7" s="1"/>
  <c r="F15" i="7" s="1"/>
  <c r="G15" i="7" s="1"/>
  <c r="H15" i="7" s="1"/>
  <c r="I15" i="7" s="1"/>
  <c r="E13" i="5" l="1"/>
  <c r="E12" i="5"/>
  <c r="E11" i="5"/>
  <c r="C14" i="5"/>
  <c r="C11" i="5"/>
  <c r="C12" i="5"/>
  <c r="C13" i="5"/>
  <c r="B23" i="7"/>
  <c r="B55" i="7"/>
  <c r="B24" i="7"/>
  <c r="B56" i="7"/>
  <c r="B25" i="7"/>
  <c r="B57" i="7"/>
  <c r="B26" i="7"/>
  <c r="B58" i="7"/>
  <c r="B4" i="7"/>
  <c r="B4" i="5"/>
  <c r="B4" i="6"/>
  <c r="B4" i="4"/>
  <c r="B4" i="3"/>
  <c r="E14" i="5"/>
  <c r="D30" i="2"/>
  <c r="B3" i="5"/>
  <c r="B3" i="7"/>
  <c r="B17" i="7"/>
  <c r="B3" i="3"/>
  <c r="B50" i="7"/>
  <c r="B3" i="4"/>
  <c r="B54" i="7"/>
  <c r="B48" i="7"/>
  <c r="B53" i="7"/>
  <c r="B20" i="7"/>
  <c r="B52" i="7"/>
  <c r="B19" i="7"/>
  <c r="B51" i="7"/>
  <c r="L15" i="5"/>
  <c r="M12" i="5" s="1"/>
  <c r="I11" i="5"/>
  <c r="I14" i="5"/>
  <c r="I12" i="5"/>
  <c r="G11" i="5"/>
  <c r="G12" i="5"/>
  <c r="G13" i="5"/>
  <c r="J15" i="5"/>
  <c r="K12" i="5" s="1"/>
  <c r="M14" i="5" l="1"/>
  <c r="M13" i="5"/>
  <c r="M11" i="5"/>
  <c r="K11" i="5"/>
  <c r="K13" i="5"/>
  <c r="K14" i="5"/>
</calcChain>
</file>

<file path=xl/sharedStrings.xml><?xml version="1.0" encoding="utf-8"?>
<sst xmlns="http://schemas.openxmlformats.org/spreadsheetml/2006/main" count="24293" uniqueCount="9987">
  <si>
    <t>Layer Status</t>
  </si>
  <si>
    <t>Quote Requested</t>
  </si>
  <si>
    <t>Reinsurer Quote response</t>
  </si>
  <si>
    <t xml:space="preserve">Quote Requested by Date </t>
  </si>
  <si>
    <t>Information</t>
  </si>
  <si>
    <t>Currency</t>
  </si>
  <si>
    <t xml:space="preserve">Coverage Effective Date </t>
  </si>
  <si>
    <t>Coverage Expiration Date</t>
  </si>
  <si>
    <t>Territorial Scope</t>
  </si>
  <si>
    <t>Treaty Basis</t>
  </si>
  <si>
    <t>Class Of Business</t>
  </si>
  <si>
    <t>Line Of Business</t>
  </si>
  <si>
    <t>Contract Nature</t>
  </si>
  <si>
    <t>Coverage Type</t>
  </si>
  <si>
    <t xml:space="preserve">Basis of Lines </t>
  </si>
  <si>
    <t xml:space="preserve">Basis Of Lines </t>
  </si>
  <si>
    <t>Basis Of Lines Pot</t>
  </si>
  <si>
    <t xml:space="preserve">Coverage Details </t>
  </si>
  <si>
    <t>Coverage Terms Currency</t>
  </si>
  <si>
    <t>Premium</t>
  </si>
  <si>
    <t xml:space="preserve">Est. Gross Ceded Premium </t>
  </si>
  <si>
    <t>Ceding Commission</t>
  </si>
  <si>
    <t>Type</t>
  </si>
  <si>
    <t>Basis</t>
  </si>
  <si>
    <t>Distribution: Set 1</t>
  </si>
  <si>
    <t xml:space="preserve">Brokerage </t>
  </si>
  <si>
    <t>Brokerage %</t>
  </si>
  <si>
    <t>Gross or Net</t>
  </si>
  <si>
    <t>PREMIUM</t>
  </si>
  <si>
    <t>Program Name:</t>
  </si>
  <si>
    <t>Effective Date:</t>
  </si>
  <si>
    <t>Subject Premium</t>
  </si>
  <si>
    <t>Total Treaty Year Subject Written Premium</t>
  </si>
  <si>
    <t>Treaty Year</t>
  </si>
  <si>
    <t>Note:</t>
  </si>
  <si>
    <t>Historical Earned Premium</t>
  </si>
  <si>
    <t>CY</t>
  </si>
  <si>
    <t>Guaranteed Cost</t>
  </si>
  <si>
    <t>Loss Sensitive</t>
  </si>
  <si>
    <t>Total</t>
  </si>
  <si>
    <t>RATE CHANGE</t>
  </si>
  <si>
    <t>Data as of:</t>
  </si>
  <si>
    <t>Historical Rate Change</t>
  </si>
  <si>
    <t>Policy Year</t>
  </si>
  <si>
    <t>2023 Revised</t>
  </si>
  <si>
    <t>2024 Original</t>
  </si>
  <si>
    <t>2024 Revised</t>
  </si>
  <si>
    <t>2025 Projected</t>
  </si>
  <si>
    <t>includes Guaranteed Cost only</t>
  </si>
  <si>
    <t>The above has been updated to reflect any mid-term policy cancelation, additional premium, or accounts shifting from guaranteed cost to loss sensitive</t>
  </si>
  <si>
    <t>EXPOSURE INFORMATION</t>
  </si>
  <si>
    <t>Currency:</t>
  </si>
  <si>
    <t>USD</t>
  </si>
  <si>
    <t>Notes:</t>
  </si>
  <si>
    <t xml:space="preserve"> Policy Year</t>
  </si>
  <si>
    <t>Effective Date</t>
  </si>
  <si>
    <t>Expiration Date</t>
  </si>
  <si>
    <t>New/Renewed</t>
  </si>
  <si>
    <t>State</t>
  </si>
  <si>
    <t>GC/LS</t>
  </si>
  <si>
    <t>Written Premium</t>
  </si>
  <si>
    <t>Limit</t>
  </si>
  <si>
    <t>In-force Portfolio Summary: Limit Profile</t>
  </si>
  <si>
    <t>Guaranteed cost</t>
  </si>
  <si>
    <t>total</t>
  </si>
  <si>
    <t>Limit Band</t>
  </si>
  <si>
    <t>% of Total</t>
  </si>
  <si>
    <t>Count</t>
  </si>
  <si>
    <t>% of total</t>
  </si>
  <si>
    <t>0-1,000,000</t>
  </si>
  <si>
    <t>1,000,001-1,500,000</t>
  </si>
  <si>
    <t>1,500,001-2,000,000</t>
  </si>
  <si>
    <t>&gt; 2,000,000</t>
  </si>
  <si>
    <t>Grand total</t>
  </si>
  <si>
    <t>LOSS INFORMATION</t>
  </si>
  <si>
    <t>Individual Loss Listing</t>
  </si>
  <si>
    <t>Loss Date</t>
  </si>
  <si>
    <t>AY</t>
  </si>
  <si>
    <t>Policy Inception (YearMonth)</t>
  </si>
  <si>
    <t>PY</t>
  </si>
  <si>
    <t>Policy Limit</t>
  </si>
  <si>
    <t>Paid Loss</t>
  </si>
  <si>
    <t>Outstanding Loss</t>
  </si>
  <si>
    <t>Incurred Loss</t>
  </si>
  <si>
    <t>Paid ALAE</t>
  </si>
  <si>
    <t>Outstanding ALAE</t>
  </si>
  <si>
    <t>Incurred ALAE</t>
  </si>
  <si>
    <t>Total Incurred</t>
  </si>
  <si>
    <t>Total Incurred Loss and ALAE</t>
  </si>
  <si>
    <t>Earned Premium</t>
  </si>
  <si>
    <t>ALAE</t>
  </si>
  <si>
    <t>Risks Attaching basis</t>
  </si>
  <si>
    <t>Treaty: Proportional Quota Share</t>
  </si>
  <si>
    <t>Percentage of Order</t>
  </si>
  <si>
    <t>Flat</t>
  </si>
  <si>
    <t>On Ceded Written Premium, net of brokerage and taxes</t>
  </si>
  <si>
    <t>Gross</t>
  </si>
  <si>
    <t>Client Name:</t>
  </si>
  <si>
    <t>GWP</t>
  </si>
  <si>
    <t>New</t>
  </si>
  <si>
    <t>VA</t>
  </si>
  <si>
    <t>GC</t>
  </si>
  <si>
    <t>TX</t>
  </si>
  <si>
    <t>PA</t>
  </si>
  <si>
    <t>LS</t>
  </si>
  <si>
    <t>MI</t>
  </si>
  <si>
    <t>CA</t>
  </si>
  <si>
    <t>FL</t>
  </si>
  <si>
    <t>NY</t>
  </si>
  <si>
    <t>NJ</t>
  </si>
  <si>
    <t>IL</t>
  </si>
  <si>
    <t>MA</t>
  </si>
  <si>
    <t>AZ</t>
  </si>
  <si>
    <t>GA</t>
  </si>
  <si>
    <t>NC</t>
  </si>
  <si>
    <t>OH</t>
  </si>
  <si>
    <t>WA</t>
  </si>
  <si>
    <t>I-2018-00099</t>
  </si>
  <si>
    <t>I-2018-00106</t>
  </si>
  <si>
    <t>I-2018-00118</t>
  </si>
  <si>
    <t>I-2018-00124</t>
  </si>
  <si>
    <t>I-2018-00218</t>
  </si>
  <si>
    <t>I-2018-00224</t>
  </si>
  <si>
    <t>I-2018-00235</t>
  </si>
  <si>
    <t>I-2018-00237</t>
  </si>
  <si>
    <t>I-2018-00281</t>
  </si>
  <si>
    <t>I-2018-00373</t>
  </si>
  <si>
    <t>I-2018-00378</t>
  </si>
  <si>
    <t>I-2018-00492</t>
  </si>
  <si>
    <t>I-2018-00517</t>
  </si>
  <si>
    <t>I-2018-00529</t>
  </si>
  <si>
    <t>I-2018-00583</t>
  </si>
  <si>
    <t>I-2018-00593</t>
  </si>
  <si>
    <t>I-2018-00600</t>
  </si>
  <si>
    <t>I-2018-00664</t>
  </si>
  <si>
    <t>Renewed</t>
  </si>
  <si>
    <t>I-2019-00005</t>
  </si>
  <si>
    <t>I-2019-00040</t>
  </si>
  <si>
    <t>I-2019-00065</t>
  </si>
  <si>
    <t>I-2019-00098</t>
  </si>
  <si>
    <t>I-2019-00102</t>
  </si>
  <si>
    <t>I-2019-00111</t>
  </si>
  <si>
    <t>I-2019-00136</t>
  </si>
  <si>
    <t>I-2019-00141</t>
  </si>
  <si>
    <t>I-2019-00160</t>
  </si>
  <si>
    <t>I-2019-00168</t>
  </si>
  <si>
    <t>I-2019-00185</t>
  </si>
  <si>
    <t>I-2019-00234</t>
  </si>
  <si>
    <t>I-2019-00248</t>
  </si>
  <si>
    <t>I-2019-00270</t>
  </si>
  <si>
    <t>I-2019-00293</t>
  </si>
  <si>
    <t>I-2019-00296</t>
  </si>
  <si>
    <t>I-2019-00303</t>
  </si>
  <si>
    <t>I-2019-00332</t>
  </si>
  <si>
    <t>I-2019-00339</t>
  </si>
  <si>
    <t>I-2019-00354</t>
  </si>
  <si>
    <t>I-2019-00375</t>
  </si>
  <si>
    <t>I-2019-00376</t>
  </si>
  <si>
    <t>I-2019-00397</t>
  </si>
  <si>
    <t>I-2019-00405</t>
  </si>
  <si>
    <t>I-2019-00434</t>
  </si>
  <si>
    <t>I-2019-00435</t>
  </si>
  <si>
    <t>I-2019-00547</t>
  </si>
  <si>
    <t>I-2019-00557</t>
  </si>
  <si>
    <t>I-2019-00562</t>
  </si>
  <si>
    <t>I-2019-00575</t>
  </si>
  <si>
    <t>I-2019-00610</t>
  </si>
  <si>
    <t>I-2019-00632</t>
  </si>
  <si>
    <t>I-2019-00635</t>
  </si>
  <si>
    <t>I-2019-00636</t>
  </si>
  <si>
    <t>I-2019-00638</t>
  </si>
  <si>
    <t>I-2019-00669</t>
  </si>
  <si>
    <t>I-2019-00723</t>
  </si>
  <si>
    <t>I-2019-00755</t>
  </si>
  <si>
    <t>I-2019-00807</t>
  </si>
  <si>
    <t>I-2019-00812</t>
  </si>
  <si>
    <t>I-2019-00825</t>
  </si>
  <si>
    <t>I-2019-00826</t>
  </si>
  <si>
    <t>I-2019-00845</t>
  </si>
  <si>
    <t>I-2019-00874</t>
  </si>
  <si>
    <t>I-2019-00883</t>
  </si>
  <si>
    <t>I-2020-00003</t>
  </si>
  <si>
    <t>I-2020-00014</t>
  </si>
  <si>
    <t>I-2020-00035</t>
  </si>
  <si>
    <t>I-2020-00037</t>
  </si>
  <si>
    <t>I-2020-00038</t>
  </si>
  <si>
    <t>I-2020-00056</t>
  </si>
  <si>
    <t>I-2020-00059</t>
  </si>
  <si>
    <t>I-2020-00070</t>
  </si>
  <si>
    <t>I-2020-00106</t>
  </si>
  <si>
    <t>I-2020-00119</t>
  </si>
  <si>
    <t>I-2020-00123</t>
  </si>
  <si>
    <t>I-2020-00130</t>
  </si>
  <si>
    <t>I-2020-00152</t>
  </si>
  <si>
    <t>I-2020-00155</t>
  </si>
  <si>
    <t>I-2020-00162</t>
  </si>
  <si>
    <t>I-2020-00173</t>
  </si>
  <si>
    <t>I-2020-00204</t>
  </si>
  <si>
    <t>I-2020-00212</t>
  </si>
  <si>
    <t>I-2020-00213</t>
  </si>
  <si>
    <t>I-2020-00219</t>
  </si>
  <si>
    <t>I-2020-00251</t>
  </si>
  <si>
    <t>I-2020-00253</t>
  </si>
  <si>
    <t>I-2020-00262</t>
  </si>
  <si>
    <t>I-2020-00275</t>
  </si>
  <si>
    <t>I-2020-00284</t>
  </si>
  <si>
    <t>I-2020-00285</t>
  </si>
  <si>
    <t>I-2020-00302</t>
  </si>
  <si>
    <t>I-2020-00350</t>
  </si>
  <si>
    <t>I-2020-00352</t>
  </si>
  <si>
    <t>I-2020-00360</t>
  </si>
  <si>
    <t>I-2020-00394</t>
  </si>
  <si>
    <t>I-2020-00398</t>
  </si>
  <si>
    <t>I-2020-00401</t>
  </si>
  <si>
    <t>I-2020-00407</t>
  </si>
  <si>
    <t>I-2020-00409</t>
  </si>
  <si>
    <t>I-2020-00423</t>
  </si>
  <si>
    <t>I-2020-00430</t>
  </si>
  <si>
    <t>I-2020-00442</t>
  </si>
  <si>
    <t>I-2020-00448</t>
  </si>
  <si>
    <t>I-2020-00452</t>
  </si>
  <si>
    <t>I-2020-00494</t>
  </si>
  <si>
    <t>I-2020-00497</t>
  </si>
  <si>
    <t>I-2020-00502</t>
  </si>
  <si>
    <t>I-2020-00507</t>
  </si>
  <si>
    <t>I-2020-00515</t>
  </si>
  <si>
    <t>I-2020-00522</t>
  </si>
  <si>
    <t>I-2020-00531</t>
  </si>
  <si>
    <t>I-2020-00540</t>
  </si>
  <si>
    <t>I-2020-00570</t>
  </si>
  <si>
    <t>I-2020-00576</t>
  </si>
  <si>
    <t>I-2020-00586</t>
  </si>
  <si>
    <t>I-2020-00620</t>
  </si>
  <si>
    <t>I-2021-00010</t>
  </si>
  <si>
    <t>I-2021-00011</t>
  </si>
  <si>
    <t>I-2021-00016</t>
  </si>
  <si>
    <t>I-2021-00018</t>
  </si>
  <si>
    <t>I-2021-00020</t>
  </si>
  <si>
    <t>I-2021-00032</t>
  </si>
  <si>
    <t>I-2021-00045</t>
  </si>
  <si>
    <t>I-2021-00050</t>
  </si>
  <si>
    <t>I-2021-00051</t>
  </si>
  <si>
    <t>I-2021-00054</t>
  </si>
  <si>
    <t>I-2021-00065</t>
  </si>
  <si>
    <t>I-2021-00088</t>
  </si>
  <si>
    <t>I-2021-00094</t>
  </si>
  <si>
    <t>I-2021-00099</t>
  </si>
  <si>
    <t>I-2021-00102</t>
  </si>
  <si>
    <t>I-2021-00111</t>
  </si>
  <si>
    <t>I-2021-00115</t>
  </si>
  <si>
    <t>I-2021-00129</t>
  </si>
  <si>
    <t>I-2021-00131</t>
  </si>
  <si>
    <t>I-2021-00136</t>
  </si>
  <si>
    <t>I-2021-00139</t>
  </si>
  <si>
    <t>I-2021-00143</t>
  </si>
  <si>
    <t>I-2021-00145</t>
  </si>
  <si>
    <t>I-2021-00147</t>
  </si>
  <si>
    <t>I-2021-00149</t>
  </si>
  <si>
    <t>I-2021-00156</t>
  </si>
  <si>
    <t>I-2021-00157</t>
  </si>
  <si>
    <t>I-2021-00160</t>
  </si>
  <si>
    <t>I-2021-00165</t>
  </si>
  <si>
    <t>I-2021-00177</t>
  </si>
  <si>
    <t>I-2021-00181</t>
  </si>
  <si>
    <t>I-2021-00183</t>
  </si>
  <si>
    <t>I-2021-00187</t>
  </si>
  <si>
    <t>I-2021-00189</t>
  </si>
  <si>
    <t>I-2021-00191</t>
  </si>
  <si>
    <t>I-2021-00192</t>
  </si>
  <si>
    <t>I-2021-00193</t>
  </si>
  <si>
    <t>I-2021-00196</t>
  </si>
  <si>
    <t>I-2021-00217</t>
  </si>
  <si>
    <t>I-2021-00218</t>
  </si>
  <si>
    <t>I-2021-00221</t>
  </si>
  <si>
    <t>I-2021-00244</t>
  </si>
  <si>
    <t>I-2021-00246</t>
  </si>
  <si>
    <t>I-2021-00247</t>
  </si>
  <si>
    <t>I-2021-00249</t>
  </si>
  <si>
    <t>I-2021-00256</t>
  </si>
  <si>
    <t>I-2021-00257</t>
  </si>
  <si>
    <t>I-2021-00259</t>
  </si>
  <si>
    <t>I-2021-00269</t>
  </si>
  <si>
    <t>I-2021-00282</t>
  </si>
  <si>
    <t>I-2021-00283</t>
  </si>
  <si>
    <t>I-2021-00290</t>
  </si>
  <si>
    <t>I-2021-00295</t>
  </si>
  <si>
    <t>I-2021-00298</t>
  </si>
  <si>
    <t>I-2021-00301</t>
  </si>
  <si>
    <t>I-2021-00309</t>
  </si>
  <si>
    <t>I-2021-00310</t>
  </si>
  <si>
    <t>I-2021-00312</t>
  </si>
  <si>
    <t>I-2021-00314</t>
  </si>
  <si>
    <t>I-2021-00320</t>
  </si>
  <si>
    <t>I-2021-00325</t>
  </si>
  <si>
    <t>I-2021-00327</t>
  </si>
  <si>
    <t>I-2021-00328</t>
  </si>
  <si>
    <t>I-2021-00332</t>
  </si>
  <si>
    <t>I-2021-00336</t>
  </si>
  <si>
    <t>I-2021-00341</t>
  </si>
  <si>
    <t>I-2021-00357</t>
  </si>
  <si>
    <t>I-2021-00358</t>
  </si>
  <si>
    <t>I-2021-00359</t>
  </si>
  <si>
    <t>I-2021-00362</t>
  </si>
  <si>
    <t>I-2021-00363</t>
  </si>
  <si>
    <t>I-2021-00371</t>
  </si>
  <si>
    <t>I-2021-00374</t>
  </si>
  <si>
    <t>I-2021-00376</t>
  </si>
  <si>
    <t>I-2021-00380</t>
  </si>
  <si>
    <t>I-2021-00381</t>
  </si>
  <si>
    <t>I-2021-00382</t>
  </si>
  <si>
    <t>I-2021-00390</t>
  </si>
  <si>
    <t>I-2021-00393</t>
  </si>
  <si>
    <t>I-2021-00403</t>
  </si>
  <si>
    <t>I-2021-00405</t>
  </si>
  <si>
    <t>I-2021-00406</t>
  </si>
  <si>
    <t>I-2021-00407</t>
  </si>
  <si>
    <t>I-2021-00413</t>
  </si>
  <si>
    <t>I-2021-00416</t>
  </si>
  <si>
    <t>I-2021-00428</t>
  </si>
  <si>
    <t>I-2021-00436</t>
  </si>
  <si>
    <t>I-2021-00440</t>
  </si>
  <si>
    <t>I-2021-00451</t>
  </si>
  <si>
    <t>I-2021-00464</t>
  </si>
  <si>
    <t>I-2021-00477</t>
  </si>
  <si>
    <t>I-2021-00478</t>
  </si>
  <si>
    <t>I-2021-00481</t>
  </si>
  <si>
    <t>I-2021-00484</t>
  </si>
  <si>
    <t>I-2021-00487</t>
  </si>
  <si>
    <t>I-2021-00492</t>
  </si>
  <si>
    <t>I-2021-00508</t>
  </si>
  <si>
    <t>I-2021-00513</t>
  </si>
  <si>
    <t>I-2021-00514</t>
  </si>
  <si>
    <t>I-2021-00515</t>
  </si>
  <si>
    <t>I-2021-00517</t>
  </si>
  <si>
    <t>I-2021-00533</t>
  </si>
  <si>
    <t>I-2021-00541</t>
  </si>
  <si>
    <t>I-2021-00544</t>
  </si>
  <si>
    <t>I-2021-00546</t>
  </si>
  <si>
    <t>I-2021-00552</t>
  </si>
  <si>
    <t>I-2021-00553</t>
  </si>
  <si>
    <t>I-2021-00562</t>
  </si>
  <si>
    <t>I-2021-00563</t>
  </si>
  <si>
    <t>I-2021-00564</t>
  </si>
  <si>
    <t>I-2021-00566</t>
  </si>
  <si>
    <t>I-2021-00568</t>
  </si>
  <si>
    <t>I-2021-00570</t>
  </si>
  <si>
    <t>I-2021-00575</t>
  </si>
  <si>
    <t>I-2021-00576</t>
  </si>
  <si>
    <t>I-2021-00583</t>
  </si>
  <si>
    <t>I-2021-00584</t>
  </si>
  <si>
    <t>I-2021-00594</t>
  </si>
  <si>
    <t>I-2021-00606</t>
  </si>
  <si>
    <t>I-2021-00625</t>
  </si>
  <si>
    <t>I-2021-00629</t>
  </si>
  <si>
    <t>I-2021-00636</t>
  </si>
  <si>
    <t>I-2021-00643</t>
  </si>
  <si>
    <t>I-2021-00644</t>
  </si>
  <si>
    <t>I-2021-00661</t>
  </si>
  <si>
    <t>I-2021-00666</t>
  </si>
  <si>
    <t>I-2021-00672</t>
  </si>
  <si>
    <t>I-2021-00680</t>
  </si>
  <si>
    <t>I-2021-00686</t>
  </si>
  <si>
    <t>I-2021-00689</t>
  </si>
  <si>
    <t>I-2021-00722</t>
  </si>
  <si>
    <t>I-2021-00736</t>
  </si>
  <si>
    <t>I-2021-00737</t>
  </si>
  <si>
    <t>I-2021-00740</t>
  </si>
  <si>
    <t>I-2021-00743</t>
  </si>
  <si>
    <t>I-2021-00747</t>
  </si>
  <si>
    <t>I-2021-00752</t>
  </si>
  <si>
    <t>I-2021-00753</t>
  </si>
  <si>
    <t>I-2021-00785</t>
  </si>
  <si>
    <t>I-2021-00791</t>
  </si>
  <si>
    <t>I-2021-00795</t>
  </si>
  <si>
    <t>I-2021-00803</t>
  </si>
  <si>
    <t>I-2021-00809</t>
  </si>
  <si>
    <t>I-2021-00820</t>
  </si>
  <si>
    <t>I-2021-00853</t>
  </si>
  <si>
    <t>I-2021-00869</t>
  </si>
  <si>
    <t>I-2021-00871</t>
  </si>
  <si>
    <t>I-2021-00874</t>
  </si>
  <si>
    <t>I-2021-00878</t>
  </si>
  <si>
    <t>I-2021-00884</t>
  </si>
  <si>
    <t>I-2021-00900</t>
  </si>
  <si>
    <t>I-2021-00909</t>
  </si>
  <si>
    <t>I-2021-00910</t>
  </si>
  <si>
    <t>I-2021-00915</t>
  </si>
  <si>
    <t>I-2021-00922</t>
  </si>
  <si>
    <t>I-2021-00943</t>
  </si>
  <si>
    <t>I-2021-00945</t>
  </si>
  <si>
    <t>I-2021-00947</t>
  </si>
  <si>
    <t>I-2021-00950</t>
  </si>
  <si>
    <t>I-2021-00951</t>
  </si>
  <si>
    <t>I-2021-00952</t>
  </si>
  <si>
    <t>I-2021-00956</t>
  </si>
  <si>
    <t>I-2021-00957</t>
  </si>
  <si>
    <t>I-2021-00963</t>
  </si>
  <si>
    <t>I-2021-00965</t>
  </si>
  <si>
    <t>I-2021-00967</t>
  </si>
  <si>
    <t>I-2021-00981</t>
  </si>
  <si>
    <t>I-2021-00989</t>
  </si>
  <si>
    <t>I-2021-00996</t>
  </si>
  <si>
    <t>I-2021-01001</t>
  </si>
  <si>
    <t>I-2021-01011</t>
  </si>
  <si>
    <t>I-2021-01012</t>
  </si>
  <si>
    <t>I-2021-01015</t>
  </si>
  <si>
    <t>I-2021-01024</t>
  </si>
  <si>
    <t>I-2021-01053</t>
  </si>
  <si>
    <t>I-2021-01054</t>
  </si>
  <si>
    <t>I-2021-01066</t>
  </si>
  <si>
    <t>I-2021-01069</t>
  </si>
  <si>
    <t>I-2021-01071</t>
  </si>
  <si>
    <t>I-2021-01079</t>
  </si>
  <si>
    <t>I-2021-01085</t>
  </si>
  <si>
    <t>I-2021-01093</t>
  </si>
  <si>
    <t>I-2021-01095</t>
  </si>
  <si>
    <t>I-2021-01097</t>
  </si>
  <si>
    <t>I-2021-01098</t>
  </si>
  <si>
    <t>I-2021-01100</t>
  </si>
  <si>
    <t>I-2021-01106</t>
  </si>
  <si>
    <t>I-2021-01116</t>
  </si>
  <si>
    <t>I-2021-01117</t>
  </si>
  <si>
    <t>I-2021-01118</t>
  </si>
  <si>
    <t>I-2021-01120</t>
  </si>
  <si>
    <t>I-2021-01128</t>
  </si>
  <si>
    <t>I-2021-01130</t>
  </si>
  <si>
    <t>I-2021-01133</t>
  </si>
  <si>
    <t>I-2021-01134</t>
  </si>
  <si>
    <t>I-2021-01135</t>
  </si>
  <si>
    <t>I-2021-01139</t>
  </si>
  <si>
    <t>I-2021-01142</t>
  </si>
  <si>
    <t>I-2022-00001</t>
  </si>
  <si>
    <t>I-2022-00003</t>
  </si>
  <si>
    <t>I-2022-00007</t>
  </si>
  <si>
    <t>I-2022-00011</t>
  </si>
  <si>
    <t>I-2022-00017</t>
  </si>
  <si>
    <t>I-2022-00020</t>
  </si>
  <si>
    <t>I-2022-00021</t>
  </si>
  <si>
    <t>I-2022-00024</t>
  </si>
  <si>
    <t>I-2022-00025</t>
  </si>
  <si>
    <t>I-2022-00029</t>
  </si>
  <si>
    <t>I-2022-00035</t>
  </si>
  <si>
    <t>I-2022-00037</t>
  </si>
  <si>
    <t>I-2022-00038</t>
  </si>
  <si>
    <t>I-2022-00041</t>
  </si>
  <si>
    <t>I-2022-00046</t>
  </si>
  <si>
    <t>I-2022-00047</t>
  </si>
  <si>
    <t>I-2022-00050</t>
  </si>
  <si>
    <t>I-2022-00051</t>
  </si>
  <si>
    <t>I-2022-00054</t>
  </si>
  <si>
    <t>I-2022-00056</t>
  </si>
  <si>
    <t>I-2022-00058</t>
  </si>
  <si>
    <t>I-2022-00060</t>
  </si>
  <si>
    <t>I-2022-00063</t>
  </si>
  <si>
    <t>I-2022-00071</t>
  </si>
  <si>
    <t>I-2022-00072</t>
  </si>
  <si>
    <t>I-2022-00075</t>
  </si>
  <si>
    <t>I-2022-00076</t>
  </si>
  <si>
    <t>I-2022-00077</t>
  </si>
  <si>
    <t>I-2022-00079</t>
  </si>
  <si>
    <t>I-2022-00081</t>
  </si>
  <si>
    <t>I-2022-00084</t>
  </si>
  <si>
    <t>I-2022-00094</t>
  </si>
  <si>
    <t>I-2022-00095</t>
  </si>
  <si>
    <t>I-2022-00101</t>
  </si>
  <si>
    <t>I-2022-00103</t>
  </si>
  <si>
    <t>I-2022-00104</t>
  </si>
  <si>
    <t>I-2022-00107</t>
  </si>
  <si>
    <t>I-2022-00109</t>
  </si>
  <si>
    <t>I-2022-00110</t>
  </si>
  <si>
    <t>I-2022-00115</t>
  </si>
  <si>
    <t>I-2022-00116</t>
  </si>
  <si>
    <t>I-2022-00117</t>
  </si>
  <si>
    <t>I-2022-00118</t>
  </si>
  <si>
    <t>I-2022-00119</t>
  </si>
  <si>
    <t>I-2022-00122</t>
  </si>
  <si>
    <t>I-2022-00123</t>
  </si>
  <si>
    <t>I-2022-00129</t>
  </si>
  <si>
    <t>I-2022-00130</t>
  </si>
  <si>
    <t>I-2022-00131</t>
  </si>
  <si>
    <t>I-2022-00132</t>
  </si>
  <si>
    <t>I-2022-00133</t>
  </si>
  <si>
    <t>I-2022-00140</t>
  </si>
  <si>
    <t>I-2022-00141</t>
  </si>
  <si>
    <t>I-2022-00142</t>
  </si>
  <si>
    <t>I-2022-00144</t>
  </si>
  <si>
    <t>I-2022-00145</t>
  </si>
  <si>
    <t>I-2022-00154</t>
  </si>
  <si>
    <t>I-2022-00155</t>
  </si>
  <si>
    <t>I-2022-00158</t>
  </si>
  <si>
    <t>I-2022-00162</t>
  </si>
  <si>
    <t>I-2022-00163</t>
  </si>
  <si>
    <t>I-2022-00172</t>
  </si>
  <si>
    <t>I-2022-00173</t>
  </si>
  <si>
    <t>I-2022-00177</t>
  </si>
  <si>
    <t>I-2022-00193</t>
  </si>
  <si>
    <t>I-2022-00198</t>
  </si>
  <si>
    <t>I-2022-00203</t>
  </si>
  <si>
    <t>I-2022-00204</t>
  </si>
  <si>
    <t>I-2022-00205</t>
  </si>
  <si>
    <t>I-2022-00209</t>
  </si>
  <si>
    <t>I-2022-00211</t>
  </si>
  <si>
    <t>I-2022-00212</t>
  </si>
  <si>
    <t>I-2022-00215</t>
  </si>
  <si>
    <t>I-2022-00216</t>
  </si>
  <si>
    <t>I-2022-00222</t>
  </si>
  <si>
    <t>I-2022-00223</t>
  </si>
  <si>
    <t>I-2022-00227</t>
  </si>
  <si>
    <t>I-2022-00228</t>
  </si>
  <si>
    <t>I-2022-00229</t>
  </si>
  <si>
    <t>I-2022-00233</t>
  </si>
  <si>
    <t>I-2022-00235</t>
  </si>
  <si>
    <t>I-2022-00237</t>
  </si>
  <si>
    <t>I-2022-00238</t>
  </si>
  <si>
    <t>I-2022-00247</t>
  </si>
  <si>
    <t>I-2022-00249</t>
  </si>
  <si>
    <t>I-2022-00251</t>
  </si>
  <si>
    <t>I-2022-00256</t>
  </si>
  <si>
    <t>I-2022-00258</t>
  </si>
  <si>
    <t>I-2022-00259</t>
  </si>
  <si>
    <t>I-2022-00260</t>
  </si>
  <si>
    <t>I-2022-00263</t>
  </si>
  <si>
    <t>I-2022-00264</t>
  </si>
  <si>
    <t>I-2022-00271</t>
  </si>
  <si>
    <t>I-2022-00272</t>
  </si>
  <si>
    <t>I-2022-00277</t>
  </si>
  <si>
    <t>I-2022-00280</t>
  </si>
  <si>
    <t>I-2022-00281</t>
  </si>
  <si>
    <t>I-2022-00286</t>
  </si>
  <si>
    <t>I-2022-00291</t>
  </si>
  <si>
    <t>I-2022-00300</t>
  </si>
  <si>
    <t>I-2022-00301</t>
  </si>
  <si>
    <t>I-2022-00311</t>
  </si>
  <si>
    <t>I-2022-00314</t>
  </si>
  <si>
    <t>I-2022-00315</t>
  </si>
  <si>
    <t>I-2022-00317</t>
  </si>
  <si>
    <t>I-2022-00318</t>
  </si>
  <si>
    <t>I-2022-00327</t>
  </si>
  <si>
    <t>I-2022-00331</t>
  </si>
  <si>
    <t>I-2022-00333</t>
  </si>
  <si>
    <t>I-2022-00334</t>
  </si>
  <si>
    <t>I-2022-00335</t>
  </si>
  <si>
    <t>I-2022-00341</t>
  </si>
  <si>
    <t>I-2022-00342</t>
  </si>
  <si>
    <t>I-2022-00344</t>
  </si>
  <si>
    <t>I-2022-00353</t>
  </si>
  <si>
    <t>I-2022-00355</t>
  </si>
  <si>
    <t>I-2022-00359</t>
  </si>
  <si>
    <t>I-2022-00361</t>
  </si>
  <si>
    <t>I-2022-00364</t>
  </si>
  <si>
    <t>I-2022-00367</t>
  </si>
  <si>
    <t>I-2022-00370</t>
  </si>
  <si>
    <t>I-2022-00372</t>
  </si>
  <si>
    <t>I-2022-00373</t>
  </si>
  <si>
    <t>I-2022-00376</t>
  </si>
  <si>
    <t>I-2022-00379</t>
  </si>
  <si>
    <t>I-2022-00384</t>
  </si>
  <si>
    <t>I-2022-00387</t>
  </si>
  <si>
    <t>I-2022-00390</t>
  </si>
  <si>
    <t>I-2022-00392</t>
  </si>
  <si>
    <t>I-2022-00393</t>
  </si>
  <si>
    <t>I-2022-00398</t>
  </si>
  <si>
    <t>I-2022-00399</t>
  </si>
  <si>
    <t>I-2022-00407</t>
  </si>
  <si>
    <t>I-2022-00410</t>
  </si>
  <si>
    <t>I-2022-00417</t>
  </si>
  <si>
    <t>I-2022-00422</t>
  </si>
  <si>
    <t>I-2022-00423</t>
  </si>
  <si>
    <t>I-2022-00426</t>
  </si>
  <si>
    <t>I-2022-00428</t>
  </si>
  <si>
    <t>I-2022-00434</t>
  </si>
  <si>
    <t>I-2022-00439</t>
  </si>
  <si>
    <t>I-2022-00443</t>
  </si>
  <si>
    <t>I-2022-00447</t>
  </si>
  <si>
    <t>I-2022-00451</t>
  </si>
  <si>
    <t>I-2022-00452</t>
  </si>
  <si>
    <t>I-2022-00455</t>
  </si>
  <si>
    <t>I-2022-00457</t>
  </si>
  <si>
    <t>I-2022-00462</t>
  </si>
  <si>
    <t>I-2022-00463</t>
  </si>
  <si>
    <t>I-2022-00464</t>
  </si>
  <si>
    <t>I-2022-00465</t>
  </si>
  <si>
    <t>I-2022-00468</t>
  </si>
  <si>
    <t>I-2022-00471</t>
  </si>
  <si>
    <t>I-2022-00474</t>
  </si>
  <si>
    <t>I-2022-00479</t>
  </si>
  <si>
    <t>I-2022-00480</t>
  </si>
  <si>
    <t>I-2022-00487</t>
  </si>
  <si>
    <t>I-2022-00492</t>
  </si>
  <si>
    <t>I-2022-00493</t>
  </si>
  <si>
    <t>I-2022-00497</t>
  </si>
  <si>
    <t>I-2022-00508</t>
  </si>
  <si>
    <t>I-2022-00509</t>
  </si>
  <si>
    <t>I-2022-00516</t>
  </si>
  <si>
    <t>I-2022-00518</t>
  </si>
  <si>
    <t>I-2022-00522</t>
  </si>
  <si>
    <t>I-2022-00525</t>
  </si>
  <si>
    <t>I-2022-00527</t>
  </si>
  <si>
    <t>I-2022-00529</t>
  </si>
  <si>
    <t>I-2022-00532</t>
  </si>
  <si>
    <t>I-2022-00533</t>
  </si>
  <si>
    <t>I-2022-00534</t>
  </si>
  <si>
    <t>I-2022-00537</t>
  </si>
  <si>
    <t>I-2022-00538</t>
  </si>
  <si>
    <t>I-2022-00544</t>
  </si>
  <si>
    <t>I-2022-00545</t>
  </si>
  <si>
    <t>I-2022-00555</t>
  </si>
  <si>
    <t>I-2022-00556</t>
  </si>
  <si>
    <t>I-2022-00560</t>
  </si>
  <si>
    <t>I-2022-00561</t>
  </si>
  <si>
    <t>I-2022-00566</t>
  </si>
  <si>
    <t>I-2022-00568</t>
  </si>
  <si>
    <t>I-2022-00571</t>
  </si>
  <si>
    <t>I-2022-00573</t>
  </si>
  <si>
    <t>I-2022-00575</t>
  </si>
  <si>
    <t>I-2022-00576</t>
  </si>
  <si>
    <t>I-2022-00584</t>
  </si>
  <si>
    <t>I-2022-00586</t>
  </si>
  <si>
    <t>I-2022-00587</t>
  </si>
  <si>
    <t>I-2022-00591</t>
  </si>
  <si>
    <t>I-2022-00593</t>
  </si>
  <si>
    <t>I-2022-00595</t>
  </si>
  <si>
    <t>I-2022-00596</t>
  </si>
  <si>
    <t>I-2022-00600</t>
  </si>
  <si>
    <t>I-2022-00601</t>
  </si>
  <si>
    <t>I-2022-00604</t>
  </si>
  <si>
    <t>I-2022-00605</t>
  </si>
  <si>
    <t>I-2022-00607</t>
  </si>
  <si>
    <t>I-2022-00608</t>
  </si>
  <si>
    <t>I-2022-00609</t>
  </si>
  <si>
    <t>I-2022-00613</t>
  </si>
  <si>
    <t>I-2022-00615</t>
  </si>
  <si>
    <t>I-2022-00619</t>
  </si>
  <si>
    <t>I-2022-00621</t>
  </si>
  <si>
    <t>I-2022-00628</t>
  </si>
  <si>
    <t>I-2022-00635</t>
  </si>
  <si>
    <t>I-2022-00641</t>
  </si>
  <si>
    <t>I-2022-00647</t>
  </si>
  <si>
    <t>I-2022-00648</t>
  </si>
  <si>
    <t>I-2022-00649</t>
  </si>
  <si>
    <t>I-2022-00651</t>
  </si>
  <si>
    <t>I-2022-00662</t>
  </si>
  <si>
    <t>I-2022-00669</t>
  </si>
  <si>
    <t>I-2022-00675</t>
  </si>
  <si>
    <t>I-2022-00677</t>
  </si>
  <si>
    <t>I-2022-00681</t>
  </si>
  <si>
    <t>I-2022-00688</t>
  </si>
  <si>
    <t>I-2022-00695</t>
  </si>
  <si>
    <t>I-2022-00696</t>
  </si>
  <si>
    <t>I-2022-00697</t>
  </si>
  <si>
    <t>I-2022-00701</t>
  </si>
  <si>
    <t>I-2022-00705</t>
  </si>
  <si>
    <t>I-2022-00714</t>
  </si>
  <si>
    <t>I-2022-00715</t>
  </si>
  <si>
    <t>I-2022-00718</t>
  </si>
  <si>
    <t>I-2022-00720</t>
  </si>
  <si>
    <t>I-2022-00721</t>
  </si>
  <si>
    <t>I-2022-00725</t>
  </si>
  <si>
    <t>I-2022-00726</t>
  </si>
  <si>
    <t>I-2022-00727</t>
  </si>
  <si>
    <t>I-2022-00731</t>
  </si>
  <si>
    <t>I-2022-00735</t>
  </si>
  <si>
    <t>I-2022-00739</t>
  </si>
  <si>
    <t>I-2022-00741</t>
  </si>
  <si>
    <t>I-2022-00748</t>
  </si>
  <si>
    <t>I-2022-00752</t>
  </si>
  <si>
    <t>I-2022-00753</t>
  </si>
  <si>
    <t>I-2022-00758</t>
  </si>
  <si>
    <t>I-2022-00760</t>
  </si>
  <si>
    <t>I-2022-00761</t>
  </si>
  <si>
    <t>I-2022-00764</t>
  </si>
  <si>
    <t>I-2023-00005</t>
  </si>
  <si>
    <t>I-2023-00007</t>
  </si>
  <si>
    <t>I-2023-00010</t>
  </si>
  <si>
    <t>I-2023-00014</t>
  </si>
  <si>
    <t>I-2023-00015</t>
  </si>
  <si>
    <t>I-2023-00016</t>
  </si>
  <si>
    <t>I-2023-00017</t>
  </si>
  <si>
    <t>I-2023-00018</t>
  </si>
  <si>
    <t>I-2023-00023</t>
  </si>
  <si>
    <t>I-2023-00025</t>
  </si>
  <si>
    <t>I-2023-00026</t>
  </si>
  <si>
    <t>I-2023-00028</t>
  </si>
  <si>
    <t>I-2023-00029</t>
  </si>
  <si>
    <t>I-2023-00030</t>
  </si>
  <si>
    <t>I-2023-00031</t>
  </si>
  <si>
    <t>I-2023-00033</t>
  </si>
  <si>
    <t>I-2023-00034</t>
  </si>
  <si>
    <t>I-2023-00035</t>
  </si>
  <si>
    <t>I-2023-00036</t>
  </si>
  <si>
    <t>I-2023-00038</t>
  </si>
  <si>
    <t>I-2023-00040</t>
  </si>
  <si>
    <t>I-2023-00042</t>
  </si>
  <si>
    <t>I-2023-00043</t>
  </si>
  <si>
    <t>I-2023-00045</t>
  </si>
  <si>
    <t>I-2023-00047</t>
  </si>
  <si>
    <t>I-2023-00048</t>
  </si>
  <si>
    <t>I-2023-00052</t>
  </si>
  <si>
    <t>I-2023-00053</t>
  </si>
  <si>
    <t>I-2023-00054</t>
  </si>
  <si>
    <t>I-2023-00055</t>
  </si>
  <si>
    <t>I-2023-00056</t>
  </si>
  <si>
    <t>I-2023-00057</t>
  </si>
  <si>
    <t>I-2023-00058</t>
  </si>
  <si>
    <t>I-2023-00059</t>
  </si>
  <si>
    <t>I-2023-00061</t>
  </si>
  <si>
    <t>I-2023-00063</t>
  </si>
  <si>
    <t>I-2023-00065</t>
  </si>
  <si>
    <t>I-2023-00071</t>
  </si>
  <si>
    <t>I-2023-00072</t>
  </si>
  <si>
    <t>I-2023-00075</t>
  </si>
  <si>
    <t>I-2023-00076</t>
  </si>
  <si>
    <t>I-2023-00079</t>
  </si>
  <si>
    <t>I-2023-00080</t>
  </si>
  <si>
    <t>I-2023-00082</t>
  </si>
  <si>
    <t>I-2023-00083</t>
  </si>
  <si>
    <t>I-2023-00084</t>
  </si>
  <si>
    <t>I-2023-00087</t>
  </si>
  <si>
    <t>I-2023-00089</t>
  </si>
  <si>
    <t>I-2023-00090</t>
  </si>
  <si>
    <t>I-2023-00091</t>
  </si>
  <si>
    <t>I-2023-00092</t>
  </si>
  <si>
    <t>I-2023-00094</t>
  </si>
  <si>
    <t>I-2023-00095</t>
  </si>
  <si>
    <t>I-2023-00096</t>
  </si>
  <si>
    <t>I-2023-00097</t>
  </si>
  <si>
    <t>I-2023-00098</t>
  </si>
  <si>
    <t>I-2023-00100</t>
  </si>
  <si>
    <t>I-2023-00102</t>
  </si>
  <si>
    <t>I-2023-00103</t>
  </si>
  <si>
    <t>I-2023-00107</t>
  </si>
  <si>
    <t>I-2023-00111</t>
  </si>
  <si>
    <t>I-2023-00112</t>
  </si>
  <si>
    <t>I-2023-00114</t>
  </si>
  <si>
    <t>I-2023-00115</t>
  </si>
  <si>
    <t>I-2023-00118</t>
  </si>
  <si>
    <t>I-2023-00122</t>
  </si>
  <si>
    <t>I-2023-00123</t>
  </si>
  <si>
    <t>I-2023-00125</t>
  </si>
  <si>
    <t>I-2023-00126</t>
  </si>
  <si>
    <t>I-2023-00127</t>
  </si>
  <si>
    <t>I-2023-00128</t>
  </si>
  <si>
    <t>I-2023-00132</t>
  </si>
  <si>
    <t>I-2023-00133</t>
  </si>
  <si>
    <t>I-2023-00135</t>
  </si>
  <si>
    <t>I-2023-00136</t>
  </si>
  <si>
    <t>I-2023-00137</t>
  </si>
  <si>
    <t>I-2023-00138</t>
  </si>
  <si>
    <t>I-2023-00139</t>
  </si>
  <si>
    <t>I-2023-00140</t>
  </si>
  <si>
    <t>I-2023-00142</t>
  </si>
  <si>
    <t>I-2023-00143</t>
  </si>
  <si>
    <t>I-2023-00144</t>
  </si>
  <si>
    <t>I-2023-00146</t>
  </si>
  <si>
    <t>I-2023-00147</t>
  </si>
  <si>
    <t>I-2023-00148</t>
  </si>
  <si>
    <t>I-2023-00150</t>
  </si>
  <si>
    <t>I-2023-00151</t>
  </si>
  <si>
    <t>I-2023-00152</t>
  </si>
  <si>
    <t>I-2023-00154</t>
  </si>
  <si>
    <t>I-2023-00156</t>
  </si>
  <si>
    <t>I-2023-00158</t>
  </si>
  <si>
    <t>I-2023-00159</t>
  </si>
  <si>
    <t>I-2023-00160</t>
  </si>
  <si>
    <t>I-2023-00161</t>
  </si>
  <si>
    <t>I-2023-00163</t>
  </si>
  <si>
    <t>I-2023-00167</t>
  </si>
  <si>
    <t>I-2023-00168</t>
  </si>
  <si>
    <t>I-2023-00171</t>
  </si>
  <si>
    <t>I-2023-00172</t>
  </si>
  <si>
    <t>I-2023-00173</t>
  </si>
  <si>
    <t>I-2023-00174</t>
  </si>
  <si>
    <t>I-2023-00178</t>
  </si>
  <si>
    <t>I-2023-00180</t>
  </si>
  <si>
    <t>I-2023-00181</t>
  </si>
  <si>
    <t>I-2023-00183</t>
  </si>
  <si>
    <t>I-2023-00185</t>
  </si>
  <si>
    <t>I-2023-00186</t>
  </si>
  <si>
    <t>I-2023-00188</t>
  </si>
  <si>
    <t>I-2023-00189</t>
  </si>
  <si>
    <t>I-2023-00190</t>
  </si>
  <si>
    <t>I-2023-00191</t>
  </si>
  <si>
    <t>I-2023-00192</t>
  </si>
  <si>
    <t>I-2023-00193</t>
  </si>
  <si>
    <t>I-2023-00194</t>
  </si>
  <si>
    <t>I-2023-00196</t>
  </si>
  <si>
    <t>I-2023-00197</t>
  </si>
  <si>
    <t>I-2023-00199</t>
  </si>
  <si>
    <t>I-2023-00201</t>
  </si>
  <si>
    <t>I-2023-00203</t>
  </si>
  <si>
    <t>I-2023-00204</t>
  </si>
  <si>
    <t>I-2023-00205</t>
  </si>
  <si>
    <t>I-2023-00207</t>
  </si>
  <si>
    <t>I-2023-00211</t>
  </si>
  <si>
    <t>I-2023-00212</t>
  </si>
  <si>
    <t>I-2023-00216</t>
  </si>
  <si>
    <t>I-2023-00218</t>
  </si>
  <si>
    <t>I-2023-00219</t>
  </si>
  <si>
    <t>I-2023-00220</t>
  </si>
  <si>
    <t>I-2023-00221</t>
  </si>
  <si>
    <t>I-2023-00223</t>
  </si>
  <si>
    <t>I-2023-00224</t>
  </si>
  <si>
    <t>I-2023-00229</t>
  </si>
  <si>
    <t>I-2023-00230</t>
  </si>
  <si>
    <t>I-2023-00235</t>
  </si>
  <si>
    <t>I-2023-00236</t>
  </si>
  <si>
    <t>I-2023-00237</t>
  </si>
  <si>
    <t>I-2023-00238</t>
  </si>
  <si>
    <t>I-2023-00239</t>
  </si>
  <si>
    <t>I-2023-00240</t>
  </si>
  <si>
    <t>I-2023-00245</t>
  </si>
  <si>
    <t>I-2023-00247</t>
  </si>
  <si>
    <t>I-2023-00251</t>
  </si>
  <si>
    <t>I-2023-00252</t>
  </si>
  <si>
    <t>I-2023-00254</t>
  </si>
  <si>
    <t>I-2023-00256</t>
  </si>
  <si>
    <t>I-2023-00257</t>
  </si>
  <si>
    <t>I-2023-00262</t>
  </si>
  <si>
    <t>I-2023-00265</t>
  </si>
  <si>
    <t>I-2023-00266</t>
  </si>
  <si>
    <t>I-2023-00269</t>
  </si>
  <si>
    <t>I-2023-00271</t>
  </si>
  <si>
    <t>I-2023-00274</t>
  </si>
  <si>
    <t>I-2023-00275</t>
  </si>
  <si>
    <t>I-2023-00276</t>
  </si>
  <si>
    <t>I-2023-00278</t>
  </si>
  <si>
    <t>I-2023-00281</t>
  </si>
  <si>
    <t>I-2023-00282</t>
  </si>
  <si>
    <t>I-2023-00283</t>
  </si>
  <si>
    <t>I-2023-00286</t>
  </si>
  <si>
    <t>I-2023-00287</t>
  </si>
  <si>
    <t>I-2023-00288</t>
  </si>
  <si>
    <t>I-2023-00289</t>
  </si>
  <si>
    <t>I-2023-00297</t>
  </si>
  <si>
    <t>I-2023-00300</t>
  </si>
  <si>
    <t>I-2023-00301</t>
  </si>
  <si>
    <t>I-2023-00304</t>
  </si>
  <si>
    <t>I-2023-00306</t>
  </si>
  <si>
    <t>I-2023-00308</t>
  </si>
  <si>
    <t>I-2023-00309</t>
  </si>
  <si>
    <t>I-2023-00311</t>
  </si>
  <si>
    <t>I-2023-00312</t>
  </si>
  <si>
    <t>I-2023-00313</t>
  </si>
  <si>
    <t>I-2023-00314</t>
  </si>
  <si>
    <t>I-2023-00317</t>
  </si>
  <si>
    <t>I-2023-00318</t>
  </si>
  <si>
    <t>I-2023-00319</t>
  </si>
  <si>
    <t>I-2023-00320</t>
  </si>
  <si>
    <t>I-2023-00321</t>
  </si>
  <si>
    <t>I-2023-00322</t>
  </si>
  <si>
    <t>I-2023-00323</t>
  </si>
  <si>
    <t>I-2023-00324</t>
  </si>
  <si>
    <t>I-2023-00325</t>
  </si>
  <si>
    <t>I-2023-00326</t>
  </si>
  <si>
    <t>I-2023-00328</t>
  </si>
  <si>
    <t>I-2023-00330</t>
  </si>
  <si>
    <t>I-2023-00333</t>
  </si>
  <si>
    <t>I-2023-00335</t>
  </si>
  <si>
    <t>I-2023-00342</t>
  </si>
  <si>
    <t>I-2023-00343</t>
  </si>
  <si>
    <t>I-2023-00344</t>
  </si>
  <si>
    <t>I-2023-00345</t>
  </si>
  <si>
    <t>I-2023-00347</t>
  </si>
  <si>
    <t>I-2023-00349</t>
  </si>
  <si>
    <t>I-2023-00351</t>
  </si>
  <si>
    <t>I-2023-00358</t>
  </si>
  <si>
    <t>I-2023-00359</t>
  </si>
  <si>
    <t>I-2023-00361</t>
  </si>
  <si>
    <t>I-2023-00362</t>
  </si>
  <si>
    <t>I-2023-00363</t>
  </si>
  <si>
    <t>I-2023-00364</t>
  </si>
  <si>
    <t>I-2023-00365</t>
  </si>
  <si>
    <t>I-2023-00366</t>
  </si>
  <si>
    <t>I-2023-00368</t>
  </si>
  <si>
    <t>I-2023-00369</t>
  </si>
  <si>
    <t>I-2023-00372</t>
  </si>
  <si>
    <t>I-2023-00373</t>
  </si>
  <si>
    <t>I-2023-00374</t>
  </si>
  <si>
    <t>I-2023-00376</t>
  </si>
  <si>
    <t>I-2023-00381</t>
  </si>
  <si>
    <t>I-2023-00382</t>
  </si>
  <si>
    <t>I-2023-00383</t>
  </si>
  <si>
    <t>I-2023-00386</t>
  </si>
  <si>
    <t>I-2023-00387</t>
  </si>
  <si>
    <t>I-2023-00389</t>
  </si>
  <si>
    <t>I-2023-00391</t>
  </si>
  <si>
    <t>I-2023-00393</t>
  </si>
  <si>
    <t>I-2023-00394</t>
  </si>
  <si>
    <t>I-2023-00395</t>
  </si>
  <si>
    <t>I-2023-00397</t>
  </si>
  <si>
    <t>I-2023-00400</t>
  </si>
  <si>
    <t>I-2023-00401</t>
  </si>
  <si>
    <t>I-2023-00402</t>
  </si>
  <si>
    <t>I-2023-00403</t>
  </si>
  <si>
    <t>I-2023-00404</t>
  </si>
  <si>
    <t>I-2023-00405</t>
  </si>
  <si>
    <t>I-2023-00406</t>
  </si>
  <si>
    <t>I-2023-00409</t>
  </si>
  <si>
    <t>I-2023-00412</t>
  </si>
  <si>
    <t>I-2023-00414</t>
  </si>
  <si>
    <t>I-2023-00415</t>
  </si>
  <si>
    <t>I-2023-00416</t>
  </si>
  <si>
    <t>I-2023-00418</t>
  </si>
  <si>
    <t>I-2023-00419</t>
  </si>
  <si>
    <t>I-2023-00421</t>
  </si>
  <si>
    <t>I-2023-00423</t>
  </si>
  <si>
    <t>I-2023-00424</t>
  </si>
  <si>
    <t>I-2023-00425</t>
  </si>
  <si>
    <t>I-2023-00427</t>
  </si>
  <si>
    <t>I-2023-00429</t>
  </si>
  <si>
    <t>I-2023-00430</t>
  </si>
  <si>
    <t>I-2023-00431</t>
  </si>
  <si>
    <t>I-2023-00432</t>
  </si>
  <si>
    <t>I-2023-00435</t>
  </si>
  <si>
    <t>I-2023-00436</t>
  </si>
  <si>
    <t>I-2023-00439</t>
  </si>
  <si>
    <t>I-2023-00440</t>
  </si>
  <si>
    <t>I-2023-00442</t>
  </si>
  <si>
    <t>I-2023-00444</t>
  </si>
  <si>
    <t>I-2023-00445</t>
  </si>
  <si>
    <t>I-2023-00446</t>
  </si>
  <si>
    <t>I-2023-00448</t>
  </si>
  <si>
    <t>I-2023-00449</t>
  </si>
  <si>
    <t>I-2023-00452</t>
  </si>
  <si>
    <t>I-2023-00453</t>
  </si>
  <si>
    <t>I-2023-00456</t>
  </si>
  <si>
    <t>I-2023-00459</t>
  </si>
  <si>
    <t>I-2023-00460</t>
  </si>
  <si>
    <t>I-2023-00463</t>
  </si>
  <si>
    <t>I-2023-00465</t>
  </si>
  <si>
    <t>I-2023-00469</t>
  </si>
  <si>
    <t>I-2023-00471</t>
  </si>
  <si>
    <t>I-2023-00474</t>
  </si>
  <si>
    <t>I-2023-00478</t>
  </si>
  <si>
    <t>I-2023-00480</t>
  </si>
  <si>
    <t>I-2023-00481</t>
  </si>
  <si>
    <t>I-2023-00484</t>
  </si>
  <si>
    <t>I-2023-00489</t>
  </si>
  <si>
    <t>I-2023-00495</t>
  </si>
  <si>
    <t>I-2023-00497</t>
  </si>
  <si>
    <t>I-2023-00505</t>
  </si>
  <si>
    <t>I-2023-00506</t>
  </si>
  <si>
    <t>I-2023-00507</t>
  </si>
  <si>
    <t>I-2023-00509</t>
  </si>
  <si>
    <t>I-2023-00512</t>
  </si>
  <si>
    <t>I-2023-00513</t>
  </si>
  <si>
    <t>I-2023-00514</t>
  </si>
  <si>
    <t>I-2023-00516</t>
  </si>
  <si>
    <t>I-2023-00517</t>
  </si>
  <si>
    <t>I-2023-00522</t>
  </si>
  <si>
    <t>I-2023-00524</t>
  </si>
  <si>
    <t>I-2023-00525</t>
  </si>
  <si>
    <t>I-2023-00526</t>
  </si>
  <si>
    <t>I-2023-00529</t>
  </si>
  <si>
    <t>I-2023-00530</t>
  </si>
  <si>
    <t>I-2023-00531</t>
  </si>
  <si>
    <t>I-2023-00533</t>
  </si>
  <si>
    <t>I-2023-00534</t>
  </si>
  <si>
    <t>I-2023-00535</t>
  </si>
  <si>
    <t>I-2023-00537</t>
  </si>
  <si>
    <t>I-2023-00538</t>
  </si>
  <si>
    <t>I-2023-00540</t>
  </si>
  <si>
    <t>I-2023-00541</t>
  </si>
  <si>
    <t>I-2023-00542</t>
  </si>
  <si>
    <t>I-2023-00543</t>
  </si>
  <si>
    <t>I-2023-00544</t>
  </si>
  <si>
    <t>I-2023-00545</t>
  </si>
  <si>
    <t>I-2023-00546</t>
  </si>
  <si>
    <t>I-2023-00551</t>
  </si>
  <si>
    <t>I-2023-00553</t>
  </si>
  <si>
    <t>I-2023-00555</t>
  </si>
  <si>
    <t>I-2023-00556</t>
  </si>
  <si>
    <t>I-2023-00557</t>
  </si>
  <si>
    <t>I-2023-00558</t>
  </si>
  <si>
    <t>I-2023-00559</t>
  </si>
  <si>
    <t>I-2023-00562</t>
  </si>
  <si>
    <t>I-2023-00563</t>
  </si>
  <si>
    <t>I-2023-00565</t>
  </si>
  <si>
    <t>I-2023-00566</t>
  </si>
  <si>
    <t>I-2023-00567</t>
  </si>
  <si>
    <t>I-2023-00570</t>
  </si>
  <si>
    <t>I-2023-00573</t>
  </si>
  <si>
    <t>I-2023-00574</t>
  </si>
  <si>
    <t>I-2023-00575</t>
  </si>
  <si>
    <t>I-2023-00577</t>
  </si>
  <si>
    <t>I-2023-00579</t>
  </si>
  <si>
    <t>I-2023-00580</t>
  </si>
  <si>
    <t>I-2023-00583</t>
  </si>
  <si>
    <t>I-2023-00585</t>
  </si>
  <si>
    <t>I-2023-00586</t>
  </si>
  <si>
    <t>I-2023-00592</t>
  </si>
  <si>
    <t>I-2023-00593</t>
  </si>
  <si>
    <t>I-2023-00594</t>
  </si>
  <si>
    <t>I-2023-00595</t>
  </si>
  <si>
    <t>I-2023-00596</t>
  </si>
  <si>
    <t>I-2023-00600</t>
  </si>
  <si>
    <t>I-2023-00602</t>
  </si>
  <si>
    <t>I-2023-00603</t>
  </si>
  <si>
    <t>I-2023-00604</t>
  </si>
  <si>
    <t>I-2023-00605</t>
  </si>
  <si>
    <t>I-2023-00610</t>
  </si>
  <si>
    <t>I-2023-00614</t>
  </si>
  <si>
    <t>I-2023-00616</t>
  </si>
  <si>
    <t>I-2023-00617</t>
  </si>
  <si>
    <t>I-2023-00621</t>
  </si>
  <si>
    <t>I-2023-00622</t>
  </si>
  <si>
    <t>I-2023-00623</t>
  </si>
  <si>
    <t>I-2023-00624</t>
  </si>
  <si>
    <t>I-2023-00625</t>
  </si>
  <si>
    <t>I-2023-00627</t>
  </si>
  <si>
    <t>I-2023-00628</t>
  </si>
  <si>
    <t>I-2023-00629</t>
  </si>
  <si>
    <t>I-2023-00630</t>
  </si>
  <si>
    <t>I-2023-00631</t>
  </si>
  <si>
    <t>I-2023-00632</t>
  </si>
  <si>
    <t>I-2023-00635</t>
  </si>
  <si>
    <t>I-2023-00636</t>
  </si>
  <si>
    <t>I-2023-00637</t>
  </si>
  <si>
    <t>I-2023-00640</t>
  </si>
  <si>
    <t>I-2023-00642</t>
  </si>
  <si>
    <t>I-2023-00645</t>
  </si>
  <si>
    <t>I-2023-00646</t>
  </si>
  <si>
    <t>I-2023-00647</t>
  </si>
  <si>
    <t>I-2023-00649</t>
  </si>
  <si>
    <t>I-2023-00651</t>
  </si>
  <si>
    <t>I-2023-00653</t>
  </si>
  <si>
    <t>I-2023-00654</t>
  </si>
  <si>
    <t>I-2023-00656</t>
  </si>
  <si>
    <t>I-2023-00657</t>
  </si>
  <si>
    <t>I-2023-00658</t>
  </si>
  <si>
    <t>I-2023-00659</t>
  </si>
  <si>
    <t>I-2023-00660</t>
  </si>
  <si>
    <t>I-2023-00663</t>
  </si>
  <si>
    <t>I-2023-00666</t>
  </si>
  <si>
    <t>I-2023-00669</t>
  </si>
  <si>
    <t>I-2023-00670</t>
  </si>
  <si>
    <t>I-2023-00672</t>
  </si>
  <si>
    <t>I-2023-00675</t>
  </si>
  <si>
    <t>I-2023-00677</t>
  </si>
  <si>
    <t>I-2023-00679</t>
  </si>
  <si>
    <t>I-2023-00680</t>
  </si>
  <si>
    <t>I-2023-00681</t>
  </si>
  <si>
    <t>I-2023-00682</t>
  </si>
  <si>
    <t>I-2023-00683</t>
  </si>
  <si>
    <t>I-2023-00686</t>
  </si>
  <si>
    <t>I-2023-00688</t>
  </si>
  <si>
    <t>I-2023-00692</t>
  </si>
  <si>
    <t>I-2023-00694</t>
  </si>
  <si>
    <t>I-2023-00696</t>
  </si>
  <si>
    <t>I-2023-00697</t>
  </si>
  <si>
    <t>I-2023-00698</t>
  </si>
  <si>
    <t>I-2023-00699</t>
  </si>
  <si>
    <t>I-2023-00700</t>
  </si>
  <si>
    <t>I-2023-00703</t>
  </si>
  <si>
    <t>I-2023-00704</t>
  </si>
  <si>
    <t>I-2023-00705</t>
  </si>
  <si>
    <t>I-2023-00706</t>
  </si>
  <si>
    <t>I-2023-00715</t>
  </si>
  <si>
    <t>I-2023-00716</t>
  </si>
  <si>
    <t>I-2023-00717</t>
  </si>
  <si>
    <t>I-2023-00718</t>
  </si>
  <si>
    <t>I-2023-00719</t>
  </si>
  <si>
    <t>I-2023-00721</t>
  </si>
  <si>
    <t>I-2023-00722</t>
  </si>
  <si>
    <t>I-2023-00725</t>
  </si>
  <si>
    <t>I-2023-00726</t>
  </si>
  <si>
    <t>I-2023-00729</t>
  </si>
  <si>
    <t>I-2023-00730</t>
  </si>
  <si>
    <t>I-2023-00731</t>
  </si>
  <si>
    <t>I-2023-00732</t>
  </si>
  <si>
    <t>I-2023-00733</t>
  </si>
  <si>
    <t>I-2023-00736</t>
  </si>
  <si>
    <t>I-2023-00738</t>
  </si>
  <si>
    <t>I-2023-00739</t>
  </si>
  <si>
    <t>I-2023-00740</t>
  </si>
  <si>
    <t>I-2023-00742</t>
  </si>
  <si>
    <t>I-2023-00744</t>
  </si>
  <si>
    <t>I-2023-00745</t>
  </si>
  <si>
    <t>I-2023-00746</t>
  </si>
  <si>
    <t>I-2023-00747</t>
  </si>
  <si>
    <t>I-2023-00750</t>
  </si>
  <si>
    <t>I-2023-00752</t>
  </si>
  <si>
    <t>I-2023-00754</t>
  </si>
  <si>
    <t>I-2023-00755</t>
  </si>
  <si>
    <t>I-2023-00759</t>
  </si>
  <si>
    <t>I-2023-00761</t>
  </si>
  <si>
    <t>I-2023-00762</t>
  </si>
  <si>
    <t>I-2023-00764</t>
  </si>
  <si>
    <t>I-2023-00765</t>
  </si>
  <si>
    <t>I-2023-00766</t>
  </si>
  <si>
    <t>I-2023-00767</t>
  </si>
  <si>
    <t>I-2023-00769</t>
  </si>
  <si>
    <t>I-2023-00770</t>
  </si>
  <si>
    <t>I-2023-00771</t>
  </si>
  <si>
    <t>I-2023-00772</t>
  </si>
  <si>
    <t>I-2023-00773</t>
  </si>
  <si>
    <t>I-2023-00775</t>
  </si>
  <si>
    <t>I-2023-00776</t>
  </si>
  <si>
    <t>I-2023-00777</t>
  </si>
  <si>
    <t>I-2023-00778</t>
  </si>
  <si>
    <t>I-2023-00780</t>
  </si>
  <si>
    <t>I-2023-00781</t>
  </si>
  <si>
    <t>I-2023-00782</t>
  </si>
  <si>
    <t>I-2023-00787</t>
  </si>
  <si>
    <t>I-2023-00788</t>
  </si>
  <si>
    <t>I-2023-00790</t>
  </si>
  <si>
    <t>I-2023-00791</t>
  </si>
  <si>
    <t>I-2023-00792</t>
  </si>
  <si>
    <t>I-2023-00793</t>
  </si>
  <si>
    <t>I-2023-00794</t>
  </si>
  <si>
    <t>I-2023-00795</t>
  </si>
  <si>
    <t>I-2023-00797</t>
  </si>
  <si>
    <t>I-2023-00804</t>
  </si>
  <si>
    <t>I-2023-00805</t>
  </si>
  <si>
    <t>I-2023-00809</t>
  </si>
  <si>
    <t>I-2023-00810</t>
  </si>
  <si>
    <t>I-2023-00813</t>
  </si>
  <si>
    <t>I-2023-00815</t>
  </si>
  <si>
    <t>I-2023-00816</t>
  </si>
  <si>
    <t>I-2023-00818</t>
  </si>
  <si>
    <t>I-2023-00819</t>
  </si>
  <si>
    <t>I-2023-00820</t>
  </si>
  <si>
    <t>I-2023-00821</t>
  </si>
  <si>
    <t>I-2023-00822</t>
  </si>
  <si>
    <t>I-2023-00825</t>
  </si>
  <si>
    <t>I-2023-00828</t>
  </si>
  <si>
    <t>I-2023-00830</t>
  </si>
  <si>
    <t>I-2023-00832</t>
  </si>
  <si>
    <t>I-2023-00836</t>
  </si>
  <si>
    <t>I-2023-00837</t>
  </si>
  <si>
    <t>I-2023-00838</t>
  </si>
  <si>
    <t>I-2023-00839</t>
  </si>
  <si>
    <t>I-2023-00840</t>
  </si>
  <si>
    <t>I-2023-00843</t>
  </si>
  <si>
    <t>I-2023-00846</t>
  </si>
  <si>
    <t>I-2023-00847</t>
  </si>
  <si>
    <t>I-2023-00848</t>
  </si>
  <si>
    <t>I-2023-00849</t>
  </si>
  <si>
    <t>I-2023-00850</t>
  </si>
  <si>
    <t>I-2023-00851</t>
  </si>
  <si>
    <t>I-2023-00853</t>
  </si>
  <si>
    <t>I-2023-00855</t>
  </si>
  <si>
    <t>I-2023-00857</t>
  </si>
  <si>
    <t>I-2023-00858</t>
  </si>
  <si>
    <t>I-2023-00859</t>
  </si>
  <si>
    <t>I-2023-00861</t>
  </si>
  <si>
    <t>I-2023-00863</t>
  </si>
  <si>
    <t>I-2023-00864</t>
  </si>
  <si>
    <t>I-2023-00866</t>
  </si>
  <si>
    <t>I-2023-00868</t>
  </si>
  <si>
    <t>I-2023-00870</t>
  </si>
  <si>
    <t>I-2023-00873</t>
  </si>
  <si>
    <t>I-2023-00874</t>
  </si>
  <si>
    <t>I-2023-00875</t>
  </si>
  <si>
    <t>I-2023-00878</t>
  </si>
  <si>
    <t>I-2023-00879</t>
  </si>
  <si>
    <t>I-2023-00880</t>
  </si>
  <si>
    <t>I-2023-00881</t>
  </si>
  <si>
    <t>I-2023-00882</t>
  </si>
  <si>
    <t>I-2023-00883</t>
  </si>
  <si>
    <t>I-2023-00884</t>
  </si>
  <si>
    <t>I-2023-00885</t>
  </si>
  <si>
    <t>I-2023-00887</t>
  </si>
  <si>
    <t>I-2023-00888</t>
  </si>
  <si>
    <t>I-2023-00889</t>
  </si>
  <si>
    <t>I-2023-00890</t>
  </si>
  <si>
    <t>I-2023-00893</t>
  </si>
  <si>
    <t>I-2023-00895</t>
  </si>
  <si>
    <t>I-2023-00898</t>
  </si>
  <si>
    <t>I-2023-00899</t>
  </si>
  <si>
    <t>I-2023-00900</t>
  </si>
  <si>
    <t>I-2023-00901</t>
  </si>
  <si>
    <t>I-2023-00904</t>
  </si>
  <si>
    <t>I-2023-00905</t>
  </si>
  <si>
    <t>I-2023-00907</t>
  </si>
  <si>
    <t>I-2023-00910</t>
  </si>
  <si>
    <t>I-2023-00912</t>
  </si>
  <si>
    <t>I-2023-00913</t>
  </si>
  <si>
    <t>P-2023-04149</t>
  </si>
  <si>
    <t>P-2023-04154</t>
  </si>
  <si>
    <t>P-2023-04171</t>
  </si>
  <si>
    <t>P-2023-04174</t>
  </si>
  <si>
    <t>P-2023-04181</t>
  </si>
  <si>
    <t>P-2023-04257</t>
  </si>
  <si>
    <t>P-2023-04269</t>
  </si>
  <si>
    <t>P-2023-04312</t>
  </si>
  <si>
    <t>P-2023-04345</t>
  </si>
  <si>
    <t>P-2023-04347</t>
  </si>
  <si>
    <t>P-2024-00001</t>
  </si>
  <si>
    <t>I-2024-00001</t>
  </si>
  <si>
    <t>P-2024-00003</t>
  </si>
  <si>
    <t>I-2024-00003</t>
  </si>
  <si>
    <t>P-2024-00004</t>
  </si>
  <si>
    <t>I-2024-00004</t>
  </si>
  <si>
    <t>P-2024-00005</t>
  </si>
  <si>
    <t>I-2024-00005</t>
  </si>
  <si>
    <t>P-2024-00006</t>
  </si>
  <si>
    <t>P-2024-00007</t>
  </si>
  <si>
    <t>P-2024-00008</t>
  </si>
  <si>
    <t>P-2024-00009</t>
  </si>
  <si>
    <t>P-2024-00010</t>
  </si>
  <si>
    <t>P-2024-00011</t>
  </si>
  <si>
    <t>P-2024-00012</t>
  </si>
  <si>
    <t>P-2024-00013</t>
  </si>
  <si>
    <t>P-2024-00014</t>
  </si>
  <si>
    <t>P-2024-00015</t>
  </si>
  <si>
    <t>P-2024-00016</t>
  </si>
  <si>
    <t>I-2024-00006</t>
  </si>
  <si>
    <t>P-2024-00017</t>
  </si>
  <si>
    <t>I-2024-00007</t>
  </si>
  <si>
    <t>P-2024-00018</t>
  </si>
  <si>
    <t>I-2024-00008</t>
  </si>
  <si>
    <t>P-2024-00019</t>
  </si>
  <si>
    <t>I-2024-00009</t>
  </si>
  <si>
    <t>P-2024-00020</t>
  </si>
  <si>
    <t>I-2024-00010</t>
  </si>
  <si>
    <t>P-2024-00021</t>
  </si>
  <si>
    <t>I-2024-00011</t>
  </si>
  <si>
    <t>P-2024-00022</t>
  </si>
  <si>
    <t>I-2024-00012</t>
  </si>
  <si>
    <t>P-2024-00023</t>
  </si>
  <si>
    <t>P-2024-00024</t>
  </si>
  <si>
    <t>P-2024-00025</t>
  </si>
  <si>
    <t>P-2024-00026</t>
  </si>
  <si>
    <t>P-2024-00027</t>
  </si>
  <si>
    <t>P-2024-00028</t>
  </si>
  <si>
    <t>P-2024-00029</t>
  </si>
  <si>
    <t>P-2024-00030</t>
  </si>
  <si>
    <t>I-2024-00013</t>
  </si>
  <si>
    <t>P-2024-00031</t>
  </si>
  <si>
    <t>I-2024-00014</t>
  </si>
  <si>
    <t>P-2024-00032</t>
  </si>
  <si>
    <t>I-2024-00015</t>
  </si>
  <si>
    <t>P-2024-00033</t>
  </si>
  <si>
    <t>I-2024-00016</t>
  </si>
  <si>
    <t>P-2024-00034</t>
  </si>
  <si>
    <t>P-2024-00035</t>
  </si>
  <si>
    <t>P-2024-00036</t>
  </si>
  <si>
    <t>P-2024-00037</t>
  </si>
  <si>
    <t>P-2024-00038</t>
  </si>
  <si>
    <t>P-2024-00039</t>
  </si>
  <si>
    <t>P-2024-00040</t>
  </si>
  <si>
    <t>P-2024-00041</t>
  </si>
  <si>
    <t>P-2024-00042</t>
  </si>
  <si>
    <t>P-2024-00043</t>
  </si>
  <si>
    <t>I-2024-00017</t>
  </si>
  <si>
    <t>P-2024-00044</t>
  </si>
  <si>
    <t>I-2024-00018</t>
  </si>
  <si>
    <t>P-2024-00045</t>
  </si>
  <si>
    <t>I-2024-00019</t>
  </si>
  <si>
    <t>P-2024-00046</t>
  </si>
  <si>
    <t>I-2024-00020</t>
  </si>
  <si>
    <t>P-2024-00047</t>
  </si>
  <si>
    <t>I-2024-00021</t>
  </si>
  <si>
    <t>P-2024-00048</t>
  </si>
  <si>
    <t>I-2024-00022</t>
  </si>
  <si>
    <t>P-2024-00049</t>
  </si>
  <si>
    <t>P-2024-00050</t>
  </si>
  <si>
    <t>P-2024-00051</t>
  </si>
  <si>
    <t>P-2024-00052</t>
  </si>
  <si>
    <t>P-2024-00053</t>
  </si>
  <si>
    <t>P-2024-00054</t>
  </si>
  <si>
    <t>P-2024-00055</t>
  </si>
  <si>
    <t>P-2024-00056</t>
  </si>
  <si>
    <t>P-2024-00057</t>
  </si>
  <si>
    <t>I-2024-00023</t>
  </si>
  <si>
    <t>P-2024-00058</t>
  </si>
  <si>
    <t>I-2024-00024</t>
  </si>
  <si>
    <t>P-2024-00059</t>
  </si>
  <si>
    <t>P-2024-00060</t>
  </si>
  <si>
    <t>P-2024-00061</t>
  </si>
  <si>
    <t>P-2024-00062</t>
  </si>
  <si>
    <t>P-2024-00063</t>
  </si>
  <si>
    <t>P-2024-00064</t>
  </si>
  <si>
    <t>P-2024-00065</t>
  </si>
  <si>
    <t>P-2024-00066</t>
  </si>
  <si>
    <t>P-2024-00067</t>
  </si>
  <si>
    <t>P-2024-00068</t>
  </si>
  <si>
    <t>P-2024-00069</t>
  </si>
  <si>
    <t>P-2024-00070</t>
  </si>
  <si>
    <t>I-2024-00025</t>
  </si>
  <si>
    <t>P-2024-00071</t>
  </si>
  <si>
    <t>I-2024-00026</t>
  </si>
  <si>
    <t>P-2024-00072</t>
  </si>
  <si>
    <t>I-2024-00027</t>
  </si>
  <si>
    <t>P-2024-00073</t>
  </si>
  <si>
    <t>I-2024-00028</t>
  </si>
  <si>
    <t>P-2024-00074</t>
  </si>
  <si>
    <t>I-2024-00029</t>
  </si>
  <si>
    <t>P-2024-00075</t>
  </si>
  <si>
    <t>I-2024-00030</t>
  </si>
  <si>
    <t>P-2024-00076</t>
  </si>
  <si>
    <t>I-2024-00031</t>
  </si>
  <si>
    <t>P-2024-00077</t>
  </si>
  <si>
    <t>P-2024-00078</t>
  </si>
  <si>
    <t>P-2024-00079</t>
  </si>
  <si>
    <t>P-2024-00080</t>
  </si>
  <si>
    <t>P-2024-00081</t>
  </si>
  <si>
    <t>P-2024-00082</t>
  </si>
  <si>
    <t>P-2024-00083</t>
  </si>
  <si>
    <t>P-2024-00084</t>
  </si>
  <si>
    <t>I-2024-00032</t>
  </si>
  <si>
    <t>P-2024-00085</t>
  </si>
  <si>
    <t>I-2024-00033</t>
  </si>
  <si>
    <t>P-2024-00086</t>
  </si>
  <si>
    <t>I-2024-00034</t>
  </si>
  <si>
    <t>P-2024-00087</t>
  </si>
  <si>
    <t>P-2024-00088</t>
  </si>
  <si>
    <t>P-2024-00089</t>
  </si>
  <si>
    <t>P-2024-00090</t>
  </si>
  <si>
    <t>P-2024-00091</t>
  </si>
  <si>
    <t>P-2024-00092</t>
  </si>
  <si>
    <t>P-2024-00093</t>
  </si>
  <si>
    <t>P-2024-00094</t>
  </si>
  <si>
    <t>P-2024-00095</t>
  </si>
  <si>
    <t>P-2024-00096</t>
  </si>
  <si>
    <t>P-2024-00097</t>
  </si>
  <si>
    <t>P-2024-00098</t>
  </si>
  <si>
    <t>I-2024-00035</t>
  </si>
  <si>
    <t>P-2024-00099</t>
  </si>
  <si>
    <t>I-2024-00036</t>
  </si>
  <si>
    <t>P-2024-00100</t>
  </si>
  <si>
    <t>P-2024-00101</t>
  </si>
  <si>
    <t>I-2024-00038</t>
  </si>
  <si>
    <t>P-2024-00102</t>
  </si>
  <si>
    <t>I-2024-00039</t>
  </si>
  <si>
    <t>P-2024-00103</t>
  </si>
  <si>
    <t>I-2024-00040</t>
  </si>
  <si>
    <t>P-2024-00104</t>
  </si>
  <si>
    <t>I-2024-00041</t>
  </si>
  <si>
    <t>P-2024-00105</t>
  </si>
  <si>
    <t>I-2024-00042</t>
  </si>
  <si>
    <t>P-2024-00106</t>
  </si>
  <si>
    <t>I-2024-00043</t>
  </si>
  <si>
    <t>P-2024-00107</t>
  </si>
  <si>
    <t>I-2024-00044</t>
  </si>
  <si>
    <t>P-2024-00108</t>
  </si>
  <si>
    <t>P-2024-00109</t>
  </si>
  <si>
    <t>P-2024-00110</t>
  </si>
  <si>
    <t>P-2024-00111</t>
  </si>
  <si>
    <t>P-2024-00112</t>
  </si>
  <si>
    <t>P-2024-00113</t>
  </si>
  <si>
    <t>P-2024-00114</t>
  </si>
  <si>
    <t>P-2024-00115</t>
  </si>
  <si>
    <t>P-2024-00116</t>
  </si>
  <si>
    <t>P-2024-00117</t>
  </si>
  <si>
    <t>P-2024-00118</t>
  </si>
  <si>
    <t>P-2024-00119</t>
  </si>
  <si>
    <t>P-2024-00120</t>
  </si>
  <si>
    <t>P-2024-00121</t>
  </si>
  <si>
    <t>I-2024-00045</t>
  </si>
  <si>
    <t>P-2024-00122</t>
  </si>
  <si>
    <t>I-2024-00046</t>
  </si>
  <si>
    <t>P-2024-00123</t>
  </si>
  <si>
    <t>I-2024-00047</t>
  </si>
  <si>
    <t>P-2024-00124</t>
  </si>
  <si>
    <t>I-2024-00048</t>
  </si>
  <si>
    <t>P-2024-00125</t>
  </si>
  <si>
    <t>I-2024-00049</t>
  </si>
  <si>
    <t>P-2024-00127</t>
  </si>
  <si>
    <t>P-2024-00128</t>
  </si>
  <si>
    <t>P-2024-00129</t>
  </si>
  <si>
    <t>P-2024-00130</t>
  </si>
  <si>
    <t>P-2024-00131</t>
  </si>
  <si>
    <t>P-2024-00132</t>
  </si>
  <si>
    <t>P-2024-00133</t>
  </si>
  <si>
    <t>P-2024-00134</t>
  </si>
  <si>
    <t>P-2024-00135</t>
  </si>
  <si>
    <t>P-2024-00136</t>
  </si>
  <si>
    <t>P-2024-00137</t>
  </si>
  <si>
    <t>P-2024-00138</t>
  </si>
  <si>
    <t>P-2024-00139</t>
  </si>
  <si>
    <t>I-2024-00050</t>
  </si>
  <si>
    <t>P-2024-00140</t>
  </si>
  <si>
    <t>I-2024-00051</t>
  </si>
  <si>
    <t>P-2024-00141</t>
  </si>
  <si>
    <t>I-2024-00052</t>
  </si>
  <si>
    <t>P-2024-00142</t>
  </si>
  <si>
    <t>I-2024-00053</t>
  </si>
  <si>
    <t>P-2024-00143</t>
  </si>
  <si>
    <t>P-2024-00144</t>
  </si>
  <si>
    <t>P-2024-00145</t>
  </si>
  <si>
    <t>P-2024-00146</t>
  </si>
  <si>
    <t>I-2024-00054</t>
  </si>
  <si>
    <t>P-2024-00147</t>
  </si>
  <si>
    <t>I-2024-00055</t>
  </si>
  <si>
    <t>P-2024-00148</t>
  </si>
  <si>
    <t>I-2024-00056</t>
  </si>
  <si>
    <t>P-2024-00149</t>
  </si>
  <si>
    <t>I-2024-00057</t>
  </si>
  <si>
    <t>P-2024-00150</t>
  </si>
  <si>
    <t>I-2024-00058</t>
  </si>
  <si>
    <t>P-2024-00151</t>
  </si>
  <si>
    <t>P-2024-00152</t>
  </si>
  <si>
    <t>P-2024-00153</t>
  </si>
  <si>
    <t>P-2024-00154</t>
  </si>
  <si>
    <t>P-2024-00155</t>
  </si>
  <si>
    <t>P-2024-00156</t>
  </si>
  <si>
    <t>P-2024-00157</t>
  </si>
  <si>
    <t>P-2024-00158</t>
  </si>
  <si>
    <t>P-2024-00159</t>
  </si>
  <si>
    <t>P-2024-00160</t>
  </si>
  <si>
    <t>P-2024-00161</t>
  </si>
  <si>
    <t>P-2024-00162</t>
  </si>
  <si>
    <t>I-2024-00059</t>
  </si>
  <si>
    <t>P-2024-00163</t>
  </si>
  <si>
    <t>I-2024-00060</t>
  </si>
  <si>
    <t>P-2024-00164</t>
  </si>
  <si>
    <t>I-2024-00061</t>
  </si>
  <si>
    <t>P-2024-00165</t>
  </si>
  <si>
    <t>I-2024-00062</t>
  </si>
  <si>
    <t>P-2024-00166</t>
  </si>
  <si>
    <t>I-2024-00063</t>
  </si>
  <si>
    <t>P-2024-00168</t>
  </si>
  <si>
    <t>P-2024-00169</t>
  </si>
  <si>
    <t>P-2024-00170</t>
  </si>
  <si>
    <t>P-2024-00171</t>
  </si>
  <si>
    <t>P-2024-00172</t>
  </si>
  <si>
    <t>P-2024-00173</t>
  </si>
  <si>
    <t>P-2024-00174</t>
  </si>
  <si>
    <t>P-2024-00175</t>
  </si>
  <si>
    <t>P-2024-00176</t>
  </si>
  <si>
    <t>P-2024-00177</t>
  </si>
  <si>
    <t>P-2024-00178</t>
  </si>
  <si>
    <t>P-2024-00179</t>
  </si>
  <si>
    <t>P-2024-00180</t>
  </si>
  <si>
    <t>I-2024-00064</t>
  </si>
  <si>
    <t>P-2024-00181</t>
  </si>
  <si>
    <t>I-2024-00065</t>
  </si>
  <si>
    <t>P-2024-00182</t>
  </si>
  <si>
    <t>I-2024-00066</t>
  </si>
  <si>
    <t>P-2024-00183</t>
  </si>
  <si>
    <t>I-2024-00067</t>
  </si>
  <si>
    <t>P-2024-00184</t>
  </si>
  <si>
    <t>I-2024-00068</t>
  </si>
  <si>
    <t>P-2024-00185</t>
  </si>
  <si>
    <t>I-2024-00069</t>
  </si>
  <si>
    <t>P-2024-00186</t>
  </si>
  <si>
    <t>I-2024-00070</t>
  </si>
  <si>
    <t>P-2024-00187</t>
  </si>
  <si>
    <t>P-2024-00188</t>
  </si>
  <si>
    <t>P-2024-00189</t>
  </si>
  <si>
    <t>P-2024-00190</t>
  </si>
  <si>
    <t>P-2024-00191</t>
  </si>
  <si>
    <t>P-2024-00192</t>
  </si>
  <si>
    <t>P-2024-00193</t>
  </si>
  <si>
    <t>P-2024-00194</t>
  </si>
  <si>
    <t>P-2024-00195</t>
  </si>
  <si>
    <t>P-2024-00196</t>
  </si>
  <si>
    <t>I-2024-00071</t>
  </si>
  <si>
    <t>P-2024-00197</t>
  </si>
  <si>
    <t>I-2024-00072</t>
  </si>
  <si>
    <t>P-2024-00198</t>
  </si>
  <si>
    <t>I-2024-00073</t>
  </si>
  <si>
    <t>P-2024-00199</t>
  </si>
  <si>
    <t>I-2024-00074</t>
  </si>
  <si>
    <t>P-2024-00200</t>
  </si>
  <si>
    <t>P-2024-00201</t>
  </si>
  <si>
    <t>P-2024-00202</t>
  </si>
  <si>
    <t>P-2024-00203</t>
  </si>
  <si>
    <t>P-2024-00204</t>
  </si>
  <si>
    <t>P-2024-00205</t>
  </si>
  <si>
    <t>P-2024-00206</t>
  </si>
  <si>
    <t>I-2024-00075</t>
  </si>
  <si>
    <t>P-2024-00207</t>
  </si>
  <si>
    <t>I-2024-00076</t>
  </si>
  <si>
    <t>P-2024-00208</t>
  </si>
  <si>
    <t>I-2024-00077</t>
  </si>
  <si>
    <t>P-2024-00209</t>
  </si>
  <si>
    <t>I-2024-00078</t>
  </si>
  <si>
    <t>P-2024-00210</t>
  </si>
  <si>
    <t>P-2024-00211</t>
  </si>
  <si>
    <t>P-2024-00212</t>
  </si>
  <si>
    <t>P-2024-00213</t>
  </si>
  <si>
    <t>P-2024-00214</t>
  </si>
  <si>
    <t>P-2024-00215</t>
  </si>
  <si>
    <t>P-2024-00216</t>
  </si>
  <si>
    <t>P-2024-00217</t>
  </si>
  <si>
    <t>P-2024-00218</t>
  </si>
  <si>
    <t>I-2024-00079</t>
  </si>
  <si>
    <t>P-2024-00219</t>
  </si>
  <si>
    <t>I-2024-00080</t>
  </si>
  <si>
    <t>P-2024-00220</t>
  </si>
  <si>
    <t>I-2024-00081</t>
  </si>
  <si>
    <t>P-2024-00221</t>
  </si>
  <si>
    <t>I-2024-00082</t>
  </si>
  <si>
    <t>P-2024-00222</t>
  </si>
  <si>
    <t>I-2024-00083</t>
  </si>
  <si>
    <t>P-2024-00223</t>
  </si>
  <si>
    <t>I-2024-00084</t>
  </si>
  <si>
    <t>P-2024-00224</t>
  </si>
  <si>
    <t>I-2024-00085</t>
  </si>
  <si>
    <t>P-2024-00225</t>
  </si>
  <si>
    <t>P-2024-00226</t>
  </si>
  <si>
    <t>P-2024-00227</t>
  </si>
  <si>
    <t>P-2024-00228</t>
  </si>
  <si>
    <t>P-2024-00229</t>
  </si>
  <si>
    <t>P-2024-00230</t>
  </si>
  <si>
    <t>P-2024-00231</t>
  </si>
  <si>
    <t>P-2024-00232</t>
  </si>
  <si>
    <t>P-2024-00233</t>
  </si>
  <si>
    <t>P-2024-00234</t>
  </si>
  <si>
    <t>P-2024-00235</t>
  </si>
  <si>
    <t>I-2024-00086</t>
  </si>
  <si>
    <t>P-2024-00236</t>
  </si>
  <si>
    <t>I-2024-00087</t>
  </si>
  <si>
    <t>P-2024-00237</t>
  </si>
  <si>
    <t>P-2024-00238</t>
  </si>
  <si>
    <t>P-2024-00239</t>
  </si>
  <si>
    <t>P-2024-00241</t>
  </si>
  <si>
    <t>P-2024-00242</t>
  </si>
  <si>
    <t>P-2024-00243</t>
  </si>
  <si>
    <t>P-2024-00244</t>
  </si>
  <si>
    <t>P-2024-00245</t>
  </si>
  <si>
    <t>I-2024-00088</t>
  </si>
  <si>
    <t>P-2024-00246</t>
  </si>
  <si>
    <t>I-2024-00089</t>
  </si>
  <si>
    <t>P-2024-00247</t>
  </si>
  <si>
    <t>I-2024-00090</t>
  </si>
  <si>
    <t>P-2024-00248</t>
  </si>
  <si>
    <t>P-2024-00249</t>
  </si>
  <si>
    <t>P-2024-00250</t>
  </si>
  <si>
    <t>P-2024-00251</t>
  </si>
  <si>
    <t>P-2024-00252</t>
  </si>
  <si>
    <t>P-2024-00253</t>
  </si>
  <si>
    <t>P-2024-00254</t>
  </si>
  <si>
    <t>I-2024-00091</t>
  </si>
  <si>
    <t>P-2024-00255</t>
  </si>
  <si>
    <t>I-2024-00092</t>
  </si>
  <si>
    <t>P-2024-00256</t>
  </si>
  <si>
    <t>I-2024-00093</t>
  </si>
  <si>
    <t>P-2024-00257</t>
  </si>
  <si>
    <t>I-2024-00094</t>
  </si>
  <si>
    <t>P-2024-00258</t>
  </si>
  <si>
    <t>P-2024-00259</t>
  </si>
  <si>
    <t>P-2024-00260</t>
  </si>
  <si>
    <t>P-2024-00261</t>
  </si>
  <si>
    <t>P-2024-00262</t>
  </si>
  <si>
    <t>P-2024-00263</t>
  </si>
  <si>
    <t>P-2024-00264</t>
  </si>
  <si>
    <t>P-2024-00265</t>
  </si>
  <si>
    <t>P-2024-00266</t>
  </si>
  <si>
    <t>P-2024-00267</t>
  </si>
  <si>
    <t>I-2024-00095</t>
  </si>
  <si>
    <t>P-2024-00268</t>
  </si>
  <si>
    <t>I-2024-00096</t>
  </si>
  <si>
    <t>P-2024-00269</t>
  </si>
  <si>
    <t>I-2024-00097</t>
  </si>
  <si>
    <t>P-2024-00270</t>
  </si>
  <si>
    <t>I-2024-00098</t>
  </si>
  <si>
    <t>P-2024-00271</t>
  </si>
  <si>
    <t>I-2024-00099</t>
  </si>
  <si>
    <t>P-2024-00272</t>
  </si>
  <si>
    <t>I-2024-00100</t>
  </si>
  <si>
    <t>P-2024-00273</t>
  </si>
  <si>
    <t>P-2024-00274</t>
  </si>
  <si>
    <t>P-2024-00275</t>
  </si>
  <si>
    <t>P-2024-00276</t>
  </si>
  <si>
    <t>P-2024-00277</t>
  </si>
  <si>
    <t>P-2024-00278</t>
  </si>
  <si>
    <t>P-2024-00279</t>
  </si>
  <si>
    <t>P-2024-00280</t>
  </si>
  <si>
    <t>P-2024-00281</t>
  </si>
  <si>
    <t>P-2024-00282</t>
  </si>
  <si>
    <t>P-2024-00283</t>
  </si>
  <si>
    <t>P-2024-00284</t>
  </si>
  <si>
    <t>I-2024-00101</t>
  </si>
  <si>
    <t>P-2024-00285</t>
  </si>
  <si>
    <t>I-2024-00102</t>
  </si>
  <si>
    <t>P-2024-00286</t>
  </si>
  <si>
    <t>I-2024-00103</t>
  </si>
  <si>
    <t>P-2024-00287</t>
  </si>
  <si>
    <t>I-2024-00104</t>
  </si>
  <si>
    <t>P-2024-00288</t>
  </si>
  <si>
    <t>I-2024-00105</t>
  </si>
  <si>
    <t>P-2024-00289</t>
  </si>
  <si>
    <t>I-2024-00106</t>
  </si>
  <si>
    <t>P-2024-00290</t>
  </si>
  <si>
    <t>P-2024-00291</t>
  </si>
  <si>
    <t>P-2024-00292</t>
  </si>
  <si>
    <t>P-2024-00293</t>
  </si>
  <si>
    <t>P-2024-00294</t>
  </si>
  <si>
    <t>P-2024-00295</t>
  </si>
  <si>
    <t>P-2024-00296</t>
  </si>
  <si>
    <t>P-2024-00297</t>
  </si>
  <si>
    <t>P-2024-00298</t>
  </si>
  <si>
    <t>P-2024-00299</t>
  </si>
  <si>
    <t>P-2024-00300</t>
  </si>
  <si>
    <t>P-2024-00301</t>
  </si>
  <si>
    <t>P-2024-00302</t>
  </si>
  <si>
    <t>P-2024-00303</t>
  </si>
  <si>
    <t>P-2024-00304</t>
  </si>
  <si>
    <t>P-2024-00305</t>
  </si>
  <si>
    <t>P-2024-00306</t>
  </si>
  <si>
    <t>P-2024-00307</t>
  </si>
  <si>
    <t>P-2024-00308</t>
  </si>
  <si>
    <t>I-2024-00107</t>
  </si>
  <si>
    <t>P-2024-00309</t>
  </si>
  <si>
    <t>I-2024-00108</t>
  </si>
  <si>
    <t>P-2024-00310</t>
  </si>
  <si>
    <t>I-2024-00109</t>
  </si>
  <si>
    <t>P-2024-00311</t>
  </si>
  <si>
    <t>I-2024-00110</t>
  </si>
  <si>
    <t>P-2024-00312</t>
  </si>
  <si>
    <t>P-2024-00313</t>
  </si>
  <si>
    <t>P-2024-00314</t>
  </si>
  <si>
    <t>P-2024-00315</t>
  </si>
  <si>
    <t>P-2024-00316</t>
  </si>
  <si>
    <t>P-2024-00317</t>
  </si>
  <si>
    <t>P-2024-00318</t>
  </si>
  <si>
    <t>P-2024-00319</t>
  </si>
  <si>
    <t>P-2024-00320</t>
  </si>
  <si>
    <t>P-2024-00321</t>
  </si>
  <si>
    <t>P-2024-00323</t>
  </si>
  <si>
    <t>P-2024-00324</t>
  </si>
  <si>
    <t>I-2024-00112</t>
  </si>
  <si>
    <t>P-2024-00325</t>
  </si>
  <si>
    <t>I-2024-00113</t>
  </si>
  <si>
    <t>P-2024-00326</t>
  </si>
  <si>
    <t>I-2024-00114</t>
  </si>
  <si>
    <t>P-2024-00327</t>
  </si>
  <si>
    <t>I-2024-00115</t>
  </si>
  <si>
    <t>P-2024-00328</t>
  </si>
  <si>
    <t>P-2024-00329</t>
  </si>
  <si>
    <t>P-2024-00330</t>
  </si>
  <si>
    <t>P-2024-00331</t>
  </si>
  <si>
    <t>P-2024-00332</t>
  </si>
  <si>
    <t>P-2024-00333</t>
  </si>
  <si>
    <t>P-2024-00334</t>
  </si>
  <si>
    <t>P-2024-00335</t>
  </si>
  <si>
    <t>P-2024-00336</t>
  </si>
  <si>
    <t>P-2024-00337</t>
  </si>
  <si>
    <t>P-2024-00338</t>
  </si>
  <si>
    <t>P-2024-00339</t>
  </si>
  <si>
    <t>P-2024-00340</t>
  </si>
  <si>
    <t>P-2024-00341</t>
  </si>
  <si>
    <t>P-2024-00342</t>
  </si>
  <si>
    <t>P-2024-00343</t>
  </si>
  <si>
    <t>P-2024-00344</t>
  </si>
  <si>
    <t>P-2024-00345</t>
  </si>
  <si>
    <t>I-2024-00116</t>
  </si>
  <si>
    <t>P-2024-00346</t>
  </si>
  <si>
    <t>I-2024-00117</t>
  </si>
  <si>
    <t>P-2024-00347</t>
  </si>
  <si>
    <t>P-2024-00348</t>
  </si>
  <si>
    <t>P-2024-00349</t>
  </si>
  <si>
    <t>P-2024-00350</t>
  </si>
  <si>
    <t>P-2024-00351</t>
  </si>
  <si>
    <t>P-2024-00352</t>
  </si>
  <si>
    <t>P-2024-00353</t>
  </si>
  <si>
    <t>P-2024-00354</t>
  </si>
  <si>
    <t>P-2024-00355</t>
  </si>
  <si>
    <t>P-2024-00356</t>
  </si>
  <si>
    <t>P-2024-00357</t>
  </si>
  <si>
    <t>P-2024-00358</t>
  </si>
  <si>
    <t>I-2024-00118</t>
  </si>
  <si>
    <t>P-2024-00359</t>
  </si>
  <si>
    <t>I-2024-00119</t>
  </si>
  <si>
    <t>P-2024-00360</t>
  </si>
  <si>
    <t>I-2024-00120</t>
  </si>
  <si>
    <t>P-2024-00361</t>
  </si>
  <si>
    <t>I-2024-00121</t>
  </si>
  <si>
    <t>P-2024-00362</t>
  </si>
  <si>
    <t>I-2024-00122</t>
  </si>
  <si>
    <t>P-2024-00363</t>
  </si>
  <si>
    <t>I-2024-00123</t>
  </si>
  <si>
    <t>P-2024-00364</t>
  </si>
  <si>
    <t>P-2024-00365</t>
  </si>
  <si>
    <t>P-2024-00366</t>
  </si>
  <si>
    <t>P-2024-00367</t>
  </si>
  <si>
    <t>P-2024-00368</t>
  </si>
  <si>
    <t>P-2024-00369</t>
  </si>
  <si>
    <t>P-2024-00370</t>
  </si>
  <si>
    <t>P-2024-00371</t>
  </si>
  <si>
    <t>P-2024-00372</t>
  </si>
  <si>
    <t>P-2024-00373</t>
  </si>
  <si>
    <t>P-2024-00374</t>
  </si>
  <si>
    <t>P-2024-00375</t>
  </si>
  <si>
    <t>P-2024-00376</t>
  </si>
  <si>
    <t>P-2024-00377</t>
  </si>
  <si>
    <t>P-2024-00378</t>
  </si>
  <si>
    <t>I-2024-00124</t>
  </si>
  <si>
    <t>P-2024-00379</t>
  </si>
  <si>
    <t>I-2024-00125</t>
  </si>
  <si>
    <t>P-2024-00380</t>
  </si>
  <si>
    <t>P-2024-00381</t>
  </si>
  <si>
    <t>P-2024-00382</t>
  </si>
  <si>
    <t>P-2024-00383</t>
  </si>
  <si>
    <t>P-2024-00384</t>
  </si>
  <si>
    <t>P-2024-00385</t>
  </si>
  <si>
    <t>P-2024-00386</t>
  </si>
  <si>
    <t>P-2024-00387</t>
  </si>
  <si>
    <t>I-2024-00126</t>
  </si>
  <si>
    <t>P-2024-00388</t>
  </si>
  <si>
    <t>I-2024-00127</t>
  </si>
  <si>
    <t>P-2024-00389</t>
  </si>
  <si>
    <t>I-2024-00128</t>
  </si>
  <si>
    <t>P-2024-00390</t>
  </si>
  <si>
    <t>I-2024-00129</t>
  </si>
  <si>
    <t>P-2024-00391</t>
  </si>
  <si>
    <t>P-2024-00392</t>
  </si>
  <si>
    <t>P-2024-00393</t>
  </si>
  <si>
    <t>P-2024-00394</t>
  </si>
  <si>
    <t>P-2024-00395</t>
  </si>
  <si>
    <t>P-2024-00396</t>
  </si>
  <si>
    <t>P-2024-00397</t>
  </si>
  <si>
    <t>P-2024-00398</t>
  </si>
  <si>
    <t>I-2024-00130</t>
  </si>
  <si>
    <t>P-2024-00399</t>
  </si>
  <si>
    <t>I-2024-00131</t>
  </si>
  <si>
    <t>P-2024-00400</t>
  </si>
  <si>
    <t>I-2024-00132</t>
  </si>
  <si>
    <t>P-2024-00401</t>
  </si>
  <si>
    <t>I-2024-00133</t>
  </si>
  <si>
    <t>P-2024-00402</t>
  </si>
  <si>
    <t>I-2024-00134</t>
  </si>
  <si>
    <t>P-2024-00403</t>
  </si>
  <si>
    <t>I-2024-00135</t>
  </si>
  <si>
    <t>P-2024-00404</t>
  </si>
  <si>
    <t>P-2024-00405</t>
  </si>
  <si>
    <t>P-2024-00406</t>
  </si>
  <si>
    <t>P-2024-00407</t>
  </si>
  <si>
    <t>P-2024-00408</t>
  </si>
  <si>
    <t>P-2024-00409</t>
  </si>
  <si>
    <t>P-2024-00410</t>
  </si>
  <si>
    <t>P-2024-00411</t>
  </si>
  <si>
    <t>P-2024-00412</t>
  </si>
  <si>
    <t>P-2024-00413</t>
  </si>
  <si>
    <t>P-2024-00414</t>
  </si>
  <si>
    <t>P-2024-00415</t>
  </si>
  <si>
    <t>I-2024-00136</t>
  </si>
  <si>
    <t>P-2024-00416</t>
  </si>
  <si>
    <t>I-2024-00137</t>
  </si>
  <si>
    <t>P-2024-00417</t>
  </si>
  <si>
    <t>I-2024-00138</t>
  </si>
  <si>
    <t>P-2024-00418</t>
  </si>
  <si>
    <t>I-2024-00139</t>
  </si>
  <si>
    <t>P-2024-00419</t>
  </si>
  <si>
    <t>P-2024-00420</t>
  </si>
  <si>
    <t>P-2024-00421</t>
  </si>
  <si>
    <t>P-2024-00422</t>
  </si>
  <si>
    <t>P-2024-00423</t>
  </si>
  <si>
    <t>P-2024-00424</t>
  </si>
  <si>
    <t>P-2024-00425</t>
  </si>
  <si>
    <t>P-2024-00426</t>
  </si>
  <si>
    <t>P-2024-00427</t>
  </si>
  <si>
    <t>P-2024-00428</t>
  </si>
  <si>
    <t>P-2024-00429</t>
  </si>
  <si>
    <t>P-2024-00430</t>
  </si>
  <si>
    <t>P-2024-00431</t>
  </si>
  <si>
    <t>P-2024-00432</t>
  </si>
  <si>
    <t>P-2024-00433</t>
  </si>
  <si>
    <t>P-2024-00434</t>
  </si>
  <si>
    <t>P-2024-00435</t>
  </si>
  <si>
    <t>P-2024-00436</t>
  </si>
  <si>
    <t>P-2024-00437</t>
  </si>
  <si>
    <t>P-2024-00438</t>
  </si>
  <si>
    <t>P-2024-00439</t>
  </si>
  <si>
    <t>P-2024-00440</t>
  </si>
  <si>
    <t>P-2024-00441</t>
  </si>
  <si>
    <t>I-2024-00140</t>
  </si>
  <si>
    <t>P-2024-00442</t>
  </si>
  <si>
    <t>I-2024-00141</t>
  </si>
  <si>
    <t>P-2024-00443</t>
  </si>
  <si>
    <t>I-2024-00142</t>
  </si>
  <si>
    <t>P-2024-00444</t>
  </si>
  <si>
    <t>P-2024-00445</t>
  </si>
  <si>
    <t>P-2024-00446</t>
  </si>
  <si>
    <t>P-2024-00447</t>
  </si>
  <si>
    <t>P-2024-00448</t>
  </si>
  <si>
    <t>P-2024-00449</t>
  </si>
  <si>
    <t>P-2024-00450</t>
  </si>
  <si>
    <t>P-2024-00451</t>
  </si>
  <si>
    <t>P-2024-00452</t>
  </si>
  <si>
    <t>P-2024-00453</t>
  </si>
  <si>
    <t>I-2024-00143</t>
  </si>
  <si>
    <t>P-2024-00454</t>
  </si>
  <si>
    <t>I-2024-00144</t>
  </si>
  <si>
    <t>P-2024-00455</t>
  </si>
  <si>
    <t>I-2024-00145</t>
  </si>
  <si>
    <t>P-2024-00456</t>
  </si>
  <si>
    <t>I-2024-00146</t>
  </si>
  <si>
    <t>P-2024-00457</t>
  </si>
  <si>
    <t>I-2024-00147</t>
  </si>
  <si>
    <t>P-2024-00458</t>
  </si>
  <si>
    <t>P-2024-00459</t>
  </si>
  <si>
    <t>P-2024-00460</t>
  </si>
  <si>
    <t>P-2024-00461</t>
  </si>
  <si>
    <t>P-2024-00462</t>
  </si>
  <si>
    <t>P-2024-00463</t>
  </si>
  <si>
    <t>P-2024-00464</t>
  </si>
  <si>
    <t>P-2024-00465</t>
  </si>
  <si>
    <t>I-2024-00148</t>
  </si>
  <si>
    <t>P-2024-00466</t>
  </si>
  <si>
    <t>I-2024-00149</t>
  </si>
  <si>
    <t>P-2024-00467</t>
  </si>
  <si>
    <t>I-2024-00150</t>
  </si>
  <si>
    <t>P-2024-00468</t>
  </si>
  <si>
    <t>I-2024-00151</t>
  </si>
  <si>
    <t>P-2024-00469</t>
  </si>
  <si>
    <t>I-2024-00152</t>
  </si>
  <si>
    <t>P-2024-00470</t>
  </si>
  <si>
    <t>I-2024-00153</t>
  </si>
  <si>
    <t>P-2024-00471</t>
  </si>
  <si>
    <t>P-2024-00472</t>
  </si>
  <si>
    <t>P-2024-00473</t>
  </si>
  <si>
    <t>P-2024-00474</t>
  </si>
  <si>
    <t>P-2024-00475</t>
  </si>
  <si>
    <t>P-2024-00476</t>
  </si>
  <si>
    <t>P-2024-00477</t>
  </si>
  <si>
    <t>P-2024-00478</t>
  </si>
  <si>
    <t>P-2024-00479</t>
  </si>
  <si>
    <t>P-2024-00480</t>
  </si>
  <si>
    <t>P-2024-00481</t>
  </si>
  <si>
    <t>P-2024-00482</t>
  </si>
  <si>
    <t>P-2024-00483</t>
  </si>
  <si>
    <t>I-2024-00155</t>
  </si>
  <si>
    <t>P-2024-00484</t>
  </si>
  <si>
    <t>I-2024-00156</t>
  </si>
  <si>
    <t>P-2024-00485</t>
  </si>
  <si>
    <t>P-2024-00486</t>
  </si>
  <si>
    <t>P-2024-00487</t>
  </si>
  <si>
    <t>P-2024-00488</t>
  </si>
  <si>
    <t>P-2024-00489</t>
  </si>
  <si>
    <t>P-2024-00490</t>
  </si>
  <si>
    <t>P-2024-00491</t>
  </si>
  <si>
    <t>I-2024-00157</t>
  </si>
  <si>
    <t>P-2024-00492</t>
  </si>
  <si>
    <t>I-2024-00158</t>
  </si>
  <si>
    <t>I-2024-00159</t>
  </si>
  <si>
    <t>P-2024-00494</t>
  </si>
  <si>
    <t>I-2024-00160</t>
  </si>
  <si>
    <t>P-2024-00495</t>
  </si>
  <si>
    <t>P-2024-00496</t>
  </si>
  <si>
    <t>P-2024-00497</t>
  </si>
  <si>
    <t>P-2024-00498</t>
  </si>
  <si>
    <t>I-2024-00161</t>
  </si>
  <si>
    <t>P-2024-00499</t>
  </si>
  <si>
    <t>I-2024-00162</t>
  </si>
  <si>
    <t>P-2024-00500</t>
  </si>
  <si>
    <t>I-2024-00163</t>
  </si>
  <si>
    <t>P-2024-00501</t>
  </si>
  <si>
    <t>I-2024-00164</t>
  </si>
  <si>
    <t>P-2024-00502</t>
  </si>
  <si>
    <t>P-2024-00503</t>
  </si>
  <si>
    <t>P-2024-00504</t>
  </si>
  <si>
    <t>P-2024-00505</t>
  </si>
  <si>
    <t>P-2024-00506</t>
  </si>
  <si>
    <t>P-2024-00507</t>
  </si>
  <si>
    <t>P-2024-00508</t>
  </si>
  <si>
    <t>P-2024-00509</t>
  </si>
  <si>
    <t>P-2024-00510</t>
  </si>
  <si>
    <t>P-2024-00511</t>
  </si>
  <si>
    <t>P-2024-00512</t>
  </si>
  <si>
    <t>P-2024-00513</t>
  </si>
  <si>
    <t>P-2024-00514</t>
  </si>
  <si>
    <t>P-2024-00515</t>
  </si>
  <si>
    <t>P-2024-00516</t>
  </si>
  <si>
    <t>P-2024-00517</t>
  </si>
  <si>
    <t>I-2024-00165</t>
  </si>
  <si>
    <t>P-2024-00518</t>
  </si>
  <si>
    <t>I-2024-00166</t>
  </si>
  <si>
    <t>P-2024-00519</t>
  </si>
  <si>
    <t>I-2024-00167</t>
  </si>
  <si>
    <t>P-2024-00520</t>
  </si>
  <si>
    <t>I-2024-00168</t>
  </si>
  <si>
    <t>P-2024-00521</t>
  </si>
  <si>
    <t>I-2024-00169</t>
  </si>
  <si>
    <t>P-2024-00522</t>
  </si>
  <si>
    <t>I-2024-00170</t>
  </si>
  <si>
    <t>P-2024-00523</t>
  </si>
  <si>
    <t>P-2024-00524</t>
  </si>
  <si>
    <t>P-2024-00525</t>
  </si>
  <si>
    <t>P-2024-00526</t>
  </si>
  <si>
    <t>P-2024-00527</t>
  </si>
  <si>
    <t>P-2024-00528</t>
  </si>
  <si>
    <t>P-2024-00529</t>
  </si>
  <si>
    <t>P-2024-00530</t>
  </si>
  <si>
    <t>P-2024-00531</t>
  </si>
  <si>
    <t>P-2024-00532</t>
  </si>
  <si>
    <t>I-2024-00171</t>
  </si>
  <si>
    <t>P-2024-00533</t>
  </si>
  <si>
    <t>I-2024-00172</t>
  </si>
  <si>
    <t>P-2024-00534</t>
  </si>
  <si>
    <t>I-2024-00173</t>
  </si>
  <si>
    <t>P-2024-00535</t>
  </si>
  <si>
    <t>P-2024-00536</t>
  </si>
  <si>
    <t>P-2024-00537</t>
  </si>
  <si>
    <t>P-2024-00538</t>
  </si>
  <si>
    <t>P-2024-00539</t>
  </si>
  <si>
    <t>P-2024-00540</t>
  </si>
  <si>
    <t>P-2024-00541</t>
  </si>
  <si>
    <t>P-2024-00542</t>
  </si>
  <si>
    <t>P-2024-00543</t>
  </si>
  <si>
    <t>P-2024-00544</t>
  </si>
  <si>
    <t>P-2024-00545</t>
  </si>
  <si>
    <t>P-2024-00546</t>
  </si>
  <si>
    <t>I-2024-00174</t>
  </si>
  <si>
    <t>P-2024-00547</t>
  </si>
  <si>
    <t>I-2024-00175</t>
  </si>
  <si>
    <t>P-2024-00548</t>
  </si>
  <si>
    <t>I-2024-00176</t>
  </si>
  <si>
    <t>P-2024-00549</t>
  </si>
  <si>
    <t>I-2024-00177</t>
  </si>
  <si>
    <t>P-2024-00550</t>
  </si>
  <si>
    <t>I-2024-00178</t>
  </si>
  <si>
    <t>P-2024-00551</t>
  </si>
  <si>
    <t>P-2024-00552</t>
  </si>
  <si>
    <t>P-2024-00553</t>
  </si>
  <si>
    <t>P-2024-00554</t>
  </si>
  <si>
    <t>P-2024-00555</t>
  </si>
  <si>
    <t>P-2024-00556</t>
  </si>
  <si>
    <t>P-2024-00557</t>
  </si>
  <si>
    <t>P-2024-00558</t>
  </si>
  <si>
    <t>I-2024-00179</t>
  </si>
  <si>
    <t>P-2024-00559</t>
  </si>
  <si>
    <t>I-2024-00180</t>
  </si>
  <si>
    <t>P-2024-00560</t>
  </si>
  <si>
    <t>P-2024-00561</t>
  </si>
  <si>
    <t>P-2024-00562</t>
  </si>
  <si>
    <t>P-2024-00563</t>
  </si>
  <si>
    <t>P-2024-00564</t>
  </si>
  <si>
    <t>I-2024-00181</t>
  </si>
  <si>
    <t>P-2024-00565</t>
  </si>
  <si>
    <t>I-2024-00182</t>
  </si>
  <si>
    <t>P-2024-00566</t>
  </si>
  <si>
    <t>I-2024-00183</t>
  </si>
  <si>
    <t>P-2024-00567</t>
  </si>
  <si>
    <t>P-2024-00568</t>
  </si>
  <si>
    <t>P-2024-00569</t>
  </si>
  <si>
    <t>P-2024-00570</t>
  </si>
  <si>
    <t>P-2024-00571</t>
  </si>
  <si>
    <t>P-2024-00572</t>
  </si>
  <si>
    <t>P-2024-00573</t>
  </si>
  <si>
    <t>P-2024-00574</t>
  </si>
  <si>
    <t>P-2024-00575</t>
  </si>
  <si>
    <t>P-2024-00577</t>
  </si>
  <si>
    <t>P-2024-00578</t>
  </si>
  <si>
    <t>I-2024-00185</t>
  </si>
  <si>
    <t>P-2024-00579</t>
  </si>
  <si>
    <t>I-2024-00186</t>
  </si>
  <si>
    <t>P-2024-00580</t>
  </si>
  <si>
    <t>I-2024-00187</t>
  </si>
  <si>
    <t>P-2024-00581</t>
  </si>
  <si>
    <t>I-2024-00188</t>
  </si>
  <si>
    <t>P-2024-00582</t>
  </si>
  <si>
    <t>I-2024-00189</t>
  </si>
  <si>
    <t>P-2024-00583</t>
  </si>
  <si>
    <t>I-2024-00190</t>
  </si>
  <si>
    <t>P-2024-00584</t>
  </si>
  <si>
    <t>P-2024-00585</t>
  </si>
  <si>
    <t>P-2024-00586</t>
  </si>
  <si>
    <t>P-2024-00587</t>
  </si>
  <si>
    <t>P-2024-00589</t>
  </si>
  <si>
    <t>P-2024-00590</t>
  </si>
  <si>
    <t>P-2024-00591</t>
  </si>
  <si>
    <t>P-2024-00592</t>
  </si>
  <si>
    <t>P-2024-00593</t>
  </si>
  <si>
    <t>I-2024-00191</t>
  </si>
  <si>
    <t>P-2024-00594</t>
  </si>
  <si>
    <t>I-2024-00192</t>
  </si>
  <si>
    <t>P-2024-00595</t>
  </si>
  <si>
    <t>I-2024-00193</t>
  </si>
  <si>
    <t>P-2024-00596</t>
  </si>
  <si>
    <t>P-2024-00597</t>
  </si>
  <si>
    <t>P-2024-00598</t>
  </si>
  <si>
    <t>P-2024-00599</t>
  </si>
  <si>
    <t>P-2024-00600</t>
  </si>
  <si>
    <t>P-2024-00601</t>
  </si>
  <si>
    <t>I-2024-00194</t>
  </si>
  <si>
    <t>P-2024-00602</t>
  </si>
  <si>
    <t>I-2024-00195</t>
  </si>
  <si>
    <t>P-2024-00603</t>
  </si>
  <si>
    <t>I-2024-00196</t>
  </si>
  <si>
    <t>P-2024-00604</t>
  </si>
  <si>
    <t>P-2024-00605</t>
  </si>
  <si>
    <t>P-2024-00606</t>
  </si>
  <si>
    <t>P-2024-00607</t>
  </si>
  <si>
    <t>P-2024-00608</t>
  </si>
  <si>
    <t>P-2024-00610</t>
  </si>
  <si>
    <t>P-2024-00612</t>
  </si>
  <si>
    <t>I-2024-00197</t>
  </si>
  <si>
    <t>P-2024-00613</t>
  </si>
  <si>
    <t>I-2024-00198</t>
  </si>
  <si>
    <t>P-2024-00614</t>
  </si>
  <si>
    <t>I-2024-00199</t>
  </si>
  <si>
    <t>P-2024-00615</t>
  </si>
  <si>
    <t>I-2024-00200</t>
  </si>
  <si>
    <t>P-2024-00616</t>
  </si>
  <si>
    <t>I-2024-00201</t>
  </si>
  <si>
    <t>P-2024-00617</t>
  </si>
  <si>
    <t>I-2024-00202</t>
  </si>
  <si>
    <t>P-2024-00618</t>
  </si>
  <si>
    <t>P-2024-00619</t>
  </si>
  <si>
    <t>P-2024-00620</t>
  </si>
  <si>
    <t>P-2024-00621</t>
  </si>
  <si>
    <t>P-2024-00622</t>
  </si>
  <si>
    <t>P-2024-00623</t>
  </si>
  <si>
    <t>P-2024-00624</t>
  </si>
  <si>
    <t>P-2024-00625</t>
  </si>
  <si>
    <t>P-2024-00626</t>
  </si>
  <si>
    <t>P-2024-00627</t>
  </si>
  <si>
    <t>P-2024-00628</t>
  </si>
  <si>
    <t>P-2024-00629</t>
  </si>
  <si>
    <t>P-2024-00630</t>
  </si>
  <si>
    <t>P-2024-00631</t>
  </si>
  <si>
    <t>P-2024-00632</t>
  </si>
  <si>
    <t>P-2024-00633</t>
  </si>
  <si>
    <t>P-2024-00634</t>
  </si>
  <si>
    <t>P-2024-00635</t>
  </si>
  <si>
    <t>P-2024-00636</t>
  </si>
  <si>
    <t>P-2024-00637</t>
  </si>
  <si>
    <t>P-2024-00638</t>
  </si>
  <si>
    <t>P-2024-00639</t>
  </si>
  <si>
    <t>P-2024-00640</t>
  </si>
  <si>
    <t>P-2024-00641</t>
  </si>
  <si>
    <t>I-2024-00203</t>
  </si>
  <si>
    <t>P-2024-00642</t>
  </si>
  <si>
    <t>I-2024-00204</t>
  </si>
  <si>
    <t>P-2024-00643</t>
  </si>
  <si>
    <t>I-2024-00205</t>
  </si>
  <si>
    <t>P-2024-00644</t>
  </si>
  <si>
    <t>I-2024-00206</t>
  </si>
  <si>
    <t>P-2024-00645</t>
  </si>
  <si>
    <t>I-2024-00207</t>
  </si>
  <si>
    <t>P-2024-00646</t>
  </si>
  <si>
    <t>P-2024-00647</t>
  </si>
  <si>
    <t>P-2024-00648</t>
  </si>
  <si>
    <t>P-2024-00649</t>
  </si>
  <si>
    <t>P-2024-00650</t>
  </si>
  <si>
    <t>P-2024-00651</t>
  </si>
  <si>
    <t>P-2024-00652</t>
  </si>
  <si>
    <t>P-2024-00653</t>
  </si>
  <si>
    <t>P-2024-00654</t>
  </si>
  <si>
    <t>P-2024-00655</t>
  </si>
  <si>
    <t>P-2024-00656</t>
  </si>
  <si>
    <t>I-2024-00208</t>
  </si>
  <si>
    <t>P-2024-00657</t>
  </si>
  <si>
    <t>I-2024-00209</t>
  </si>
  <si>
    <t>P-2024-00658</t>
  </si>
  <si>
    <t>P-2024-00659</t>
  </si>
  <si>
    <t>P-2024-00660</t>
  </si>
  <si>
    <t>I-2024-00212</t>
  </si>
  <si>
    <t>P-2024-00661</t>
  </si>
  <si>
    <t>I-2024-00213</t>
  </si>
  <si>
    <t>P-2024-00662</t>
  </si>
  <si>
    <t>P-2024-00663</t>
  </si>
  <si>
    <t>P-2024-00664</t>
  </si>
  <si>
    <t>P-2024-00665</t>
  </si>
  <si>
    <t>P-2024-00666</t>
  </si>
  <si>
    <t>P-2024-00667</t>
  </si>
  <si>
    <t>P-2024-00668</t>
  </si>
  <si>
    <t>I-2024-00214</t>
  </si>
  <si>
    <t>P-2024-00669</t>
  </si>
  <si>
    <t>I-2024-00215</t>
  </si>
  <si>
    <t>P-2024-00670</t>
  </si>
  <si>
    <t>I-2024-00216</t>
  </si>
  <si>
    <t>P-2024-00671</t>
  </si>
  <si>
    <t>I-2024-00217</t>
  </si>
  <si>
    <t>P-2024-00672</t>
  </si>
  <si>
    <t>I-2024-00218</t>
  </si>
  <si>
    <t>P-2024-00673</t>
  </si>
  <si>
    <t>I-2024-00219</t>
  </si>
  <si>
    <t>P-2024-00674</t>
  </si>
  <si>
    <t>P-2024-00675</t>
  </si>
  <si>
    <t>P-2024-00676</t>
  </si>
  <si>
    <t>P-2024-00677</t>
  </si>
  <si>
    <t>P-2024-00678</t>
  </si>
  <si>
    <t>P-2024-00679</t>
  </si>
  <si>
    <t>P-2024-00680</t>
  </si>
  <si>
    <t>P-2024-00681</t>
  </si>
  <si>
    <t>P-2024-00683</t>
  </si>
  <si>
    <t>I-2024-00220</t>
  </si>
  <si>
    <t>P-2024-00684</t>
  </si>
  <si>
    <t>I-2024-00221</t>
  </si>
  <si>
    <t>P-2024-00685</t>
  </si>
  <si>
    <t>I-2024-00222</t>
  </si>
  <si>
    <t>P-2024-00686</t>
  </si>
  <si>
    <t>I-2024-00223</t>
  </si>
  <si>
    <t>P-2024-00687</t>
  </si>
  <si>
    <t>I-2024-00224</t>
  </si>
  <si>
    <t>P-2024-00688</t>
  </si>
  <si>
    <t>P-2024-00689</t>
  </si>
  <si>
    <t>P-2024-00690</t>
  </si>
  <si>
    <t>P-2024-00691</t>
  </si>
  <si>
    <t>P-2024-00692</t>
  </si>
  <si>
    <t>P-2024-00693</t>
  </si>
  <si>
    <t>P-2024-00695</t>
  </si>
  <si>
    <t>P-2024-00696</t>
  </si>
  <si>
    <t>P-2024-00697</t>
  </si>
  <si>
    <t>I-2024-00225</t>
  </si>
  <si>
    <t>P-2024-00698</t>
  </si>
  <si>
    <t>P-2024-00699</t>
  </si>
  <si>
    <t>P-2024-00700</t>
  </si>
  <si>
    <t>P-2024-00701</t>
  </si>
  <si>
    <t>P-2024-00702</t>
  </si>
  <si>
    <t>P-2024-00703</t>
  </si>
  <si>
    <t>P-2024-00704</t>
  </si>
  <si>
    <t>P-2024-00705</t>
  </si>
  <si>
    <t>P-2024-00706</t>
  </si>
  <si>
    <t>P-2024-00707</t>
  </si>
  <si>
    <t>P-2024-00708</t>
  </si>
  <si>
    <t>P-2024-00709</t>
  </si>
  <si>
    <t>P-2024-00710</t>
  </si>
  <si>
    <t>P-2024-00711</t>
  </si>
  <si>
    <t>P-2024-00712</t>
  </si>
  <si>
    <t>I-2024-00226</t>
  </si>
  <si>
    <t>P-2024-00713</t>
  </si>
  <si>
    <t>I-2024-00227</t>
  </si>
  <si>
    <t>P-2024-00714</t>
  </si>
  <si>
    <t>I-2024-00228</t>
  </si>
  <si>
    <t>P-2024-00715</t>
  </si>
  <si>
    <t>I-2024-00229</t>
  </si>
  <si>
    <t>P-2024-00716</t>
  </si>
  <si>
    <t>I-2024-00230</t>
  </si>
  <si>
    <t>P-2024-00717</t>
  </si>
  <si>
    <t>I-2024-00231</t>
  </si>
  <si>
    <t>P-2024-00718</t>
  </si>
  <si>
    <t>I-2024-00232</t>
  </si>
  <si>
    <t>P-2024-00719</t>
  </si>
  <si>
    <t>I-2024-00233</t>
  </si>
  <si>
    <t>P-2024-00720</t>
  </si>
  <si>
    <t>I-2024-00234</t>
  </si>
  <si>
    <t>P-2024-00721</t>
  </si>
  <si>
    <t>I-2024-00235</t>
  </si>
  <si>
    <t>P-2024-00722</t>
  </si>
  <si>
    <t>I-2024-00236</t>
  </si>
  <si>
    <t>P-2024-00723</t>
  </si>
  <si>
    <t>I-2024-00237</t>
  </si>
  <si>
    <t>P-2024-00724</t>
  </si>
  <si>
    <t>P-2024-00725</t>
  </si>
  <si>
    <t>P-2024-00726</t>
  </si>
  <si>
    <t>P-2024-00727</t>
  </si>
  <si>
    <t>P-2024-00728</t>
  </si>
  <si>
    <t>P-2024-00729</t>
  </si>
  <si>
    <t>P-2024-00730</t>
  </si>
  <si>
    <t>P-2024-00731</t>
  </si>
  <si>
    <t>P-2024-00732</t>
  </si>
  <si>
    <t>P-2024-00733</t>
  </si>
  <si>
    <t>P-2024-00734</t>
  </si>
  <si>
    <t>P-2024-00735</t>
  </si>
  <si>
    <t>P-2024-00736</t>
  </si>
  <si>
    <t>I-2024-00238</t>
  </si>
  <si>
    <t>P-2024-00737</t>
  </si>
  <si>
    <t>I-2024-00239</t>
  </si>
  <si>
    <t>P-2024-00738</t>
  </si>
  <si>
    <t>I-2024-00240</t>
  </si>
  <si>
    <t>P-2024-00739</t>
  </si>
  <si>
    <t>I-2024-00241</t>
  </si>
  <si>
    <t>P-2024-00740</t>
  </si>
  <si>
    <t>I-2024-00242</t>
  </si>
  <si>
    <t>P-2024-00741</t>
  </si>
  <si>
    <t>I-2024-00243</t>
  </si>
  <si>
    <t>P-2024-00742</t>
  </si>
  <si>
    <t>P-2024-00743</t>
  </si>
  <si>
    <t>P-2024-00744</t>
  </si>
  <si>
    <t>P-2024-00745</t>
  </si>
  <si>
    <t>P-2024-00746</t>
  </si>
  <si>
    <t>P-2024-00747</t>
  </si>
  <si>
    <t>P-2024-00748</t>
  </si>
  <si>
    <t>P-2024-00749</t>
  </si>
  <si>
    <t>P-2024-00750</t>
  </si>
  <si>
    <t>P-2024-00751</t>
  </si>
  <si>
    <t>P-2024-00752</t>
  </si>
  <si>
    <t>P-2024-00753</t>
  </si>
  <si>
    <t>P-2024-00754</t>
  </si>
  <si>
    <t>P-2024-00755</t>
  </si>
  <si>
    <t>I-2024-00244</t>
  </si>
  <si>
    <t>P-2024-00756</t>
  </si>
  <si>
    <t>I-2024-00245</t>
  </si>
  <si>
    <t>P-2024-00757</t>
  </si>
  <si>
    <t>I-2024-00246</t>
  </si>
  <si>
    <t>P-2024-00758</t>
  </si>
  <si>
    <t>I-2024-00247</t>
  </si>
  <si>
    <t>P-2024-00759</t>
  </si>
  <si>
    <t>P-2024-00760</t>
  </si>
  <si>
    <t>P-2024-00761</t>
  </si>
  <si>
    <t>P-2024-00762</t>
  </si>
  <si>
    <t>P-2024-00763</t>
  </si>
  <si>
    <t>P-2024-00764</t>
  </si>
  <si>
    <t>I-2024-00248</t>
  </si>
  <si>
    <t>P-2024-00765</t>
  </si>
  <si>
    <t>I-2024-00249</t>
  </si>
  <si>
    <t>P-2024-00766</t>
  </si>
  <si>
    <t>I-2024-00250</t>
  </si>
  <si>
    <t>P-2024-00767</t>
  </si>
  <si>
    <t>I-2024-00251</t>
  </si>
  <si>
    <t>P-2024-00768</t>
  </si>
  <si>
    <t>I-2024-00252</t>
  </si>
  <si>
    <t>P-2024-00769</t>
  </si>
  <si>
    <t>P-2024-00770</t>
  </si>
  <si>
    <t>P-2024-00771</t>
  </si>
  <si>
    <t>P-2024-00772</t>
  </si>
  <si>
    <t>P-2024-00773</t>
  </si>
  <si>
    <t>P-2024-00774</t>
  </si>
  <si>
    <t>P-2024-00775</t>
  </si>
  <si>
    <t>P-2024-00776</t>
  </si>
  <si>
    <t>P-2024-00777</t>
  </si>
  <si>
    <t>P-2024-00778</t>
  </si>
  <si>
    <t>P-2024-00779</t>
  </si>
  <si>
    <t>P-2024-00780</t>
  </si>
  <si>
    <t>P-2024-00781</t>
  </si>
  <si>
    <t>P-2024-00782</t>
  </si>
  <si>
    <t>P-2024-00783</t>
  </si>
  <si>
    <t>P-2024-00785</t>
  </si>
  <si>
    <t>P-2024-00786</t>
  </si>
  <si>
    <t>P-2024-00787</t>
  </si>
  <si>
    <t>P-2024-00788</t>
  </si>
  <si>
    <t>I-2024-00253</t>
  </si>
  <si>
    <t>P-2024-00789</t>
  </si>
  <si>
    <t>I-2024-00254</t>
  </si>
  <si>
    <t>P-2024-00790</t>
  </si>
  <si>
    <t>I-2024-00255</t>
  </si>
  <si>
    <t>P-2024-00791</t>
  </si>
  <si>
    <t>I-2024-00256</t>
  </si>
  <si>
    <t>P-2024-00792</t>
  </si>
  <si>
    <t>P-2024-00793</t>
  </si>
  <si>
    <t>P-2024-00794</t>
  </si>
  <si>
    <t>P-2024-00795</t>
  </si>
  <si>
    <t>P-2024-00796</t>
  </si>
  <si>
    <t>P-2024-00797</t>
  </si>
  <si>
    <t>P-2024-00798</t>
  </si>
  <si>
    <t>P-2024-00799</t>
  </si>
  <si>
    <t>P-2024-00800</t>
  </si>
  <si>
    <t>P-2024-00801</t>
  </si>
  <si>
    <t>I-2024-00257</t>
  </si>
  <si>
    <t>I-2024-00258</t>
  </si>
  <si>
    <t>P-2024-00803</t>
  </si>
  <si>
    <t>I-2024-00259</t>
  </si>
  <si>
    <t>P-2024-00804</t>
  </si>
  <si>
    <t>I-2024-00260</t>
  </si>
  <si>
    <t>P-2024-00805</t>
  </si>
  <si>
    <t>I-2024-00261</t>
  </si>
  <si>
    <t>P-2024-00806</t>
  </si>
  <si>
    <t>I-2024-00262</t>
  </si>
  <si>
    <t>P-2024-00807</t>
  </si>
  <si>
    <t>P-2024-00808</t>
  </si>
  <si>
    <t>P-2024-00809</t>
  </si>
  <si>
    <t>P-2024-00810</t>
  </si>
  <si>
    <t>P-2024-00812</t>
  </si>
  <si>
    <t>P-2024-00813</t>
  </si>
  <si>
    <t>P-2024-00814</t>
  </si>
  <si>
    <t>P-2024-00815</t>
  </si>
  <si>
    <t>P-2024-00816</t>
  </si>
  <si>
    <t>I-2024-00263</t>
  </si>
  <si>
    <t>P-2024-00817</t>
  </si>
  <si>
    <t>I-2024-00264</t>
  </si>
  <si>
    <t>P-2024-00818</t>
  </si>
  <si>
    <t>I-2024-00265</t>
  </si>
  <si>
    <t>P-2024-00819</t>
  </si>
  <si>
    <t>I-2024-00266</t>
  </si>
  <si>
    <t>P-2024-00820</t>
  </si>
  <si>
    <t>I-2024-00267</t>
  </si>
  <si>
    <t>P-2024-00821</t>
  </si>
  <si>
    <t>P-2024-00822</t>
  </si>
  <si>
    <t>P-2024-00823</t>
  </si>
  <si>
    <t>P-2024-00824</t>
  </si>
  <si>
    <t>P-2024-00825</t>
  </si>
  <si>
    <t>P-2024-00826</t>
  </si>
  <si>
    <t>P-2024-00827</t>
  </si>
  <si>
    <t>P-2024-00828</t>
  </si>
  <si>
    <t>P-2024-00829</t>
  </si>
  <si>
    <t>P-2024-00830</t>
  </si>
  <si>
    <t>P-2024-00831</t>
  </si>
  <si>
    <t>P-2024-00832</t>
  </si>
  <si>
    <t>P-2024-00833</t>
  </si>
  <si>
    <t>I-2024-00268</t>
  </si>
  <si>
    <t>P-2024-00834</t>
  </si>
  <si>
    <t>P-2024-00835</t>
  </si>
  <si>
    <t>P-2024-00836</t>
  </si>
  <si>
    <t>P-2024-00837</t>
  </si>
  <si>
    <t>P-2024-00838</t>
  </si>
  <si>
    <t>P-2024-00839</t>
  </si>
  <si>
    <t>P-2024-00840</t>
  </si>
  <si>
    <t>P-2024-00841</t>
  </si>
  <si>
    <t>P-2024-00842</t>
  </si>
  <si>
    <t>P-2024-00843</t>
  </si>
  <si>
    <t>I-2024-00269</t>
  </si>
  <si>
    <t>P-2024-00844</t>
  </si>
  <si>
    <t>I-2024-00270</t>
  </si>
  <si>
    <t>P-2024-00845</t>
  </si>
  <si>
    <t>I-2024-00271</t>
  </si>
  <si>
    <t>P-2024-00846</t>
  </si>
  <si>
    <t>I-2024-00272</t>
  </si>
  <si>
    <t>P-2024-00847</t>
  </si>
  <si>
    <t>I-2024-00273</t>
  </si>
  <si>
    <t>P-2024-00848</t>
  </si>
  <si>
    <t>P-2024-00849</t>
  </si>
  <si>
    <t>P-2024-00850</t>
  </si>
  <si>
    <t>P-2024-00851</t>
  </si>
  <si>
    <t>P-2024-00852</t>
  </si>
  <si>
    <t>P-2024-00853</t>
  </si>
  <si>
    <t>P-2024-00854</t>
  </si>
  <si>
    <t>P-2024-00855</t>
  </si>
  <si>
    <t>I-2024-00274</t>
  </si>
  <si>
    <t>P-2024-00856</t>
  </si>
  <si>
    <t>I-2024-00275</t>
  </si>
  <si>
    <t>I-2024-00276</t>
  </si>
  <si>
    <t>P-2024-00858</t>
  </si>
  <si>
    <t>I-2024-00277</t>
  </si>
  <si>
    <t>P-2024-00859</t>
  </si>
  <si>
    <t>I-2024-00278</t>
  </si>
  <si>
    <t>P-2024-00860</t>
  </si>
  <si>
    <t>P-2024-00861</t>
  </si>
  <si>
    <t>P-2024-00862</t>
  </si>
  <si>
    <t>P-2024-00863</t>
  </si>
  <si>
    <t>P-2024-00864</t>
  </si>
  <si>
    <t>P-2024-00865</t>
  </si>
  <si>
    <t>P-2024-00866</t>
  </si>
  <si>
    <t>P-2024-00868</t>
  </si>
  <si>
    <t>P-2024-00869</t>
  </si>
  <si>
    <t>P-2024-00870</t>
  </si>
  <si>
    <t>I-2024-00279</t>
  </si>
  <si>
    <t>P-2024-00871</t>
  </si>
  <si>
    <t>I-2024-00280</t>
  </si>
  <si>
    <t>P-2024-00872</t>
  </si>
  <si>
    <t>I-2024-00281</t>
  </si>
  <si>
    <t>P-2024-00873</t>
  </si>
  <si>
    <t>P-2024-00874</t>
  </si>
  <si>
    <t>P-2024-00875</t>
  </si>
  <si>
    <t>P-2024-00876</t>
  </si>
  <si>
    <t>P-2024-00878</t>
  </si>
  <si>
    <t>P-2024-00879</t>
  </si>
  <si>
    <t>P-2024-00880</t>
  </si>
  <si>
    <t>P-2024-00881</t>
  </si>
  <si>
    <t>P-2024-00882</t>
  </si>
  <si>
    <t>P-2024-00883</t>
  </si>
  <si>
    <t>P-2024-00884</t>
  </si>
  <si>
    <t>P-2024-00885</t>
  </si>
  <si>
    <t>P-2024-00886</t>
  </si>
  <si>
    <t>P-2024-00887</t>
  </si>
  <si>
    <t>I-2024-00282</t>
  </si>
  <si>
    <t>P-2024-00888</t>
  </si>
  <si>
    <t>I-2024-00283</t>
  </si>
  <si>
    <t>P-2024-00889</t>
  </si>
  <si>
    <t>P-2024-00890</t>
  </si>
  <si>
    <t>P-2024-00891</t>
  </si>
  <si>
    <t>P-2024-00892</t>
  </si>
  <si>
    <t>P-2024-00893</t>
  </si>
  <si>
    <t>P-2024-00894</t>
  </si>
  <si>
    <t>P-2024-00895</t>
  </si>
  <si>
    <t>P-2024-00896</t>
  </si>
  <si>
    <t>P-2024-00897</t>
  </si>
  <si>
    <t>P-2024-00898</t>
  </si>
  <si>
    <t>P-2024-00899</t>
  </si>
  <si>
    <t>I-2024-00284</t>
  </si>
  <si>
    <t>P-2024-00900</t>
  </si>
  <si>
    <t>I-2024-00285</t>
  </si>
  <si>
    <t>P-2024-00901</t>
  </si>
  <si>
    <t>I-2024-00286</t>
  </si>
  <si>
    <t>P-2024-00902</t>
  </si>
  <si>
    <t>P-2024-00903</t>
  </si>
  <si>
    <t>P-2024-00904</t>
  </si>
  <si>
    <t>P-2024-00905</t>
  </si>
  <si>
    <t>P-2024-00906</t>
  </si>
  <si>
    <t>P-2024-00907</t>
  </si>
  <si>
    <t>P-2024-00909</t>
  </si>
  <si>
    <t>I-2024-00287</t>
  </si>
  <si>
    <t>P-2024-00910</t>
  </si>
  <si>
    <t>I-2024-00288</t>
  </si>
  <si>
    <t>P-2024-00911</t>
  </si>
  <si>
    <t>P-2024-00912</t>
  </si>
  <si>
    <t>P-2024-00913</t>
  </si>
  <si>
    <t>P-2024-00914</t>
  </si>
  <si>
    <t>P-2024-00915</t>
  </si>
  <si>
    <t>P-2024-00917</t>
  </si>
  <si>
    <t>P-2024-00918</t>
  </si>
  <si>
    <t>P-2024-00919</t>
  </si>
  <si>
    <t>P-2024-00920</t>
  </si>
  <si>
    <t>P-2024-00921</t>
  </si>
  <si>
    <t>P-2024-00922</t>
  </si>
  <si>
    <t>P-2024-00923</t>
  </si>
  <si>
    <t>P-2024-00924</t>
  </si>
  <si>
    <t>P-2024-00925</t>
  </si>
  <si>
    <t>P-2024-00926</t>
  </si>
  <si>
    <t>I-2024-00289</t>
  </si>
  <si>
    <t>P-2024-00927</t>
  </si>
  <si>
    <t>I-2024-00290</t>
  </si>
  <si>
    <t>P-2024-00928</t>
  </si>
  <si>
    <t>P-2024-00929</t>
  </si>
  <si>
    <t>P-2024-00930</t>
  </si>
  <si>
    <t>P-2024-00931</t>
  </si>
  <si>
    <t>P-2024-00932</t>
  </si>
  <si>
    <t>P-2024-00933</t>
  </si>
  <si>
    <t>P-2024-00934</t>
  </si>
  <si>
    <t>P-2024-00935</t>
  </si>
  <si>
    <t>P-2024-00936</t>
  </si>
  <si>
    <t>P-2024-00937</t>
  </si>
  <si>
    <t>I-2024-00291</t>
  </si>
  <si>
    <t>P-2024-00938</t>
  </si>
  <si>
    <t>P-2024-00939</t>
  </si>
  <si>
    <t>P-2024-00940</t>
  </si>
  <si>
    <t>P-2024-00941</t>
  </si>
  <si>
    <t>P-2024-00942</t>
  </si>
  <si>
    <t>P-2024-00943</t>
  </si>
  <si>
    <t>P-2024-00944</t>
  </si>
  <si>
    <t>P-2024-00945</t>
  </si>
  <si>
    <t>P-2024-00946</t>
  </si>
  <si>
    <t>P-2024-00947</t>
  </si>
  <si>
    <t>P-2024-00948</t>
  </si>
  <si>
    <t>P-2024-00949</t>
  </si>
  <si>
    <t>P-2024-00950</t>
  </si>
  <si>
    <t>I-2024-00292</t>
  </si>
  <si>
    <t>P-2024-00951</t>
  </si>
  <si>
    <t>I-2024-00293</t>
  </si>
  <si>
    <t>P-2024-00952</t>
  </si>
  <si>
    <t>I-2024-00294</t>
  </si>
  <si>
    <t>P-2024-00953</t>
  </si>
  <si>
    <t>P-2024-00954</t>
  </si>
  <si>
    <t>P-2024-00955</t>
  </si>
  <si>
    <t>P-2024-00956</t>
  </si>
  <si>
    <t>P-2024-00957</t>
  </si>
  <si>
    <t>P-2024-00958</t>
  </si>
  <si>
    <t>P-2024-00960</t>
  </si>
  <si>
    <t>P-2024-00961</t>
  </si>
  <si>
    <t>P-2024-00962</t>
  </si>
  <si>
    <t>I-2024-00295</t>
  </si>
  <si>
    <t>P-2024-00963</t>
  </si>
  <si>
    <t>I-2024-00296</t>
  </si>
  <si>
    <t>P-2024-00964</t>
  </si>
  <si>
    <t>I-2024-00297</t>
  </si>
  <si>
    <t>P-2024-00965</t>
  </si>
  <si>
    <t>I-2024-00298</t>
  </si>
  <si>
    <t>P-2024-00966</t>
  </si>
  <si>
    <t>I-2024-00299</t>
  </si>
  <si>
    <t>P-2024-00967</t>
  </si>
  <si>
    <t>P-2024-00968</t>
  </si>
  <si>
    <t>P-2024-00969</t>
  </si>
  <si>
    <t>P-2024-00970</t>
  </si>
  <si>
    <t>P-2024-00971</t>
  </si>
  <si>
    <t>P-2024-00972</t>
  </si>
  <si>
    <t>P-2024-00973</t>
  </si>
  <si>
    <t>P-2024-00974</t>
  </si>
  <si>
    <t>P-2024-00975</t>
  </si>
  <si>
    <t>P-2024-00976</t>
  </si>
  <si>
    <t>I-2024-00300</t>
  </si>
  <si>
    <t>P-2024-00977</t>
  </si>
  <si>
    <t>I-2024-00301</t>
  </si>
  <si>
    <t>P-2024-00978</t>
  </si>
  <si>
    <t>P-2024-00979</t>
  </si>
  <si>
    <t>P-2024-00980</t>
  </si>
  <si>
    <t>P-2024-00981</t>
  </si>
  <si>
    <t>P-2024-00982</t>
  </si>
  <si>
    <t>I-2024-00302</t>
  </si>
  <si>
    <t>P-2024-00983</t>
  </si>
  <si>
    <t>I-2024-00303</t>
  </si>
  <si>
    <t>P-2024-00984</t>
  </si>
  <si>
    <t>I-2024-00304</t>
  </si>
  <si>
    <t>P-2024-00985</t>
  </si>
  <si>
    <t>P-2024-00986</t>
  </si>
  <si>
    <t>P-2024-00987</t>
  </si>
  <si>
    <t>P-2024-00988</t>
  </si>
  <si>
    <t>P-2024-00989</t>
  </si>
  <si>
    <t>P-2024-00990</t>
  </si>
  <si>
    <t>P-2024-00991</t>
  </si>
  <si>
    <t>P-2024-00992</t>
  </si>
  <si>
    <t>P-2024-00993</t>
  </si>
  <si>
    <t>P-2024-00994</t>
  </si>
  <si>
    <t>P-2024-00995</t>
  </si>
  <si>
    <t>P-2024-00996</t>
  </si>
  <si>
    <t>I-2024-00305</t>
  </si>
  <si>
    <t>P-2024-00997</t>
  </si>
  <si>
    <t>I-2024-00306</t>
  </si>
  <si>
    <t>P-2024-00998</t>
  </si>
  <si>
    <t>I-2024-00307</t>
  </si>
  <si>
    <t>P-2024-00999</t>
  </si>
  <si>
    <t>I-2024-00308</t>
  </si>
  <si>
    <t>P-2024-01000</t>
  </si>
  <si>
    <t>I-2024-00309</t>
  </si>
  <si>
    <t>P-2024-01001</t>
  </si>
  <si>
    <t>P-2024-01002</t>
  </si>
  <si>
    <t>P-2024-01005</t>
  </si>
  <si>
    <t>P-2024-01006</t>
  </si>
  <si>
    <t>P-2024-01007</t>
  </si>
  <si>
    <t>P-2024-01008</t>
  </si>
  <si>
    <t>I-2024-00310</t>
  </si>
  <si>
    <t>P-2024-01009</t>
  </si>
  <si>
    <t>I-2024-00311</t>
  </si>
  <si>
    <t>P-2024-01010</t>
  </si>
  <si>
    <t>I-2024-00312</t>
  </si>
  <si>
    <t>P-2024-01011</t>
  </si>
  <si>
    <t>P-2024-01012</t>
  </si>
  <si>
    <t>P-2024-01013</t>
  </si>
  <si>
    <t>P-2024-01014</t>
  </si>
  <si>
    <t>P-2024-01015</t>
  </si>
  <si>
    <t>P-2024-01016</t>
  </si>
  <si>
    <t>P-2024-01017</t>
  </si>
  <si>
    <t>P-2024-01018</t>
  </si>
  <si>
    <t>P-2024-01019</t>
  </si>
  <si>
    <t>P-2024-01020</t>
  </si>
  <si>
    <t>P-2024-01021</t>
  </si>
  <si>
    <t>P-2024-01022</t>
  </si>
  <si>
    <t>P-2024-01023</t>
  </si>
  <si>
    <t>P-2024-01024</t>
  </si>
  <si>
    <t>P-2024-01025</t>
  </si>
  <si>
    <t>I-2024-00313</t>
  </si>
  <si>
    <t>P-2024-01026</t>
  </si>
  <si>
    <t>I-2024-00314</t>
  </si>
  <si>
    <t>P-2024-01027</t>
  </si>
  <si>
    <t>I-2024-00315</t>
  </si>
  <si>
    <t>P-2024-01028</t>
  </si>
  <si>
    <t>I-2024-00316</t>
  </si>
  <si>
    <t>P-2024-01029</t>
  </si>
  <si>
    <t>I-2024-00317</t>
  </si>
  <si>
    <t>P-2024-01030</t>
  </si>
  <si>
    <t>I-2024-00318</t>
  </si>
  <si>
    <t>P-2024-01031</t>
  </si>
  <si>
    <t>I-2024-00319</t>
  </si>
  <si>
    <t>P-2024-01032</t>
  </si>
  <si>
    <t>I-2024-00320</t>
  </si>
  <si>
    <t>P-2024-01033</t>
  </si>
  <si>
    <t>I-2024-00321</t>
  </si>
  <si>
    <t>P-2024-01034</t>
  </si>
  <si>
    <t>P-2024-01035</t>
  </si>
  <si>
    <t>P-2024-01036</t>
  </si>
  <si>
    <t>P-2024-01037</t>
  </si>
  <si>
    <t>P-2024-01038</t>
  </si>
  <si>
    <t>P-2024-01039</t>
  </si>
  <si>
    <t>P-2024-01040</t>
  </si>
  <si>
    <t>P-2024-01041</t>
  </si>
  <si>
    <t>I-2024-00322</t>
  </si>
  <si>
    <t>P-2024-01042</t>
  </si>
  <si>
    <t>I-2024-00323</t>
  </si>
  <si>
    <t>P-2024-01043</t>
  </si>
  <si>
    <t>I-2024-00324</t>
  </si>
  <si>
    <t>P-2024-01044</t>
  </si>
  <si>
    <t>I-2024-00325</t>
  </si>
  <si>
    <t>P-2024-01045</t>
  </si>
  <si>
    <t>I-2024-00326</t>
  </si>
  <si>
    <t>P-2024-01046</t>
  </si>
  <si>
    <t>P-2024-01047</t>
  </si>
  <si>
    <t>P-2024-01048</t>
  </si>
  <si>
    <t>P-2024-01049</t>
  </si>
  <si>
    <t>P-2024-01050</t>
  </si>
  <si>
    <t>I-2024-00327</t>
  </si>
  <si>
    <t>P-2024-01051</t>
  </si>
  <si>
    <t>I-2024-00328</t>
  </si>
  <si>
    <t>P-2024-01052</t>
  </si>
  <si>
    <t>I-2024-00329</t>
  </si>
  <si>
    <t>P-2024-01053</t>
  </si>
  <si>
    <t>I-2024-00330</t>
  </si>
  <si>
    <t>P-2024-01054</t>
  </si>
  <si>
    <t>I-2024-00331</t>
  </si>
  <si>
    <t>P-2024-01055</t>
  </si>
  <si>
    <t>I-2024-00332</t>
  </si>
  <si>
    <t>P-2024-01056</t>
  </si>
  <si>
    <t>P-2024-01057</t>
  </si>
  <si>
    <t>P-2024-01058</t>
  </si>
  <si>
    <t>P-2024-01059</t>
  </si>
  <si>
    <t>P-2024-01060</t>
  </si>
  <si>
    <t>P-2024-01061</t>
  </si>
  <si>
    <t>P-2024-01062</t>
  </si>
  <si>
    <t>P-2024-01063</t>
  </si>
  <si>
    <t>P-2024-01064</t>
  </si>
  <si>
    <t>I-2024-00333</t>
  </si>
  <si>
    <t>P-2024-01065</t>
  </si>
  <si>
    <t>I-2024-00334</t>
  </si>
  <si>
    <t>P-2024-01066</t>
  </si>
  <si>
    <t>P-2024-01067</t>
  </si>
  <si>
    <t>P-2024-01068</t>
  </si>
  <si>
    <t>P-2024-01069</t>
  </si>
  <si>
    <t>P-2024-01070</t>
  </si>
  <si>
    <t>P-2024-01071</t>
  </si>
  <si>
    <t>P-2024-01073</t>
  </si>
  <si>
    <t>P-2024-01074</t>
  </si>
  <si>
    <t>P-2024-01075</t>
  </si>
  <si>
    <t>I-2024-00335</t>
  </si>
  <si>
    <t>P-2024-01076</t>
  </si>
  <si>
    <t>I-2024-00336</t>
  </si>
  <si>
    <t>P-2024-01077</t>
  </si>
  <si>
    <t>P-2024-01078</t>
  </si>
  <si>
    <t>P-2024-01079</t>
  </si>
  <si>
    <t>P-2024-01080</t>
  </si>
  <si>
    <t>P-2024-01081</t>
  </si>
  <si>
    <t>P-2024-01082</t>
  </si>
  <si>
    <t>P-2024-01083</t>
  </si>
  <si>
    <t>P-2024-01084</t>
  </si>
  <si>
    <t>I-2024-00337</t>
  </si>
  <si>
    <t>P-2024-01085</t>
  </si>
  <si>
    <t>I-2024-00338</t>
  </si>
  <si>
    <t>P-2024-01086</t>
  </si>
  <si>
    <t>I-2024-00339</t>
  </si>
  <si>
    <t>P-2024-01087</t>
  </si>
  <si>
    <t>I-2024-00340</t>
  </si>
  <si>
    <t>P-2024-01088</t>
  </si>
  <si>
    <t>P-2024-01089</t>
  </si>
  <si>
    <t>P-2024-01090</t>
  </si>
  <si>
    <t>P-2024-01091</t>
  </si>
  <si>
    <t>P-2024-01092</t>
  </si>
  <si>
    <t>P-2024-01093</t>
  </si>
  <si>
    <t>P-2024-01094</t>
  </si>
  <si>
    <t>P-2024-01095</t>
  </si>
  <si>
    <t>P-2024-01096</t>
  </si>
  <si>
    <t>P-2024-01097</t>
  </si>
  <si>
    <t>P-2024-01099</t>
  </si>
  <si>
    <t>I-2024-00342</t>
  </si>
  <si>
    <t>P-2024-01100</t>
  </si>
  <si>
    <t>I-2024-00343</t>
  </si>
  <si>
    <t>P-2024-01101</t>
  </si>
  <si>
    <t>I-2024-00344</t>
  </si>
  <si>
    <t>P-2024-01102</t>
  </si>
  <si>
    <t>I-2024-00345</t>
  </si>
  <si>
    <t>P-2024-01103</t>
  </si>
  <si>
    <t>I-2024-00346</t>
  </si>
  <si>
    <t>P-2024-01104</t>
  </si>
  <si>
    <t>P-2024-01105</t>
  </si>
  <si>
    <t>P-2024-01106</t>
  </si>
  <si>
    <t>P-2024-01107</t>
  </si>
  <si>
    <t>P-2024-01108</t>
  </si>
  <si>
    <t>P-2024-01109</t>
  </si>
  <si>
    <t>P-2024-01110</t>
  </si>
  <si>
    <t>P-2024-01111</t>
  </si>
  <si>
    <t>P-2024-01112</t>
  </si>
  <si>
    <t>P-2024-01113</t>
  </si>
  <si>
    <t>P-2024-01114</t>
  </si>
  <si>
    <t>P-2024-01115</t>
  </si>
  <si>
    <t>P-2024-01116</t>
  </si>
  <si>
    <t>P-2024-01117</t>
  </si>
  <si>
    <t>P-2024-01118</t>
  </si>
  <si>
    <t>P-2024-01119</t>
  </si>
  <si>
    <t>P-2024-01120</t>
  </si>
  <si>
    <t>P-2024-01121</t>
  </si>
  <si>
    <t>P-2024-01122</t>
  </si>
  <si>
    <t>P-2024-01123</t>
  </si>
  <si>
    <t>P-2024-01124</t>
  </si>
  <si>
    <t>P-2024-01125</t>
  </si>
  <si>
    <t>I-2024-00347</t>
  </si>
  <si>
    <t>P-2024-01126</t>
  </si>
  <si>
    <t>I-2024-00348</t>
  </si>
  <si>
    <t>P-2024-01127</t>
  </si>
  <si>
    <t>I-2024-00349</t>
  </si>
  <si>
    <t>P-2024-01128</t>
  </si>
  <si>
    <t>P-2024-01129</t>
  </si>
  <si>
    <t>P-2024-01130</t>
  </si>
  <si>
    <t>P-2024-01131</t>
  </si>
  <si>
    <t>P-2024-01132</t>
  </si>
  <si>
    <t>P-2024-01133</t>
  </si>
  <si>
    <t>P-2024-01134</t>
  </si>
  <si>
    <t>P-2024-01135</t>
  </si>
  <si>
    <t>P-2024-01136</t>
  </si>
  <si>
    <t>P-2024-01137</t>
  </si>
  <si>
    <t>P-2024-01138</t>
  </si>
  <si>
    <t>P-2024-01139</t>
  </si>
  <si>
    <t>P-2024-01140</t>
  </si>
  <si>
    <t>I-2024-00350</t>
  </si>
  <si>
    <t>P-2024-01141</t>
  </si>
  <si>
    <t>I-2024-00351</t>
  </si>
  <si>
    <t>P-2024-01142</t>
  </si>
  <si>
    <t>I-2024-00352</t>
  </si>
  <si>
    <t>I-2024-00353</t>
  </si>
  <si>
    <t>P-2024-01144</t>
  </si>
  <si>
    <t>I-2024-00354</t>
  </si>
  <si>
    <t>P-2024-01145</t>
  </si>
  <si>
    <t>I-2024-00355</t>
  </si>
  <si>
    <t>P-2024-01146</t>
  </si>
  <si>
    <t>P-2024-01147</t>
  </si>
  <si>
    <t>P-2024-01148</t>
  </si>
  <si>
    <t>P-2024-01149</t>
  </si>
  <si>
    <t>P-2024-01150</t>
  </si>
  <si>
    <t>P-2024-01151</t>
  </si>
  <si>
    <t>P-2024-01152</t>
  </si>
  <si>
    <t>P-2024-01153</t>
  </si>
  <si>
    <t>P-2024-01154</t>
  </si>
  <si>
    <t>P-2024-01155</t>
  </si>
  <si>
    <t>P-2024-01156</t>
  </si>
  <si>
    <t>P-2024-01157</t>
  </si>
  <si>
    <t>I-2024-00356</t>
  </si>
  <si>
    <t>P-2024-01158</t>
  </si>
  <si>
    <t>I-2024-00357</t>
  </si>
  <si>
    <t>P-2024-01159</t>
  </si>
  <si>
    <t>I-2024-00358</t>
  </si>
  <si>
    <t>P-2024-01160</t>
  </si>
  <si>
    <t>P-2024-01161</t>
  </si>
  <si>
    <t>P-2024-01162</t>
  </si>
  <si>
    <t>P-2024-01163</t>
  </si>
  <si>
    <t>I-2024-00359</t>
  </si>
  <si>
    <t>P-2024-01164</t>
  </si>
  <si>
    <t>P-2024-01165</t>
  </si>
  <si>
    <t>P-2024-01166</t>
  </si>
  <si>
    <t>P-2024-01167</t>
  </si>
  <si>
    <t>P-2024-01169</t>
  </si>
  <si>
    <t>P-2024-01170</t>
  </si>
  <si>
    <t>P-2024-01171</t>
  </si>
  <si>
    <t>P-2024-01172</t>
  </si>
  <si>
    <t>P-2024-01173</t>
  </si>
  <si>
    <t>I-2024-00360</t>
  </si>
  <si>
    <t>P-2024-01174</t>
  </si>
  <si>
    <t>I-2024-00361</t>
  </si>
  <si>
    <t>P-2024-01175</t>
  </si>
  <si>
    <t>I-2024-00362</t>
  </si>
  <si>
    <t>P-2024-01176</t>
  </si>
  <si>
    <t>I-2024-00363</t>
  </si>
  <si>
    <t>P-2024-01177</t>
  </si>
  <si>
    <t>I-2024-00364</t>
  </si>
  <si>
    <t>P-2024-01178</t>
  </si>
  <si>
    <t>I-2024-00365</t>
  </si>
  <si>
    <t>P-2024-01179</t>
  </si>
  <si>
    <t>P-2024-01180</t>
  </si>
  <si>
    <t>P-2024-01181</t>
  </si>
  <si>
    <t>P-2024-01183</t>
  </si>
  <si>
    <t>P-2024-01184</t>
  </si>
  <si>
    <t>P-2024-01185</t>
  </si>
  <si>
    <t>P-2024-01187</t>
  </si>
  <si>
    <t>P-2024-01188</t>
  </si>
  <si>
    <t>I-2024-00366</t>
  </si>
  <si>
    <t>P-2024-01189</t>
  </si>
  <si>
    <t>I-2024-00367</t>
  </si>
  <si>
    <t>P-2024-01190</t>
  </si>
  <si>
    <t>I-2024-00368</t>
  </si>
  <si>
    <t>P-2024-01191</t>
  </si>
  <si>
    <t>I-2024-00369</t>
  </si>
  <si>
    <t>P-2024-01192</t>
  </si>
  <si>
    <t>I-2024-00370</t>
  </si>
  <si>
    <t>P-2024-01193</t>
  </si>
  <si>
    <t>I-2024-00371</t>
  </si>
  <si>
    <t>P-2024-01194</t>
  </si>
  <si>
    <t>I-2024-00372</t>
  </si>
  <si>
    <t>P-2024-01195</t>
  </si>
  <si>
    <t>I-2024-00373</t>
  </si>
  <si>
    <t>P-2024-01196</t>
  </si>
  <si>
    <t>I-2024-00374</t>
  </si>
  <si>
    <t>P-2024-01197</t>
  </si>
  <si>
    <t>P-2024-01198</t>
  </si>
  <si>
    <t>P-2024-01199</t>
  </si>
  <si>
    <t>P-2024-01200</t>
  </si>
  <si>
    <t>P-2024-01201</t>
  </si>
  <si>
    <t>P-2024-01202</t>
  </si>
  <si>
    <t>P-2024-01203</t>
  </si>
  <si>
    <t>P-2024-01204</t>
  </si>
  <si>
    <t>P-2024-01205</t>
  </si>
  <si>
    <t>P-2024-01206</t>
  </si>
  <si>
    <t>P-2024-01207</t>
  </si>
  <si>
    <t>P-2024-01208</t>
  </si>
  <si>
    <t>P-2024-01209</t>
  </si>
  <si>
    <t>I-2024-00375</t>
  </si>
  <si>
    <t>P-2024-01210</t>
  </si>
  <si>
    <t>I-2024-00376</t>
  </si>
  <si>
    <t>P-2024-01211</t>
  </si>
  <si>
    <t>I-2024-00377</t>
  </si>
  <si>
    <t>P-2024-01212</t>
  </si>
  <si>
    <t>I-2024-00378</t>
  </si>
  <si>
    <t>P-2024-01213</t>
  </si>
  <si>
    <t>I-2024-00379</t>
  </si>
  <si>
    <t>P-2024-01214</t>
  </si>
  <si>
    <t>I-2024-00380</t>
  </si>
  <si>
    <t>P-2024-01215</t>
  </si>
  <si>
    <t>P-2024-01216</t>
  </si>
  <si>
    <t>P-2024-01217</t>
  </si>
  <si>
    <t>P-2024-01218</t>
  </si>
  <si>
    <t>P-2024-01219</t>
  </si>
  <si>
    <t>P-2024-01220</t>
  </si>
  <si>
    <t>P-2024-01221</t>
  </si>
  <si>
    <t>P-2024-01222</t>
  </si>
  <si>
    <t>P-2024-01223</t>
  </si>
  <si>
    <t>I-2024-00381</t>
  </si>
  <si>
    <t>P-2024-01224</t>
  </si>
  <si>
    <t>I-2024-00382</t>
  </si>
  <si>
    <t>P-2024-01225</t>
  </si>
  <si>
    <t>I-2024-00383</t>
  </si>
  <si>
    <t>P-2024-01226</t>
  </si>
  <si>
    <t>I-2024-00384</t>
  </si>
  <si>
    <t>P-2024-01227</t>
  </si>
  <si>
    <t>I-2024-00385</t>
  </si>
  <si>
    <t>P-2024-01228</t>
  </si>
  <si>
    <t>I-2024-00386</t>
  </si>
  <si>
    <t>P-2024-01229</t>
  </si>
  <si>
    <t>I-2024-00387</t>
  </si>
  <si>
    <t>P-2024-01230</t>
  </si>
  <si>
    <t>I-2024-00388</t>
  </si>
  <si>
    <t>P-2024-01231</t>
  </si>
  <si>
    <t>I-2024-00389</t>
  </si>
  <si>
    <t>P-2024-01233</t>
  </si>
  <si>
    <t>P-2024-01234</t>
  </si>
  <si>
    <t>P-2024-01235</t>
  </si>
  <si>
    <t>P-2024-01236</t>
  </si>
  <si>
    <t>P-2024-01238</t>
  </si>
  <si>
    <t>P-2024-01239</t>
  </si>
  <si>
    <t>P-2024-01240</t>
  </si>
  <si>
    <t>P-2024-01241</t>
  </si>
  <si>
    <t>P-2024-01242</t>
  </si>
  <si>
    <t>P-2024-01243</t>
  </si>
  <si>
    <t>P-2024-01244</t>
  </si>
  <si>
    <t>I-2024-00390</t>
  </si>
  <si>
    <t>P-2024-01245</t>
  </si>
  <si>
    <t>I-2024-00391</t>
  </si>
  <si>
    <t>P-2024-01246</t>
  </si>
  <si>
    <t>I-2024-00392</t>
  </si>
  <si>
    <t>P-2024-01247</t>
  </si>
  <si>
    <t>I-2024-00393</t>
  </si>
  <si>
    <t>P-2024-01248</t>
  </si>
  <si>
    <t>I-2024-00394</t>
  </si>
  <si>
    <t>P-2024-01249</t>
  </si>
  <si>
    <t>I-2024-00395</t>
  </si>
  <si>
    <t>P-2024-01250</t>
  </si>
  <si>
    <t>P-2024-01251</t>
  </si>
  <si>
    <t>P-2024-01252</t>
  </si>
  <si>
    <t>P-2024-01253</t>
  </si>
  <si>
    <t>P-2024-01254</t>
  </si>
  <si>
    <t>P-2024-01255</t>
  </si>
  <si>
    <t>P-2024-01256</t>
  </si>
  <si>
    <t>P-2024-01257</t>
  </si>
  <si>
    <t>P-2024-01258</t>
  </si>
  <si>
    <t>P-2024-01259</t>
  </si>
  <si>
    <t>P-2024-01260</t>
  </si>
  <si>
    <t>P-2024-01261</t>
  </si>
  <si>
    <t>P-2024-01262</t>
  </si>
  <si>
    <t>I-2024-00396</t>
  </si>
  <si>
    <t>P-2024-01263</t>
  </si>
  <si>
    <t>I-2024-00397</t>
  </si>
  <si>
    <t>P-2024-01264</t>
  </si>
  <si>
    <t>I-2024-00398</t>
  </si>
  <si>
    <t>P-2024-01265</t>
  </si>
  <si>
    <t>I-2024-00399</t>
  </si>
  <si>
    <t>P-2024-01266</t>
  </si>
  <si>
    <t>I-2024-00400</t>
  </si>
  <si>
    <t>P-2024-01267</t>
  </si>
  <si>
    <t>P-2024-01268</t>
  </si>
  <si>
    <t>P-2024-01269</t>
  </si>
  <si>
    <t>P-2024-01270</t>
  </si>
  <si>
    <t>P-2024-01271</t>
  </si>
  <si>
    <t>P-2024-01272</t>
  </si>
  <si>
    <t>I-2024-00401</t>
  </si>
  <si>
    <t>P-2024-01273</t>
  </si>
  <si>
    <t>I-2024-00402</t>
  </si>
  <si>
    <t>P-2024-01274</t>
  </si>
  <si>
    <t>I-2024-00403</t>
  </si>
  <si>
    <t>P-2024-01275</t>
  </si>
  <si>
    <t>P-2024-01276</t>
  </si>
  <si>
    <t>P-2024-01277</t>
  </si>
  <si>
    <t>P-2024-01278</t>
  </si>
  <si>
    <t>P-2024-01279</t>
  </si>
  <si>
    <t>P-2024-01280</t>
  </si>
  <si>
    <t>P-2024-01281</t>
  </si>
  <si>
    <t>P-2024-01282</t>
  </si>
  <si>
    <t>I-2024-00404</t>
  </si>
  <si>
    <t>P-2024-01283</t>
  </si>
  <si>
    <t>I-2024-00405</t>
  </si>
  <si>
    <t>P-2024-01284</t>
  </si>
  <si>
    <t>I-2024-00406</t>
  </si>
  <si>
    <t>P-2024-01285</t>
  </si>
  <si>
    <t>P-2024-01286</t>
  </si>
  <si>
    <t>P-2024-01287</t>
  </si>
  <si>
    <t>P-2024-01288</t>
  </si>
  <si>
    <t>P-2024-01289</t>
  </si>
  <si>
    <t>P-2024-01290</t>
  </si>
  <si>
    <t>P-2024-01291</t>
  </si>
  <si>
    <t>P-2024-01292</t>
  </si>
  <si>
    <t>P-2024-01293</t>
  </si>
  <si>
    <t>P-2024-01294</t>
  </si>
  <si>
    <t>P-2024-01295</t>
  </si>
  <si>
    <t>P-2024-01296</t>
  </si>
  <si>
    <t>P-2024-01297</t>
  </si>
  <si>
    <t>P-2024-01298</t>
  </si>
  <si>
    <t>P-2024-01300</t>
  </si>
  <si>
    <t>P-2024-01301</t>
  </si>
  <si>
    <t>I-2024-00407</t>
  </si>
  <si>
    <t>P-2024-01302</t>
  </si>
  <si>
    <t>P-2024-01303</t>
  </si>
  <si>
    <t>P-2024-01304</t>
  </si>
  <si>
    <t>P-2024-01305</t>
  </si>
  <si>
    <t>P-2024-01306</t>
  </si>
  <si>
    <t>P-2024-01307</t>
  </si>
  <si>
    <t>P-2024-01308</t>
  </si>
  <si>
    <t>P-2024-01309</t>
  </si>
  <si>
    <t>I-2024-00408</t>
  </si>
  <si>
    <t>P-2024-01310</t>
  </si>
  <si>
    <t>I-2024-00409</t>
  </si>
  <si>
    <t>P-2024-01311</t>
  </si>
  <si>
    <t>I-2024-00410</t>
  </si>
  <si>
    <t>P-2024-01312</t>
  </si>
  <si>
    <t>I-2024-00411</t>
  </si>
  <si>
    <t>P-2024-01313</t>
  </si>
  <si>
    <t>I-2024-00412</t>
  </si>
  <si>
    <t>P-2024-01314</t>
  </si>
  <si>
    <t>I-2024-00413</t>
  </si>
  <si>
    <t>P-2024-01315</t>
  </si>
  <si>
    <t>I-2024-00414</t>
  </si>
  <si>
    <t>P-2024-01316</t>
  </si>
  <si>
    <t>P-2024-01317</t>
  </si>
  <si>
    <t>P-2024-01318</t>
  </si>
  <si>
    <t>P-2024-01319</t>
  </si>
  <si>
    <t>P-2024-01321</t>
  </si>
  <si>
    <t>P-2024-01322</t>
  </si>
  <si>
    <t>P-2024-01323</t>
  </si>
  <si>
    <t>P-2024-01324</t>
  </si>
  <si>
    <t>P-2024-01325</t>
  </si>
  <si>
    <t>P-2024-01326</t>
  </si>
  <si>
    <t>P-2024-01327</t>
  </si>
  <si>
    <t>P-2024-01328</t>
  </si>
  <si>
    <t>P-2024-01329</t>
  </si>
  <si>
    <t>P-2024-01330</t>
  </si>
  <si>
    <t>I-2024-00415</t>
  </si>
  <si>
    <t>P-2024-01331</t>
  </si>
  <si>
    <t>I-2024-00416</t>
  </si>
  <si>
    <t>P-2024-01332</t>
  </si>
  <si>
    <t>I-2024-00417</t>
  </si>
  <si>
    <t>P-2024-01333</t>
  </si>
  <si>
    <t>I-2024-00418</t>
  </si>
  <si>
    <t>P-2024-01334</t>
  </si>
  <si>
    <t>I-2024-00419</t>
  </si>
  <si>
    <t>P-2024-01335</t>
  </si>
  <si>
    <t>P-2024-01336</t>
  </si>
  <si>
    <t>P-2024-01337</t>
  </si>
  <si>
    <t>P-2024-01338</t>
  </si>
  <si>
    <t>P-2024-01339</t>
  </si>
  <si>
    <t>P-2024-01340</t>
  </si>
  <si>
    <t>P-2024-01341</t>
  </si>
  <si>
    <t>P-2024-01342</t>
  </si>
  <si>
    <t>P-2024-01343</t>
  </si>
  <si>
    <t>I-2024-00420</t>
  </si>
  <si>
    <t>P-2024-01344</t>
  </si>
  <si>
    <t>I-2024-00421</t>
  </si>
  <si>
    <t>P-2024-01345</t>
  </si>
  <si>
    <t>I-2024-00422</t>
  </si>
  <si>
    <t>P-2024-01346</t>
  </si>
  <si>
    <t>I-2024-00423</t>
  </si>
  <si>
    <t>P-2024-01347</t>
  </si>
  <si>
    <t>I-2024-00424</t>
  </si>
  <si>
    <t>P-2024-01348</t>
  </si>
  <si>
    <t>I-2024-00425</t>
  </si>
  <si>
    <t>P-2024-01349</t>
  </si>
  <si>
    <t>I-2024-00426</t>
  </si>
  <si>
    <t>P-2024-01350</t>
  </si>
  <si>
    <t>I-2024-00427</t>
  </si>
  <si>
    <t>P-2024-01351</t>
  </si>
  <si>
    <t>P-2024-01352</t>
  </si>
  <si>
    <t>P-2024-01353</t>
  </si>
  <si>
    <t>P-2024-01354</t>
  </si>
  <si>
    <t>P-2024-01355</t>
  </si>
  <si>
    <t>P-2024-01356</t>
  </si>
  <si>
    <t>P-2024-01357</t>
  </si>
  <si>
    <t>P-2024-01358</t>
  </si>
  <si>
    <t>I-2024-00428</t>
  </si>
  <si>
    <t>P-2024-01359</t>
  </si>
  <si>
    <t>I-2024-00429</t>
  </si>
  <si>
    <t>P-2024-01361</t>
  </si>
  <si>
    <t>P-2024-01362</t>
  </si>
  <si>
    <t>P-2024-01363</t>
  </si>
  <si>
    <t>P-2024-01364</t>
  </si>
  <si>
    <t>P-2024-01365</t>
  </si>
  <si>
    <t>P-2024-01366</t>
  </si>
  <si>
    <t>P-2024-01367</t>
  </si>
  <si>
    <t>I-2024-00430</t>
  </si>
  <si>
    <t>P-2024-01368</t>
  </si>
  <si>
    <t>I-2024-00431</t>
  </si>
  <si>
    <t>P-2024-01369</t>
  </si>
  <si>
    <t>I-2024-00432</t>
  </si>
  <si>
    <t>P-2024-01370</t>
  </si>
  <si>
    <t>I-2024-00433</t>
  </si>
  <si>
    <t>P-2024-01371</t>
  </si>
  <si>
    <t>I-2024-00434</t>
  </si>
  <si>
    <t>P-2024-01372</t>
  </si>
  <si>
    <t>P-2024-01373</t>
  </si>
  <si>
    <t>P-2024-01374</t>
  </si>
  <si>
    <t>P-2024-01375</t>
  </si>
  <si>
    <t>P-2024-01376</t>
  </si>
  <si>
    <t>P-2024-01377</t>
  </si>
  <si>
    <t>I-2024-00435</t>
  </si>
  <si>
    <t>P-2024-01378</t>
  </si>
  <si>
    <t>I-2024-00436</t>
  </si>
  <si>
    <t>P-2024-01379</t>
  </si>
  <si>
    <t>I-2024-00437</t>
  </si>
  <si>
    <t>P-2024-01380</t>
  </si>
  <si>
    <t>I-2024-00438</t>
  </si>
  <si>
    <t>P-2024-01381</t>
  </si>
  <si>
    <t>P-2024-01382</t>
  </si>
  <si>
    <t>P-2024-01383</t>
  </si>
  <si>
    <t>P-2024-01384</t>
  </si>
  <si>
    <t>P-2024-01385</t>
  </si>
  <si>
    <t>P-2024-01386</t>
  </si>
  <si>
    <t>P-2024-01387</t>
  </si>
  <si>
    <t>P-2024-01388</t>
  </si>
  <si>
    <t>P-2024-01389</t>
  </si>
  <si>
    <t>I-2024-00439</t>
  </si>
  <si>
    <t>P-2024-01390</t>
  </si>
  <si>
    <t>I-2024-00440</t>
  </si>
  <si>
    <t>P-2024-01391</t>
  </si>
  <si>
    <t>I-2024-00441</t>
  </si>
  <si>
    <t>P-2024-01392</t>
  </si>
  <si>
    <t>I-2024-00442</t>
  </si>
  <si>
    <t>P-2024-01393</t>
  </si>
  <si>
    <t>I-2024-00443</t>
  </si>
  <si>
    <t>P-2024-01394</t>
  </si>
  <si>
    <t>I-2024-00444</t>
  </si>
  <si>
    <t>P-2024-01395</t>
  </si>
  <si>
    <t>P-2024-01396</t>
  </si>
  <si>
    <t>P-2024-01397</t>
  </si>
  <si>
    <t>P-2024-01398</t>
  </si>
  <si>
    <t>P-2024-01399</t>
  </si>
  <si>
    <t>P-2024-01400</t>
  </si>
  <si>
    <t>P-2024-01401</t>
  </si>
  <si>
    <t>P-2024-01402</t>
  </si>
  <si>
    <t>P-2024-01403</t>
  </si>
  <si>
    <t>P-2024-01404</t>
  </si>
  <si>
    <t>P-2024-01405</t>
  </si>
  <si>
    <t>P-2024-01406</t>
  </si>
  <si>
    <t>P-2024-01407</t>
  </si>
  <si>
    <t>P-2024-01408</t>
  </si>
  <si>
    <t>P-2024-01409</t>
  </si>
  <si>
    <t>P-2024-01410</t>
  </si>
  <si>
    <t>P-2024-01411</t>
  </si>
  <si>
    <t>P-2024-01412</t>
  </si>
  <si>
    <t>P-2024-01413</t>
  </si>
  <si>
    <t>I-2024-00445</t>
  </si>
  <si>
    <t>P-2024-01414</t>
  </si>
  <si>
    <t>I-2024-00446</t>
  </si>
  <si>
    <t>P-2024-01415</t>
  </si>
  <si>
    <t>I-2024-00447</t>
  </si>
  <si>
    <t>P-2024-01416</t>
  </si>
  <si>
    <t>I-2024-00448</t>
  </si>
  <si>
    <t>P-2024-01417</t>
  </si>
  <si>
    <t>P-2024-01418</t>
  </si>
  <si>
    <t>P-2024-01419</t>
  </si>
  <si>
    <t>P-2024-01420</t>
  </si>
  <si>
    <t>P-2024-01421</t>
  </si>
  <si>
    <t>P-2024-01422</t>
  </si>
  <si>
    <t>P-2024-01423</t>
  </si>
  <si>
    <t>P-2024-01424</t>
  </si>
  <si>
    <t>I-2024-00449</t>
  </si>
  <si>
    <t>P-2024-01425</t>
  </si>
  <si>
    <t>I-2024-00450</t>
  </si>
  <si>
    <t>P-2024-01426</t>
  </si>
  <si>
    <t>I-2024-00451</t>
  </si>
  <si>
    <t>P-2024-01427</t>
  </si>
  <si>
    <t>I-2024-00452</t>
  </si>
  <si>
    <t>P-2024-01428</t>
  </si>
  <si>
    <t>P-2024-01429</t>
  </si>
  <si>
    <t>P-2024-01430</t>
  </si>
  <si>
    <t>P-2024-01431</t>
  </si>
  <si>
    <t>I-2024-00453</t>
  </si>
  <si>
    <t>P-2024-01432</t>
  </si>
  <si>
    <t>I-2024-00454</t>
  </si>
  <si>
    <t>P-2024-01433</t>
  </si>
  <si>
    <t>P-2024-01434</t>
  </si>
  <si>
    <t>P-2024-01435</t>
  </si>
  <si>
    <t>P-2024-01436</t>
  </si>
  <si>
    <t>P-2024-01437</t>
  </si>
  <si>
    <t>P-2024-01438</t>
  </si>
  <si>
    <t>P-2024-01439</t>
  </si>
  <si>
    <t>P-2024-01441</t>
  </si>
  <si>
    <t>P-2024-01442</t>
  </si>
  <si>
    <t>I-2024-00455</t>
  </si>
  <si>
    <t>P-2024-01443</t>
  </si>
  <si>
    <t>I-2024-00456</t>
  </si>
  <si>
    <t>P-2024-01444</t>
  </si>
  <si>
    <t>I-2024-00457</t>
  </si>
  <si>
    <t>P-2024-01445</t>
  </si>
  <si>
    <t>P-2024-01446</t>
  </si>
  <si>
    <t>P-2024-01447</t>
  </si>
  <si>
    <t>P-2024-01448</t>
  </si>
  <si>
    <t>P-2024-01449</t>
  </si>
  <si>
    <t>P-2024-01450</t>
  </si>
  <si>
    <t>P-2024-01451</t>
  </si>
  <si>
    <t>P-2024-01452</t>
  </si>
  <si>
    <t>I-2024-00458</t>
  </si>
  <si>
    <t>P-2024-01453</t>
  </si>
  <si>
    <t>I-2024-00459</t>
  </si>
  <si>
    <t>P-2024-01454</t>
  </si>
  <si>
    <t>P-2024-01455</t>
  </si>
  <si>
    <t>P-2024-01456</t>
  </si>
  <si>
    <t>P-2024-01457</t>
  </si>
  <si>
    <t>P-2024-01458</t>
  </si>
  <si>
    <t>P-2024-01459</t>
  </si>
  <si>
    <t>P-2024-01460</t>
  </si>
  <si>
    <t>P-2024-01461</t>
  </si>
  <si>
    <t>P-2024-01462</t>
  </si>
  <si>
    <t>P-2024-01463</t>
  </si>
  <si>
    <t>P-2024-01464</t>
  </si>
  <si>
    <t>P-2024-01465</t>
  </si>
  <si>
    <t>P-2024-01466</t>
  </si>
  <si>
    <t>P-2024-01467</t>
  </si>
  <si>
    <t>P-2024-01468</t>
  </si>
  <si>
    <t>I-2024-00460</t>
  </si>
  <si>
    <t>P-2024-01469</t>
  </si>
  <si>
    <t>I-2024-00461</t>
  </si>
  <si>
    <t>P-2024-01470</t>
  </si>
  <si>
    <t>I-2024-00462</t>
  </si>
  <si>
    <t>P-2024-01471</t>
  </si>
  <si>
    <t>I-2024-00463</t>
  </si>
  <si>
    <t>P-2024-01472</t>
  </si>
  <si>
    <t>I-2024-00464</t>
  </si>
  <si>
    <t>P-2024-01473</t>
  </si>
  <si>
    <t>I-2024-00465</t>
  </si>
  <si>
    <t>P-2024-01474</t>
  </si>
  <si>
    <t>P-2024-01475</t>
  </si>
  <si>
    <t>P-2024-01476</t>
  </si>
  <si>
    <t>P-2024-01477</t>
  </si>
  <si>
    <t>P-2024-01478</t>
  </si>
  <si>
    <t>P-2024-01479</t>
  </si>
  <si>
    <t>P-2024-01480</t>
  </si>
  <si>
    <t>I-2024-00466</t>
  </si>
  <si>
    <t>P-2024-01481</t>
  </si>
  <si>
    <t>I-2024-00467</t>
  </si>
  <si>
    <t>P-2024-01482</t>
  </si>
  <si>
    <t>I-2024-00468</t>
  </si>
  <si>
    <t>P-2024-01483</t>
  </si>
  <si>
    <t>I-2024-00469</t>
  </si>
  <si>
    <t>P-2024-01484</t>
  </si>
  <si>
    <t>I-2024-00470</t>
  </si>
  <si>
    <t>P-2024-01485</t>
  </si>
  <si>
    <t>I-2024-00471</t>
  </si>
  <si>
    <t>P-2024-01486</t>
  </si>
  <si>
    <t>I-2024-00472</t>
  </si>
  <si>
    <t>P-2024-01487</t>
  </si>
  <si>
    <t>P-2024-01488</t>
  </si>
  <si>
    <t>P-2024-01489</t>
  </si>
  <si>
    <t>P-2024-01490</t>
  </si>
  <si>
    <t>P-2024-01491</t>
  </si>
  <si>
    <t>P-2024-01492</t>
  </si>
  <si>
    <t>P-2024-01493</t>
  </si>
  <si>
    <t>P-2024-01494</t>
  </si>
  <si>
    <t>P-2024-01495</t>
  </si>
  <si>
    <t>P-2024-01496</t>
  </si>
  <si>
    <t>P-2024-01497</t>
  </si>
  <si>
    <t>I-2024-00473</t>
  </si>
  <si>
    <t>P-2024-01498</t>
  </si>
  <si>
    <t>I-2024-00474</t>
  </si>
  <si>
    <t>P-2024-01499</t>
  </si>
  <si>
    <t>I-2024-00475</t>
  </si>
  <si>
    <t>P-2024-01500</t>
  </si>
  <si>
    <t>P-2024-01502</t>
  </si>
  <si>
    <t>P-2024-01503</t>
  </si>
  <si>
    <t>P-2024-01504</t>
  </si>
  <si>
    <t>P-2024-01505</t>
  </si>
  <si>
    <t>P-2024-01506</t>
  </si>
  <si>
    <t>I-2024-00476</t>
  </si>
  <si>
    <t>P-2024-01507</t>
  </si>
  <si>
    <t>P-2024-01508</t>
  </si>
  <si>
    <t>P-2024-01509</t>
  </si>
  <si>
    <t>P-2024-01510</t>
  </si>
  <si>
    <t>P-2024-01511</t>
  </si>
  <si>
    <t>P-2024-01512</t>
  </si>
  <si>
    <t>P-2024-01513</t>
  </si>
  <si>
    <t>P-2024-01514</t>
  </si>
  <si>
    <t>P-2024-01515</t>
  </si>
  <si>
    <t>P-2024-01516</t>
  </si>
  <si>
    <t>P-2024-01517</t>
  </si>
  <si>
    <t>P-2024-01518</t>
  </si>
  <si>
    <t>P-2024-01519</t>
  </si>
  <si>
    <t>P-2024-01520</t>
  </si>
  <si>
    <t>I-2024-00477</t>
  </si>
  <si>
    <t>P-2024-01521</t>
  </si>
  <si>
    <t>I-2024-00478</t>
  </si>
  <si>
    <t>P-2024-01522</t>
  </si>
  <si>
    <t>I-2024-00479</t>
  </si>
  <si>
    <t>P-2024-01523</t>
  </si>
  <si>
    <t>I-2024-00480</t>
  </si>
  <si>
    <t>P-2024-01524</t>
  </si>
  <si>
    <t>I-2024-00481</t>
  </si>
  <si>
    <t>P-2024-01525</t>
  </si>
  <si>
    <t>P-2024-01526</t>
  </si>
  <si>
    <t>P-2024-01527</t>
  </si>
  <si>
    <t>P-2024-01528</t>
  </si>
  <si>
    <t>P-2024-01529</t>
  </si>
  <si>
    <t>P-2024-01530</t>
  </si>
  <si>
    <t>P-2024-01531</t>
  </si>
  <si>
    <t>P-2024-01532</t>
  </si>
  <si>
    <t>P-2024-01533</t>
  </si>
  <si>
    <t>P-2024-01534</t>
  </si>
  <si>
    <t>P-2024-01535</t>
  </si>
  <si>
    <t>P-2024-01536</t>
  </si>
  <si>
    <t>P-2024-01537</t>
  </si>
  <si>
    <t>P-2024-01538</t>
  </si>
  <si>
    <t>I-2024-00482</t>
  </si>
  <si>
    <t>P-2024-01539</t>
  </si>
  <si>
    <t>I-2024-00483</t>
  </si>
  <si>
    <t>P-2024-01540</t>
  </si>
  <si>
    <t>I-2024-00484</t>
  </si>
  <si>
    <t>P-2024-01541</t>
  </si>
  <si>
    <t>P-2024-01542</t>
  </si>
  <si>
    <t>I-2024-00486</t>
  </si>
  <si>
    <t>P-2024-01543</t>
  </si>
  <si>
    <t>I-2024-00487</t>
  </si>
  <si>
    <t>P-2024-01544</t>
  </si>
  <si>
    <t>P-2024-01545</t>
  </si>
  <si>
    <t>P-2024-01546</t>
  </si>
  <si>
    <t>P-2024-01547</t>
  </si>
  <si>
    <t>P-2024-01548</t>
  </si>
  <si>
    <t>P-2024-01549</t>
  </si>
  <si>
    <t>P-2024-01550</t>
  </si>
  <si>
    <t>P-2024-01551</t>
  </si>
  <si>
    <t>P-2024-01552</t>
  </si>
  <si>
    <t>P-2024-01553</t>
  </si>
  <si>
    <t>I-2024-00488</t>
  </si>
  <si>
    <t>P-2024-01554</t>
  </si>
  <si>
    <t>I-2024-00489</t>
  </si>
  <si>
    <t>P-2024-01555</t>
  </si>
  <si>
    <t>I-2024-00490</t>
  </si>
  <si>
    <t>P-2024-01556</t>
  </si>
  <si>
    <t>I-2024-00491</t>
  </si>
  <si>
    <t>P-2024-01557</t>
  </si>
  <si>
    <t>I-2024-00492</t>
  </si>
  <si>
    <t>P-2024-01558</t>
  </si>
  <si>
    <t>P-2024-01559</t>
  </si>
  <si>
    <t>P-2024-01560</t>
  </si>
  <si>
    <t>P-2024-01561</t>
  </si>
  <si>
    <t>P-2024-01562</t>
  </si>
  <si>
    <t>P-2024-01563</t>
  </si>
  <si>
    <t>P-2024-01564</t>
  </si>
  <si>
    <t>P-2024-01565</t>
  </si>
  <si>
    <t>I-2024-00493</t>
  </si>
  <si>
    <t>P-2024-01566</t>
  </si>
  <si>
    <t>I-2024-00494</t>
  </si>
  <si>
    <t>P-2024-01567</t>
  </si>
  <si>
    <t>I-2024-00495</t>
  </si>
  <si>
    <t>P-2024-01568</t>
  </si>
  <si>
    <t>P-2024-01569</t>
  </si>
  <si>
    <t>P-2024-01570</t>
  </si>
  <si>
    <t>P-2024-01571</t>
  </si>
  <si>
    <t>P-2024-01572</t>
  </si>
  <si>
    <t>P-2024-01573</t>
  </si>
  <si>
    <t>P-2024-01574</t>
  </si>
  <si>
    <t>P-2024-01575</t>
  </si>
  <si>
    <t>P-2024-01576</t>
  </si>
  <si>
    <t>P-2024-01577</t>
  </si>
  <si>
    <t>P-2024-01578</t>
  </si>
  <si>
    <t>P-2024-01579</t>
  </si>
  <si>
    <t>P-2024-01580</t>
  </si>
  <si>
    <t>P-2024-01581</t>
  </si>
  <si>
    <t>P-2024-01583</t>
  </si>
  <si>
    <t>I-2024-00496</t>
  </si>
  <si>
    <t>P-2024-01584</t>
  </si>
  <si>
    <t>I-2024-00497</t>
  </si>
  <si>
    <t>P-2024-01585</t>
  </si>
  <si>
    <t>P-2024-01586</t>
  </si>
  <si>
    <t>P-2024-01587</t>
  </si>
  <si>
    <t>P-2024-01588</t>
  </si>
  <si>
    <t>P-2024-01589</t>
  </si>
  <si>
    <t>P-2024-01590</t>
  </si>
  <si>
    <t>P-2024-01591</t>
  </si>
  <si>
    <t>P-2024-01592</t>
  </si>
  <si>
    <t>P-2024-01593</t>
  </si>
  <si>
    <t>P-2024-01594</t>
  </si>
  <si>
    <t>P-2024-01595</t>
  </si>
  <si>
    <t>P-2024-01596</t>
  </si>
  <si>
    <t>P-2024-01597</t>
  </si>
  <si>
    <t>I-2024-00498</t>
  </si>
  <si>
    <t>P-2024-01598</t>
  </si>
  <si>
    <t>I-2024-00499</t>
  </si>
  <si>
    <t>P-2024-01599</t>
  </si>
  <si>
    <t>P-2024-01600</t>
  </si>
  <si>
    <t>P-2024-01601</t>
  </si>
  <si>
    <t>P-2024-01602</t>
  </si>
  <si>
    <t>P-2024-01603</t>
  </si>
  <si>
    <t>P-2024-01604</t>
  </si>
  <si>
    <t>P-2024-01605</t>
  </si>
  <si>
    <t>P-2024-01606</t>
  </si>
  <si>
    <t>P-2024-01607</t>
  </si>
  <si>
    <t>P-2024-01608</t>
  </si>
  <si>
    <t>I-2024-00500</t>
  </si>
  <si>
    <t>P-2024-01609</t>
  </si>
  <si>
    <t>I-2024-00501</t>
  </si>
  <si>
    <t>P-2024-01610</t>
  </si>
  <si>
    <t>I-2024-00502</t>
  </si>
  <si>
    <t>P-2024-01611</t>
  </si>
  <si>
    <t>I-2024-00503</t>
  </si>
  <si>
    <t>P-2024-01612</t>
  </si>
  <si>
    <t>P-2024-01613</t>
  </si>
  <si>
    <t>P-2024-01614</t>
  </si>
  <si>
    <t>P-2024-01615</t>
  </si>
  <si>
    <t>P-2024-01616</t>
  </si>
  <si>
    <t>P-2024-01617</t>
  </si>
  <si>
    <t>P-2024-01618</t>
  </si>
  <si>
    <t>P-2024-01619</t>
  </si>
  <si>
    <t>P-2024-01620</t>
  </si>
  <si>
    <t>I-2024-00504</t>
  </si>
  <si>
    <t>P-2024-01621</t>
  </si>
  <si>
    <t>I-2024-00505</t>
  </si>
  <si>
    <t>P-2024-01622</t>
  </si>
  <si>
    <t>I-2024-00506</t>
  </si>
  <si>
    <t>P-2024-01623</t>
  </si>
  <si>
    <t>I-2024-00507</t>
  </si>
  <si>
    <t>P-2024-01624</t>
  </si>
  <si>
    <t>I-2024-00508</t>
  </si>
  <si>
    <t>P-2024-01625</t>
  </si>
  <si>
    <t>P-2024-01626</t>
  </si>
  <si>
    <t>P-2024-01627</t>
  </si>
  <si>
    <t>P-2024-01628</t>
  </si>
  <si>
    <t>P-2024-01629</t>
  </si>
  <si>
    <t>P-2024-01630</t>
  </si>
  <si>
    <t>P-2024-01631</t>
  </si>
  <si>
    <t>I-2024-00509</t>
  </si>
  <si>
    <t>P-2024-01632</t>
  </si>
  <si>
    <t>I-2024-00510</t>
  </si>
  <si>
    <t>P-2024-01633</t>
  </si>
  <si>
    <t>I-2024-00511</t>
  </si>
  <si>
    <t>P-2024-01634</t>
  </si>
  <si>
    <t>I-2024-00512</t>
  </si>
  <si>
    <t>P-2024-01635</t>
  </si>
  <si>
    <t>I-2024-00513</t>
  </si>
  <si>
    <t>P-2024-01636</t>
  </si>
  <si>
    <t>I-2024-00514</t>
  </si>
  <si>
    <t>P-2024-01637</t>
  </si>
  <si>
    <t>P-2024-01638</t>
  </si>
  <si>
    <t>P-2024-01639</t>
  </si>
  <si>
    <t>P-2024-01640</t>
  </si>
  <si>
    <t>P-2024-01641</t>
  </si>
  <si>
    <t>P-2024-01642</t>
  </si>
  <si>
    <t>P-2024-01643</t>
  </si>
  <si>
    <t>P-2024-01644</t>
  </si>
  <si>
    <t>I-2024-00515</t>
  </si>
  <si>
    <t>P-2024-01645</t>
  </si>
  <si>
    <t>I-2024-00516</t>
  </si>
  <si>
    <t>P-2024-01646</t>
  </si>
  <si>
    <t>I-2024-00517</t>
  </si>
  <si>
    <t>P-2024-01647</t>
  </si>
  <si>
    <t>I-2024-00518</t>
  </si>
  <si>
    <t>P-2024-01648</t>
  </si>
  <si>
    <t>P-2024-01649</t>
  </si>
  <si>
    <t>P-2024-01650</t>
  </si>
  <si>
    <t>P-2024-01651</t>
  </si>
  <si>
    <t>P-2024-01652</t>
  </si>
  <si>
    <t>P-2024-01653</t>
  </si>
  <si>
    <t>P-2024-01654</t>
  </si>
  <si>
    <t>P-2024-01655</t>
  </si>
  <si>
    <t>P-2024-01656</t>
  </si>
  <si>
    <t>P-2024-01657</t>
  </si>
  <si>
    <t>P-2024-01659</t>
  </si>
  <si>
    <t>I-2024-00519</t>
  </si>
  <si>
    <t>P-2024-01660</t>
  </si>
  <si>
    <t>I-2024-00520</t>
  </si>
  <si>
    <t>P-2024-01661</t>
  </si>
  <si>
    <t>I-2024-00521</t>
  </si>
  <si>
    <t>P-2024-01662</t>
  </si>
  <si>
    <t>I-2024-00522</t>
  </si>
  <si>
    <t>P-2024-01663</t>
  </si>
  <si>
    <t>I-2024-00523</t>
  </si>
  <si>
    <t>P-2024-01664</t>
  </si>
  <si>
    <t>P-2024-01665</t>
  </si>
  <si>
    <t>P-2024-01666</t>
  </si>
  <si>
    <t>P-2024-01667</t>
  </si>
  <si>
    <t>P-2024-01668</t>
  </si>
  <si>
    <t>P-2024-01669</t>
  </si>
  <si>
    <t>P-2024-01670</t>
  </si>
  <si>
    <t>P-2024-01671</t>
  </si>
  <si>
    <t>P-2024-01672</t>
  </si>
  <si>
    <t>P-2024-01673</t>
  </si>
  <si>
    <t>P-2024-01674</t>
  </si>
  <si>
    <t>P-2024-01675</t>
  </si>
  <si>
    <t>P-2024-01676</t>
  </si>
  <si>
    <t>P-2024-01677</t>
  </si>
  <si>
    <t>I-2024-00524</t>
  </si>
  <si>
    <t>P-2024-01678</t>
  </si>
  <si>
    <t>P-2024-01679</t>
  </si>
  <si>
    <t>P-2024-01680</t>
  </si>
  <si>
    <t>P-2024-01681</t>
  </si>
  <si>
    <t>P-2024-01682</t>
  </si>
  <si>
    <t>P-2024-01683</t>
  </si>
  <si>
    <t>P-2024-01684</t>
  </si>
  <si>
    <t>P-2024-01685</t>
  </si>
  <si>
    <t>P-2024-01686</t>
  </si>
  <si>
    <t>P-2024-01687</t>
  </si>
  <si>
    <t>I-2024-00525</t>
  </si>
  <si>
    <t>P-2024-01688</t>
  </si>
  <si>
    <t>I-2024-00526</t>
  </si>
  <si>
    <t>P-2024-01689</t>
  </si>
  <si>
    <t>I-2024-00527</t>
  </si>
  <si>
    <t>P-2024-01690</t>
  </si>
  <si>
    <t>I-2024-00528</t>
  </si>
  <si>
    <t>P-2024-01691</t>
  </si>
  <si>
    <t>I-2024-00529</t>
  </si>
  <si>
    <t>P-2024-01692</t>
  </si>
  <si>
    <t>I-2024-00530</t>
  </si>
  <si>
    <t>P-2024-01693</t>
  </si>
  <si>
    <t>I-2024-00531</t>
  </si>
  <si>
    <t>P-2024-01694</t>
  </si>
  <si>
    <t>I-2024-00532</t>
  </si>
  <si>
    <t>P-2024-01695</t>
  </si>
  <si>
    <t>P-2024-01696</t>
  </si>
  <si>
    <t>P-2024-01697</t>
  </si>
  <si>
    <t>P-2024-01698</t>
  </si>
  <si>
    <t>P-2024-01699</t>
  </si>
  <si>
    <t>P-2024-01700</t>
  </si>
  <si>
    <t>P-2024-01701</t>
  </si>
  <si>
    <t>P-2024-01702</t>
  </si>
  <si>
    <t>P-2024-01703</t>
  </si>
  <si>
    <t>P-2024-01704</t>
  </si>
  <si>
    <t>I-2024-00533</t>
  </si>
  <si>
    <t>P-2024-01705</t>
  </si>
  <si>
    <t>I-2024-00534</t>
  </si>
  <si>
    <t>P-2024-01706</t>
  </si>
  <si>
    <t>I-2024-00535</t>
  </si>
  <si>
    <t>P-2024-01707</t>
  </si>
  <si>
    <t>I-2024-00536</t>
  </si>
  <si>
    <t>P-2024-01708</t>
  </si>
  <si>
    <t>P-2024-01709</t>
  </si>
  <si>
    <t>P-2024-01710</t>
  </si>
  <si>
    <t>P-2024-01711</t>
  </si>
  <si>
    <t>P-2024-01713</t>
  </si>
  <si>
    <t>P-2024-01714</t>
  </si>
  <si>
    <t>P-2024-01715</t>
  </si>
  <si>
    <t>P-2024-01716</t>
  </si>
  <si>
    <t>P-2024-01718</t>
  </si>
  <si>
    <t>I-2024-00537</t>
  </si>
  <si>
    <t>P-2024-01719</t>
  </si>
  <si>
    <t>I-2024-00538</t>
  </si>
  <si>
    <t>P-2024-01720</t>
  </si>
  <si>
    <t>I-2024-00539</t>
  </si>
  <si>
    <t>P-2024-01721</t>
  </si>
  <si>
    <t>I-2024-00540</t>
  </si>
  <si>
    <t>P-2024-01722</t>
  </si>
  <si>
    <t>I-2024-00541</t>
  </si>
  <si>
    <t>P-2024-01723</t>
  </si>
  <si>
    <t>P-2024-01724</t>
  </si>
  <si>
    <t>P-2024-01725</t>
  </si>
  <si>
    <t>P-2024-01726</t>
  </si>
  <si>
    <t>P-2024-01727</t>
  </si>
  <si>
    <t>P-2024-01728</t>
  </si>
  <si>
    <t>P-2024-01729</t>
  </si>
  <si>
    <t>I-2024-00542</t>
  </si>
  <si>
    <t>P-2024-01730</t>
  </si>
  <si>
    <t>I-2024-00543</t>
  </si>
  <si>
    <t>P-2024-01731</t>
  </si>
  <si>
    <t>I-2024-00544</t>
  </si>
  <si>
    <t>I-2024-00545</t>
  </si>
  <si>
    <t>P-2024-01733</t>
  </si>
  <si>
    <t>P-2024-01734</t>
  </si>
  <si>
    <t>P-2024-01735</t>
  </si>
  <si>
    <t>P-2024-01736</t>
  </si>
  <si>
    <t>P-2024-01737</t>
  </si>
  <si>
    <t>P-2024-01738</t>
  </si>
  <si>
    <t>P-2024-01739</t>
  </si>
  <si>
    <t>P-2024-01740</t>
  </si>
  <si>
    <t>P-2024-01741</t>
  </si>
  <si>
    <t>I-2024-00546</t>
  </si>
  <si>
    <t>P-2024-01742</t>
  </si>
  <si>
    <t>I-2024-00547</t>
  </si>
  <si>
    <t>P-2024-01743</t>
  </si>
  <si>
    <t>I-2024-00548</t>
  </si>
  <si>
    <t>P-2024-01744</t>
  </si>
  <si>
    <t>I-2024-00549</t>
  </si>
  <si>
    <t>P-2024-01745</t>
  </si>
  <si>
    <t>I-2024-00550</t>
  </si>
  <si>
    <t>P-2024-01746</t>
  </si>
  <si>
    <t>I-2024-00551</t>
  </si>
  <si>
    <t>P-2024-01747</t>
  </si>
  <si>
    <t>I-2024-00552</t>
  </si>
  <si>
    <t>P-2024-01748</t>
  </si>
  <si>
    <t>I-2024-00553</t>
  </si>
  <si>
    <t>P-2024-01749</t>
  </si>
  <si>
    <t>P-2024-01750</t>
  </si>
  <si>
    <t>P-2024-01751</t>
  </si>
  <si>
    <t>P-2024-01752</t>
  </si>
  <si>
    <t>P-2024-01753</t>
  </si>
  <si>
    <t>P-2024-01754</t>
  </si>
  <si>
    <t>I-2024-00554</t>
  </si>
  <si>
    <t>P-2024-01755</t>
  </si>
  <si>
    <t>I-2024-00555</t>
  </si>
  <si>
    <t>P-2024-01756</t>
  </si>
  <si>
    <t>I-2024-00556</t>
  </si>
  <si>
    <t>P-2024-01757</t>
  </si>
  <si>
    <t>I-2024-00557</t>
  </si>
  <si>
    <t>P-2024-01758</t>
  </si>
  <si>
    <t>I-2024-00558</t>
  </si>
  <si>
    <t>P-2024-01759</t>
  </si>
  <si>
    <t>I-2024-00559</t>
  </si>
  <si>
    <t>P-2024-01760</t>
  </si>
  <si>
    <t>P-2024-01761</t>
  </si>
  <si>
    <t>P-2024-01762</t>
  </si>
  <si>
    <t>P-2024-01763</t>
  </si>
  <si>
    <t>P-2024-01764</t>
  </si>
  <si>
    <t>P-2024-01765</t>
  </si>
  <si>
    <t>P-2024-01766</t>
  </si>
  <si>
    <t>P-2024-01767</t>
  </si>
  <si>
    <t>P-2024-01768</t>
  </si>
  <si>
    <t>P-2024-01769</t>
  </si>
  <si>
    <t>P-2024-01770</t>
  </si>
  <si>
    <t>P-2024-01771</t>
  </si>
  <si>
    <t>I-2024-00560</t>
  </si>
  <si>
    <t>P-2024-01772</t>
  </si>
  <si>
    <t>I-2024-00561</t>
  </si>
  <si>
    <t>P-2024-01773</t>
  </si>
  <si>
    <t>I-2024-00562</t>
  </si>
  <si>
    <t>P-2024-01774</t>
  </si>
  <si>
    <t>P-2024-01775</t>
  </si>
  <si>
    <t>P-2024-01776</t>
  </si>
  <si>
    <t>P-2024-01777</t>
  </si>
  <si>
    <t>P-2024-01778</t>
  </si>
  <si>
    <t>P-2024-01779</t>
  </si>
  <si>
    <t>P-2024-01780</t>
  </si>
  <si>
    <t>P-2024-01781</t>
  </si>
  <si>
    <t>P-2024-01782</t>
  </si>
  <si>
    <t>P-2024-01783</t>
  </si>
  <si>
    <t>P-2024-01784</t>
  </si>
  <si>
    <t>I-2024-00563</t>
  </si>
  <si>
    <t>P-2024-01785</t>
  </si>
  <si>
    <t>I-2024-00564</t>
  </si>
  <si>
    <t>P-2024-01786</t>
  </si>
  <si>
    <t>I-2024-00565</t>
  </si>
  <si>
    <t>P-2024-01787</t>
  </si>
  <si>
    <t>P-2024-01789</t>
  </si>
  <si>
    <t>P-2024-01790</t>
  </si>
  <si>
    <t>P-2024-01791</t>
  </si>
  <si>
    <t>P-2024-01792</t>
  </si>
  <si>
    <t>P-2024-01793</t>
  </si>
  <si>
    <t>P-2024-01794</t>
  </si>
  <si>
    <t>P-2024-01795</t>
  </si>
  <si>
    <t>P-2024-01796</t>
  </si>
  <si>
    <t>P-2024-01797</t>
  </si>
  <si>
    <t>P-2024-01798</t>
  </si>
  <si>
    <t>P-2024-01799</t>
  </si>
  <si>
    <t>I-2024-00566</t>
  </si>
  <si>
    <t>P-2024-01800</t>
  </si>
  <si>
    <t>P-2024-01801</t>
  </si>
  <si>
    <t>P-2024-01802</t>
  </si>
  <si>
    <t>P-2024-01803</t>
  </si>
  <si>
    <t>P-2024-01804</t>
  </si>
  <si>
    <t>P-2024-01805</t>
  </si>
  <si>
    <t>I-2024-00567</t>
  </si>
  <si>
    <t>P-2024-01806</t>
  </si>
  <si>
    <t>I-2024-00568</t>
  </si>
  <si>
    <t>P-2024-01807</t>
  </si>
  <si>
    <t>I-2024-00569</t>
  </si>
  <si>
    <t>P-2024-01808</t>
  </si>
  <si>
    <t>P-2024-01809</t>
  </si>
  <si>
    <t>P-2024-01810</t>
  </si>
  <si>
    <t>P-2024-01811</t>
  </si>
  <si>
    <t>P-2024-01812</t>
  </si>
  <si>
    <t>P-2024-01813</t>
  </si>
  <si>
    <t>I-2024-00570</t>
  </si>
  <si>
    <t>P-2024-01814</t>
  </si>
  <si>
    <t>I-2024-00571</t>
  </si>
  <si>
    <t>P-2024-01815</t>
  </si>
  <si>
    <t>I-2024-00572</t>
  </si>
  <si>
    <t>P-2024-01816</t>
  </si>
  <si>
    <t>I-2024-00573</t>
  </si>
  <si>
    <t>P-2024-01817</t>
  </si>
  <si>
    <t>P-2024-01818</t>
  </si>
  <si>
    <t>P-2024-01819</t>
  </si>
  <si>
    <t>P-2024-01820</t>
  </si>
  <si>
    <t>P-2024-01821</t>
  </si>
  <si>
    <t>I-2024-00574</t>
  </si>
  <si>
    <t>P-2024-01823</t>
  </si>
  <si>
    <t>I-2024-00575</t>
  </si>
  <si>
    <t>P-2024-01824</t>
  </si>
  <si>
    <t>P-2024-01825</t>
  </si>
  <si>
    <t>P-2024-01826</t>
  </si>
  <si>
    <t>P-2024-01827</t>
  </si>
  <si>
    <t>P-2024-01828</t>
  </si>
  <si>
    <t>P-2024-01829</t>
  </si>
  <si>
    <t>P-2024-01830</t>
  </si>
  <si>
    <t>P-2024-01831</t>
  </si>
  <si>
    <t>P-2024-01832</t>
  </si>
  <si>
    <t>P-2024-01833</t>
  </si>
  <si>
    <t>I-2024-00576</t>
  </si>
  <si>
    <t>P-2024-01835</t>
  </si>
  <si>
    <t>I-2024-00577</t>
  </si>
  <si>
    <t>P-2024-01836</t>
  </si>
  <si>
    <t>I-2024-00578</t>
  </si>
  <si>
    <t>P-2024-01837</t>
  </si>
  <si>
    <t>P-2024-01838</t>
  </si>
  <si>
    <t>P-2024-01839</t>
  </si>
  <si>
    <t>P-2024-01840</t>
  </si>
  <si>
    <t>P-2024-01841</t>
  </si>
  <si>
    <t>P-2024-01842</t>
  </si>
  <si>
    <t>P-2024-01843</t>
  </si>
  <si>
    <t>P-2024-01844</t>
  </si>
  <si>
    <t>P-2024-01845</t>
  </si>
  <si>
    <t>P-2024-01846</t>
  </si>
  <si>
    <t>P-2024-01847</t>
  </si>
  <si>
    <t>I-2024-00579</t>
  </si>
  <si>
    <t>P-2024-01848</t>
  </si>
  <si>
    <t>I-2024-00580</t>
  </si>
  <si>
    <t>P-2024-01849</t>
  </si>
  <si>
    <t>I-2024-00581</t>
  </si>
  <si>
    <t>P-2024-01850</t>
  </si>
  <si>
    <t>I-2024-00582</t>
  </si>
  <si>
    <t>P-2024-01851</t>
  </si>
  <si>
    <t>I-2024-00583</t>
  </si>
  <si>
    <t>P-2024-01852</t>
  </si>
  <si>
    <t>P-2024-01853</t>
  </si>
  <si>
    <t>P-2024-01854</t>
  </si>
  <si>
    <t>P-2024-01855</t>
  </si>
  <si>
    <t>P-2024-01856</t>
  </si>
  <si>
    <t>P-2024-01857</t>
  </si>
  <si>
    <t>P-2024-01858</t>
  </si>
  <si>
    <t>P-2024-01859</t>
  </si>
  <si>
    <t>P-2024-01860</t>
  </si>
  <si>
    <t>P-2024-01861</t>
  </si>
  <si>
    <t>I-2024-00584</t>
  </si>
  <si>
    <t>P-2024-01862</t>
  </si>
  <si>
    <t>I-2024-00585</t>
  </si>
  <si>
    <t>P-2024-01863</t>
  </si>
  <si>
    <t>I-2024-00586</t>
  </si>
  <si>
    <t>P-2024-01864</t>
  </si>
  <si>
    <t>P-2024-01865</t>
  </si>
  <si>
    <t>P-2024-01866</t>
  </si>
  <si>
    <t>P-2024-01867</t>
  </si>
  <si>
    <t>P-2024-01868</t>
  </si>
  <si>
    <t>P-2024-01869</t>
  </si>
  <si>
    <t>P-2024-01870</t>
  </si>
  <si>
    <t>P-2024-01871</t>
  </si>
  <si>
    <t>P-2024-01872</t>
  </si>
  <si>
    <t>P-2024-01873</t>
  </si>
  <si>
    <t>P-2024-01874</t>
  </si>
  <si>
    <t>I-2024-00587</t>
  </si>
  <si>
    <t>P-2024-01875</t>
  </si>
  <si>
    <t>I-2024-00588</t>
  </si>
  <si>
    <t>P-2024-01876</t>
  </si>
  <si>
    <t>I-2024-00589</t>
  </si>
  <si>
    <t>P-2024-01877</t>
  </si>
  <si>
    <t>I-2024-00590</t>
  </si>
  <si>
    <t>P-2024-01878</t>
  </si>
  <si>
    <t>P-2024-01879</t>
  </si>
  <si>
    <t>P-2024-01880</t>
  </si>
  <si>
    <t>P-2024-01881</t>
  </si>
  <si>
    <t>P-2024-01882</t>
  </si>
  <si>
    <t>P-2024-01883</t>
  </si>
  <si>
    <t>P-2024-01884</t>
  </si>
  <si>
    <t>P-2024-01885</t>
  </si>
  <si>
    <t>P-2024-01886</t>
  </si>
  <si>
    <t>P-2024-01887</t>
  </si>
  <si>
    <t>P-2024-01888</t>
  </si>
  <si>
    <t>I-2024-00591</t>
  </si>
  <si>
    <t>P-2024-01889</t>
  </si>
  <si>
    <t>I-2024-00592</t>
  </si>
  <si>
    <t>P-2024-01890</t>
  </si>
  <si>
    <t>I-2024-00593</t>
  </si>
  <si>
    <t>P-2024-01891</t>
  </si>
  <si>
    <t>I-2024-00594</t>
  </si>
  <si>
    <t>P-2024-01892</t>
  </si>
  <si>
    <t>I-2024-00595</t>
  </si>
  <si>
    <t>P-2024-01893</t>
  </si>
  <si>
    <t>P-2024-01894</t>
  </si>
  <si>
    <t>P-2024-01895</t>
  </si>
  <si>
    <t>P-2024-01896</t>
  </si>
  <si>
    <t>P-2024-01897</t>
  </si>
  <si>
    <t>P-2024-01898</t>
  </si>
  <si>
    <t>P-2024-01899</t>
  </si>
  <si>
    <t>P-2024-01900</t>
  </si>
  <si>
    <t>I-2024-00596</t>
  </si>
  <si>
    <t>P-2024-01901</t>
  </si>
  <si>
    <t>I-2024-00597</t>
  </si>
  <si>
    <t>P-2024-01902</t>
  </si>
  <si>
    <t>I-2024-00598</t>
  </si>
  <si>
    <t>P-2024-01903</t>
  </si>
  <si>
    <t>I-2024-00599</t>
  </si>
  <si>
    <t>P-2024-01904</t>
  </si>
  <si>
    <t>I-2024-00600</t>
  </si>
  <si>
    <t>P-2024-01905</t>
  </si>
  <si>
    <t>P-2024-01906</t>
  </si>
  <si>
    <t>P-2024-01907</t>
  </si>
  <si>
    <t>P-2024-01908</t>
  </si>
  <si>
    <t>P-2024-01909</t>
  </si>
  <si>
    <t>P-2024-01910</t>
  </si>
  <si>
    <t>P-2024-01911</t>
  </si>
  <si>
    <t>P-2024-01912</t>
  </si>
  <si>
    <t>I-2024-00601</t>
  </si>
  <si>
    <t>P-2024-01913</t>
  </si>
  <si>
    <t>I-2024-00602</t>
  </si>
  <si>
    <t>P-2024-01914</t>
  </si>
  <si>
    <t>P-2024-01915</t>
  </si>
  <si>
    <t>P-2024-01916</t>
  </si>
  <si>
    <t>P-2024-01917</t>
  </si>
  <si>
    <t>P-2024-01918</t>
  </si>
  <si>
    <t>I-2024-00603</t>
  </si>
  <si>
    <t>P-2024-01919</t>
  </si>
  <si>
    <t>I-2024-00604</t>
  </si>
  <si>
    <t>P-2024-01920</t>
  </si>
  <si>
    <t>I-2024-00605</t>
  </si>
  <si>
    <t>P-2024-01921</t>
  </si>
  <si>
    <t>P-2024-01922</t>
  </si>
  <si>
    <t>I-2024-00607</t>
  </si>
  <si>
    <t>P-2024-01923</t>
  </si>
  <si>
    <t>I-2024-00608</t>
  </si>
  <si>
    <t>P-2024-01924</t>
  </si>
  <si>
    <t>P-2024-01925</t>
  </si>
  <si>
    <t>P-2024-01926</t>
  </si>
  <si>
    <t>P-2024-01927</t>
  </si>
  <si>
    <t>P-2024-01928</t>
  </si>
  <si>
    <t>P-2024-01930</t>
  </si>
  <si>
    <t>P-2024-01931</t>
  </si>
  <si>
    <t>P-2024-01932</t>
  </si>
  <si>
    <t>P-2024-01933</t>
  </si>
  <si>
    <t>I-2024-00610</t>
  </si>
  <si>
    <t>P-2024-01934</t>
  </si>
  <si>
    <t>P-2024-01935</t>
  </si>
  <si>
    <t>P-2024-01936</t>
  </si>
  <si>
    <t>P-2024-01937</t>
  </si>
  <si>
    <t>P-2024-01938</t>
  </si>
  <si>
    <t>P-2024-01939</t>
  </si>
  <si>
    <t>P-2024-01940</t>
  </si>
  <si>
    <t>P-2024-01941</t>
  </si>
  <si>
    <t>I-2024-00611</t>
  </si>
  <si>
    <t>P-2024-01942</t>
  </si>
  <si>
    <t>I-2024-00612</t>
  </si>
  <si>
    <t>P-2024-01943</t>
  </si>
  <si>
    <t>I-2024-00613</t>
  </si>
  <si>
    <t>P-2024-01944</t>
  </si>
  <si>
    <t>P-2024-01945</t>
  </si>
  <si>
    <t>P-2024-01946</t>
  </si>
  <si>
    <t>P-2024-01947</t>
  </si>
  <si>
    <t>P-2024-01948</t>
  </si>
  <si>
    <t>P-2024-01949</t>
  </si>
  <si>
    <t>P-2024-01950</t>
  </si>
  <si>
    <t>P-2024-01951</t>
  </si>
  <si>
    <t>P-2024-01952</t>
  </si>
  <si>
    <t>I-2024-00614</t>
  </si>
  <si>
    <t>P-2024-01953</t>
  </si>
  <si>
    <t>I-2024-00615</t>
  </si>
  <si>
    <t>P-2024-01954</t>
  </si>
  <si>
    <t>I-2024-00616</t>
  </si>
  <si>
    <t>P-2024-01955</t>
  </si>
  <si>
    <t>I-2024-00617</t>
  </si>
  <si>
    <t>P-2024-01956</t>
  </si>
  <si>
    <t>P-2024-01957</t>
  </si>
  <si>
    <t>P-2024-01958</t>
  </si>
  <si>
    <t>P-2024-01959</t>
  </si>
  <si>
    <t>P-2024-01960</t>
  </si>
  <si>
    <t>P-2024-01961</t>
  </si>
  <si>
    <t>P-2024-01962</t>
  </si>
  <si>
    <t>P-2024-01963</t>
  </si>
  <si>
    <t>P-2024-01964</t>
  </si>
  <si>
    <t>P-2024-01965</t>
  </si>
  <si>
    <t>I-2024-00618</t>
  </si>
  <si>
    <t>P-2024-01966</t>
  </si>
  <si>
    <t>I-2024-00619</t>
  </si>
  <si>
    <t>P-2024-01967</t>
  </si>
  <si>
    <t>I-2024-00620</t>
  </si>
  <si>
    <t>P-2024-01968</t>
  </si>
  <si>
    <t>I-2024-00621</t>
  </si>
  <si>
    <t>P-2024-01969</t>
  </si>
  <si>
    <t>P-2024-01970</t>
  </si>
  <si>
    <t>P-2024-01971</t>
  </si>
  <si>
    <t>P-2024-01972</t>
  </si>
  <si>
    <t>P-2024-01973</t>
  </si>
  <si>
    <t>P-2024-01974</t>
  </si>
  <si>
    <t>P-2024-01975</t>
  </si>
  <si>
    <t>P-2024-01976</t>
  </si>
  <si>
    <t>P-2024-01977</t>
  </si>
  <si>
    <t>P-2024-01978</t>
  </si>
  <si>
    <t>P-2024-01979</t>
  </si>
  <si>
    <t>I-2024-00622</t>
  </si>
  <si>
    <t>P-2024-01980</t>
  </si>
  <si>
    <t>I-2024-00623</t>
  </si>
  <si>
    <t>P-2024-01981</t>
  </si>
  <si>
    <t>P-2024-01982</t>
  </si>
  <si>
    <t>P-2024-01983</t>
  </si>
  <si>
    <t>P-2024-01984</t>
  </si>
  <si>
    <t>P-2024-01985</t>
  </si>
  <si>
    <t>P-2024-01986</t>
  </si>
  <si>
    <t>P-2024-01987</t>
  </si>
  <si>
    <t>P-2024-01988</t>
  </si>
  <si>
    <t>P-2024-01989</t>
  </si>
  <si>
    <t>P-2024-01990</t>
  </si>
  <si>
    <t>P-2024-01991</t>
  </si>
  <si>
    <t>P-2024-01992</t>
  </si>
  <si>
    <t>I-2024-00624</t>
  </si>
  <si>
    <t>P-2024-01993</t>
  </si>
  <si>
    <t>I-2024-00625</t>
  </si>
  <si>
    <t>P-2024-01994</t>
  </si>
  <si>
    <t>I-2024-00626</t>
  </si>
  <si>
    <t>P-2024-01995</t>
  </si>
  <si>
    <t>I-2024-00627</t>
  </si>
  <si>
    <t>P-2024-01996</t>
  </si>
  <si>
    <t>P-2024-01997</t>
  </si>
  <si>
    <t>P-2024-01998</t>
  </si>
  <si>
    <t>P-2024-01999</t>
  </si>
  <si>
    <t>P-2024-02000</t>
  </si>
  <si>
    <t>P-2024-02001</t>
  </si>
  <si>
    <t>P-2024-02002</t>
  </si>
  <si>
    <t>P-2024-02003</t>
  </si>
  <si>
    <t>P-2024-02004</t>
  </si>
  <si>
    <t>P-2024-02005</t>
  </si>
  <si>
    <t>I-2024-00628</t>
  </si>
  <si>
    <t>P-2024-02006</t>
  </si>
  <si>
    <t>I-2024-00629</t>
  </si>
  <si>
    <t>P-2024-02007</t>
  </si>
  <si>
    <t>P-2024-02008</t>
  </si>
  <si>
    <t>P-2024-02009</t>
  </si>
  <si>
    <t>P-2024-02010</t>
  </si>
  <si>
    <t>P-2024-02011</t>
  </si>
  <si>
    <t>P-2024-02012</t>
  </si>
  <si>
    <t>P-2024-02013</t>
  </si>
  <si>
    <t>P-2024-02014</t>
  </si>
  <si>
    <t>P-2024-02015</t>
  </si>
  <si>
    <t>P-2024-02016</t>
  </si>
  <si>
    <t>I-2024-00630</t>
  </si>
  <si>
    <t>P-2024-02017</t>
  </si>
  <si>
    <t>I-2024-00631</t>
  </si>
  <si>
    <t>P-2024-02018</t>
  </si>
  <si>
    <t>I-2024-00632</t>
  </si>
  <si>
    <t>P-2024-02019</t>
  </si>
  <si>
    <t>I-2024-00633</t>
  </si>
  <si>
    <t>P-2024-02020</t>
  </si>
  <si>
    <t>P-2024-02021</t>
  </si>
  <si>
    <t>P-2024-02022</t>
  </si>
  <si>
    <t>P-2024-02023</t>
  </si>
  <si>
    <t>P-2024-02024</t>
  </si>
  <si>
    <t>P-2024-02025</t>
  </si>
  <si>
    <t>P-2024-02026</t>
  </si>
  <si>
    <t>P-2024-02027</t>
  </si>
  <si>
    <t>P-2024-02028</t>
  </si>
  <si>
    <t>P-2024-02029</t>
  </si>
  <si>
    <t>I-2024-00634</t>
  </si>
  <si>
    <t>P-2024-02030</t>
  </si>
  <si>
    <t>I-2024-00635</t>
  </si>
  <si>
    <t>P-2024-02031</t>
  </si>
  <si>
    <t>I-2024-00636</t>
  </si>
  <si>
    <t>P-2024-02032</t>
  </si>
  <si>
    <t>P-2024-02033</t>
  </si>
  <si>
    <t>P-2024-02034</t>
  </si>
  <si>
    <t>P-2024-02035</t>
  </si>
  <si>
    <t>P-2024-02036</t>
  </si>
  <si>
    <t>P-2024-02037</t>
  </si>
  <si>
    <t>P-2024-02038</t>
  </si>
  <si>
    <t>P-2024-02039</t>
  </si>
  <si>
    <t>P-2024-02040</t>
  </si>
  <si>
    <t>P-2024-02042</t>
  </si>
  <si>
    <t>P-2024-02043</t>
  </si>
  <si>
    <t>P-2024-02044</t>
  </si>
  <si>
    <t>I-2024-00637</t>
  </si>
  <si>
    <t>P-2024-02045</t>
  </si>
  <si>
    <t>I-2024-00638</t>
  </si>
  <si>
    <t>P-2024-02046</t>
  </si>
  <si>
    <t>I-2024-00639</t>
  </si>
  <si>
    <t>P-2024-02047</t>
  </si>
  <si>
    <t>I-2024-00640</t>
  </si>
  <si>
    <t>P-2024-02048</t>
  </si>
  <si>
    <t>I-2024-00641</t>
  </si>
  <si>
    <t>P-2024-02049</t>
  </si>
  <si>
    <t>I-2024-00642</t>
  </si>
  <si>
    <t>P-2024-02050</t>
  </si>
  <si>
    <t>P-2024-02051</t>
  </si>
  <si>
    <t>P-2024-02052</t>
  </si>
  <si>
    <t>P-2024-02053</t>
  </si>
  <si>
    <t>P-2024-02054</t>
  </si>
  <si>
    <t>P-2024-02055</t>
  </si>
  <si>
    <t>P-2024-02056</t>
  </si>
  <si>
    <t>P-2024-02058</t>
  </si>
  <si>
    <t>I-2024-00643</t>
  </si>
  <si>
    <t>P-2024-02059</t>
  </si>
  <si>
    <t>I-2024-00644</t>
  </si>
  <si>
    <t>P-2024-02060</t>
  </si>
  <si>
    <t>P-2024-02061</t>
  </si>
  <si>
    <t>P-2024-02062</t>
  </si>
  <si>
    <t>P-2024-02063</t>
  </si>
  <si>
    <t>P-2024-02064</t>
  </si>
  <si>
    <t>P-2024-02066</t>
  </si>
  <si>
    <t>P-2024-02067</t>
  </si>
  <si>
    <t>P-2024-02068</t>
  </si>
  <si>
    <t>P-2024-02069</t>
  </si>
  <si>
    <t>I-2024-00646</t>
  </si>
  <si>
    <t>P-2024-02070</t>
  </si>
  <si>
    <t>I-2024-00647</t>
  </si>
  <si>
    <t>P-2024-02071</t>
  </si>
  <si>
    <t>I-2024-00648</t>
  </si>
  <si>
    <t>P-2024-02072</t>
  </si>
  <si>
    <t>P-2024-02073</t>
  </si>
  <si>
    <t>P-2024-02074</t>
  </si>
  <si>
    <t>P-2024-02075</t>
  </si>
  <si>
    <t>P-2024-02076</t>
  </si>
  <si>
    <t>P-2024-02077</t>
  </si>
  <si>
    <t>P-2024-02078</t>
  </si>
  <si>
    <t>I-2024-00649</t>
  </si>
  <si>
    <t>P-2024-02079</t>
  </si>
  <si>
    <t>I-2024-00650</t>
  </si>
  <si>
    <t>P-2024-02080</t>
  </si>
  <si>
    <t>I-2024-00651</t>
  </si>
  <si>
    <t>P-2024-02081</t>
  </si>
  <si>
    <t>I-2024-00652</t>
  </si>
  <si>
    <t>P-2024-02082</t>
  </si>
  <si>
    <t>I-2024-00653</t>
  </si>
  <si>
    <t>P-2024-02083</t>
  </si>
  <si>
    <t>I-2024-00654</t>
  </si>
  <si>
    <t>P-2024-02084</t>
  </si>
  <si>
    <t>P-2024-02085</t>
  </si>
  <si>
    <t>P-2024-02086</t>
  </si>
  <si>
    <t>P-2024-02087</t>
  </si>
  <si>
    <t>P-2024-02088</t>
  </si>
  <si>
    <t>P-2024-02089</t>
  </si>
  <si>
    <t>P-2024-02090</t>
  </si>
  <si>
    <t>P-2024-02091</t>
  </si>
  <si>
    <t>P-2024-02092</t>
  </si>
  <si>
    <t>P-2024-02093</t>
  </si>
  <si>
    <t>P-2024-02094</t>
  </si>
  <si>
    <t>P-2024-02095</t>
  </si>
  <si>
    <t>P-2024-02096</t>
  </si>
  <si>
    <t>P-2024-02097</t>
  </si>
  <si>
    <t>I-2024-00655</t>
  </si>
  <si>
    <t>P-2024-02098</t>
  </si>
  <si>
    <t>I-2024-00656</t>
  </si>
  <si>
    <t>P-2024-02099</t>
  </si>
  <si>
    <t>I-2024-00657</t>
  </si>
  <si>
    <t>P-2024-02100</t>
  </si>
  <si>
    <t>P-2024-02101</t>
  </si>
  <si>
    <t>P-2024-02102</t>
  </si>
  <si>
    <t>P-2024-02103</t>
  </si>
  <si>
    <t>P-2024-02104</t>
  </si>
  <si>
    <t>P-2024-02105</t>
  </si>
  <si>
    <t>P-2024-02106</t>
  </si>
  <si>
    <t>P-2024-02107</t>
  </si>
  <si>
    <t>P-2024-02108</t>
  </si>
  <si>
    <t>P-2024-02109</t>
  </si>
  <si>
    <t>I-2024-00658</t>
  </si>
  <si>
    <t>P-2024-02110</t>
  </si>
  <si>
    <t>I-2024-00659</t>
  </si>
  <si>
    <t>P-2024-02111</t>
  </si>
  <si>
    <t>P-2024-02112</t>
  </si>
  <si>
    <t>P-2024-02113</t>
  </si>
  <si>
    <t>P-2024-02114</t>
  </si>
  <si>
    <t>P-2024-02115</t>
  </si>
  <si>
    <t>P-2024-02116</t>
  </si>
  <si>
    <t>P-2024-02117</t>
  </si>
  <si>
    <t>P-2024-02118</t>
  </si>
  <si>
    <t>I-2024-00660</t>
  </si>
  <si>
    <t>P-2024-02119</t>
  </si>
  <si>
    <t>I-2024-00661</t>
  </si>
  <si>
    <t>P-2024-02120</t>
  </si>
  <si>
    <t>I-2024-00662</t>
  </si>
  <si>
    <t>P-2024-02121</t>
  </si>
  <si>
    <t>I-2024-00663</t>
  </si>
  <si>
    <t>P-2024-02122</t>
  </si>
  <si>
    <t>P-2024-02123</t>
  </si>
  <si>
    <t>P-2024-02124</t>
  </si>
  <si>
    <t>P-2024-02126</t>
  </si>
  <si>
    <t>P-2024-02127</t>
  </si>
  <si>
    <t>P-2024-02128</t>
  </si>
  <si>
    <t>P-2024-02129</t>
  </si>
  <si>
    <t>P-2024-02130</t>
  </si>
  <si>
    <t>I-2024-00664</t>
  </si>
  <si>
    <t>P-2024-02131</t>
  </si>
  <si>
    <t>I-2024-00665</t>
  </si>
  <si>
    <t>P-2024-02132</t>
  </si>
  <si>
    <t>P-2024-02133</t>
  </si>
  <si>
    <t>P-2024-02134</t>
  </si>
  <si>
    <t>P-2024-02136</t>
  </si>
  <si>
    <t>P-2024-02137</t>
  </si>
  <si>
    <t>P-2024-02138</t>
  </si>
  <si>
    <t>I-2024-00666</t>
  </si>
  <si>
    <t>P-2024-02139</t>
  </si>
  <si>
    <t>I-2024-00667</t>
  </si>
  <si>
    <t>P-2024-02140</t>
  </si>
  <si>
    <t>I-2024-00668</t>
  </si>
  <si>
    <t>P-2024-02141</t>
  </si>
  <si>
    <t>I-2024-00669</t>
  </si>
  <si>
    <t>P-2024-02142</t>
  </si>
  <si>
    <t>I-2024-00670</t>
  </si>
  <si>
    <t>P-2024-02143</t>
  </si>
  <si>
    <t>P-2024-02144</t>
  </si>
  <si>
    <t>P-2024-02145</t>
  </si>
  <si>
    <t>P-2024-02146</t>
  </si>
  <si>
    <t>P-2024-02147</t>
  </si>
  <si>
    <t>I-2024-00671</t>
  </si>
  <si>
    <t>P-2024-02148</t>
  </si>
  <si>
    <t>I-2024-00672</t>
  </si>
  <si>
    <t>P-2024-02149</t>
  </si>
  <si>
    <t>I-2024-00673</t>
  </si>
  <si>
    <t>P-2024-02150</t>
  </si>
  <si>
    <t>I-2024-00674</t>
  </si>
  <si>
    <t>P-2024-02151</t>
  </si>
  <si>
    <t>P-2024-02152</t>
  </si>
  <si>
    <t>P-2024-02153</t>
  </si>
  <si>
    <t>P-2024-02154</t>
  </si>
  <si>
    <t>P-2024-02155</t>
  </si>
  <si>
    <t>P-2024-02156</t>
  </si>
  <si>
    <t>P-2024-02157</t>
  </si>
  <si>
    <t>I-2024-00675</t>
  </si>
  <si>
    <t>P-2024-02158</t>
  </si>
  <si>
    <t>I-2024-00676</t>
  </si>
  <si>
    <t>P-2024-02159</t>
  </si>
  <si>
    <t>I-2024-00677</t>
  </si>
  <si>
    <t>P-2024-02160</t>
  </si>
  <si>
    <t>I-2024-00678</t>
  </si>
  <si>
    <t>P-2024-02161</t>
  </si>
  <si>
    <t>I-2024-00679</t>
  </si>
  <si>
    <t>P-2024-02162</t>
  </si>
  <si>
    <t>I-2024-00680</t>
  </si>
  <si>
    <t>P-2024-02163</t>
  </si>
  <si>
    <t>I-2024-00681</t>
  </si>
  <si>
    <t>P-2024-02164</t>
  </si>
  <si>
    <t>I-2024-00682</t>
  </si>
  <si>
    <t>P-2024-02165</t>
  </si>
  <si>
    <t>P-2024-02166</t>
  </si>
  <si>
    <t>P-2024-02167</t>
  </si>
  <si>
    <t>P-2024-02168</t>
  </si>
  <si>
    <t>P-2024-02169</t>
  </si>
  <si>
    <t>P-2024-02170</t>
  </si>
  <si>
    <t>P-2024-02171</t>
  </si>
  <si>
    <t>P-2024-02172</t>
  </si>
  <si>
    <t>P-2024-02173</t>
  </si>
  <si>
    <t>P-2024-02174</t>
  </si>
  <si>
    <t>P-2024-02175</t>
  </si>
  <si>
    <t>P-2024-02176</t>
  </si>
  <si>
    <t>I-2024-00683</t>
  </si>
  <si>
    <t>P-2024-02177</t>
  </si>
  <si>
    <t>I-2024-00684</t>
  </si>
  <si>
    <t>P-2024-02178</t>
  </si>
  <si>
    <t>I-2024-00685</t>
  </si>
  <si>
    <t>P-2024-02179</t>
  </si>
  <si>
    <t>I-2024-00686</t>
  </si>
  <si>
    <t>P-2024-02180</t>
  </si>
  <si>
    <t>I-2024-00687</t>
  </si>
  <si>
    <t>P-2024-02181</t>
  </si>
  <si>
    <t>I-2024-00688</t>
  </si>
  <si>
    <t>P-2024-02182</t>
  </si>
  <si>
    <t>I-2024-00689</t>
  </si>
  <si>
    <t>P-2024-02183</t>
  </si>
  <si>
    <t>P-2024-02184</t>
  </si>
  <si>
    <t>P-2024-02185</t>
  </si>
  <si>
    <t>P-2024-02186</t>
  </si>
  <si>
    <t>P-2024-02187</t>
  </si>
  <si>
    <t>P-2024-02188</t>
  </si>
  <si>
    <t>P-2024-02189</t>
  </si>
  <si>
    <t>P-2024-02190</t>
  </si>
  <si>
    <t>P-2024-02191</t>
  </si>
  <si>
    <t>P-2024-02192</t>
  </si>
  <si>
    <t>P-2024-02193</t>
  </si>
  <si>
    <t>P-2024-02194</t>
  </si>
  <si>
    <t>P-2024-02195</t>
  </si>
  <si>
    <t>I-2024-00690</t>
  </si>
  <si>
    <t>P-2024-02196</t>
  </si>
  <si>
    <t>I-2024-00691</t>
  </si>
  <si>
    <t>P-2024-02197</t>
  </si>
  <si>
    <t>P-2024-02198</t>
  </si>
  <si>
    <t>P-2024-02199</t>
  </si>
  <si>
    <t>P-2024-02200</t>
  </si>
  <si>
    <t>P-2024-02201</t>
  </si>
  <si>
    <t>P-2024-02202</t>
  </si>
  <si>
    <t>P-2024-02203</t>
  </si>
  <si>
    <t>P-2024-02204</t>
  </si>
  <si>
    <t>I-2024-00692</t>
  </si>
  <si>
    <t>P-2024-02205</t>
  </si>
  <si>
    <t>I-2024-00693</t>
  </si>
  <si>
    <t>P-2024-02206</t>
  </si>
  <si>
    <t>P-2024-02207</t>
  </si>
  <si>
    <t>P-2024-02208</t>
  </si>
  <si>
    <t>P-2024-02209</t>
  </si>
  <si>
    <t>P-2024-02210</t>
  </si>
  <si>
    <t>P-2024-02211</t>
  </si>
  <si>
    <t>P-2024-02212</t>
  </si>
  <si>
    <t>P-2024-02213</t>
  </si>
  <si>
    <t>P-2024-02214</t>
  </si>
  <si>
    <t>P-2024-02215</t>
  </si>
  <si>
    <t>I-2024-00694</t>
  </si>
  <si>
    <t>P-2024-02216</t>
  </si>
  <si>
    <t>I-2024-00695</t>
  </si>
  <si>
    <t>P-2024-02217</t>
  </si>
  <si>
    <t>P-2024-02218</t>
  </si>
  <si>
    <t>P-2024-02219</t>
  </si>
  <si>
    <t>P-2024-02220</t>
  </si>
  <si>
    <t>P-2024-02221</t>
  </si>
  <si>
    <t>P-2024-02222</t>
  </si>
  <si>
    <t>P-2024-02223</t>
  </si>
  <si>
    <t>P-2024-02224</t>
  </si>
  <si>
    <t>I-2024-00696</t>
  </si>
  <si>
    <t>P-2024-02225</t>
  </si>
  <si>
    <t>I-2024-00697</t>
  </si>
  <si>
    <t>P-2024-02226</t>
  </si>
  <si>
    <t>P-2024-02227</t>
  </si>
  <si>
    <t>P-2024-02228</t>
  </si>
  <si>
    <t>P-2024-02229</t>
  </si>
  <si>
    <t>P-2024-02230</t>
  </si>
  <si>
    <t>P-2024-02231</t>
  </si>
  <si>
    <t>P-2024-02232</t>
  </si>
  <si>
    <t>I-2024-00698</t>
  </si>
  <si>
    <t>P-2024-02233</t>
  </si>
  <si>
    <t>P-2024-02234</t>
  </si>
  <si>
    <t>I-2024-00700</t>
  </si>
  <si>
    <t>P-2024-02235</t>
  </si>
  <si>
    <t>I-2024-00701</t>
  </si>
  <si>
    <t>P-2024-02236</t>
  </si>
  <si>
    <t>I-2024-00702</t>
  </si>
  <si>
    <t>P-2024-02237</t>
  </si>
  <si>
    <t>I-2024-00703</t>
  </si>
  <si>
    <t>P-2024-02238</t>
  </si>
  <si>
    <t>P-2024-02239</t>
  </si>
  <si>
    <t>P-2024-02240</t>
  </si>
  <si>
    <t>P-2024-02241</t>
  </si>
  <si>
    <t>P-2024-02242</t>
  </si>
  <si>
    <t>I-2024-00704</t>
  </si>
  <si>
    <t>P-2024-02243</t>
  </si>
  <si>
    <t>P-2024-02244</t>
  </si>
  <si>
    <t>I-2024-00706</t>
  </si>
  <si>
    <t>P-2024-02245</t>
  </si>
  <si>
    <t>I-2024-00707</t>
  </si>
  <si>
    <t>P-2024-02246</t>
  </si>
  <si>
    <t>I-2024-00708</t>
  </si>
  <si>
    <t>P-2024-02247</t>
  </si>
  <si>
    <t>P-2024-02248</t>
  </si>
  <si>
    <t>P-2024-02250</t>
  </si>
  <si>
    <t>P-2024-02251</t>
  </si>
  <si>
    <t>P-2024-02252</t>
  </si>
  <si>
    <t>P-2024-02253</t>
  </si>
  <si>
    <t>P-2024-02254</t>
  </si>
  <si>
    <t>P-2024-02255</t>
  </si>
  <si>
    <t>P-2024-02256</t>
  </si>
  <si>
    <t>P-2024-02257</t>
  </si>
  <si>
    <t>P-2024-02258</t>
  </si>
  <si>
    <t>P-2024-02259</t>
  </si>
  <si>
    <t>P-2024-02260</t>
  </si>
  <si>
    <t>P-2024-02261</t>
  </si>
  <si>
    <t>P-2024-02262</t>
  </si>
  <si>
    <t>I-2024-00709</t>
  </si>
  <si>
    <t>P-2024-02263</t>
  </si>
  <si>
    <t>I-2024-00710</t>
  </si>
  <si>
    <t>P-2024-02264</t>
  </si>
  <si>
    <t>I-2024-00711</t>
  </si>
  <si>
    <t>P-2024-02265</t>
  </si>
  <si>
    <t>I-2024-00712</t>
  </si>
  <si>
    <t>P-2024-02266</t>
  </si>
  <si>
    <t>I-2024-00713</t>
  </si>
  <si>
    <t>P-2024-02267</t>
  </si>
  <si>
    <t>P-2024-02268</t>
  </si>
  <si>
    <t>P-2024-02269</t>
  </si>
  <si>
    <t>P-2024-02270</t>
  </si>
  <si>
    <t>P-2024-02271</t>
  </si>
  <si>
    <t>P-2024-02272</t>
  </si>
  <si>
    <t>P-2024-02273</t>
  </si>
  <si>
    <t>P-2024-02274</t>
  </si>
  <si>
    <t>P-2024-02275</t>
  </si>
  <si>
    <t>P-2024-02276</t>
  </si>
  <si>
    <t>P-2024-02277</t>
  </si>
  <si>
    <t>P-2024-02278</t>
  </si>
  <si>
    <t>P-2024-02279</t>
  </si>
  <si>
    <t>P-2024-02280</t>
  </si>
  <si>
    <t>P-2024-02281</t>
  </si>
  <si>
    <t>I-2024-00714</t>
  </si>
  <si>
    <t>P-2024-02282</t>
  </si>
  <si>
    <t>I-2024-00715</t>
  </si>
  <si>
    <t>I-2024-00716</t>
  </si>
  <si>
    <t>P-2024-02284</t>
  </si>
  <si>
    <t>P-2024-02285</t>
  </si>
  <si>
    <t>P-2024-02286</t>
  </si>
  <si>
    <t>P-2024-02287</t>
  </si>
  <si>
    <t>P-2024-02290</t>
  </si>
  <si>
    <t>P-2024-02291</t>
  </si>
  <si>
    <t>I-2024-00717</t>
  </si>
  <si>
    <t>P-2024-02292</t>
  </si>
  <si>
    <t>I-2024-00718</t>
  </si>
  <si>
    <t>P-2024-02293</t>
  </si>
  <si>
    <t>I-2024-00719</t>
  </si>
  <si>
    <t>P-2024-02294</t>
  </si>
  <si>
    <t>P-2024-02295</t>
  </si>
  <si>
    <t>P-2024-02296</t>
  </si>
  <si>
    <t>P-2024-02297</t>
  </si>
  <si>
    <t>P-2024-02298</t>
  </si>
  <si>
    <t>P-2024-02300</t>
  </si>
  <si>
    <t>P-2024-02301</t>
  </si>
  <si>
    <t>P-2024-02302</t>
  </si>
  <si>
    <t>P-2024-02303</t>
  </si>
  <si>
    <t>P-2024-02304</t>
  </si>
  <si>
    <t>I-2024-00720</t>
  </si>
  <si>
    <t>P-2024-02305</t>
  </si>
  <si>
    <t>I-2024-00721</t>
  </si>
  <si>
    <t>P-2024-02306</t>
  </si>
  <si>
    <t>I-2024-00722</t>
  </si>
  <si>
    <t>P-2024-02307</t>
  </si>
  <si>
    <t>I-2024-00723</t>
  </si>
  <si>
    <t>P-2024-02308</t>
  </si>
  <si>
    <t>I-2024-00724</t>
  </si>
  <si>
    <t>P-2024-02309</t>
  </si>
  <si>
    <t>I-2024-00725</t>
  </si>
  <si>
    <t>P-2024-02310</t>
  </si>
  <si>
    <t>P-2024-02311</t>
  </si>
  <si>
    <t>P-2024-02312</t>
  </si>
  <si>
    <t>P-2024-02313</t>
  </si>
  <si>
    <t>P-2024-02314</t>
  </si>
  <si>
    <t>P-2024-02315</t>
  </si>
  <si>
    <t>P-2024-02316</t>
  </si>
  <si>
    <t>P-2024-02317</t>
  </si>
  <si>
    <t>P-2024-02318</t>
  </si>
  <si>
    <t>I-2024-00726</t>
  </si>
  <si>
    <t>P-2024-02319</t>
  </si>
  <si>
    <t>I-2024-00727</t>
  </si>
  <si>
    <t>P-2024-02320</t>
  </si>
  <si>
    <t>I-2024-00728</t>
  </si>
  <si>
    <t>P-2024-02321</t>
  </si>
  <si>
    <t>I-2024-00729</t>
  </si>
  <si>
    <t>P-2024-02322</t>
  </si>
  <si>
    <t>I-2024-00730</t>
  </si>
  <si>
    <t>P-2024-02323</t>
  </si>
  <si>
    <t>I-2024-00731</t>
  </si>
  <si>
    <t>P-2024-02325</t>
  </si>
  <si>
    <t>P-2024-02326</t>
  </si>
  <si>
    <t>P-2024-02327</t>
  </si>
  <si>
    <t>P-2024-02328</t>
  </si>
  <si>
    <t>P-2024-02329</t>
  </si>
  <si>
    <t>P-2024-02330</t>
  </si>
  <si>
    <t>P-2024-02331</t>
  </si>
  <si>
    <t>P-2024-02332</t>
  </si>
  <si>
    <t>P-2024-02333</t>
  </si>
  <si>
    <t>P-2024-02335</t>
  </si>
  <si>
    <t>P-2024-02336</t>
  </si>
  <si>
    <t>P-2024-02337</t>
  </si>
  <si>
    <t>P-2024-02338</t>
  </si>
  <si>
    <t>P-2024-02339</t>
  </si>
  <si>
    <t>P-2024-02341</t>
  </si>
  <si>
    <t>I-2024-00732</t>
  </si>
  <si>
    <t>P-2024-02342</t>
  </si>
  <si>
    <t>I-2024-00733</t>
  </si>
  <si>
    <t>P-2024-02343</t>
  </si>
  <si>
    <t>I-2024-00734</t>
  </si>
  <si>
    <t>P-2024-02344</t>
  </si>
  <si>
    <t>I-2024-00735</t>
  </si>
  <si>
    <t>P-2024-02345</t>
  </si>
  <si>
    <t>I-2024-00736</t>
  </si>
  <si>
    <t>P-2024-02346</t>
  </si>
  <si>
    <t>P-2024-02347</t>
  </si>
  <si>
    <t>P-2024-02348</t>
  </si>
  <si>
    <t>P-2024-02349</t>
  </si>
  <si>
    <t>P-2024-02350</t>
  </si>
  <si>
    <t>P-2024-02351</t>
  </si>
  <si>
    <t>P-2024-02352</t>
  </si>
  <si>
    <t>P-2024-02353</t>
  </si>
  <si>
    <t>P-2024-02354</t>
  </si>
  <si>
    <t>P-2024-02355</t>
  </si>
  <si>
    <t>P-2024-02356</t>
  </si>
  <si>
    <t>P-2024-02357</t>
  </si>
  <si>
    <t>P-2024-02358</t>
  </si>
  <si>
    <t>P-2024-02359</t>
  </si>
  <si>
    <t>P-2024-02360</t>
  </si>
  <si>
    <t>P-2024-02361</t>
  </si>
  <si>
    <t>I-2024-00737</t>
  </si>
  <si>
    <t>P-2024-02362</t>
  </si>
  <si>
    <t>I-2024-00738</t>
  </si>
  <si>
    <t>P-2024-02363</t>
  </si>
  <si>
    <t>P-2024-02364</t>
  </si>
  <si>
    <t>P-2024-02365</t>
  </si>
  <si>
    <t>P-2024-02366</t>
  </si>
  <si>
    <t>P-2024-02367</t>
  </si>
  <si>
    <t>P-2024-02368</t>
  </si>
  <si>
    <t>P-2024-02369</t>
  </si>
  <si>
    <t>P-2024-02370</t>
  </si>
  <si>
    <t>I-2024-00739</t>
  </si>
  <si>
    <t>P-2024-02371</t>
  </si>
  <si>
    <t>I-2024-00740</t>
  </si>
  <si>
    <t>I-2024-00741</t>
  </si>
  <si>
    <t>P-2024-02373</t>
  </si>
  <si>
    <t>P-2024-02374</t>
  </si>
  <si>
    <t>I-2024-00743</t>
  </si>
  <si>
    <t>P-2024-02375</t>
  </si>
  <si>
    <t>P-2024-02376</t>
  </si>
  <si>
    <t>P-2024-02377</t>
  </si>
  <si>
    <t>P-2024-02378</t>
  </si>
  <si>
    <t>P-2024-02379</t>
  </si>
  <si>
    <t>P-2024-02380</t>
  </si>
  <si>
    <t>P-2024-02381</t>
  </si>
  <si>
    <t>P-2024-02382</t>
  </si>
  <si>
    <t>P-2024-02383</t>
  </si>
  <si>
    <t>P-2024-02384</t>
  </si>
  <si>
    <t>I-2024-00744</t>
  </si>
  <si>
    <t>P-2024-02385</t>
  </si>
  <si>
    <t>P-2024-02386</t>
  </si>
  <si>
    <t>P-2024-02387</t>
  </si>
  <si>
    <t>P-2024-02388</t>
  </si>
  <si>
    <t>P-2024-02389</t>
  </si>
  <si>
    <t>P-2024-02390</t>
  </si>
  <si>
    <t>P-2024-02391</t>
  </si>
  <si>
    <t>I-2024-00745</t>
  </si>
  <si>
    <t>P-2024-02392</t>
  </si>
  <si>
    <t>I-2024-00746</t>
  </si>
  <si>
    <t>P-2024-02393</t>
  </si>
  <si>
    <t>I-2024-00747</t>
  </si>
  <si>
    <t>P-2024-02394</t>
  </si>
  <si>
    <t>I-2024-00748</t>
  </si>
  <si>
    <t>P-2024-02395</t>
  </si>
  <si>
    <t>P-2024-02396</t>
  </si>
  <si>
    <t>P-2024-02397</t>
  </si>
  <si>
    <t>P-2024-02398</t>
  </si>
  <si>
    <t>P-2024-02399</t>
  </si>
  <si>
    <t>P-2024-02400</t>
  </si>
  <si>
    <t>P-2024-02401</t>
  </si>
  <si>
    <t>P-2024-02402</t>
  </si>
  <si>
    <t>P-2024-02403</t>
  </si>
  <si>
    <t>I-2024-00749</t>
  </si>
  <si>
    <t>P-2024-02404</t>
  </si>
  <si>
    <t>I-2024-00750</t>
  </si>
  <si>
    <t>P-2024-02405</t>
  </si>
  <si>
    <t>I-2024-00751</t>
  </si>
  <si>
    <t>P-2024-02406</t>
  </si>
  <si>
    <t>P-2024-02407</t>
  </si>
  <si>
    <t>I-2024-00752</t>
  </si>
  <si>
    <t>P-2024-02408</t>
  </si>
  <si>
    <t>I-2024-00753</t>
  </si>
  <si>
    <t>P-2024-02409</t>
  </si>
  <si>
    <t>P-2024-02411</t>
  </si>
  <si>
    <t>P-2024-02412</t>
  </si>
  <si>
    <t>P-2024-02413</t>
  </si>
  <si>
    <t>P-2024-02414</t>
  </si>
  <si>
    <t>P-2024-02415</t>
  </si>
  <si>
    <t>P-2024-02416</t>
  </si>
  <si>
    <t>P-2024-02417</t>
  </si>
  <si>
    <t>P-2024-02418</t>
  </si>
  <si>
    <t>P-2024-02419</t>
  </si>
  <si>
    <t>P-2024-02420</t>
  </si>
  <si>
    <t>P-2024-02421</t>
  </si>
  <si>
    <t>I-2024-00754</t>
  </si>
  <si>
    <t>P-2024-02422</t>
  </si>
  <si>
    <t>I-2024-00755</t>
  </si>
  <si>
    <t>P-2024-02423</t>
  </si>
  <si>
    <t>I-2024-00756</t>
  </si>
  <si>
    <t>P-2024-02424</t>
  </si>
  <si>
    <t>P-2024-02425</t>
  </si>
  <si>
    <t>P-2024-02426</t>
  </si>
  <si>
    <t>P-2024-02427</t>
  </si>
  <si>
    <t>P-2024-02428</t>
  </si>
  <si>
    <t>P-2024-02429</t>
  </si>
  <si>
    <t>P-2024-02430</t>
  </si>
  <si>
    <t>P-2024-02431</t>
  </si>
  <si>
    <t>I-2024-00757</t>
  </si>
  <si>
    <t>P-2024-02432</t>
  </si>
  <si>
    <t>I-2024-00758</t>
  </si>
  <si>
    <t>P-2024-02433</t>
  </si>
  <si>
    <t>I-2024-00759</t>
  </si>
  <si>
    <t>P-2024-02434</t>
  </si>
  <si>
    <t>P-2024-02435</t>
  </si>
  <si>
    <t>P-2024-02436</t>
  </si>
  <si>
    <t>P-2024-02437</t>
  </si>
  <si>
    <t>P-2024-02438</t>
  </si>
  <si>
    <t>P-2024-02439</t>
  </si>
  <si>
    <t>P-2024-02440</t>
  </si>
  <si>
    <t>P-2024-02441</t>
  </si>
  <si>
    <t>P-2024-02442</t>
  </si>
  <si>
    <t>P-2024-02443</t>
  </si>
  <si>
    <t>P-2024-02444</t>
  </si>
  <si>
    <t>P-2024-02445</t>
  </si>
  <si>
    <t>P-2024-02446</t>
  </si>
  <si>
    <t>P-2024-02447</t>
  </si>
  <si>
    <t>P-2024-02448</t>
  </si>
  <si>
    <t>I-2024-00760</t>
  </si>
  <si>
    <t>P-2024-02449</t>
  </si>
  <si>
    <t>I-2024-00761</t>
  </si>
  <si>
    <t>P-2024-02450</t>
  </si>
  <si>
    <t>P-2024-02451</t>
  </si>
  <si>
    <t>P-2024-02452</t>
  </si>
  <si>
    <t>P-2024-02453</t>
  </si>
  <si>
    <t>P-2024-02454</t>
  </si>
  <si>
    <t>P-2024-02455</t>
  </si>
  <si>
    <t>P-2024-02456</t>
  </si>
  <si>
    <t>P-2024-02457</t>
  </si>
  <si>
    <t>P-2024-02458</t>
  </si>
  <si>
    <t>P-2024-02459</t>
  </si>
  <si>
    <t>I-2024-00764</t>
  </si>
  <si>
    <t>P-2024-02460</t>
  </si>
  <si>
    <t>I-2024-00765</t>
  </si>
  <si>
    <t>P-2024-02461</t>
  </si>
  <si>
    <t>I-2024-00766</t>
  </si>
  <si>
    <t>P-2024-02462</t>
  </si>
  <si>
    <t>I-2024-00767</t>
  </si>
  <si>
    <t>P-2024-02464</t>
  </si>
  <si>
    <t>P-2024-02465</t>
  </si>
  <si>
    <t>P-2024-02466</t>
  </si>
  <si>
    <t>P-2024-02467</t>
  </si>
  <si>
    <t>P-2024-02468</t>
  </si>
  <si>
    <t>P-2024-02469</t>
  </si>
  <si>
    <t>P-2024-02470</t>
  </si>
  <si>
    <t>P-2024-02471</t>
  </si>
  <si>
    <t>P-2024-02472</t>
  </si>
  <si>
    <t>I-2024-00768</t>
  </si>
  <si>
    <t>P-2024-02473</t>
  </si>
  <si>
    <t>P-2024-02474</t>
  </si>
  <si>
    <t>P-2024-02475</t>
  </si>
  <si>
    <t>P-2024-02476</t>
  </si>
  <si>
    <t>P-2024-02477</t>
  </si>
  <si>
    <t>P-2024-02478</t>
  </si>
  <si>
    <t>P-2024-02479</t>
  </si>
  <si>
    <t>P-2024-02480</t>
  </si>
  <si>
    <t>P-2024-02481</t>
  </si>
  <si>
    <t>P-2024-02482</t>
  </si>
  <si>
    <t>P-2024-02483</t>
  </si>
  <si>
    <t>P-2024-02484</t>
  </si>
  <si>
    <t>I-2024-00769</t>
  </si>
  <si>
    <t>P-2024-02485</t>
  </si>
  <si>
    <t>I-2024-00770</t>
  </si>
  <si>
    <t>P-2024-02486</t>
  </si>
  <si>
    <t>I-2024-00771</t>
  </si>
  <si>
    <t>P-2024-02487</t>
  </si>
  <si>
    <t>I-2024-00772</t>
  </si>
  <si>
    <t>P-2024-02488</t>
  </si>
  <si>
    <t>I-2024-00773</t>
  </si>
  <si>
    <t>P-2024-02489</t>
  </si>
  <si>
    <t>I-2024-00774</t>
  </si>
  <si>
    <t>P-2024-02490</t>
  </si>
  <si>
    <t>P-2024-02491</t>
  </si>
  <si>
    <t>P-2024-02492</t>
  </si>
  <si>
    <t>P-2024-02493</t>
  </si>
  <si>
    <t>P-2024-02494</t>
  </si>
  <si>
    <t>P-2024-02495</t>
  </si>
  <si>
    <t>P-2024-02496</t>
  </si>
  <si>
    <t>I-2024-00775</t>
  </si>
  <si>
    <t>P-2024-02497</t>
  </si>
  <si>
    <t>I-2024-00776</t>
  </si>
  <si>
    <t>P-2024-02498</t>
  </si>
  <si>
    <t>I-2024-00777</t>
  </si>
  <si>
    <t>P-2024-02499</t>
  </si>
  <si>
    <t>I-2024-00778</t>
  </si>
  <si>
    <t>P-2024-02500</t>
  </si>
  <si>
    <t>I-2024-00779</t>
  </si>
  <si>
    <t>P-2024-02501</t>
  </si>
  <si>
    <t>P-2024-02502</t>
  </si>
  <si>
    <t>P-2024-02503</t>
  </si>
  <si>
    <t>P-2024-02504</t>
  </si>
  <si>
    <t>P-2024-02505</t>
  </si>
  <si>
    <t>P-2024-02506</t>
  </si>
  <si>
    <t>P-2024-02507</t>
  </si>
  <si>
    <t>P-2024-02508</t>
  </si>
  <si>
    <t>P-2024-02509</t>
  </si>
  <si>
    <t>P-2024-02510</t>
  </si>
  <si>
    <t>P-2024-02511</t>
  </si>
  <si>
    <t>P-2024-02512</t>
  </si>
  <si>
    <t>P-2024-02513</t>
  </si>
  <si>
    <t>P-2024-02514</t>
  </si>
  <si>
    <t>I-2024-00780</t>
  </si>
  <si>
    <t>P-2024-02515</t>
  </si>
  <si>
    <t>I-2024-00781</t>
  </si>
  <si>
    <t>P-2024-02516</t>
  </si>
  <si>
    <t>I-2024-00782</t>
  </si>
  <si>
    <t>P-2024-02517</t>
  </si>
  <si>
    <t>I-2024-00783</t>
  </si>
  <si>
    <t>P-2024-02518</t>
  </si>
  <si>
    <t>I-2024-00784</t>
  </si>
  <si>
    <t>P-2024-02519</t>
  </si>
  <si>
    <t>I-2024-00785</t>
  </si>
  <si>
    <t>P-2024-02520</t>
  </si>
  <si>
    <t>I-2024-00786</t>
  </si>
  <si>
    <t>P-2024-02521</t>
  </si>
  <si>
    <t>I-2024-00787</t>
  </si>
  <si>
    <t>P-2024-02522</t>
  </si>
  <si>
    <t>P-2024-02524</t>
  </si>
  <si>
    <t>P-2024-02525</t>
  </si>
  <si>
    <t>P-2024-02526</t>
  </si>
  <si>
    <t>P-2024-02527</t>
  </si>
  <si>
    <t>P-2024-02528</t>
  </si>
  <si>
    <t>P-2024-02529</t>
  </si>
  <si>
    <t>P-2024-02530</t>
  </si>
  <si>
    <t>P-2024-02531</t>
  </si>
  <si>
    <t>P-2024-02532</t>
  </si>
  <si>
    <t>P-2024-02533</t>
  </si>
  <si>
    <t>I-2024-00788</t>
  </si>
  <si>
    <t>P-2024-02534</t>
  </si>
  <si>
    <t>I-2024-00789</t>
  </si>
  <si>
    <t>P-2024-02535</t>
  </si>
  <si>
    <t>I-2024-00790</t>
  </si>
  <si>
    <t>P-2024-02536</t>
  </si>
  <si>
    <t>I-2024-00791</t>
  </si>
  <si>
    <t>P-2024-02537</t>
  </si>
  <si>
    <t>I-2024-00792</t>
  </si>
  <si>
    <t>P-2024-02538</t>
  </si>
  <si>
    <t>I-2024-00793</t>
  </si>
  <si>
    <t>P-2024-02539</t>
  </si>
  <si>
    <t>P-2024-02540</t>
  </si>
  <si>
    <t>P-2024-02541</t>
  </si>
  <si>
    <t>P-2024-02542</t>
  </si>
  <si>
    <t>P-2024-02543</t>
  </si>
  <si>
    <t>P-2024-02544</t>
  </si>
  <si>
    <t>P-2024-02545</t>
  </si>
  <si>
    <t>P-2024-02546</t>
  </si>
  <si>
    <t>P-2024-02547</t>
  </si>
  <si>
    <t>I-2024-00794</t>
  </si>
  <si>
    <t>P-2024-02548</t>
  </si>
  <si>
    <t>I-2024-00795</t>
  </si>
  <si>
    <t>P-2024-02549</t>
  </si>
  <si>
    <t>P-2024-02550</t>
  </si>
  <si>
    <t>P-2024-02551</t>
  </si>
  <si>
    <t>P-2024-02552</t>
  </si>
  <si>
    <t>P-2024-02553</t>
  </si>
  <si>
    <t>P-2024-02554</t>
  </si>
  <si>
    <t>P-2024-02555</t>
  </si>
  <si>
    <t>P-2024-02556</t>
  </si>
  <si>
    <t>P-2024-02557</t>
  </si>
  <si>
    <t>I-2024-00796</t>
  </si>
  <si>
    <t>P-2024-02558</t>
  </si>
  <si>
    <t>I-2024-00797</t>
  </si>
  <si>
    <t>P-2024-02559</t>
  </si>
  <si>
    <t>I-2024-00798</t>
  </si>
  <si>
    <t>P-2024-02560</t>
  </si>
  <si>
    <t>I-2024-00799</t>
  </si>
  <si>
    <t>P-2024-02561</t>
  </si>
  <si>
    <t>I-2024-00800</t>
  </si>
  <si>
    <t>P-2024-02562</t>
  </si>
  <si>
    <t>P-2024-02563</t>
  </si>
  <si>
    <t>P-2024-02564</t>
  </si>
  <si>
    <t>P-2024-02565</t>
  </si>
  <si>
    <t>P-2024-02566</t>
  </si>
  <si>
    <t>I-2024-00801</t>
  </si>
  <si>
    <t>P-2024-02567</t>
  </si>
  <si>
    <t>I-2024-00802</t>
  </si>
  <si>
    <t>P-2024-02568</t>
  </si>
  <si>
    <t>I-2024-00803</t>
  </si>
  <si>
    <t>P-2024-02569</t>
  </si>
  <si>
    <t>P-2024-02570</t>
  </si>
  <si>
    <t>P-2024-02571</t>
  </si>
  <si>
    <t>P-2024-02572</t>
  </si>
  <si>
    <t>P-2024-02573</t>
  </si>
  <si>
    <t>P-2024-02574</t>
  </si>
  <si>
    <t>P-2024-02575</t>
  </si>
  <si>
    <t>P-2024-02576</t>
  </si>
  <si>
    <t>P-2024-02577</t>
  </si>
  <si>
    <t>P-2024-02578</t>
  </si>
  <si>
    <t>P-2024-02579</t>
  </si>
  <si>
    <t>P-2024-02580</t>
  </si>
  <si>
    <t>P-2024-02582</t>
  </si>
  <si>
    <t>P-2024-02583</t>
  </si>
  <si>
    <t>I-2024-00804</t>
  </si>
  <si>
    <t>P-2024-02584</t>
  </si>
  <si>
    <t>I-2024-00805</t>
  </si>
  <si>
    <t>P-2024-02585</t>
  </si>
  <si>
    <t>I-2024-00806</t>
  </si>
  <si>
    <t>P-2024-02586</t>
  </si>
  <si>
    <t>I-2024-00807</t>
  </si>
  <si>
    <t>P-2024-02587</t>
  </si>
  <si>
    <t>P-2024-02588</t>
  </si>
  <si>
    <t>P-2024-02589</t>
  </si>
  <si>
    <t>P-2024-02590</t>
  </si>
  <si>
    <t>P-2024-02591</t>
  </si>
  <si>
    <t>P-2024-02592</t>
  </si>
  <si>
    <t>P-2024-02593</t>
  </si>
  <si>
    <t>P-2024-02594</t>
  </si>
  <si>
    <t>P-2024-02595</t>
  </si>
  <si>
    <t>P-2024-02596</t>
  </si>
  <si>
    <t>P-2024-02597</t>
  </si>
  <si>
    <t>P-2024-02598</t>
  </si>
  <si>
    <t>P-2024-02599</t>
  </si>
  <si>
    <t>I-2024-00808</t>
  </si>
  <si>
    <t>P-2024-02600</t>
  </si>
  <si>
    <t>I-2024-00809</t>
  </si>
  <si>
    <t>P-2024-02601</t>
  </si>
  <si>
    <t>I-2024-00810</t>
  </si>
  <si>
    <t>P-2024-02602</t>
  </si>
  <si>
    <t>I-2024-00811</t>
  </si>
  <si>
    <t>P-2024-02603</t>
  </si>
  <si>
    <t>I-2024-00812</t>
  </si>
  <si>
    <t>P-2024-02604</t>
  </si>
  <si>
    <t>I-2024-00813</t>
  </si>
  <si>
    <t>P-2024-02605</t>
  </si>
  <si>
    <t>I-2024-00814</t>
  </si>
  <si>
    <t>P-2024-02606</t>
  </si>
  <si>
    <t>P-2024-02607</t>
  </si>
  <si>
    <t>P-2024-02608</t>
  </si>
  <si>
    <t>P-2024-02609</t>
  </si>
  <si>
    <t>P-2024-02610</t>
  </si>
  <si>
    <t>P-2024-02611</t>
  </si>
  <si>
    <t>P-2024-02612</t>
  </si>
  <si>
    <t>P-2024-02613</t>
  </si>
  <si>
    <t>P-2024-02614</t>
  </si>
  <si>
    <t>P-2024-02615</t>
  </si>
  <si>
    <t>P-2024-02616</t>
  </si>
  <si>
    <t>I-2024-00815</t>
  </si>
  <si>
    <t>P-2024-02617</t>
  </si>
  <si>
    <t>I-2024-00816</t>
  </si>
  <si>
    <t>P-2024-02618</t>
  </si>
  <si>
    <t>I-2024-00817</t>
  </si>
  <si>
    <t>P-2024-02619</t>
  </si>
  <si>
    <t>P-2024-02620</t>
  </si>
  <si>
    <t>P-2024-02621</t>
  </si>
  <si>
    <t>P-2024-02623</t>
  </si>
  <si>
    <t>P-2024-02624</t>
  </si>
  <si>
    <t>P-2024-02625</t>
  </si>
  <si>
    <t>P-2024-02626</t>
  </si>
  <si>
    <t>I-2024-00818</t>
  </si>
  <si>
    <t>P-2024-02627</t>
  </si>
  <si>
    <t>I-2024-00819</t>
  </si>
  <si>
    <t>P-2024-02628</t>
  </si>
  <si>
    <t>I-2024-00820</t>
  </si>
  <si>
    <t>P-2024-02629</t>
  </si>
  <si>
    <t>I-2024-00821</t>
  </si>
  <si>
    <t>I-2024-00822</t>
  </si>
  <si>
    <t>P-2024-02631</t>
  </si>
  <si>
    <t>I-2024-00823</t>
  </si>
  <si>
    <t>P-2024-02632</t>
  </si>
  <si>
    <t>I-2024-00824</t>
  </si>
  <si>
    <t>P-2024-02633</t>
  </si>
  <si>
    <t>P-2024-02634</t>
  </si>
  <si>
    <t>P-2024-02635</t>
  </si>
  <si>
    <t>P-2024-02636</t>
  </si>
  <si>
    <t>P-2024-02637</t>
  </si>
  <si>
    <t>P-2024-02638</t>
  </si>
  <si>
    <t>P-2024-02639</t>
  </si>
  <si>
    <t>P-2024-02640</t>
  </si>
  <si>
    <t>P-2024-02641</t>
  </si>
  <si>
    <t>P-2024-02642</t>
  </si>
  <si>
    <t>P-2024-02643</t>
  </si>
  <si>
    <t>P-2024-02644</t>
  </si>
  <si>
    <t>P-2024-02645</t>
  </si>
  <si>
    <t>P-2024-02646</t>
  </si>
  <si>
    <t>I-2024-00825</t>
  </si>
  <si>
    <t>P-2024-02647</t>
  </si>
  <si>
    <t>P-2024-02648</t>
  </si>
  <si>
    <t>P-2024-02649</t>
  </si>
  <si>
    <t>P-2024-02650</t>
  </si>
  <si>
    <t>P-2024-02651</t>
  </si>
  <si>
    <t>P-2024-02652</t>
  </si>
  <si>
    <t>P-2024-02653</t>
  </si>
  <si>
    <t>I-2024-00826</t>
  </si>
  <si>
    <t>P-2024-02654</t>
  </si>
  <si>
    <t>I-2024-00827</t>
  </si>
  <si>
    <t>P-2024-02655</t>
  </si>
  <si>
    <t>I-2024-00828</t>
  </si>
  <si>
    <t>P-2024-02656</t>
  </si>
  <si>
    <t>I-2024-00829</t>
  </si>
  <si>
    <t>P-2024-02657</t>
  </si>
  <si>
    <t>I-2024-00830</t>
  </si>
  <si>
    <t>P-2024-02658</t>
  </si>
  <si>
    <t>P-2024-02659</t>
  </si>
  <si>
    <t>P-2024-02660</t>
  </si>
  <si>
    <t>P-2024-02661</t>
  </si>
  <si>
    <t>P-2024-02662</t>
  </si>
  <si>
    <t>P-2024-02663</t>
  </si>
  <si>
    <t>P-2024-02664</t>
  </si>
  <si>
    <t>P-2024-02665</t>
  </si>
  <si>
    <t>I-2024-00831</t>
  </si>
  <si>
    <t>P-2024-02666</t>
  </si>
  <si>
    <t>I-2024-00832</t>
  </si>
  <si>
    <t>P-2024-02667</t>
  </si>
  <si>
    <t>P-2024-02668</t>
  </si>
  <si>
    <t>P-2024-02669</t>
  </si>
  <si>
    <t>P-2024-02670</t>
  </si>
  <si>
    <t>P-2024-02671</t>
  </si>
  <si>
    <t>P-2024-02672</t>
  </si>
  <si>
    <t>P-2024-02673</t>
  </si>
  <si>
    <t>P-2024-02674</t>
  </si>
  <si>
    <t>P-2024-02675</t>
  </si>
  <si>
    <t>P-2024-02676</t>
  </si>
  <si>
    <t>P-2024-02677</t>
  </si>
  <si>
    <t>I-2024-00833</t>
  </si>
  <si>
    <t>P-2024-02678</t>
  </si>
  <si>
    <t>I-2024-00834</t>
  </si>
  <si>
    <t>P-2024-02679</t>
  </si>
  <si>
    <t>I-2024-00835</t>
  </si>
  <si>
    <t>P-2024-02680</t>
  </si>
  <si>
    <t>P-2024-02681</t>
  </si>
  <si>
    <t>P-2024-02682</t>
  </si>
  <si>
    <t>P-2024-02683</t>
  </si>
  <si>
    <t>P-2024-02684</t>
  </si>
  <si>
    <t>P-2024-02685</t>
  </si>
  <si>
    <t>P-2024-02686</t>
  </si>
  <si>
    <t>P-2024-02687</t>
  </si>
  <si>
    <t>I-2024-00836</t>
  </si>
  <si>
    <t>P-2024-02688</t>
  </si>
  <si>
    <t>I-2024-00837</t>
  </si>
  <si>
    <t>P-2024-02689</t>
  </si>
  <si>
    <t>I-2024-00838</t>
  </si>
  <si>
    <t>P-2024-02690</t>
  </si>
  <si>
    <t>I-2024-00839</t>
  </si>
  <si>
    <t>P-2024-02691</t>
  </si>
  <si>
    <t>I-2024-00840</t>
  </si>
  <si>
    <t>P-2024-02692</t>
  </si>
  <si>
    <t>I-2024-00841</t>
  </si>
  <si>
    <t>P-2024-02693</t>
  </si>
  <si>
    <t>P-2024-02694</t>
  </si>
  <si>
    <t>P-2024-02695</t>
  </si>
  <si>
    <t>P-2024-02696</t>
  </si>
  <si>
    <t>P-2024-02697</t>
  </si>
  <si>
    <t>P-2024-02698</t>
  </si>
  <si>
    <t>P-2024-02699</t>
  </si>
  <si>
    <t>P-2024-02700</t>
  </si>
  <si>
    <t>I-2024-00842</t>
  </si>
  <si>
    <t>I-2024-00843</t>
  </si>
  <si>
    <t>P-2024-02702</t>
  </si>
  <si>
    <t>I-2024-00844</t>
  </si>
  <si>
    <t>P-2024-02703</t>
  </si>
  <si>
    <t>I-2024-00845</t>
  </si>
  <si>
    <t>P-2024-02704</t>
  </si>
  <si>
    <t>I-2024-00846</t>
  </si>
  <si>
    <t>P-2024-02705</t>
  </si>
  <si>
    <t>I-2024-00847</t>
  </si>
  <si>
    <t>P-2024-02706</t>
  </si>
  <si>
    <t>P-2024-02707</t>
  </si>
  <si>
    <t>P-2024-02708</t>
  </si>
  <si>
    <t>P-2024-02709</t>
  </si>
  <si>
    <t>P-2024-02710</t>
  </si>
  <si>
    <t>P-2024-02711</t>
  </si>
  <si>
    <t>P-2024-02712</t>
  </si>
  <si>
    <t>P-2024-02713</t>
  </si>
  <si>
    <t>I-2024-00848</t>
  </si>
  <si>
    <t>P-2024-02714</t>
  </si>
  <si>
    <t>I-2024-00849</t>
  </si>
  <si>
    <t>P-2024-02715</t>
  </si>
  <si>
    <t>I-2024-00850</t>
  </si>
  <si>
    <t>P-2024-02716</t>
  </si>
  <si>
    <t>P-2024-02717</t>
  </si>
  <si>
    <t>P-2024-02718</t>
  </si>
  <si>
    <t>P-2024-02719</t>
  </si>
  <si>
    <t>P-2024-02720</t>
  </si>
  <si>
    <t>P-2024-02721</t>
  </si>
  <si>
    <t>P-2024-02722</t>
  </si>
  <si>
    <t>P-2024-02723</t>
  </si>
  <si>
    <t>P-2024-02724</t>
  </si>
  <si>
    <t>P-2024-02725</t>
  </si>
  <si>
    <t>P-2024-02726</t>
  </si>
  <si>
    <t>I-2024-00851</t>
  </si>
  <si>
    <t>P-2024-02727</t>
  </si>
  <si>
    <t>I-2024-00852</t>
  </si>
  <si>
    <t>P-2024-02728</t>
  </si>
  <si>
    <t>I-2024-00853</t>
  </si>
  <si>
    <t>P-2024-02729</t>
  </si>
  <si>
    <t>I-2024-00854</t>
  </si>
  <si>
    <t>P-2024-02730</t>
  </si>
  <si>
    <t>I-2024-00855</t>
  </si>
  <si>
    <t>P-2024-02731</t>
  </si>
  <si>
    <t>I-2024-00856</t>
  </si>
  <si>
    <t>P-2024-02732</t>
  </si>
  <si>
    <t>I-2024-00857</t>
  </si>
  <si>
    <t>P-2024-02733</t>
  </si>
  <si>
    <t>I-2024-00858</t>
  </si>
  <si>
    <t>P-2024-02734</t>
  </si>
  <si>
    <t>I-2024-00859</t>
  </si>
  <si>
    <t>P-2024-02735</t>
  </si>
  <si>
    <t>I-2024-00860</t>
  </si>
  <si>
    <t>P-2024-02736</t>
  </si>
  <si>
    <t>P-2024-02737</t>
  </si>
  <si>
    <t>P-2024-02738</t>
  </si>
  <si>
    <t>P-2024-02739</t>
  </si>
  <si>
    <t>P-2024-02740</t>
  </si>
  <si>
    <t>P-2024-02741</t>
  </si>
  <si>
    <t>P-2024-02742</t>
  </si>
  <si>
    <t>P-2024-02743</t>
  </si>
  <si>
    <t>P-2024-02744</t>
  </si>
  <si>
    <t>P-2024-02745</t>
  </si>
  <si>
    <t>I-2024-00861</t>
  </si>
  <si>
    <t>P-2024-02746</t>
  </si>
  <si>
    <t>I-2024-00862</t>
  </si>
  <si>
    <t>P-2024-02747</t>
  </si>
  <si>
    <t>I-2024-00863</t>
  </si>
  <si>
    <t>P-2024-02748</t>
  </si>
  <si>
    <t>I-2024-00864</t>
  </si>
  <si>
    <t>P-2024-02749</t>
  </si>
  <si>
    <t>I-2024-00865</t>
  </si>
  <si>
    <t>P-2024-02750</t>
  </si>
  <si>
    <t>I-2024-00866</t>
  </si>
  <si>
    <t>P-2024-02751</t>
  </si>
  <si>
    <t>P-2024-02752</t>
  </si>
  <si>
    <t>P-2024-02753</t>
  </si>
  <si>
    <t>P-2024-02754</t>
  </si>
  <si>
    <t>P-2024-02755</t>
  </si>
  <si>
    <t>P-2024-02756</t>
  </si>
  <si>
    <t>P-2024-02757</t>
  </si>
  <si>
    <t>P-2024-02758</t>
  </si>
  <si>
    <t>P-2024-02759</t>
  </si>
  <si>
    <t>P-2024-02760</t>
  </si>
  <si>
    <t>I-2024-00867</t>
  </si>
  <si>
    <t>P-2024-02761</t>
  </si>
  <si>
    <t>P-2024-02762</t>
  </si>
  <si>
    <t>P-2024-02763</t>
  </si>
  <si>
    <t>P-2024-02764</t>
  </si>
  <si>
    <t>P-2024-02765</t>
  </si>
  <si>
    <t>P-2024-02766</t>
  </si>
  <si>
    <t>P-2024-02767</t>
  </si>
  <si>
    <t>P-2024-02768</t>
  </si>
  <si>
    <t>P-2024-02769</t>
  </si>
  <si>
    <t>P-2024-02770</t>
  </si>
  <si>
    <t>I-2024-00868</t>
  </si>
  <si>
    <t>P-2024-02771</t>
  </si>
  <si>
    <t>I-2024-00869</t>
  </si>
  <si>
    <t>P-2024-02772</t>
  </si>
  <si>
    <t>I-2024-00870</t>
  </si>
  <si>
    <t>P-2024-02773</t>
  </si>
  <si>
    <t>I-2024-00871</t>
  </si>
  <si>
    <t>P-2024-02774</t>
  </si>
  <si>
    <t>I-2024-00872</t>
  </si>
  <si>
    <t>P-2024-02775</t>
  </si>
  <si>
    <t>I-2024-00873</t>
  </si>
  <si>
    <t>P-2024-02776</t>
  </si>
  <si>
    <t>P-2024-02777</t>
  </si>
  <si>
    <t>P-2024-02778</t>
  </si>
  <si>
    <t>P-2024-02779</t>
  </si>
  <si>
    <t>P-2024-02780</t>
  </si>
  <si>
    <t>P-2024-02781</t>
  </si>
  <si>
    <t>P-2024-02782</t>
  </si>
  <si>
    <t>I-2024-00874</t>
  </si>
  <si>
    <t>P-2024-02783</t>
  </si>
  <si>
    <t>I-2024-00875</t>
  </si>
  <si>
    <t>P-2024-02784</t>
  </si>
  <si>
    <t>P-2024-02785</t>
  </si>
  <si>
    <t>P-2024-02786</t>
  </si>
  <si>
    <t>P-2024-02787</t>
  </si>
  <si>
    <t>P-2024-02788</t>
  </si>
  <si>
    <t>P-2024-02789</t>
  </si>
  <si>
    <t>P-2024-02790</t>
  </si>
  <si>
    <t>P-2024-02791</t>
  </si>
  <si>
    <t>P-2024-02792</t>
  </si>
  <si>
    <t>P-2024-02793</t>
  </si>
  <si>
    <t>I-2024-00876</t>
  </si>
  <si>
    <t>P-2024-02794</t>
  </si>
  <si>
    <t>I-2024-00877</t>
  </si>
  <si>
    <t>P-2024-02795</t>
  </si>
  <si>
    <t>I-2024-00878</t>
  </si>
  <si>
    <t>P-2024-02796</t>
  </si>
  <si>
    <t>I-2024-00879</t>
  </si>
  <si>
    <t>P-2024-02797</t>
  </si>
  <si>
    <t>I-2024-00880</t>
  </si>
  <si>
    <t>P-2024-02798</t>
  </si>
  <si>
    <t>P-2024-02799</t>
  </si>
  <si>
    <t>I-2024-00882</t>
  </si>
  <si>
    <t>P-2024-02800</t>
  </si>
  <si>
    <t>I-2024-00883</t>
  </si>
  <si>
    <t>P-2024-02801</t>
  </si>
  <si>
    <t>I-2024-00884</t>
  </si>
  <si>
    <t>P-2024-02802</t>
  </si>
  <si>
    <t>P-2024-02803</t>
  </si>
  <si>
    <t>P-2024-02804</t>
  </si>
  <si>
    <t>P-2024-02805</t>
  </si>
  <si>
    <t>P-2024-02806</t>
  </si>
  <si>
    <t>P-2024-02807</t>
  </si>
  <si>
    <t>P-2024-02808</t>
  </si>
  <si>
    <t>I-2024-00885</t>
  </si>
  <si>
    <t>P-2024-02809</t>
  </si>
  <si>
    <t>I-2024-00886</t>
  </si>
  <si>
    <t>P-2024-02810</t>
  </si>
  <si>
    <t>I-2024-00887</t>
  </si>
  <si>
    <t>I-2024-00888</t>
  </si>
  <si>
    <t>P-2024-02812</t>
  </si>
  <si>
    <t>I-2024-00889</t>
  </si>
  <si>
    <t>P-2024-02813</t>
  </si>
  <si>
    <t>I-2024-00890</t>
  </si>
  <si>
    <t>P-2024-02814</t>
  </si>
  <si>
    <t>P-2024-02815</t>
  </si>
  <si>
    <t>P-2024-02816</t>
  </si>
  <si>
    <t>P-2024-02817</t>
  </si>
  <si>
    <t>P-2024-02818</t>
  </si>
  <si>
    <t>P-2024-02819</t>
  </si>
  <si>
    <t>P-2024-02820</t>
  </si>
  <si>
    <t>P-2024-02821</t>
  </si>
  <si>
    <t>P-2024-02822</t>
  </si>
  <si>
    <t>P-2024-02823</t>
  </si>
  <si>
    <t>P-2024-02824</t>
  </si>
  <si>
    <t>P-2024-02825</t>
  </si>
  <si>
    <t>P-2024-02826</t>
  </si>
  <si>
    <t>P-2024-02827</t>
  </si>
  <si>
    <t>I-2024-00891</t>
  </si>
  <si>
    <t>P-2024-02828</t>
  </si>
  <si>
    <t>I-2024-00892</t>
  </si>
  <si>
    <t>P-2024-02829</t>
  </si>
  <si>
    <t>I-2024-00893</t>
  </si>
  <si>
    <t>P-2024-02830</t>
  </si>
  <si>
    <t>I-2024-00894</t>
  </si>
  <si>
    <t>P-2024-02831</t>
  </si>
  <si>
    <t>I-2024-00895</t>
  </si>
  <si>
    <t>P-2024-02832</t>
  </si>
  <si>
    <t>P-2024-02833</t>
  </si>
  <si>
    <t>P-2024-02834</t>
  </si>
  <si>
    <t>P-2024-02835</t>
  </si>
  <si>
    <t>P-2024-02836</t>
  </si>
  <si>
    <t>P-2024-02837</t>
  </si>
  <si>
    <t>P-2024-02838</t>
  </si>
  <si>
    <t>I-2024-00896</t>
  </si>
  <si>
    <t>P-2024-02839</t>
  </si>
  <si>
    <t>I-2024-00897</t>
  </si>
  <si>
    <t>P-2024-02840</t>
  </si>
  <si>
    <t>P-2024-02841</t>
  </si>
  <si>
    <t>P-2024-02842</t>
  </si>
  <si>
    <t>P-2024-02843</t>
  </si>
  <si>
    <t>P-2024-02844</t>
  </si>
  <si>
    <t>P-2024-02845</t>
  </si>
  <si>
    <t>P-2024-02846</t>
  </si>
  <si>
    <t>P-2024-02847</t>
  </si>
  <si>
    <t>I-2024-00898</t>
  </si>
  <si>
    <t>P-2024-02848</t>
  </si>
  <si>
    <t>I-2024-00899</t>
  </si>
  <si>
    <t>P-2024-02849</t>
  </si>
  <si>
    <t>I-2024-00900</t>
  </si>
  <si>
    <t>P-2024-02850</t>
  </si>
  <si>
    <t>I-2024-00901</t>
  </si>
  <si>
    <t>P-2024-02851</t>
  </si>
  <si>
    <t>P-2024-02852</t>
  </si>
  <si>
    <t>P-2024-02853</t>
  </si>
  <si>
    <t>P-2024-02854</t>
  </si>
  <si>
    <t>P-2024-02855</t>
  </si>
  <si>
    <t>P-2024-02856</t>
  </si>
  <si>
    <t>P-2024-02857</t>
  </si>
  <si>
    <t>I-2024-00902</t>
  </si>
  <si>
    <t>P-2024-02858</t>
  </si>
  <si>
    <t>I-2024-00903</t>
  </si>
  <si>
    <t>P-2024-02859</t>
  </si>
  <si>
    <t>I-2024-00904</t>
  </si>
  <si>
    <t>P-2024-02860</t>
  </si>
  <si>
    <t>I-2024-00905</t>
  </si>
  <si>
    <t>P-2024-02861</t>
  </si>
  <si>
    <t>P-2024-02862</t>
  </si>
  <si>
    <t>P-2024-02863</t>
  </si>
  <si>
    <t>P-2024-02864</t>
  </si>
  <si>
    <t>P-2024-02865</t>
  </si>
  <si>
    <t>P-2024-02866</t>
  </si>
  <si>
    <t>P-2024-02867</t>
  </si>
  <si>
    <t>P-2024-02868</t>
  </si>
  <si>
    <t>P-2024-02869</t>
  </si>
  <si>
    <t>P-2024-02870</t>
  </si>
  <si>
    <t>P-2024-02871</t>
  </si>
  <si>
    <t>P-2024-02872</t>
  </si>
  <si>
    <t>P-2024-02873</t>
  </si>
  <si>
    <t>P-2024-02874</t>
  </si>
  <si>
    <t>P-2024-02875</t>
  </si>
  <si>
    <t>P-2024-02876</t>
  </si>
  <si>
    <t>P-2024-02877</t>
  </si>
  <si>
    <t>P-2024-02878</t>
  </si>
  <si>
    <t>P-2024-02879</t>
  </si>
  <si>
    <t>P-2024-02880</t>
  </si>
  <si>
    <t>P-2024-02881</t>
  </si>
  <si>
    <t>P-2024-02882</t>
  </si>
  <si>
    <t>P-2024-02883</t>
  </si>
  <si>
    <t>P-2024-02885</t>
  </si>
  <si>
    <t>P-2024-02886</t>
  </si>
  <si>
    <t>P-2024-02887</t>
  </si>
  <si>
    <t>P-2024-02888</t>
  </si>
  <si>
    <t>P-2024-02889</t>
  </si>
  <si>
    <t>P-2024-02890</t>
  </si>
  <si>
    <t>P-2024-02891</t>
  </si>
  <si>
    <t>P-2024-02892</t>
  </si>
  <si>
    <t>P-2024-02893</t>
  </si>
  <si>
    <t>P-2024-02894</t>
  </si>
  <si>
    <t>P-2024-02895</t>
  </si>
  <si>
    <t>P-2024-02896</t>
  </si>
  <si>
    <t>P-2024-02897</t>
  </si>
  <si>
    <t>P-2024-02898</t>
  </si>
  <si>
    <t>P-2024-02899</t>
  </si>
  <si>
    <t>P-2024-02900</t>
  </si>
  <si>
    <t>P-2024-02902</t>
  </si>
  <si>
    <t>P-2024-02903</t>
  </si>
  <si>
    <t>P-2024-02904</t>
  </si>
  <si>
    <t>P-2024-02905</t>
  </si>
  <si>
    <t>P-2024-02906</t>
  </si>
  <si>
    <t>P-2024-02907</t>
  </si>
  <si>
    <t>P-2024-02908</t>
  </si>
  <si>
    <t>P-2024-02909</t>
  </si>
  <si>
    <t>P-2024-02910</t>
  </si>
  <si>
    <t>P-2024-02911</t>
  </si>
  <si>
    <t>P-2024-02912</t>
  </si>
  <si>
    <t>P-2024-02913</t>
  </si>
  <si>
    <t>P-2024-02914</t>
  </si>
  <si>
    <t>P-2024-02915</t>
  </si>
  <si>
    <t>P-2024-02916</t>
  </si>
  <si>
    <t>P-2024-02917</t>
  </si>
  <si>
    <t>P-2024-02918</t>
  </si>
  <si>
    <t>P-2024-02919</t>
  </si>
  <si>
    <t>P-2024-02920</t>
  </si>
  <si>
    <t>P-2024-02921</t>
  </si>
  <si>
    <t>P-2024-02922</t>
  </si>
  <si>
    <t>P-2024-02923</t>
  </si>
  <si>
    <t>P-2024-02925</t>
  </si>
  <si>
    <t>P-2024-02926</t>
  </si>
  <si>
    <t>P-2024-02927</t>
  </si>
  <si>
    <t>P-2024-02928</t>
  </si>
  <si>
    <t>P-2024-02929</t>
  </si>
  <si>
    <t>P-2024-02930</t>
  </si>
  <si>
    <t>P-2024-02931</t>
  </si>
  <si>
    <t>P-2024-02932</t>
  </si>
  <si>
    <t>P-2024-02933</t>
  </si>
  <si>
    <t>P-2024-02934</t>
  </si>
  <si>
    <t>P-2024-02935</t>
  </si>
  <si>
    <t>P-2024-02936</t>
  </si>
  <si>
    <t>P-2024-02937</t>
  </si>
  <si>
    <t>P-2024-02938</t>
  </si>
  <si>
    <t>P-2024-02939</t>
  </si>
  <si>
    <t>P-2024-02940</t>
  </si>
  <si>
    <t>P-2024-02941</t>
  </si>
  <si>
    <t>P-2024-02942</t>
  </si>
  <si>
    <t>P-2024-02943</t>
  </si>
  <si>
    <t>P-2024-02944</t>
  </si>
  <si>
    <t>P-2024-02946</t>
  </si>
  <si>
    <t>P-2024-02947</t>
  </si>
  <si>
    <t>P-2024-02948</t>
  </si>
  <si>
    <t>P-2024-02949</t>
  </si>
  <si>
    <t>P-2024-02950</t>
  </si>
  <si>
    <t>P-2024-02951</t>
  </si>
  <si>
    <t>P-2024-02952</t>
  </si>
  <si>
    <t>P-2024-02953</t>
  </si>
  <si>
    <t>P-2024-02954</t>
  </si>
  <si>
    <t>P-2024-02955</t>
  </si>
  <si>
    <t>P-2024-02956</t>
  </si>
  <si>
    <t>P-2024-02957</t>
  </si>
  <si>
    <t>P-2024-02958</t>
  </si>
  <si>
    <t>P-2024-02959</t>
  </si>
  <si>
    <t>P-2024-02960</t>
  </si>
  <si>
    <t>P-2024-02962</t>
  </si>
  <si>
    <t>P-2024-02963</t>
  </si>
  <si>
    <t>P-2024-02964</t>
  </si>
  <si>
    <t>P-2024-02965</t>
  </si>
  <si>
    <t>P-2024-02966</t>
  </si>
  <si>
    <t>P-2024-02967</t>
  </si>
  <si>
    <t>P-2024-02968</t>
  </si>
  <si>
    <t>P-2024-02969</t>
  </si>
  <si>
    <t>P-2024-02970</t>
  </si>
  <si>
    <t>P-2024-02971</t>
  </si>
  <si>
    <t>P-2024-02972</t>
  </si>
  <si>
    <t>P-2024-02973</t>
  </si>
  <si>
    <t>P-2024-02974</t>
  </si>
  <si>
    <t>P-2024-02975</t>
  </si>
  <si>
    <t>P-2024-02976</t>
  </si>
  <si>
    <t>P-2024-02977</t>
  </si>
  <si>
    <t>P-2024-02978</t>
  </si>
  <si>
    <t>P-2024-02979</t>
  </si>
  <si>
    <t>P-2024-02980</t>
  </si>
  <si>
    <t>P-2024-02981</t>
  </si>
  <si>
    <t>P-2024-02982</t>
  </si>
  <si>
    <t>P-2024-02983</t>
  </si>
  <si>
    <t>P-2024-02984</t>
  </si>
  <si>
    <t>P-2024-02985</t>
  </si>
  <si>
    <t>P-2024-02986</t>
  </si>
  <si>
    <t>P-2024-02987</t>
  </si>
  <si>
    <t>P-2024-02988</t>
  </si>
  <si>
    <t>P-2024-02989</t>
  </si>
  <si>
    <t>P-2024-02990</t>
  </si>
  <si>
    <t>P-2024-02991</t>
  </si>
  <si>
    <t>P-2024-02992</t>
  </si>
  <si>
    <t>P-2024-02993</t>
  </si>
  <si>
    <t>P-2024-02994</t>
  </si>
  <si>
    <t>P-2024-02995</t>
  </si>
  <si>
    <t>P-2024-02996</t>
  </si>
  <si>
    <t>P-2024-02997</t>
  </si>
  <si>
    <t>P-2024-02998</t>
  </si>
  <si>
    <t>P-2024-02999</t>
  </si>
  <si>
    <t>P-2024-03000</t>
  </si>
  <si>
    <t>P-2024-03001</t>
  </si>
  <si>
    <t>P-2024-03002</t>
  </si>
  <si>
    <t>P-2024-03003</t>
  </si>
  <si>
    <t>P-2024-03004</t>
  </si>
  <si>
    <t>P-2024-03005</t>
  </si>
  <si>
    <t>P-2024-03006</t>
  </si>
  <si>
    <t>P-2024-03007</t>
  </si>
  <si>
    <t>P-2024-03009</t>
  </si>
  <si>
    <t>P-2024-03010</t>
  </si>
  <si>
    <t>P-2024-03011</t>
  </si>
  <si>
    <t>P-2024-03012</t>
  </si>
  <si>
    <t>P-2024-03013</t>
  </si>
  <si>
    <t>P-2024-03014</t>
  </si>
  <si>
    <t>P-2024-03015</t>
  </si>
  <si>
    <t>P-2024-03016</t>
  </si>
  <si>
    <t>P-2024-03017</t>
  </si>
  <si>
    <t>P-2024-03018</t>
  </si>
  <si>
    <t>P-2024-03019</t>
  </si>
  <si>
    <t>P-2024-03020</t>
  </si>
  <si>
    <t>P-2024-03021</t>
  </si>
  <si>
    <t>P-2024-03022</t>
  </si>
  <si>
    <t>P-2024-03023</t>
  </si>
  <si>
    <t>P-2024-03024</t>
  </si>
  <si>
    <t>P-2024-03025</t>
  </si>
  <si>
    <t>P-2024-03026</t>
  </si>
  <si>
    <t>P-2024-03027</t>
  </si>
  <si>
    <t>P-2024-03028</t>
  </si>
  <si>
    <t>P-2024-03029</t>
  </si>
  <si>
    <t>P-2024-03030</t>
  </si>
  <si>
    <t>P-2024-03031</t>
  </si>
  <si>
    <t>P-2024-03032</t>
  </si>
  <si>
    <t>P-2024-03033</t>
  </si>
  <si>
    <t>P-2024-03034</t>
  </si>
  <si>
    <t>P-2024-03035</t>
  </si>
  <si>
    <t>P-2024-03036</t>
  </si>
  <si>
    <t>P-2024-03037</t>
  </si>
  <si>
    <t>P-2024-03038</t>
  </si>
  <si>
    <t>P-2024-03039</t>
  </si>
  <si>
    <t>P-2024-03040</t>
  </si>
  <si>
    <t>P-2024-03041</t>
  </si>
  <si>
    <t>P-2024-03042</t>
  </si>
  <si>
    <t>P-2024-03043</t>
  </si>
  <si>
    <t>P-2024-03044</t>
  </si>
  <si>
    <t>P-2024-03045</t>
  </si>
  <si>
    <t>P-2024-03046</t>
  </si>
  <si>
    <t>P-2024-03047</t>
  </si>
  <si>
    <t>P-2024-03048</t>
  </si>
  <si>
    <t>P-2024-03049</t>
  </si>
  <si>
    <t>P-2024-03050</t>
  </si>
  <si>
    <t>P-2024-03051</t>
  </si>
  <si>
    <t>P-2024-03052</t>
  </si>
  <si>
    <t>P-2024-03053</t>
  </si>
  <si>
    <t>P-2024-03054</t>
  </si>
  <si>
    <t>P-2024-03056</t>
  </si>
  <si>
    <t>P-2024-03057</t>
  </si>
  <si>
    <t>P-2024-03058</t>
  </si>
  <si>
    <t>P-2024-03059</t>
  </si>
  <si>
    <t>P-2024-03060</t>
  </si>
  <si>
    <t>P-2024-03061</t>
  </si>
  <si>
    <t>P-2024-03062</t>
  </si>
  <si>
    <t>P-2024-03063</t>
  </si>
  <si>
    <t>P-2024-03064</t>
  </si>
  <si>
    <t>P-2024-03065</t>
  </si>
  <si>
    <t>P-2024-03066</t>
  </si>
  <si>
    <t>P-2024-03067</t>
  </si>
  <si>
    <t>P-2024-03068</t>
  </si>
  <si>
    <t>P-2024-03069</t>
  </si>
  <si>
    <t>P-2024-03070</t>
  </si>
  <si>
    <t>P-2024-03071</t>
  </si>
  <si>
    <t>P-2024-03072</t>
  </si>
  <si>
    <t>P-2024-03073</t>
  </si>
  <si>
    <t>P-2024-03074</t>
  </si>
  <si>
    <t>P-2024-03075</t>
  </si>
  <si>
    <t>P-2024-03076</t>
  </si>
  <si>
    <t>P-2024-03077</t>
  </si>
  <si>
    <t>P-2024-03078</t>
  </si>
  <si>
    <t>P-2024-03079</t>
  </si>
  <si>
    <t>P-2024-03080</t>
  </si>
  <si>
    <t>P-2024-03082</t>
  </si>
  <si>
    <t>P-2024-03083</t>
  </si>
  <si>
    <t>P-2024-03085</t>
  </si>
  <si>
    <t>P-2024-03086</t>
  </si>
  <si>
    <t>P-2024-03087</t>
  </si>
  <si>
    <t>P-2024-03088</t>
  </si>
  <si>
    <t>P-2024-03089</t>
  </si>
  <si>
    <t>P-2024-03090</t>
  </si>
  <si>
    <t>P-2024-03091</t>
  </si>
  <si>
    <t>P-2024-03092</t>
  </si>
  <si>
    <t>P-2024-03093</t>
  </si>
  <si>
    <t>P-2024-03094</t>
  </si>
  <si>
    <t>P-2024-03095</t>
  </si>
  <si>
    <t>P-2024-03096</t>
  </si>
  <si>
    <t>P-2024-03097</t>
  </si>
  <si>
    <t>P-2024-03098</t>
  </si>
  <si>
    <t>P-2024-03099</t>
  </si>
  <si>
    <t>P-2024-03100</t>
  </si>
  <si>
    <t>P-2024-03101</t>
  </si>
  <si>
    <t>P-2024-03102</t>
  </si>
  <si>
    <t>P-2024-03103</t>
  </si>
  <si>
    <t>P-2024-03104</t>
  </si>
  <si>
    <t>P-2024-03105</t>
  </si>
  <si>
    <t>P-2024-03106</t>
  </si>
  <si>
    <t>P-2024-03107</t>
  </si>
  <si>
    <t>P-2024-03108</t>
  </si>
  <si>
    <t>P-2024-03109</t>
  </si>
  <si>
    <t>P-2024-03110</t>
  </si>
  <si>
    <t>P-2024-03111</t>
  </si>
  <si>
    <t>P-2024-03112</t>
  </si>
  <si>
    <t>P-2024-03113</t>
  </si>
  <si>
    <t>P-2024-03114</t>
  </si>
  <si>
    <t>P-2024-03115</t>
  </si>
  <si>
    <t>P-2024-03116</t>
  </si>
  <si>
    <t>P-2024-03117</t>
  </si>
  <si>
    <t>P-2024-03118</t>
  </si>
  <si>
    <t>P-2024-03119</t>
  </si>
  <si>
    <t>P-2024-03120</t>
  </si>
  <si>
    <t>P-2024-03121</t>
  </si>
  <si>
    <t>P-2024-03122</t>
  </si>
  <si>
    <t>P-2024-03123</t>
  </si>
  <si>
    <t>P-2024-03124</t>
  </si>
  <si>
    <t>P-2024-03125</t>
  </si>
  <si>
    <t>P-2024-03126</t>
  </si>
  <si>
    <t>P-2024-03127</t>
  </si>
  <si>
    <t>P-2024-03128</t>
  </si>
  <si>
    <t>P-2024-03129</t>
  </si>
  <si>
    <t>P-2024-03130</t>
  </si>
  <si>
    <t>P-2024-03131</t>
  </si>
  <si>
    <t>P-2024-03132</t>
  </si>
  <si>
    <t>P-2024-03133</t>
  </si>
  <si>
    <t>P-2024-03134</t>
  </si>
  <si>
    <t>P-2024-03135</t>
  </si>
  <si>
    <t>P-2024-03136</t>
  </si>
  <si>
    <t>P-2024-03137</t>
  </si>
  <si>
    <t>P-2024-03138</t>
  </si>
  <si>
    <t>P-2024-03139</t>
  </si>
  <si>
    <t>P-2024-03140</t>
  </si>
  <si>
    <t>P-2024-03141</t>
  </si>
  <si>
    <t>P-2024-03142</t>
  </si>
  <si>
    <t>P-2024-03143</t>
  </si>
  <si>
    <t>P-2024-03144</t>
  </si>
  <si>
    <t>P-2024-03145</t>
  </si>
  <si>
    <t>P-2024-03146</t>
  </si>
  <si>
    <t>P-2024-03147</t>
  </si>
  <si>
    <t>P-2024-03148</t>
  </si>
  <si>
    <t>P-2024-03149</t>
  </si>
  <si>
    <t>P-2024-03150</t>
  </si>
  <si>
    <t>P-2024-03151</t>
  </si>
  <si>
    <t>P-2024-03152</t>
  </si>
  <si>
    <t>P-2024-03153</t>
  </si>
  <si>
    <t>P-2024-03154</t>
  </si>
  <si>
    <t>P-2024-03155</t>
  </si>
  <si>
    <t>P-2024-03156</t>
  </si>
  <si>
    <t>P-2024-03157</t>
  </si>
  <si>
    <t>P-2024-03158</t>
  </si>
  <si>
    <t>P-2024-03159</t>
  </si>
  <si>
    <t>P-2024-03160</t>
  </si>
  <si>
    <t>P-2024-03161</t>
  </si>
  <si>
    <t>P-2024-03162</t>
  </si>
  <si>
    <t>P-2024-03163</t>
  </si>
  <si>
    <t>P-2024-03164</t>
  </si>
  <si>
    <t>P-2024-03165</t>
  </si>
  <si>
    <t>P-2024-03166</t>
  </si>
  <si>
    <t>P-2024-03167</t>
  </si>
  <si>
    <t>P-2024-03168</t>
  </si>
  <si>
    <t>P-2024-03169</t>
  </si>
  <si>
    <t>P-2024-03170</t>
  </si>
  <si>
    <t>P-2024-03171</t>
  </si>
  <si>
    <t>P-2024-03172</t>
  </si>
  <si>
    <t>P-2024-03173</t>
  </si>
  <si>
    <t>P-2024-03174</t>
  </si>
  <si>
    <t>P-2024-03175</t>
  </si>
  <si>
    <t>P-2024-03176</t>
  </si>
  <si>
    <t>P-2024-03177</t>
  </si>
  <si>
    <t>P-2024-03179</t>
  </si>
  <si>
    <t>P-2024-03180</t>
  </si>
  <si>
    <t>P-2024-03181</t>
  </si>
  <si>
    <t>P-2024-03182</t>
  </si>
  <si>
    <t>P-2024-03183</t>
  </si>
  <si>
    <t>P-2024-03184</t>
  </si>
  <si>
    <t>P-2024-03185</t>
  </si>
  <si>
    <t>P-2024-03186</t>
  </si>
  <si>
    <t>P-2024-03187</t>
  </si>
  <si>
    <t>P-2024-03188</t>
  </si>
  <si>
    <t>P-2024-03189</t>
  </si>
  <si>
    <t>P-2024-03190</t>
  </si>
  <si>
    <t>P-2024-03191</t>
  </si>
  <si>
    <t>P-2024-03192</t>
  </si>
  <si>
    <t>P-2024-03194</t>
  </si>
  <si>
    <t>P-2024-03195</t>
  </si>
  <si>
    <t>P-2024-03196</t>
  </si>
  <si>
    <t>P-2024-03197</t>
  </si>
  <si>
    <t>P-2024-03198</t>
  </si>
  <si>
    <t>P-2024-03199</t>
  </si>
  <si>
    <t>P-2024-03200</t>
  </si>
  <si>
    <t>P-2024-03201</t>
  </si>
  <si>
    <t>P-2024-03202</t>
  </si>
  <si>
    <t>P-2024-03203</t>
  </si>
  <si>
    <t>P-2024-03204</t>
  </si>
  <si>
    <t>P-2024-03205</t>
  </si>
  <si>
    <t>P-2024-03206</t>
  </si>
  <si>
    <t>P-2024-03207</t>
  </si>
  <si>
    <t>P-2024-03208</t>
  </si>
  <si>
    <t>P-2024-03209</t>
  </si>
  <si>
    <t>P-2024-03210</t>
  </si>
  <si>
    <t>P-2024-03211</t>
  </si>
  <si>
    <t>P-2024-03212</t>
  </si>
  <si>
    <t>P-2024-03213</t>
  </si>
  <si>
    <t>P-2024-03214</t>
  </si>
  <si>
    <t>P-2024-03215</t>
  </si>
  <si>
    <t>P-2024-03216</t>
  </si>
  <si>
    <t>P-2024-03217</t>
  </si>
  <si>
    <t>P-2024-03218</t>
  </si>
  <si>
    <t>P-2024-03219</t>
  </si>
  <si>
    <t>P-2024-03220</t>
  </si>
  <si>
    <t>P-2024-03221</t>
  </si>
  <si>
    <t>P-2024-03222</t>
  </si>
  <si>
    <t>P-2024-03223</t>
  </si>
  <si>
    <t>P-2024-03224</t>
  </si>
  <si>
    <t>P-2024-03225</t>
  </si>
  <si>
    <t>P-2024-03226</t>
  </si>
  <si>
    <t>P-2024-03227</t>
  </si>
  <si>
    <t>P-2024-03228</t>
  </si>
  <si>
    <t>P-2024-03229</t>
  </si>
  <si>
    <t>P-2024-03231</t>
  </si>
  <si>
    <t>P-2024-03232</t>
  </si>
  <si>
    <t>P-2024-03233</t>
  </si>
  <si>
    <t>P-2024-03234</t>
  </si>
  <si>
    <t>P-2024-03235</t>
  </si>
  <si>
    <t>P-2024-03236</t>
  </si>
  <si>
    <t>P-2024-03237</t>
  </si>
  <si>
    <t>P-2024-03238</t>
  </si>
  <si>
    <t>P-2024-03239</t>
  </si>
  <si>
    <t>P-2024-03240</t>
  </si>
  <si>
    <t>P-2024-03241</t>
  </si>
  <si>
    <t>P-2024-03242</t>
  </si>
  <si>
    <t>P-2024-03243</t>
  </si>
  <si>
    <t>P-2024-03244</t>
  </si>
  <si>
    <t>P-2024-03245</t>
  </si>
  <si>
    <t>P-2024-03246</t>
  </si>
  <si>
    <t>P-2024-03247</t>
  </si>
  <si>
    <t>P-2024-03248</t>
  </si>
  <si>
    <t>P-2024-03249</t>
  </si>
  <si>
    <t>P-2024-03250</t>
  </si>
  <si>
    <t>P-2024-03251</t>
  </si>
  <si>
    <t>P-2024-03252</t>
  </si>
  <si>
    <t>P-2024-03253</t>
  </si>
  <si>
    <t>P-2024-03254</t>
  </si>
  <si>
    <t>P-2024-03255</t>
  </si>
  <si>
    <t>P-2024-03256</t>
  </si>
  <si>
    <t>P-2024-03257</t>
  </si>
  <si>
    <t>P-2024-03258</t>
  </si>
  <si>
    <t>P-2024-03259</t>
  </si>
  <si>
    <t>P-2024-03260</t>
  </si>
  <si>
    <t>P-2024-03261</t>
  </si>
  <si>
    <t>P-2024-03262</t>
  </si>
  <si>
    <t>P-2024-03263</t>
  </si>
  <si>
    <t>P-2024-03264</t>
  </si>
  <si>
    <t>P-2024-03265</t>
  </si>
  <si>
    <t>P-2024-03266</t>
  </si>
  <si>
    <t>P-2024-03267</t>
  </si>
  <si>
    <t>P-2024-03268</t>
  </si>
  <si>
    <t>P-2024-03270</t>
  </si>
  <si>
    <t>P-2024-03271</t>
  </si>
  <si>
    <t>P-2024-03272</t>
  </si>
  <si>
    <t>P-2024-03273</t>
  </si>
  <si>
    <t>P-2024-03274</t>
  </si>
  <si>
    <t>P-2024-03275</t>
  </si>
  <si>
    <t>P-2024-03276</t>
  </si>
  <si>
    <t>P-2024-03277</t>
  </si>
  <si>
    <t>P-2024-03278</t>
  </si>
  <si>
    <t>P-2024-03279</t>
  </si>
  <si>
    <t>P-2024-03280</t>
  </si>
  <si>
    <t>P-2024-03281</t>
  </si>
  <si>
    <t>P-2024-03282</t>
  </si>
  <si>
    <t>P-2024-03283</t>
  </si>
  <si>
    <t>P-2024-03284</t>
  </si>
  <si>
    <t>P-2024-03285</t>
  </si>
  <si>
    <t>P-2024-03286</t>
  </si>
  <si>
    <t>P-2024-03287</t>
  </si>
  <si>
    <t>P-2024-03288</t>
  </si>
  <si>
    <t>P-2024-03289</t>
  </si>
  <si>
    <t>P-2024-03290</t>
  </si>
  <si>
    <t>P-2024-03291</t>
  </si>
  <si>
    <t>P-2024-03292</t>
  </si>
  <si>
    <t>P-2024-03293</t>
  </si>
  <si>
    <t>P-2024-03294</t>
  </si>
  <si>
    <t>P-2024-03295</t>
  </si>
  <si>
    <t>P-2024-03296</t>
  </si>
  <si>
    <t>P-2024-03297</t>
  </si>
  <si>
    <t>P-2024-03298</t>
  </si>
  <si>
    <t>P-2024-03299</t>
  </si>
  <si>
    <t>P-2024-03300</t>
  </si>
  <si>
    <t>P-2024-03302</t>
  </si>
  <si>
    <t>P-2024-03303</t>
  </si>
  <si>
    <t>P-2024-03304</t>
  </si>
  <si>
    <t>P-2024-03305</t>
  </si>
  <si>
    <t>P-2024-03306</t>
  </si>
  <si>
    <t>P-2024-03307</t>
  </si>
  <si>
    <t>P-2024-03308</t>
  </si>
  <si>
    <t>P-2024-03309</t>
  </si>
  <si>
    <t>P-2024-03310</t>
  </si>
  <si>
    <t>P-2024-03311</t>
  </si>
  <si>
    <t>P-2024-03312</t>
  </si>
  <si>
    <t>P-2024-03313</t>
  </si>
  <si>
    <t>P-2024-03314</t>
  </si>
  <si>
    <t>P-2024-03315</t>
  </si>
  <si>
    <t>P-2024-03316</t>
  </si>
  <si>
    <t>P-2024-03317</t>
  </si>
  <si>
    <t>P-2024-03318</t>
  </si>
  <si>
    <t>P-2024-03319</t>
  </si>
  <si>
    <t>P-2024-03320</t>
  </si>
  <si>
    <t>P-2024-03321</t>
  </si>
  <si>
    <t>P-2024-03322</t>
  </si>
  <si>
    <t>P-2024-03323</t>
  </si>
  <si>
    <t>P-2024-03324</t>
  </si>
  <si>
    <t>P-2024-03325</t>
  </si>
  <si>
    <t>P-2024-03326</t>
  </si>
  <si>
    <t>P-2024-03328</t>
  </si>
  <si>
    <t>P-2024-03330</t>
  </si>
  <si>
    <t>P-2024-03331</t>
  </si>
  <si>
    <t>P-2024-03332</t>
  </si>
  <si>
    <t>P-2024-03333</t>
  </si>
  <si>
    <t>P-2024-03335</t>
  </si>
  <si>
    <t>P-2024-03336</t>
  </si>
  <si>
    <t>P-2024-03337</t>
  </si>
  <si>
    <t>P-2024-03338</t>
  </si>
  <si>
    <t>P-2024-03339</t>
  </si>
  <si>
    <t>P-2024-03340</t>
  </si>
  <si>
    <t>P-2024-03341</t>
  </si>
  <si>
    <t>P-2024-03342</t>
  </si>
  <si>
    <t>P-2024-03343</t>
  </si>
  <si>
    <t>P-2024-03344</t>
  </si>
  <si>
    <t>P-2024-03346</t>
  </si>
  <si>
    <t>P-2024-03347</t>
  </si>
  <si>
    <t>P-2024-03348</t>
  </si>
  <si>
    <t>P-2024-03349</t>
  </si>
  <si>
    <t>P-2024-03350</t>
  </si>
  <si>
    <t>P-2024-03351</t>
  </si>
  <si>
    <t>P-2024-03352</t>
  </si>
  <si>
    <t>P-2024-03353</t>
  </si>
  <si>
    <t>P-2024-03354</t>
  </si>
  <si>
    <t>P-2024-03355</t>
  </si>
  <si>
    <t>P-2024-03356</t>
  </si>
  <si>
    <t>P-2024-03357</t>
  </si>
  <si>
    <t>P-2024-03358</t>
  </si>
  <si>
    <t>P-2024-03359</t>
  </si>
  <si>
    <t>P-2024-03360</t>
  </si>
  <si>
    <t>P-2024-03361</t>
  </si>
  <si>
    <t>P-2024-03362</t>
  </si>
  <si>
    <t>P-2024-03363</t>
  </si>
  <si>
    <t>P-2024-03364</t>
  </si>
  <si>
    <t>P-2024-03365</t>
  </si>
  <si>
    <t>P-2024-03366</t>
  </si>
  <si>
    <t>P-2024-03367</t>
  </si>
  <si>
    <t>P-2024-03368</t>
  </si>
  <si>
    <t>P-2024-03369</t>
  </si>
  <si>
    <t>P-2024-03370</t>
  </si>
  <si>
    <t>P-2024-03371</t>
  </si>
  <si>
    <t>P-2024-03373</t>
  </si>
  <si>
    <t>P-2024-03374</t>
  </si>
  <si>
    <t>P-2024-03375</t>
  </si>
  <si>
    <t>P-2024-03376</t>
  </si>
  <si>
    <t>P-2024-03377</t>
  </si>
  <si>
    <t>P-2024-03378</t>
  </si>
  <si>
    <t>P-2024-03379</t>
  </si>
  <si>
    <t>P-2024-03380</t>
  </si>
  <si>
    <t>P-2024-03381</t>
  </si>
  <si>
    <t>P-2024-03383</t>
  </si>
  <si>
    <t>P-2024-03384</t>
  </si>
  <si>
    <t>P-2024-03385</t>
  </si>
  <si>
    <t>P-2024-03386</t>
  </si>
  <si>
    <t>P-2024-03387</t>
  </si>
  <si>
    <t>P-2024-03388</t>
  </si>
  <si>
    <t>P-2024-03389</t>
  </si>
  <si>
    <t>P-2024-03390</t>
  </si>
  <si>
    <t>P-2024-03391</t>
  </si>
  <si>
    <t>P-2024-03392</t>
  </si>
  <si>
    <t>P-2024-03393</t>
  </si>
  <si>
    <t>P-2024-03394</t>
  </si>
  <si>
    <t>P-2024-03395</t>
  </si>
  <si>
    <t>P-2024-03396</t>
  </si>
  <si>
    <t>P-2024-03397</t>
  </si>
  <si>
    <t>P-2024-03398</t>
  </si>
  <si>
    <t>P-2024-03399</t>
  </si>
  <si>
    <t>P-2024-03400</t>
  </si>
  <si>
    <t>P-2024-03401</t>
  </si>
  <si>
    <t>P-2024-03402</t>
  </si>
  <si>
    <t>P-2024-03403</t>
  </si>
  <si>
    <t>P-2024-03404</t>
  </si>
  <si>
    <t>P-2024-03405</t>
  </si>
  <si>
    <t>P-2024-03406</t>
  </si>
  <si>
    <t>P-2024-03407</t>
  </si>
  <si>
    <t>P-2024-03408</t>
  </si>
  <si>
    <t>P-2024-03409</t>
  </si>
  <si>
    <t>P-2024-03410</t>
  </si>
  <si>
    <t>P-2024-03411</t>
  </si>
  <si>
    <t>P-2024-03412</t>
  </si>
  <si>
    <t>P-2024-03413</t>
  </si>
  <si>
    <t>P-2024-03414</t>
  </si>
  <si>
    <t>P-2024-03415</t>
  </si>
  <si>
    <t>P-2024-03416</t>
  </si>
  <si>
    <t>P-2024-03417</t>
  </si>
  <si>
    <t>P-2024-03418</t>
  </si>
  <si>
    <t>P-2024-03419</t>
  </si>
  <si>
    <t>P-2024-03420</t>
  </si>
  <si>
    <t>P-2024-03421</t>
  </si>
  <si>
    <t>P-2024-03422</t>
  </si>
  <si>
    <t>P-2024-03423</t>
  </si>
  <si>
    <t>P-2024-03424</t>
  </si>
  <si>
    <t>P-2024-03425</t>
  </si>
  <si>
    <t>P-2024-03426</t>
  </si>
  <si>
    <t>P-2024-03427</t>
  </si>
  <si>
    <t>P-2024-03428</t>
  </si>
  <si>
    <t>P-2024-03429</t>
  </si>
  <si>
    <t>P-2024-03430</t>
  </si>
  <si>
    <t>P-2024-03431</t>
  </si>
  <si>
    <t>P-2024-03432</t>
  </si>
  <si>
    <t>P-2024-03433</t>
  </si>
  <si>
    <t>P-2024-03434</t>
  </si>
  <si>
    <t>P-2024-03435</t>
  </si>
  <si>
    <t>P-2024-03436</t>
  </si>
  <si>
    <t>P-2024-03437</t>
  </si>
  <si>
    <t>P-2024-03438</t>
  </si>
  <si>
    <t>P-2024-03439</t>
  </si>
  <si>
    <t>P-2024-03440</t>
  </si>
  <si>
    <t>P-2024-03441</t>
  </si>
  <si>
    <t>P-2024-03442</t>
  </si>
  <si>
    <t>P-2024-03443</t>
  </si>
  <si>
    <t>P-2024-03444</t>
  </si>
  <si>
    <t>P-2024-03445</t>
  </si>
  <si>
    <t>P-2024-03446</t>
  </si>
  <si>
    <t>P-2024-03447</t>
  </si>
  <si>
    <t>P-2024-03448</t>
  </si>
  <si>
    <t>P-2024-03449</t>
  </si>
  <si>
    <t>P-2024-03450</t>
  </si>
  <si>
    <t>P-2024-03451</t>
  </si>
  <si>
    <t>P-2024-03452</t>
  </si>
  <si>
    <t>P-2024-03453</t>
  </si>
  <si>
    <t>P-2024-03454</t>
  </si>
  <si>
    <t>P-2024-03455</t>
  </si>
  <si>
    <t>P-2024-03457</t>
  </si>
  <si>
    <t>P-2024-03459</t>
  </si>
  <si>
    <t>P-2024-03460</t>
  </si>
  <si>
    <t>P-2024-03461</t>
  </si>
  <si>
    <t>P-2024-03462</t>
  </si>
  <si>
    <t>P-2024-03463</t>
  </si>
  <si>
    <t>P-2024-03464</t>
  </si>
  <si>
    <t>P-2024-03465</t>
  </si>
  <si>
    <t>P-2024-03466</t>
  </si>
  <si>
    <t>P-2024-03467</t>
  </si>
  <si>
    <t>P-2024-03468</t>
  </si>
  <si>
    <t>P-2024-03469</t>
  </si>
  <si>
    <t>P-2024-03470</t>
  </si>
  <si>
    <t>P-2024-03471</t>
  </si>
  <si>
    <t>P-2024-03472</t>
  </si>
  <si>
    <t>P-2024-03473</t>
  </si>
  <si>
    <t>P-2024-03474</t>
  </si>
  <si>
    <t>P-2024-03475</t>
  </si>
  <si>
    <t>P-2024-03476</t>
  </si>
  <si>
    <t>P-2024-03477</t>
  </si>
  <si>
    <t>P-2024-03478</t>
  </si>
  <si>
    <t>P-2024-03479</t>
  </si>
  <si>
    <t>P-2024-03480</t>
  </si>
  <si>
    <t>P-2024-03481</t>
  </si>
  <si>
    <t>P-2024-03482</t>
  </si>
  <si>
    <t>P-2024-03483</t>
  </si>
  <si>
    <t>P-2024-03484</t>
  </si>
  <si>
    <t>P-2024-03485</t>
  </si>
  <si>
    <t>P-2024-03486</t>
  </si>
  <si>
    <t>P-2024-03487</t>
  </si>
  <si>
    <t>P-2024-03488</t>
  </si>
  <si>
    <t>P-2024-03489</t>
  </si>
  <si>
    <t>P-2024-03491</t>
  </si>
  <si>
    <t>P-2024-03492</t>
  </si>
  <si>
    <t>P-2024-03493</t>
  </si>
  <si>
    <t>P-2024-03494</t>
  </si>
  <si>
    <t>P-2024-03495</t>
  </si>
  <si>
    <t>P-2024-03496</t>
  </si>
  <si>
    <t>P-2024-03497</t>
  </si>
  <si>
    <t>P-2024-03498</t>
  </si>
  <si>
    <t>P-2024-03499</t>
  </si>
  <si>
    <t>P-2024-03501</t>
  </si>
  <si>
    <t>P-2024-03502</t>
  </si>
  <si>
    <t>P-2024-03503</t>
  </si>
  <si>
    <t>P-2024-03504</t>
  </si>
  <si>
    <t>P-2024-03505</t>
  </si>
  <si>
    <t>P-2024-03506</t>
  </si>
  <si>
    <t>P-2024-03507</t>
  </si>
  <si>
    <t>P-2024-03508</t>
  </si>
  <si>
    <t>P-2024-03509</t>
  </si>
  <si>
    <t>P-2024-03510</t>
  </si>
  <si>
    <t>P-2024-03511</t>
  </si>
  <si>
    <t>P-2024-03512</t>
  </si>
  <si>
    <t>P-2024-03513</t>
  </si>
  <si>
    <t>P-2024-03514</t>
  </si>
  <si>
    <t>P-2024-03515</t>
  </si>
  <si>
    <t>P-2024-03516</t>
  </si>
  <si>
    <t>P-2024-03517</t>
  </si>
  <si>
    <t>P-2024-03518</t>
  </si>
  <si>
    <t>P-2024-03519</t>
  </si>
  <si>
    <t>P-2024-03520</t>
  </si>
  <si>
    <t>P-2024-03521</t>
  </si>
  <si>
    <t>P-2024-03522</t>
  </si>
  <si>
    <t>P-2024-03523</t>
  </si>
  <si>
    <t>P-2024-03524</t>
  </si>
  <si>
    <t>P-2024-03525</t>
  </si>
  <si>
    <t>P-2024-03526</t>
  </si>
  <si>
    <t>P-2024-03527</t>
  </si>
  <si>
    <t>P-2024-03528</t>
  </si>
  <si>
    <t>P-2024-03529</t>
  </si>
  <si>
    <t>P-2024-03530</t>
  </si>
  <si>
    <t>P-2024-03531</t>
  </si>
  <si>
    <t>P-2024-03532</t>
  </si>
  <si>
    <t>P-2024-03533</t>
  </si>
  <si>
    <t>P-2024-03534</t>
  </si>
  <si>
    <t>P-2024-03535</t>
  </si>
  <si>
    <t>P-2024-03536</t>
  </si>
  <si>
    <t>P-2024-03537</t>
  </si>
  <si>
    <t>P-2024-03538</t>
  </si>
  <si>
    <t>P-2024-03539</t>
  </si>
  <si>
    <t>P-2024-03540</t>
  </si>
  <si>
    <t>P-2024-03541</t>
  </si>
  <si>
    <t>P-2024-03542</t>
  </si>
  <si>
    <t>P-2024-03543</t>
  </si>
  <si>
    <t>P-2024-03544</t>
  </si>
  <si>
    <t>P-2024-03545</t>
  </si>
  <si>
    <t>P-2024-03546</t>
  </si>
  <si>
    <t>P-2024-03547</t>
  </si>
  <si>
    <t>P-2024-03548</t>
  </si>
  <si>
    <t>P-2024-03549</t>
  </si>
  <si>
    <t>P-2024-03550</t>
  </si>
  <si>
    <t>P-2024-03551</t>
  </si>
  <si>
    <t>P-2024-03552</t>
  </si>
  <si>
    <t>P-2024-03553</t>
  </si>
  <si>
    <t>P-2024-03555</t>
  </si>
  <si>
    <t>P-2024-03556</t>
  </si>
  <si>
    <t>P-2024-03557</t>
  </si>
  <si>
    <t>P-2024-03558</t>
  </si>
  <si>
    <t>P-2024-03559</t>
  </si>
  <si>
    <t>P-2024-03560</t>
  </si>
  <si>
    <t>P-2024-03561</t>
  </si>
  <si>
    <t>P-2024-03562</t>
  </si>
  <si>
    <t>P-2024-03563</t>
  </si>
  <si>
    <t>P-2024-03564</t>
  </si>
  <si>
    <t>P-2024-03565</t>
  </si>
  <si>
    <t>P-2024-03566</t>
  </si>
  <si>
    <t>P-2024-03567</t>
  </si>
  <si>
    <t>P-2024-03568</t>
  </si>
  <si>
    <t>P-2024-03569</t>
  </si>
  <si>
    <t>P-2024-03570</t>
  </si>
  <si>
    <t>P-2024-03571</t>
  </si>
  <si>
    <t>P-2024-03572</t>
  </si>
  <si>
    <t>P-2024-03573</t>
  </si>
  <si>
    <t>P-2024-03574</t>
  </si>
  <si>
    <t>P-2024-03575</t>
  </si>
  <si>
    <t>P-2024-03576</t>
  </si>
  <si>
    <t>P-2024-03577</t>
  </si>
  <si>
    <t>P-2024-03578</t>
  </si>
  <si>
    <t>P-2024-03579</t>
  </si>
  <si>
    <t>P-2024-03580</t>
  </si>
  <si>
    <t>P-2024-03581</t>
  </si>
  <si>
    <t>P-2024-03582</t>
  </si>
  <si>
    <t>P-2024-03583</t>
  </si>
  <si>
    <t>P-2024-03584</t>
  </si>
  <si>
    <t>P-2024-03585</t>
  </si>
  <si>
    <t>P-2024-03586</t>
  </si>
  <si>
    <t>P-2024-03587</t>
  </si>
  <si>
    <t>P-2024-03589</t>
  </si>
  <si>
    <t>P-2024-03590</t>
  </si>
  <si>
    <t>P-2024-03591</t>
  </si>
  <si>
    <t>P-2024-03592</t>
  </si>
  <si>
    <t>P-2024-03593</t>
  </si>
  <si>
    <t>P-2024-03594</t>
  </si>
  <si>
    <t>P-2024-03595</t>
  </si>
  <si>
    <t>P-2024-03596</t>
  </si>
  <si>
    <t>P-2024-03597</t>
  </si>
  <si>
    <t>P-2024-03598</t>
  </si>
  <si>
    <t>P-2024-03599</t>
  </si>
  <si>
    <t>P-2024-03600</t>
  </si>
  <si>
    <t>P-2024-03601</t>
  </si>
  <si>
    <t>P-2024-03602</t>
  </si>
  <si>
    <t>P-2024-03603</t>
  </si>
  <si>
    <t>P-2024-03604</t>
  </si>
  <si>
    <t>P-2024-03605</t>
  </si>
  <si>
    <t>P-2024-03606</t>
  </si>
  <si>
    <t>P-2024-03607</t>
  </si>
  <si>
    <t>P-2024-03608</t>
  </si>
  <si>
    <t>P-2024-03609</t>
  </si>
  <si>
    <t>P-2024-03610</t>
  </si>
  <si>
    <t>P-2024-03611</t>
  </si>
  <si>
    <t>P-2024-03612</t>
  </si>
  <si>
    <t>P-2024-03613</t>
  </si>
  <si>
    <t>P-2024-03614</t>
  </si>
  <si>
    <t>P-2024-03615</t>
  </si>
  <si>
    <t>P-2024-03616</t>
  </si>
  <si>
    <t>P-2024-03617</t>
  </si>
  <si>
    <t>P-2024-03618</t>
  </si>
  <si>
    <t>P-2024-03619</t>
  </si>
  <si>
    <t>P-2024-03620</t>
  </si>
  <si>
    <t>P-2024-03621</t>
  </si>
  <si>
    <t>P-2024-03622</t>
  </si>
  <si>
    <t>P-2024-03623</t>
  </si>
  <si>
    <t>P-2024-03624</t>
  </si>
  <si>
    <t>P-2024-03625</t>
  </si>
  <si>
    <t>P-2024-03626</t>
  </si>
  <si>
    <t>P-2024-03627</t>
  </si>
  <si>
    <t>P-2024-03628</t>
  </si>
  <si>
    <t>P-2024-03629</t>
  </si>
  <si>
    <t>P-2024-03630</t>
  </si>
  <si>
    <t>P-2024-03631</t>
  </si>
  <si>
    <t>P-2024-03632</t>
  </si>
  <si>
    <t>P-2024-03633</t>
  </si>
  <si>
    <t>P-2024-03634</t>
  </si>
  <si>
    <t>P-2024-03635</t>
  </si>
  <si>
    <t>P-2024-03636</t>
  </si>
  <si>
    <t>P-2024-03637</t>
  </si>
  <si>
    <t>P-2024-03638</t>
  </si>
  <si>
    <t>P-2024-03639</t>
  </si>
  <si>
    <t>P-2024-03640</t>
  </si>
  <si>
    <t>P-2024-03641</t>
  </si>
  <si>
    <t>P-2024-03642</t>
  </si>
  <si>
    <t>P-2024-03643</t>
  </si>
  <si>
    <t>P-2024-03644</t>
  </si>
  <si>
    <t>P-2024-03645</t>
  </si>
  <si>
    <t>P-2024-03646</t>
  </si>
  <si>
    <t>P-2024-03647</t>
  </si>
  <si>
    <t>P-2024-03648</t>
  </si>
  <si>
    <t>P-2024-03649</t>
  </si>
  <si>
    <t>P-2024-03650</t>
  </si>
  <si>
    <t>P-2024-03651</t>
  </si>
  <si>
    <t>P-2024-03652</t>
  </si>
  <si>
    <t>P-2024-03653</t>
  </si>
  <si>
    <t>P-2024-03654</t>
  </si>
  <si>
    <t>P-2024-03655</t>
  </si>
  <si>
    <t>P-2024-03656</t>
  </si>
  <si>
    <t>P-2024-03657</t>
  </si>
  <si>
    <t>P-2024-03658</t>
  </si>
  <si>
    <t>P-2024-03659</t>
  </si>
  <si>
    <t>P-2024-03660</t>
  </si>
  <si>
    <t>P-2024-03661</t>
  </si>
  <si>
    <t>P-2024-03662</t>
  </si>
  <si>
    <t>P-2024-03663</t>
  </si>
  <si>
    <t>P-2024-03664</t>
  </si>
  <si>
    <t>P-2024-03665</t>
  </si>
  <si>
    <t>P-2024-03666</t>
  </si>
  <si>
    <t>P-2024-03667</t>
  </si>
  <si>
    <t>P-2024-03668</t>
  </si>
  <si>
    <t>P-2024-03669</t>
  </si>
  <si>
    <t>P-2024-03670</t>
  </si>
  <si>
    <t>P-2024-03671</t>
  </si>
  <si>
    <t>P-2024-03672</t>
  </si>
  <si>
    <t>P-2024-03673</t>
  </si>
  <si>
    <t>P-2024-03674</t>
  </si>
  <si>
    <t>P-2024-03675</t>
  </si>
  <si>
    <t>P-2024-03676</t>
  </si>
  <si>
    <t>P-2024-03677</t>
  </si>
  <si>
    <t>P-2024-03678</t>
  </si>
  <si>
    <t>P-2024-03679</t>
  </si>
  <si>
    <t>P-2024-03680</t>
  </si>
  <si>
    <t>P-2024-03682</t>
  </si>
  <si>
    <t>P-2024-03683</t>
  </si>
  <si>
    <t>P-2024-03684</t>
  </si>
  <si>
    <t>P-2024-03685</t>
  </si>
  <si>
    <t>P-2024-03686</t>
  </si>
  <si>
    <t>P-2024-03687</t>
  </si>
  <si>
    <t>P-2024-03688</t>
  </si>
  <si>
    <t>P-2024-03689</t>
  </si>
  <si>
    <t>P-2024-03690</t>
  </si>
  <si>
    <t>P-2024-03691</t>
  </si>
  <si>
    <t>P-2024-03692</t>
  </si>
  <si>
    <t>P-2024-03693</t>
  </si>
  <si>
    <t>P-2024-03694</t>
  </si>
  <si>
    <t>P-2024-03695</t>
  </si>
  <si>
    <t>P-2024-03696</t>
  </si>
  <si>
    <t>P-2024-03697</t>
  </si>
  <si>
    <t>P-2024-03698</t>
  </si>
  <si>
    <t>P-2024-03699</t>
  </si>
  <si>
    <t>P-2024-03701</t>
  </si>
  <si>
    <t>P-2024-03702</t>
  </si>
  <si>
    <t>P-2024-03703</t>
  </si>
  <si>
    <t>P-2024-03704</t>
  </si>
  <si>
    <t>P-2024-03705</t>
  </si>
  <si>
    <t>P-2024-03706</t>
  </si>
  <si>
    <t>P-2024-03707</t>
  </si>
  <si>
    <t>P-2024-03708</t>
  </si>
  <si>
    <t>P-2024-03709</t>
  </si>
  <si>
    <t>P-2024-03710</t>
  </si>
  <si>
    <t>P-2024-03711</t>
  </si>
  <si>
    <t>P-2024-03712</t>
  </si>
  <si>
    <t>P-2024-03713</t>
  </si>
  <si>
    <t>P-2024-03714</t>
  </si>
  <si>
    <t>P-2024-03715</t>
  </si>
  <si>
    <t>P-2024-03716</t>
  </si>
  <si>
    <t>P-2024-03717</t>
  </si>
  <si>
    <t>P-2024-03718</t>
  </si>
  <si>
    <t>P-2024-03719</t>
  </si>
  <si>
    <t>P-2024-03720</t>
  </si>
  <si>
    <t>P-2024-03721</t>
  </si>
  <si>
    <t>P-2024-03722</t>
  </si>
  <si>
    <t>P-2024-03723</t>
  </si>
  <si>
    <t>P-2024-03724</t>
  </si>
  <si>
    <t>P-2024-03725</t>
  </si>
  <si>
    <t>P-2024-03726</t>
  </si>
  <si>
    <t>P-2024-03727</t>
  </si>
  <si>
    <t>P-2024-03728</t>
  </si>
  <si>
    <t>P-2024-03729</t>
  </si>
  <si>
    <t>P-2024-03730</t>
  </si>
  <si>
    <t>P-2024-03731</t>
  </si>
  <si>
    <t>P-2024-03732</t>
  </si>
  <si>
    <t>P-2024-03733</t>
  </si>
  <si>
    <t>P-2024-03734</t>
  </si>
  <si>
    <t>P-2024-03735</t>
  </si>
  <si>
    <t>P-2024-03736</t>
  </si>
  <si>
    <t>P-2024-03737</t>
  </si>
  <si>
    <t>P-2024-03738</t>
  </si>
  <si>
    <t>P-2024-03739</t>
  </si>
  <si>
    <t>P-2024-03740</t>
  </si>
  <si>
    <t>P-2024-03741</t>
  </si>
  <si>
    <t>P-2024-03742</t>
  </si>
  <si>
    <t>P-2024-03743</t>
  </si>
  <si>
    <t>P-2024-03744</t>
  </si>
  <si>
    <t>P-2024-03745</t>
  </si>
  <si>
    <t>P-2024-03746</t>
  </si>
  <si>
    <t>P-2024-03747</t>
  </si>
  <si>
    <t>P-2024-03748</t>
  </si>
  <si>
    <t>P-2024-03749</t>
  </si>
  <si>
    <t>P-2024-03750</t>
  </si>
  <si>
    <t>P-2024-03751</t>
  </si>
  <si>
    <t>P-2024-03752</t>
  </si>
  <si>
    <t>P-2024-03753</t>
  </si>
  <si>
    <t>P-2024-03754</t>
  </si>
  <si>
    <t>P-2024-03755</t>
  </si>
  <si>
    <t>P-2024-03756</t>
  </si>
  <si>
    <t>P-2024-03757</t>
  </si>
  <si>
    <t>P-2024-03758</t>
  </si>
  <si>
    <t>P-2024-03759</t>
  </si>
  <si>
    <t>P-2024-03760</t>
  </si>
  <si>
    <t>P-2024-03761</t>
  </si>
  <si>
    <t>P-2024-03762</t>
  </si>
  <si>
    <t>P-2024-03763</t>
  </si>
  <si>
    <t>P-2024-03764</t>
  </si>
  <si>
    <t>P-2024-03765</t>
  </si>
  <si>
    <t>P-2024-03766</t>
  </si>
  <si>
    <t>P-2024-03767</t>
  </si>
  <si>
    <t>P-2024-03768</t>
  </si>
  <si>
    <t>P-2024-03769</t>
  </si>
  <si>
    <t>P-2024-03770</t>
  </si>
  <si>
    <t>P-2024-03771</t>
  </si>
  <si>
    <t>P-2024-03772</t>
  </si>
  <si>
    <t>P-2024-03773</t>
  </si>
  <si>
    <t>P-2024-03774</t>
  </si>
  <si>
    <t>P-2024-03775</t>
  </si>
  <si>
    <t>P-2024-03776</t>
  </si>
  <si>
    <t>P-2024-03777</t>
  </si>
  <si>
    <t>P-2024-03778</t>
  </si>
  <si>
    <t>P-2024-03779</t>
  </si>
  <si>
    <t>P-2024-03780</t>
  </si>
  <si>
    <t>P-2024-03781</t>
  </si>
  <si>
    <t>P-2024-03782</t>
  </si>
  <si>
    <t>P-2024-03783</t>
  </si>
  <si>
    <t>P-2024-03784</t>
  </si>
  <si>
    <t>P-2024-03785</t>
  </si>
  <si>
    <t>P-2024-03786</t>
  </si>
  <si>
    <t>P-2024-03787</t>
  </si>
  <si>
    <t>P-2024-03788</t>
  </si>
  <si>
    <t>P-2024-03789</t>
  </si>
  <si>
    <t>P-2024-03790</t>
  </si>
  <si>
    <t>P-2024-03792</t>
  </si>
  <si>
    <t>P-2024-03793</t>
  </si>
  <si>
    <t>P-2024-03794</t>
  </si>
  <si>
    <t>P-2024-03795</t>
  </si>
  <si>
    <t>P-2024-03796</t>
  </si>
  <si>
    <t>P-2024-03797</t>
  </si>
  <si>
    <t>P-2024-03798</t>
  </si>
  <si>
    <t>P-2024-03799</t>
  </si>
  <si>
    <t>P-2024-03800</t>
  </si>
  <si>
    <t>P-2024-03801</t>
  </si>
  <si>
    <t>P-2024-03802</t>
  </si>
  <si>
    <t>P-2024-03803</t>
  </si>
  <si>
    <t>P-2024-03804</t>
  </si>
  <si>
    <t>P-2024-03805</t>
  </si>
  <si>
    <t>P-2024-03806</t>
  </si>
  <si>
    <t>P-2024-03808</t>
  </si>
  <si>
    <t>P-2024-03809</t>
  </si>
  <si>
    <t>P-2024-03810</t>
  </si>
  <si>
    <t>P-2024-03811</t>
  </si>
  <si>
    <t>P-2024-03812</t>
  </si>
  <si>
    <t>P-2024-03813</t>
  </si>
  <si>
    <t>P-2024-03814</t>
  </si>
  <si>
    <t>P-2024-03815</t>
  </si>
  <si>
    <t>P-2024-03816</t>
  </si>
  <si>
    <t>P-2024-03817</t>
  </si>
  <si>
    <t>P-2024-03818</t>
  </si>
  <si>
    <t>P-2024-03819</t>
  </si>
  <si>
    <t>P-2024-03820</t>
  </si>
  <si>
    <t>P-2024-03821</t>
  </si>
  <si>
    <t>P-2024-03822</t>
  </si>
  <si>
    <t>P-2024-03823</t>
  </si>
  <si>
    <t>P-2024-03824</t>
  </si>
  <si>
    <t>P-2024-03825</t>
  </si>
  <si>
    <t>P-2024-03826</t>
  </si>
  <si>
    <t>P-2024-03827</t>
  </si>
  <si>
    <t>P-2024-03828</t>
  </si>
  <si>
    <t>P-2024-03829</t>
  </si>
  <si>
    <t>P-2024-03830</t>
  </si>
  <si>
    <t>P-2024-03831</t>
  </si>
  <si>
    <t>P-2024-03832</t>
  </si>
  <si>
    <t>P-2024-03833</t>
  </si>
  <si>
    <t>P-2024-03834</t>
  </si>
  <si>
    <t>P-2024-03835</t>
  </si>
  <si>
    <t>P-2024-03836</t>
  </si>
  <si>
    <t>P-2024-03837</t>
  </si>
  <si>
    <t>P-2024-03838</t>
  </si>
  <si>
    <t>P-2024-03839</t>
  </si>
  <si>
    <t>P-2024-03840</t>
  </si>
  <si>
    <t>P-2024-03841</t>
  </si>
  <si>
    <t>P-2024-03842</t>
  </si>
  <si>
    <t>P-2024-03843</t>
  </si>
  <si>
    <t>P-2024-03844</t>
  </si>
  <si>
    <t>P-2024-03845</t>
  </si>
  <si>
    <t>P-2024-03846</t>
  </si>
  <si>
    <t>P-2024-03847</t>
  </si>
  <si>
    <t>P-2024-03848</t>
  </si>
  <si>
    <t>P-2024-03849</t>
  </si>
  <si>
    <t>P-2024-03851</t>
  </si>
  <si>
    <t>P-2024-03852</t>
  </si>
  <si>
    <t>P-2024-03853</t>
  </si>
  <si>
    <t>P-2024-03854</t>
  </si>
  <si>
    <t>P-2024-03855</t>
  </si>
  <si>
    <t>P-2024-03856</t>
  </si>
  <si>
    <t>P-2024-03857</t>
  </si>
  <si>
    <t>P-2024-03858</t>
  </si>
  <si>
    <t>P-2024-03859</t>
  </si>
  <si>
    <t>P-2024-03860</t>
  </si>
  <si>
    <t>P-2024-03861</t>
  </si>
  <si>
    <t>P-2024-03862</t>
  </si>
  <si>
    <t>P-2024-03863</t>
  </si>
  <si>
    <t>P-2024-03864</t>
  </si>
  <si>
    <t>P-2024-03865</t>
  </si>
  <si>
    <t>P-2024-03866</t>
  </si>
  <si>
    <t>P-2024-03867</t>
  </si>
  <si>
    <t>P-2024-03868</t>
  </si>
  <si>
    <t>P-2024-03869</t>
  </si>
  <si>
    <t>P-2024-03870</t>
  </si>
  <si>
    <t>P-2024-03871</t>
  </si>
  <si>
    <t>P-2024-03872</t>
  </si>
  <si>
    <t>P-2024-03873</t>
  </si>
  <si>
    <t>P-2024-03874</t>
  </si>
  <si>
    <t>P-2024-03875</t>
  </si>
  <si>
    <t>P-2024-03876</t>
  </si>
  <si>
    <t>P-2024-03877</t>
  </si>
  <si>
    <t>P-2024-03878</t>
  </si>
  <si>
    <t>P-2024-03879</t>
  </si>
  <si>
    <t>P-2024-03880</t>
  </si>
  <si>
    <t>P-2024-03881</t>
  </si>
  <si>
    <t>P-2024-03882</t>
  </si>
  <si>
    <t>P-2024-03883</t>
  </si>
  <si>
    <t>P-2024-03884</t>
  </si>
  <si>
    <t>P-2024-03885</t>
  </si>
  <si>
    <t>P-2024-03886</t>
  </si>
  <si>
    <t>P-2024-03887</t>
  </si>
  <si>
    <t>P-2024-03888</t>
  </si>
  <si>
    <t>P-2024-03889</t>
  </si>
  <si>
    <t>P-2024-03890</t>
  </si>
  <si>
    <t>P-2024-03891</t>
  </si>
  <si>
    <t>P-2024-03892</t>
  </si>
  <si>
    <t>P-2024-03893</t>
  </si>
  <si>
    <t>P-2024-03894</t>
  </si>
  <si>
    <t>P-2024-03895</t>
  </si>
  <si>
    <t>P-2024-03896</t>
  </si>
  <si>
    <t>P-2024-03897</t>
  </si>
  <si>
    <t>P-2024-03898</t>
  </si>
  <si>
    <t>P-2024-03899</t>
  </si>
  <si>
    <t>P-2024-03900</t>
  </si>
  <si>
    <t>P-2024-03901</t>
  </si>
  <si>
    <t>P-2024-03902</t>
  </si>
  <si>
    <t>P-2024-03903</t>
  </si>
  <si>
    <t>P-2024-03904</t>
  </si>
  <si>
    <t>P-2024-03905</t>
  </si>
  <si>
    <t>P-2024-03906</t>
  </si>
  <si>
    <t>P-2024-03907</t>
  </si>
  <si>
    <t>P-2024-03908</t>
  </si>
  <si>
    <t>P-2024-03909</t>
  </si>
  <si>
    <t>P-2024-03910</t>
  </si>
  <si>
    <t>P-2024-03911</t>
  </si>
  <si>
    <t>P-2024-03912</t>
  </si>
  <si>
    <t>P-2024-03913</t>
  </si>
  <si>
    <t>P-2024-03914</t>
  </si>
  <si>
    <t>P-2024-03915</t>
  </si>
  <si>
    <t>P-2024-03916</t>
  </si>
  <si>
    <t>P-2024-03917</t>
  </si>
  <si>
    <t>P-2024-03918</t>
  </si>
  <si>
    <t>P-2024-03919</t>
  </si>
  <si>
    <t>P-2024-03920</t>
  </si>
  <si>
    <t>P-2024-03921</t>
  </si>
  <si>
    <t>P-2024-03922</t>
  </si>
  <si>
    <t>P-2024-03923</t>
  </si>
  <si>
    <t>P-2024-03924</t>
  </si>
  <si>
    <t>P-2024-03925</t>
  </si>
  <si>
    <t>P-2024-03926</t>
  </si>
  <si>
    <t>P-2024-03927</t>
  </si>
  <si>
    <t>P-2024-03928</t>
  </si>
  <si>
    <t>P-2024-03929</t>
  </si>
  <si>
    <t>P-2024-03930</t>
  </si>
  <si>
    <t>P-2024-03931</t>
  </si>
  <si>
    <t>P-2024-03932</t>
  </si>
  <si>
    <t>P-2024-03933</t>
  </si>
  <si>
    <t>P-2024-03934</t>
  </si>
  <si>
    <t>P-2024-03935</t>
  </si>
  <si>
    <t>P-2024-03936</t>
  </si>
  <si>
    <t>P-2024-03937</t>
  </si>
  <si>
    <t>P-2024-03938</t>
  </si>
  <si>
    <t>P-2024-03939</t>
  </si>
  <si>
    <t>P-2024-03940</t>
  </si>
  <si>
    <t>P-2024-03941</t>
  </si>
  <si>
    <t>P-2024-03942</t>
  </si>
  <si>
    <t>P-2024-03943</t>
  </si>
  <si>
    <t>P-2024-03944</t>
  </si>
  <si>
    <t>P-2024-03945</t>
  </si>
  <si>
    <t>P-2024-03946</t>
  </si>
  <si>
    <t>P-2024-03947</t>
  </si>
  <si>
    <t>P-2024-03948</t>
  </si>
  <si>
    <t>P-2024-03949</t>
  </si>
  <si>
    <t>P-2024-03950</t>
  </si>
  <si>
    <t>P-2024-03951</t>
  </si>
  <si>
    <t>P-2024-03952</t>
  </si>
  <si>
    <t>P-2024-03953</t>
  </si>
  <si>
    <t>P-2024-03954</t>
  </si>
  <si>
    <t>P-2024-03955</t>
  </si>
  <si>
    <t>P-2024-03956</t>
  </si>
  <si>
    <t>P-2024-03957</t>
  </si>
  <si>
    <t>P-2024-03958</t>
  </si>
  <si>
    <t>P-2024-03959</t>
  </si>
  <si>
    <t>P-2024-03960</t>
  </si>
  <si>
    <t>P-2024-03961</t>
  </si>
  <si>
    <t>P-2024-03962</t>
  </si>
  <si>
    <t>P-2024-03963</t>
  </si>
  <si>
    <t>P-2024-03964</t>
  </si>
  <si>
    <t>P-2024-03965</t>
  </si>
  <si>
    <t>P-2024-03966</t>
  </si>
  <si>
    <t>P-2024-03967</t>
  </si>
  <si>
    <t>P-2024-03968</t>
  </si>
  <si>
    <t>P-2024-03969</t>
  </si>
  <si>
    <t>P-2024-03970</t>
  </si>
  <si>
    <t>P-2024-03971</t>
  </si>
  <si>
    <t>P-2024-03972</t>
  </si>
  <si>
    <t>P-2024-03973</t>
  </si>
  <si>
    <t>P-2024-03974</t>
  </si>
  <si>
    <t>P-2024-03975</t>
  </si>
  <si>
    <t>P-2024-03976</t>
  </si>
  <si>
    <t>P-2024-03977</t>
  </si>
  <si>
    <t>P-2024-03978</t>
  </si>
  <si>
    <t>P-2024-03979</t>
  </si>
  <si>
    <t>P-2024-03980</t>
  </si>
  <si>
    <t>P-2024-03981</t>
  </si>
  <si>
    <t>P-2024-03982</t>
  </si>
  <si>
    <t>P-2024-03983</t>
  </si>
  <si>
    <t>P-2024-03984</t>
  </si>
  <si>
    <t>P-2024-03985</t>
  </si>
  <si>
    <t>P-2024-03986</t>
  </si>
  <si>
    <t>P-2024-03987</t>
  </si>
  <si>
    <t>P-2024-03988</t>
  </si>
  <si>
    <t>P-2024-03989</t>
  </si>
  <si>
    <t>P-2024-03990</t>
  </si>
  <si>
    <t>P-2024-03991</t>
  </si>
  <si>
    <t>P-2024-03992</t>
  </si>
  <si>
    <t>P-2024-03993</t>
  </si>
  <si>
    <t>P-2024-03994</t>
  </si>
  <si>
    <t>P-2024-03995</t>
  </si>
  <si>
    <t>P-2024-03996</t>
  </si>
  <si>
    <t>P-2024-03997</t>
  </si>
  <si>
    <t>P-2024-03998</t>
  </si>
  <si>
    <t>P-2024-03999</t>
  </si>
  <si>
    <t>P-2024-04000</t>
  </si>
  <si>
    <t>P-2024-04001</t>
  </si>
  <si>
    <t>P-2024-04002</t>
  </si>
  <si>
    <t>P-2024-04003</t>
  </si>
  <si>
    <t>P-2024-04004</t>
  </si>
  <si>
    <t>P-2024-04005</t>
  </si>
  <si>
    <t>P-2024-04006</t>
  </si>
  <si>
    <t>P-2024-04007</t>
  </si>
  <si>
    <t>P-2024-04008</t>
  </si>
  <si>
    <t>P-2024-04009</t>
  </si>
  <si>
    <t>P-2024-04010</t>
  </si>
  <si>
    <t>P-2024-04011</t>
  </si>
  <si>
    <t>P-2024-04012</t>
  </si>
  <si>
    <t>P-2024-04013</t>
  </si>
  <si>
    <t>P-2024-04014</t>
  </si>
  <si>
    <t>P-2024-04015</t>
  </si>
  <si>
    <t>P-2024-04016</t>
  </si>
  <si>
    <t>P-2024-04017</t>
  </si>
  <si>
    <t>P-2024-04018</t>
  </si>
  <si>
    <t>P-2024-04019</t>
  </si>
  <si>
    <t>P-2024-04020</t>
  </si>
  <si>
    <t>P-2024-04021</t>
  </si>
  <si>
    <t>P-2024-04022</t>
  </si>
  <si>
    <t>P-2024-04023</t>
  </si>
  <si>
    <t>P-2024-04024</t>
  </si>
  <si>
    <t>P-2024-04025</t>
  </si>
  <si>
    <t>P-2024-04026</t>
  </si>
  <si>
    <t>P-2024-04027</t>
  </si>
  <si>
    <t>P-2024-04028</t>
  </si>
  <si>
    <t>P-2024-04029</t>
  </si>
  <si>
    <t>P-2024-04030</t>
  </si>
  <si>
    <t>P-2024-04031</t>
  </si>
  <si>
    <t>P-2024-04032</t>
  </si>
  <si>
    <t>P-2024-04033</t>
  </si>
  <si>
    <t>P-2024-04034</t>
  </si>
  <si>
    <t>P-2024-04035</t>
  </si>
  <si>
    <t>P-2024-04036</t>
  </si>
  <si>
    <t>P-2024-04037</t>
  </si>
  <si>
    <t>P-2024-04038</t>
  </si>
  <si>
    <t>P-2024-04039</t>
  </si>
  <si>
    <t>P-2024-04040</t>
  </si>
  <si>
    <t>P-2024-04041</t>
  </si>
  <si>
    <t>P-2024-04042</t>
  </si>
  <si>
    <t>P-2024-04043</t>
  </si>
  <si>
    <t>P-2024-04044</t>
  </si>
  <si>
    <t>P-2024-04045</t>
  </si>
  <si>
    <t>P-2024-04046</t>
  </si>
  <si>
    <t>P-2024-04047</t>
  </si>
  <si>
    <t>P-2024-04048</t>
  </si>
  <si>
    <t>P-2024-04049</t>
  </si>
  <si>
    <t>P-2024-04050</t>
  </si>
  <si>
    <t>P-2024-04051</t>
  </si>
  <si>
    <t>P-2024-04052</t>
  </si>
  <si>
    <t>P-2024-04053</t>
  </si>
  <si>
    <t>P-2024-04054</t>
  </si>
  <si>
    <t>P-2024-04055</t>
  </si>
  <si>
    <t>P-2024-04056</t>
  </si>
  <si>
    <t>P-2024-04057</t>
  </si>
  <si>
    <t>P-2024-04058</t>
  </si>
  <si>
    <t>P-2024-04059</t>
  </si>
  <si>
    <t>P-2024-04060</t>
  </si>
  <si>
    <t>P-2024-04061</t>
  </si>
  <si>
    <t>P-2024-04062</t>
  </si>
  <si>
    <t>P-2024-04063</t>
  </si>
  <si>
    <t>P-2024-04064</t>
  </si>
  <si>
    <t>P-2024-04065</t>
  </si>
  <si>
    <t>P-2024-04066</t>
  </si>
  <si>
    <t>P-2024-04067</t>
  </si>
  <si>
    <t>P-2024-04068</t>
  </si>
  <si>
    <t>P-2024-04069</t>
  </si>
  <si>
    <t>P-2024-04070</t>
  </si>
  <si>
    <t>P-2024-04071</t>
  </si>
  <si>
    <t>P-2024-04072</t>
  </si>
  <si>
    <t>P-2024-04073</t>
  </si>
  <si>
    <t>P-2024-04074</t>
  </si>
  <si>
    <t>P-2024-04075</t>
  </si>
  <si>
    <t>P-2024-04076</t>
  </si>
  <si>
    <t>P-2024-04077</t>
  </si>
  <si>
    <t>P-2024-04078</t>
  </si>
  <si>
    <t>P-2024-04079</t>
  </si>
  <si>
    <t>P-2024-04080</t>
  </si>
  <si>
    <t>P-2024-04082</t>
  </si>
  <si>
    <t>P-2024-04083</t>
  </si>
  <si>
    <t>P-2024-04084</t>
  </si>
  <si>
    <t>P-2024-04085</t>
  </si>
  <si>
    <t>P-2024-04086</t>
  </si>
  <si>
    <t>P-2024-04087</t>
  </si>
  <si>
    <t>P-2024-04088</t>
  </si>
  <si>
    <t>P-2024-04089</t>
  </si>
  <si>
    <t>P-2024-04090</t>
  </si>
  <si>
    <t>P-2024-04091</t>
  </si>
  <si>
    <t>P-2024-04092</t>
  </si>
  <si>
    <t>P-2024-04093</t>
  </si>
  <si>
    <t>P-2024-04094</t>
  </si>
  <si>
    <t>P-2024-04096</t>
  </si>
  <si>
    <t>P-2024-04097</t>
  </si>
  <si>
    <t>P-2024-04098</t>
  </si>
  <si>
    <t>P-2024-04099</t>
  </si>
  <si>
    <t>P-2024-04100</t>
  </si>
  <si>
    <t>P-2024-04101</t>
  </si>
  <si>
    <t>P-2024-04102</t>
  </si>
  <si>
    <t>P-2024-04103</t>
  </si>
  <si>
    <t>P-2024-04104</t>
  </si>
  <si>
    <t>P-2024-04105</t>
  </si>
  <si>
    <t>P-2024-04106</t>
  </si>
  <si>
    <t>P-2024-04107</t>
  </si>
  <si>
    <t>P-2024-04108</t>
  </si>
  <si>
    <t>P-2024-04109</t>
  </si>
  <si>
    <t>P-2024-04110</t>
  </si>
  <si>
    <t>P-2024-04111</t>
  </si>
  <si>
    <t>P-2024-04112</t>
  </si>
  <si>
    <t>P-2024-04113</t>
  </si>
  <si>
    <t>P-2024-04114</t>
  </si>
  <si>
    <t>P-2024-04115</t>
  </si>
  <si>
    <t>P-2024-04116</t>
  </si>
  <si>
    <t>P-2024-04117</t>
  </si>
  <si>
    <t>P-2024-04118</t>
  </si>
  <si>
    <t>P-2024-04119</t>
  </si>
  <si>
    <t>P-2024-04120</t>
  </si>
  <si>
    <t>P-2024-04121</t>
  </si>
  <si>
    <t>P-2024-04122</t>
  </si>
  <si>
    <t>P-2024-04123</t>
  </si>
  <si>
    <t>P-2024-04125</t>
  </si>
  <si>
    <t>P-2024-04126</t>
  </si>
  <si>
    <t>P-2024-04127</t>
  </si>
  <si>
    <t>P-2024-04128</t>
  </si>
  <si>
    <t>P-2024-04129</t>
  </si>
  <si>
    <t>P-2024-04130</t>
  </si>
  <si>
    <t>P-2024-04131</t>
  </si>
  <si>
    <t>P-2024-04132</t>
  </si>
  <si>
    <t>P-2024-04133</t>
  </si>
  <si>
    <t>P-2024-04134</t>
  </si>
  <si>
    <t>P-2024-04135</t>
  </si>
  <si>
    <t>P-2024-04136</t>
  </si>
  <si>
    <t>P-2024-04138</t>
  </si>
  <si>
    <t>P-2024-04139</t>
  </si>
  <si>
    <t>P-2024-04140</t>
  </si>
  <si>
    <t>P-2024-04141</t>
  </si>
  <si>
    <t>P-2024-04142</t>
  </si>
  <si>
    <t>P-2024-04143</t>
  </si>
  <si>
    <t>P-2024-04144</t>
  </si>
  <si>
    <t>P-2024-04145</t>
  </si>
  <si>
    <t>P-2024-04146</t>
  </si>
  <si>
    <t>P-2024-04147</t>
  </si>
  <si>
    <t>P-2024-04148</t>
  </si>
  <si>
    <t>P-2024-04149</t>
  </si>
  <si>
    <t>P-2024-04150</t>
  </si>
  <si>
    <t>P-2024-04151</t>
  </si>
  <si>
    <t>P-2024-04152</t>
  </si>
  <si>
    <t>P-2024-04153</t>
  </si>
  <si>
    <t>P-2024-04154</t>
  </si>
  <si>
    <t>P-2024-04155</t>
  </si>
  <si>
    <t>P-2024-04156</t>
  </si>
  <si>
    <t>P-2024-04157</t>
  </si>
  <si>
    <t>P-2024-04158</t>
  </si>
  <si>
    <t>P-2024-04159</t>
  </si>
  <si>
    <t>P-2024-04160</t>
  </si>
  <si>
    <t>P-2024-04161</t>
  </si>
  <si>
    <t>P-2024-04162</t>
  </si>
  <si>
    <t>P-2024-04163</t>
  </si>
  <si>
    <t>P-2024-04164</t>
  </si>
  <si>
    <t>P-2024-04165</t>
  </si>
  <si>
    <t>P-2024-04166</t>
  </si>
  <si>
    <t>P-2024-04167</t>
  </si>
  <si>
    <t>P-2024-04168</t>
  </si>
  <si>
    <t>P-2024-04169</t>
  </si>
  <si>
    <t>P-2024-04170</t>
  </si>
  <si>
    <t>P-2024-04171</t>
  </si>
  <si>
    <t>P-2024-04172</t>
  </si>
  <si>
    <t>P-2024-04173</t>
  </si>
  <si>
    <t>P-2024-04174</t>
  </si>
  <si>
    <t>P-2024-04175</t>
  </si>
  <si>
    <t>P-2024-04176</t>
  </si>
  <si>
    <t>P-2024-04177</t>
  </si>
  <si>
    <t>P-2024-04178</t>
  </si>
  <si>
    <t>P-2024-04179</t>
  </si>
  <si>
    <t>P-2024-04180</t>
  </si>
  <si>
    <t>P-2024-04181</t>
  </si>
  <si>
    <t>P-2024-04182</t>
  </si>
  <si>
    <t>P-2024-04183</t>
  </si>
  <si>
    <t>P-2024-04184</t>
  </si>
  <si>
    <t>P-2024-04185</t>
  </si>
  <si>
    <t>P-2024-04186</t>
  </si>
  <si>
    <t>P-2024-04187</t>
  </si>
  <si>
    <t>P-2024-04188</t>
  </si>
  <si>
    <t>P-2024-04189</t>
  </si>
  <si>
    <t>P-2024-04190</t>
  </si>
  <si>
    <t>P-2024-04191</t>
  </si>
  <si>
    <t>P-2024-04192</t>
  </si>
  <si>
    <t>P-2024-04193</t>
  </si>
  <si>
    <t>P-2024-04194</t>
  </si>
  <si>
    <t>P-2024-04195</t>
  </si>
  <si>
    <t>P-2024-04196</t>
  </si>
  <si>
    <t>P-2024-04197</t>
  </si>
  <si>
    <t>P-2024-04198</t>
  </si>
  <si>
    <t>P-2024-04199</t>
  </si>
  <si>
    <t>P-2024-04200</t>
  </si>
  <si>
    <t>P-2024-04201</t>
  </si>
  <si>
    <t>P-2024-04202</t>
  </si>
  <si>
    <t>P-2024-04203</t>
  </si>
  <si>
    <t>P-2024-04204</t>
  </si>
  <si>
    <t>P-2024-04205</t>
  </si>
  <si>
    <t>P-2024-04206</t>
  </si>
  <si>
    <t>P-2024-04207</t>
  </si>
  <si>
    <t>P-2024-04208</t>
  </si>
  <si>
    <t>P-2024-04209</t>
  </si>
  <si>
    <t>P-2024-04210</t>
  </si>
  <si>
    <t>P-2024-04211</t>
  </si>
  <si>
    <t>P-2024-04212</t>
  </si>
  <si>
    <t>P-2024-04213</t>
  </si>
  <si>
    <t>P-2024-04214</t>
  </si>
  <si>
    <t>P-2024-04215</t>
  </si>
  <si>
    <t>P-2024-04216</t>
  </si>
  <si>
    <t>P-2024-04217</t>
  </si>
  <si>
    <t>P-2024-04218</t>
  </si>
  <si>
    <t>P-2024-04219</t>
  </si>
  <si>
    <t>P-2024-04220</t>
  </si>
  <si>
    <t>P-2024-04221</t>
  </si>
  <si>
    <t>P-2024-04222</t>
  </si>
  <si>
    <t>P-2024-04224</t>
  </si>
  <si>
    <t>P-2024-04225</t>
  </si>
  <si>
    <t>P-2024-04226</t>
  </si>
  <si>
    <t>P-2024-04227</t>
  </si>
  <si>
    <t>P-2024-04228</t>
  </si>
  <si>
    <t>P-2024-04229</t>
  </si>
  <si>
    <t>P-2024-04230</t>
  </si>
  <si>
    <t>P-2024-04231</t>
  </si>
  <si>
    <t>P-2024-04232</t>
  </si>
  <si>
    <t>P-2024-04233</t>
  </si>
  <si>
    <t>P-2024-04234</t>
  </si>
  <si>
    <t>P-2024-04235</t>
  </si>
  <si>
    <t>P-2024-04236</t>
  </si>
  <si>
    <t>P-2024-04238</t>
  </si>
  <si>
    <t>P-2024-04239</t>
  </si>
  <si>
    <t>P-2024-04240</t>
  </si>
  <si>
    <t>P-2024-04241</t>
  </si>
  <si>
    <t>P-2024-04242</t>
  </si>
  <si>
    <t>P-2024-04243</t>
  </si>
  <si>
    <t>P-2024-04244</t>
  </si>
  <si>
    <t>P-2024-04245</t>
  </si>
  <si>
    <t>P-2024-04246</t>
  </si>
  <si>
    <t>P-2024-04247</t>
  </si>
  <si>
    <t>P-2024-04248</t>
  </si>
  <si>
    <t>P-2024-04249</t>
  </si>
  <si>
    <t>P-2024-04250</t>
  </si>
  <si>
    <t>P-2024-04251</t>
  </si>
  <si>
    <t>P-2024-04252</t>
  </si>
  <si>
    <t>P-2024-04253</t>
  </si>
  <si>
    <t>P-2024-04254</t>
  </si>
  <si>
    <t>P-2024-04255</t>
  </si>
  <si>
    <t>P-2024-04256</t>
  </si>
  <si>
    <t>P-2024-04257</t>
  </si>
  <si>
    <t>P-2024-04258</t>
  </si>
  <si>
    <t>P-2024-04259</t>
  </si>
  <si>
    <t>P-2024-04260</t>
  </si>
  <si>
    <t>P-2024-04261</t>
  </si>
  <si>
    <t>P-2024-04262</t>
  </si>
  <si>
    <t>P-2024-04263</t>
  </si>
  <si>
    <t>P-2024-04264</t>
  </si>
  <si>
    <t>P-2024-04265</t>
  </si>
  <si>
    <t>P-2024-04266</t>
  </si>
  <si>
    <t>P-2024-04267</t>
  </si>
  <si>
    <t>P-2024-04268</t>
  </si>
  <si>
    <t>P-2024-04269</t>
  </si>
  <si>
    <t>P-2024-04270</t>
  </si>
  <si>
    <t>P-2024-04271</t>
  </si>
  <si>
    <t>P-2024-04272</t>
  </si>
  <si>
    <t>P-2024-04273</t>
  </si>
  <si>
    <t>P-2024-04274</t>
  </si>
  <si>
    <t>P-2024-04275</t>
  </si>
  <si>
    <t>P-2024-04276</t>
  </si>
  <si>
    <t>P-2024-04277</t>
  </si>
  <si>
    <t>P-2024-04278</t>
  </si>
  <si>
    <t>P-2024-04279</t>
  </si>
  <si>
    <t>P-2024-04280</t>
  </si>
  <si>
    <t>P-2024-04281</t>
  </si>
  <si>
    <t>P-2024-04282</t>
  </si>
  <si>
    <t>P-2024-04283</t>
  </si>
  <si>
    <t>P-2024-04284</t>
  </si>
  <si>
    <t>P-2024-04285</t>
  </si>
  <si>
    <t>P-2024-04286</t>
  </si>
  <si>
    <t>P-2024-04288</t>
  </si>
  <si>
    <t>P-2024-04289</t>
  </si>
  <si>
    <t>P-2024-04290</t>
  </si>
  <si>
    <t>P-2024-04291</t>
  </si>
  <si>
    <t>P-2024-04292</t>
  </si>
  <si>
    <t>P-2024-04293</t>
  </si>
  <si>
    <t>P-2024-04294</t>
  </si>
  <si>
    <t>P-2024-04295</t>
  </si>
  <si>
    <t>P-2024-04296</t>
  </si>
  <si>
    <t>P-2024-04297</t>
  </si>
  <si>
    <t>P-2024-04298</t>
  </si>
  <si>
    <t>P-2024-04299</t>
  </si>
  <si>
    <t>P-2024-04300</t>
  </si>
  <si>
    <t>P-2024-04301</t>
  </si>
  <si>
    <t>P-2024-04302</t>
  </si>
  <si>
    <t>P-2024-04303</t>
  </si>
  <si>
    <t>P-2024-04304</t>
  </si>
  <si>
    <t>P-2024-04305</t>
  </si>
  <si>
    <t>P-2024-04306</t>
  </si>
  <si>
    <t>P-2024-04307</t>
  </si>
  <si>
    <t>P-2024-04308</t>
  </si>
  <si>
    <t>P-2024-04309</t>
  </si>
  <si>
    <t>P-2024-04310</t>
  </si>
  <si>
    <t>P-2024-04311</t>
  </si>
  <si>
    <t>P-2024-04312</t>
  </si>
  <si>
    <t>P-2024-04313</t>
  </si>
  <si>
    <t>P-2024-04314</t>
  </si>
  <si>
    <t>P-2024-04315</t>
  </si>
  <si>
    <t>P-2024-04316</t>
  </si>
  <si>
    <t>P-2024-04317</t>
  </si>
  <si>
    <t>P-2024-04318</t>
  </si>
  <si>
    <t>P-2024-04319</t>
  </si>
  <si>
    <t>P-2024-04320</t>
  </si>
  <si>
    <t>P-2024-04321</t>
  </si>
  <si>
    <t>P-2024-04322</t>
  </si>
  <si>
    <t>P-2024-04323</t>
  </si>
  <si>
    <t>P-2024-04324</t>
  </si>
  <si>
    <t>P-2024-04325</t>
  </si>
  <si>
    <t>P-2024-04326</t>
  </si>
  <si>
    <t>P-2024-04327</t>
  </si>
  <si>
    <t>P-2024-04328</t>
  </si>
  <si>
    <t>P-2024-04329</t>
  </si>
  <si>
    <t>P-2024-04330</t>
  </si>
  <si>
    <t>P-2024-04331</t>
  </si>
  <si>
    <t>P-2024-04332</t>
  </si>
  <si>
    <t>P-2024-04333</t>
  </si>
  <si>
    <t>P-2024-04334</t>
  </si>
  <si>
    <t>P-2024-04335</t>
  </si>
  <si>
    <t>P-2024-04336</t>
  </si>
  <si>
    <t>P-2024-04337</t>
  </si>
  <si>
    <t>P-2024-04338</t>
  </si>
  <si>
    <t>P-2024-04339</t>
  </si>
  <si>
    <t>P-2024-04340</t>
  </si>
  <si>
    <t>P-2024-04341</t>
  </si>
  <si>
    <t>P-2024-04342</t>
  </si>
  <si>
    <t>P-2024-04343</t>
  </si>
  <si>
    <t>P-2024-04344</t>
  </si>
  <si>
    <t>P-2024-04345</t>
  </si>
  <si>
    <t>P-2024-04346</t>
  </si>
  <si>
    <t>P-2024-04347</t>
  </si>
  <si>
    <t>P-2024-04348</t>
  </si>
  <si>
    <t>P-2024-04349</t>
  </si>
  <si>
    <t>P-2024-04350</t>
  </si>
  <si>
    <t>P-2024-04351</t>
  </si>
  <si>
    <t>P-2024-04352</t>
  </si>
  <si>
    <t>P-2024-04353</t>
  </si>
  <si>
    <t>P-2024-04354</t>
  </si>
  <si>
    <t>P-2024-04355</t>
  </si>
  <si>
    <t>Policy ID</t>
  </si>
  <si>
    <t>Insured ID</t>
  </si>
  <si>
    <t>Claim ID</t>
  </si>
  <si>
    <t>C--01043</t>
  </si>
  <si>
    <t>Ground-Up Loss Triangles</t>
  </si>
  <si>
    <t>Totals will not tie out exactly to loss listing</t>
  </si>
  <si>
    <t>USA</t>
  </si>
  <si>
    <t>SC</t>
  </si>
  <si>
    <t>I-2023-00002</t>
  </si>
  <si>
    <t>DC</t>
  </si>
  <si>
    <t>I-2017-00001</t>
  </si>
  <si>
    <t>I-2023-00003</t>
  </si>
  <si>
    <t>WI</t>
  </si>
  <si>
    <t>I-2016-00007</t>
  </si>
  <si>
    <t>I-2018-00002</t>
  </si>
  <si>
    <t>I-2021-00006</t>
  </si>
  <si>
    <t>I-2019-00006</t>
  </si>
  <si>
    <t>I-2023-00009</t>
  </si>
  <si>
    <t>I-2023-00008</t>
  </si>
  <si>
    <t>I-2017-00007</t>
  </si>
  <si>
    <t>I-2023-00012</t>
  </si>
  <si>
    <t>I-2014-00020</t>
  </si>
  <si>
    <t>I-2017-00009</t>
  </si>
  <si>
    <t>CT</t>
  </si>
  <si>
    <t>I-2017-00010</t>
  </si>
  <si>
    <t>I-2021-00013</t>
  </si>
  <si>
    <t>I-2019-00014</t>
  </si>
  <si>
    <t>I-2021-00015</t>
  </si>
  <si>
    <t>I-2021-00017</t>
  </si>
  <si>
    <t>I-2022-00015</t>
  </si>
  <si>
    <t>I-2020-00018</t>
  </si>
  <si>
    <t>I-2018-00018</t>
  </si>
  <si>
    <t>I-2020-00017</t>
  </si>
  <si>
    <t>I-2022-00019</t>
  </si>
  <si>
    <t>I-2016-00024</t>
  </si>
  <si>
    <t>I-2021-00026</t>
  </si>
  <si>
    <t>I-2020-00022</t>
  </si>
  <si>
    <t>I-2022-00022</t>
  </si>
  <si>
    <t>I-2023-00032</t>
  </si>
  <si>
    <t>I-2022-00027</t>
  </si>
  <si>
    <t>I-2021-00037</t>
  </si>
  <si>
    <t>I-2019-00034</t>
  </si>
  <si>
    <t>I-2019-00035</t>
  </si>
  <si>
    <t>I-2022-00032</t>
  </si>
  <si>
    <t>I-2021-00039</t>
  </si>
  <si>
    <t>I-2018-00028</t>
  </si>
  <si>
    <t>I-2022-00030</t>
  </si>
  <si>
    <t>I-2023-00039</t>
  </si>
  <si>
    <t>I-2022-00033</t>
  </si>
  <si>
    <t>I-2023-00041</t>
  </si>
  <si>
    <t>I-2021-00046</t>
  </si>
  <si>
    <t>I-2021-00048</t>
  </si>
  <si>
    <t>I-2020-00039</t>
  </si>
  <si>
    <t>I-2019-00042</t>
  </si>
  <si>
    <t>I-2021-00053</t>
  </si>
  <si>
    <t>I-2020-00041</t>
  </si>
  <si>
    <t>I-2015-00036</t>
  </si>
  <si>
    <t>I-2021-00055</t>
  </si>
  <si>
    <t>I-2023-00046</t>
  </si>
  <si>
    <t>I-2020-00044</t>
  </si>
  <si>
    <t>I-2021-00060</t>
  </si>
  <si>
    <t>I-2017-00031</t>
  </si>
  <si>
    <t>I-2019-00056</t>
  </si>
  <si>
    <t>I-2023-00051</t>
  </si>
  <si>
    <t>I-2022-00045</t>
  </si>
  <si>
    <t>I-2021-00062</t>
  </si>
  <si>
    <t>I-2022-00049</t>
  </si>
  <si>
    <t>I-2019-00058</t>
  </si>
  <si>
    <t>I-2018-00044</t>
  </si>
  <si>
    <t>I-2023-00060</t>
  </si>
  <si>
    <t>I-2021-00071</t>
  </si>
  <si>
    <t>I-2022-00053</t>
  </si>
  <si>
    <t>I-2021-00070</t>
  </si>
  <si>
    <t>I-2019-00066</t>
  </si>
  <si>
    <t>I-2023-00068</t>
  </si>
  <si>
    <t>I-2022-00059</t>
  </si>
  <si>
    <t>I-2020-00054</t>
  </si>
  <si>
    <t>I-2023-00070</t>
  </si>
  <si>
    <t>I-2018-00048</t>
  </si>
  <si>
    <t>I-2021-00085</t>
  </si>
  <si>
    <t>I-2020-00057</t>
  </si>
  <si>
    <t>I-2018-00051</t>
  </si>
  <si>
    <t>I-2016-00069</t>
  </si>
  <si>
    <t>I-2020-00061</t>
  </si>
  <si>
    <t>I-2023-00077</t>
  </si>
  <si>
    <t>I-2023-00085</t>
  </si>
  <si>
    <t>I-2021-00087</t>
  </si>
  <si>
    <t>I-2014-00164</t>
  </si>
  <si>
    <t>I-2021-00097</t>
  </si>
  <si>
    <t>I-2014-00172</t>
  </si>
  <si>
    <t>I-2019-00079</t>
  </si>
  <si>
    <t>I-2023-00093</t>
  </si>
  <si>
    <t>I-2020-00068</t>
  </si>
  <si>
    <t>I-2022-00074</t>
  </si>
  <si>
    <t>I-2020-00069</t>
  </si>
  <si>
    <t>I-2019-00082</t>
  </si>
  <si>
    <t>I-2023-00099</t>
  </si>
  <si>
    <t>I-2022-00082</t>
  </si>
  <si>
    <t>I-2021-00106</t>
  </si>
  <si>
    <t>I-2018-00062</t>
  </si>
  <si>
    <t>I-2021-00105</t>
  </si>
  <si>
    <t>I-2014-00202</t>
  </si>
  <si>
    <t>I-2019-00090</t>
  </si>
  <si>
    <t>I-2021-00107</t>
  </si>
  <si>
    <t>I-2023-00106</t>
  </si>
  <si>
    <t>I-2014-00208</t>
  </si>
  <si>
    <t>I-2022-00087</t>
  </si>
  <si>
    <t>I-2021-00108</t>
  </si>
  <si>
    <t>I-2023-00108</t>
  </si>
  <si>
    <t>I-2023-00109</t>
  </si>
  <si>
    <t>I-2021-00114</t>
  </si>
  <si>
    <t>I-2021-00120</t>
  </si>
  <si>
    <t>I-2021-00119</t>
  </si>
  <si>
    <t>I-2021-00117</t>
  </si>
  <si>
    <t>I-2021-00123</t>
  </si>
  <si>
    <t>I-2014-00223</t>
  </si>
  <si>
    <t>I-2021-00125</t>
  </si>
  <si>
    <t>I-2022-00090</t>
  </si>
  <si>
    <t>I-2019-00099</t>
  </si>
  <si>
    <t>I-2020-00085</t>
  </si>
  <si>
    <t>I-2023-00117</t>
  </si>
  <si>
    <t>I-2019-00100</t>
  </si>
  <si>
    <t>I-2023-00120</t>
  </si>
  <si>
    <t>I-2022-00092</t>
  </si>
  <si>
    <t>I-2022-00091</t>
  </si>
  <si>
    <t>I-2022-00093</t>
  </si>
  <si>
    <t>I-2015-00082</t>
  </si>
  <si>
    <t>I-2023-00124</t>
  </si>
  <si>
    <t>I-2022-00099</t>
  </si>
  <si>
    <t>I-2014-00246</t>
  </si>
  <si>
    <t>I-2020-00088</t>
  </si>
  <si>
    <t>I-2016-00098</t>
  </si>
  <si>
    <t>I-2023-00129</t>
  </si>
  <si>
    <t>I-2022-00100</t>
  </si>
  <si>
    <t>I-2020-00094</t>
  </si>
  <si>
    <t>I-2021-00144</t>
  </si>
  <si>
    <t>I-2021-00148</t>
  </si>
  <si>
    <t>I-2021-00155</t>
  </si>
  <si>
    <t>I-2019-00112</t>
  </si>
  <si>
    <t>I-2014-00279</t>
  </si>
  <si>
    <t>I-2021-00163</t>
  </si>
  <si>
    <t>I-2015-00101</t>
  </si>
  <si>
    <t>I-2023-00141</t>
  </si>
  <si>
    <t>I-2021-00164</t>
  </si>
  <si>
    <t>I-2018-00103</t>
  </si>
  <si>
    <t>I-2021-00172</t>
  </si>
  <si>
    <t>I-2019-00126</t>
  </si>
  <si>
    <t>I-2022-00113</t>
  </si>
  <si>
    <t>I-2023-00153</t>
  </si>
  <si>
    <t>I-2021-00178</t>
  </si>
  <si>
    <t>I-2015-00110</t>
  </si>
  <si>
    <t>I-2021-00179</t>
  </si>
  <si>
    <t>I-2021-00182</t>
  </si>
  <si>
    <t>I-2021-00186</t>
  </si>
  <si>
    <t>I-2014-00328</t>
  </si>
  <si>
    <t>I-2020-00117</t>
  </si>
  <si>
    <t>I-2020-00118</t>
  </si>
  <si>
    <t>I-2023-00157</t>
  </si>
  <si>
    <t>I-2022-00120</t>
  </si>
  <si>
    <t>I-2018-00113</t>
  </si>
  <si>
    <t>I-2016-00122</t>
  </si>
  <si>
    <t>I-2023-00170</t>
  </si>
  <si>
    <t>I-2023-00169</t>
  </si>
  <si>
    <t>I-2022-00134</t>
  </si>
  <si>
    <t>I-2022-00135</t>
  </si>
  <si>
    <t>I-2016-00134</t>
  </si>
  <si>
    <t>I-2021-00197</t>
  </si>
  <si>
    <t>I-2015-00120</t>
  </si>
  <si>
    <t>I-2014-00357</t>
  </si>
  <si>
    <t>I-2020-00131</t>
  </si>
  <si>
    <t>I-2021-00201</t>
  </si>
  <si>
    <t>I-2014-00367</t>
  </si>
  <si>
    <t>I-2023-00182</t>
  </si>
  <si>
    <t>I-2023-00187</t>
  </si>
  <si>
    <t>I-2019-00148</t>
  </si>
  <si>
    <t>I-2014-00386</t>
  </si>
  <si>
    <t>I-2015-00136</t>
  </si>
  <si>
    <t>I-2022-00152</t>
  </si>
  <si>
    <t>I-2020-00136</t>
  </si>
  <si>
    <t>I-2014-00398</t>
  </si>
  <si>
    <t>I-2021-00213</t>
  </si>
  <si>
    <t>I-2019-00154</t>
  </si>
  <si>
    <t>I-2020-00138</t>
  </si>
  <si>
    <t>I-2021-00215</t>
  </si>
  <si>
    <t>I-2022-00157</t>
  </si>
  <si>
    <t>I-2021-00223</t>
  </si>
  <si>
    <t>I-2021-00219</t>
  </si>
  <si>
    <t>I-2019-00157</t>
  </si>
  <si>
    <t>I-2021-00226</t>
  </si>
  <si>
    <t>I-2020-00144</t>
  </si>
  <si>
    <t>I-2021-00228</t>
  </si>
  <si>
    <t>I-2019-00161</t>
  </si>
  <si>
    <t>I-2023-00209</t>
  </si>
  <si>
    <t>I-2020-00145</t>
  </si>
  <si>
    <t>I-2023-00208</t>
  </si>
  <si>
    <t>I-2021-00231</t>
  </si>
  <si>
    <t>I-2021-00233</t>
  </si>
  <si>
    <t>I-2023-00215</t>
  </si>
  <si>
    <t>I-2016-00164</t>
  </si>
  <si>
    <t>I-2021-00236</t>
  </si>
  <si>
    <t>I-2014-00442</t>
  </si>
  <si>
    <t>I-2022-00171</t>
  </si>
  <si>
    <t>I-2022-00168</t>
  </si>
  <si>
    <t>I-2018-00163</t>
  </si>
  <si>
    <t>I-2020-00158</t>
  </si>
  <si>
    <t>I-2016-00174</t>
  </si>
  <si>
    <t>I-2021-00253</t>
  </si>
  <si>
    <t>I-2021-00255</t>
  </si>
  <si>
    <t>I-2019-00186</t>
  </si>
  <si>
    <t>I-2021-00260</t>
  </si>
  <si>
    <t>I-2018-00166</t>
  </si>
  <si>
    <t>I-2023-00228</t>
  </si>
  <si>
    <t>I-2022-00174</t>
  </si>
  <si>
    <t>I-2022-00178</t>
  </si>
  <si>
    <t>I-2022-00181</t>
  </si>
  <si>
    <t>I-2015-00169</t>
  </si>
  <si>
    <t>I-2014-00484</t>
  </si>
  <si>
    <t>I-2016-00188</t>
  </si>
  <si>
    <t>I-2015-00172</t>
  </si>
  <si>
    <t>I-2021-00279</t>
  </si>
  <si>
    <t>I-2022-00186</t>
  </si>
  <si>
    <t>I-2021-00286</t>
  </si>
  <si>
    <t>I-2020-00165</t>
  </si>
  <si>
    <t>I-2018-00173</t>
  </si>
  <si>
    <t>I-2020-00166</t>
  </si>
  <si>
    <t>I-2016-00198</t>
  </si>
  <si>
    <t>I-2021-00294</t>
  </si>
  <si>
    <t>I-2023-00246</t>
  </si>
  <si>
    <t>I-2016-00199</t>
  </si>
  <si>
    <t>I-2022-00192</t>
  </si>
  <si>
    <t>I-2022-00194</t>
  </si>
  <si>
    <t>I-2021-00305</t>
  </si>
  <si>
    <t>I-2021-00307</t>
  </si>
  <si>
    <t>I-2017-00113</t>
  </si>
  <si>
    <t>I-2023-00253</t>
  </si>
  <si>
    <t>I-2022-00197</t>
  </si>
  <si>
    <t>I-2016-00212</t>
  </si>
  <si>
    <t>I-2019-00214</t>
  </si>
  <si>
    <t>I-2022-00196</t>
  </si>
  <si>
    <t>I-2022-00201</t>
  </si>
  <si>
    <t>I-2022-00202</t>
  </si>
  <si>
    <t>I-2017-00116</t>
  </si>
  <si>
    <t>I-2020-00179</t>
  </si>
  <si>
    <t>I-2020-00178</t>
  </si>
  <si>
    <t>I-2016-00217</t>
  </si>
  <si>
    <t>I-2021-00319</t>
  </si>
  <si>
    <t>I-2022-00210</t>
  </si>
  <si>
    <t>I-2020-00182</t>
  </si>
  <si>
    <t>I-2022-00206</t>
  </si>
  <si>
    <t>I-2023-00267</t>
  </si>
  <si>
    <t>I-2022-00214</t>
  </si>
  <si>
    <t>I-2019-00231</t>
  </si>
  <si>
    <t>I-2023-00270</t>
  </si>
  <si>
    <t>I-2021-00330</t>
  </si>
  <si>
    <t>I-2021-00329</t>
  </si>
  <si>
    <t>I-2015-00199</t>
  </si>
  <si>
    <t>I-2014-00594</t>
  </si>
  <si>
    <t>I-2022-00221</t>
  </si>
  <si>
    <t>I-2014-00597</t>
  </si>
  <si>
    <t>I-2014-00600</t>
  </si>
  <si>
    <t>I-2023-00280</t>
  </si>
  <si>
    <t>I-2022-00225</t>
  </si>
  <si>
    <t>I-2021-00342</t>
  </si>
  <si>
    <t>I-2020-00200</t>
  </si>
  <si>
    <t>I-2023-00285</t>
  </si>
  <si>
    <t>I-2020-00197</t>
  </si>
  <si>
    <t>I-2020-00201</t>
  </si>
  <si>
    <t>I-2021-00350</t>
  </si>
  <si>
    <t>I-2021-00352</t>
  </si>
  <si>
    <t>I-2020-00205</t>
  </si>
  <si>
    <t>I-2018-00214</t>
  </si>
  <si>
    <t>I-2023-00293</t>
  </si>
  <si>
    <t>I-2021-00365</t>
  </si>
  <si>
    <t>I-2020-00208</t>
  </si>
  <si>
    <t>I-2021-00368</t>
  </si>
  <si>
    <t>I-2019-00265</t>
  </si>
  <si>
    <t>I-2022-00239</t>
  </si>
  <si>
    <t>I-2023-00299</t>
  </si>
  <si>
    <t>I-2022-00243</t>
  </si>
  <si>
    <t>I-2018-00222</t>
  </si>
  <si>
    <t>I-2017-00140</t>
  </si>
  <si>
    <t>I-2023-00302</t>
  </si>
  <si>
    <t>I-2023-00303</t>
  </si>
  <si>
    <t>I-2023-00305</t>
  </si>
  <si>
    <t>I-2021-00383</t>
  </si>
  <si>
    <t>I-2021-00386</t>
  </si>
  <si>
    <t>I-2022-00252</t>
  </si>
  <si>
    <t>I-2022-00255</t>
  </si>
  <si>
    <t>I-2019-00278</t>
  </si>
  <si>
    <t>I-2018-00232</t>
  </si>
  <si>
    <t>I-2022-00257</t>
  </si>
  <si>
    <t>I-2018-00233</t>
  </si>
  <si>
    <t>I-2021-00387</t>
  </si>
  <si>
    <t>I-2015-00225</t>
  </si>
  <si>
    <t>I-2023-00310</t>
  </si>
  <si>
    <t>I-2022-00261</t>
  </si>
  <si>
    <t>I-2022-00262</t>
  </si>
  <si>
    <t>I-2020-00223</t>
  </si>
  <si>
    <t>I-2022-00267</t>
  </si>
  <si>
    <t>I-2019-00284</t>
  </si>
  <si>
    <t>I-2019-00282</t>
  </si>
  <si>
    <t>I-2019-00283</t>
  </si>
  <si>
    <t>I-2021-00404</t>
  </si>
  <si>
    <t>I-2022-00268</t>
  </si>
  <si>
    <t>I-2014-00668</t>
  </si>
  <si>
    <t>I-2021-00410</t>
  </si>
  <si>
    <t>I-2015-00235</t>
  </si>
  <si>
    <t>I-2023-00315</t>
  </si>
  <si>
    <t>I-2019-00288</t>
  </si>
  <si>
    <t>I-2020-00232</t>
  </si>
  <si>
    <t>I-2023-00316</t>
  </si>
  <si>
    <t>I-2021-00419</t>
  </si>
  <si>
    <t>I-2021-00420</t>
  </si>
  <si>
    <t>I-2021-00425</t>
  </si>
  <si>
    <t>I-2022-00279</t>
  </si>
  <si>
    <t>I-2021-00426</t>
  </si>
  <si>
    <t>I-2021-00427</t>
  </si>
  <si>
    <t>I-2021-00429</t>
  </si>
  <si>
    <t>I-2018-00249</t>
  </si>
  <si>
    <t>I-2021-00431</t>
  </si>
  <si>
    <t>I-2021-00432</t>
  </si>
  <si>
    <t>I-2019-00300</t>
  </si>
  <si>
    <t>I-2014-00695</t>
  </si>
  <si>
    <t>I-2021-00433</t>
  </si>
  <si>
    <t>I-2022-00284</t>
  </si>
  <si>
    <t>I-2022-00282</t>
  </si>
  <si>
    <t>I-2019-00305</t>
  </si>
  <si>
    <t>I-2023-00331</t>
  </si>
  <si>
    <t>I-2021-00441</t>
  </si>
  <si>
    <t>I-2021-00439</t>
  </si>
  <si>
    <t>I-2022-00290</t>
  </si>
  <si>
    <t>I-2022-00288</t>
  </si>
  <si>
    <t>I-2022-00293</t>
  </si>
  <si>
    <t>I-2019-00309</t>
  </si>
  <si>
    <t>I-2023-00338</t>
  </si>
  <si>
    <t>I-2023-00340</t>
  </si>
  <si>
    <t>I-2021-00447</t>
  </si>
  <si>
    <t>I-2021-00448</t>
  </si>
  <si>
    <t>I-2020-00252</t>
  </si>
  <si>
    <t>I-2023-00339</t>
  </si>
  <si>
    <t>I-2019-00315</t>
  </si>
  <si>
    <t>I-2019-00314</t>
  </si>
  <si>
    <t>I-2016-00302</t>
  </si>
  <si>
    <t>I-2022-00299</t>
  </si>
  <si>
    <t>I-2020-00255</t>
  </si>
  <si>
    <t>I-2015-00256</t>
  </si>
  <si>
    <t>I-2023-00350</t>
  </si>
  <si>
    <t>I-2020-00258</t>
  </si>
  <si>
    <t>I-2018-00269</t>
  </si>
  <si>
    <t>I-2019-00327</t>
  </si>
  <si>
    <t>I-2023-00353</t>
  </si>
  <si>
    <t>I-2023-00354</t>
  </si>
  <si>
    <t>I-2014-00755</t>
  </si>
  <si>
    <t>I-2020-00260</t>
  </si>
  <si>
    <t>I-2021-00471</t>
  </si>
  <si>
    <t>I-2021-00474</t>
  </si>
  <si>
    <t>I-2020-00261</t>
  </si>
  <si>
    <t>I-2019-00331</t>
  </si>
  <si>
    <t>I-2014-00769</t>
  </si>
  <si>
    <t>I-2019-00333</t>
  </si>
  <si>
    <t>I-2021-00476</t>
  </si>
  <si>
    <t>I-2021-00480</t>
  </si>
  <si>
    <t>I-2022-00307</t>
  </si>
  <si>
    <t>I-2022-00309</t>
  </si>
  <si>
    <t>I-2022-00308</t>
  </si>
  <si>
    <t>I-2023-00367</t>
  </si>
  <si>
    <t>I-2018-00275</t>
  </si>
  <si>
    <t>I-2021-00485</t>
  </si>
  <si>
    <t>I-2019-00338</t>
  </si>
  <si>
    <t>I-2020-00271</t>
  </si>
  <si>
    <t>I-2020-00272</t>
  </si>
  <si>
    <t>I-2021-00488</t>
  </si>
  <si>
    <t>I-2023-00371</t>
  </si>
  <si>
    <t>I-2021-00489</t>
  </si>
  <si>
    <t>I-2022-00313</t>
  </si>
  <si>
    <t>I-2021-00493</t>
  </si>
  <si>
    <t>I-2019-00343</t>
  </si>
  <si>
    <t>I-2020-00276</t>
  </si>
  <si>
    <t>I-2018-00280</t>
  </si>
  <si>
    <t>I-2022-00316</t>
  </si>
  <si>
    <t>I-2023-00379</t>
  </si>
  <si>
    <t>I-2014-00806</t>
  </si>
  <si>
    <t>I-2020-00280</t>
  </si>
  <si>
    <t>I-2019-00356</t>
  </si>
  <si>
    <t>I-2022-00322</t>
  </si>
  <si>
    <t>I-2016-00338</t>
  </si>
  <si>
    <t>I-2020-00283</t>
  </si>
  <si>
    <t>I-2016-00340</t>
  </si>
  <si>
    <t>I-2020-00286</t>
  </si>
  <si>
    <t>I-2021-00505</t>
  </si>
  <si>
    <t>I-2022-00324</t>
  </si>
  <si>
    <t>I-2022-00325</t>
  </si>
  <si>
    <t>I-2019-00363</t>
  </si>
  <si>
    <t>I-2022-00328</t>
  </si>
  <si>
    <t>I-2016-00351</t>
  </si>
  <si>
    <t>I-2023-00396</t>
  </si>
  <si>
    <t>I-2023-00398</t>
  </si>
  <si>
    <t>I-2021-00518</t>
  </si>
  <si>
    <t>I-2020-00289</t>
  </si>
  <si>
    <t>I-2014-00847</t>
  </si>
  <si>
    <t>I-2016-00353</t>
  </si>
  <si>
    <t>I-2023-00407</t>
  </si>
  <si>
    <t>I-2018-00296</t>
  </si>
  <si>
    <t>I-2023-00410</t>
  </si>
  <si>
    <t>I-2023-00408</t>
  </si>
  <si>
    <t>I-2022-00336</t>
  </si>
  <si>
    <t>I-2020-00293</t>
  </si>
  <si>
    <t>I-2020-00294</t>
  </si>
  <si>
    <t>I-2023-00411</t>
  </si>
  <si>
    <t>I-2023-00413</t>
  </si>
  <si>
    <t>I-2023-00417</t>
  </si>
  <si>
    <t>I-2021-00539</t>
  </si>
  <si>
    <t>I-2015-00297</t>
  </si>
  <si>
    <t>I-2022-00346</t>
  </si>
  <si>
    <t>I-2022-00349</t>
  </si>
  <si>
    <t>I-2023-00422</t>
  </si>
  <si>
    <t>I-2020-00298</t>
  </si>
  <si>
    <t>I-2020-00299</t>
  </si>
  <si>
    <t>I-2022-00356</t>
  </si>
  <si>
    <t>I-2019-00393</t>
  </si>
  <si>
    <t>I-2020-00301</t>
  </si>
  <si>
    <t>I-2022-00360</t>
  </si>
  <si>
    <t>I-2018-00309</t>
  </si>
  <si>
    <t>I-2023-00426</t>
  </si>
  <si>
    <t>I-2021-00551</t>
  </si>
  <si>
    <t>I-2018-00311</t>
  </si>
  <si>
    <t>I-2014-00919</t>
  </si>
  <si>
    <t>I-2014-00921</t>
  </si>
  <si>
    <t>I-2022-00363</t>
  </si>
  <si>
    <t>I-2023-00434</t>
  </si>
  <si>
    <t>I-2022-00365</t>
  </si>
  <si>
    <t>I-2022-00369</t>
  </si>
  <si>
    <t>I-2023-00437</t>
  </si>
  <si>
    <t>I-2020-00306</t>
  </si>
  <si>
    <t>I-2014-00935</t>
  </si>
  <si>
    <t>I-2023-00443</t>
  </si>
  <si>
    <t>I-2019-00413</t>
  </si>
  <si>
    <t>I-2018-00323</t>
  </si>
  <si>
    <t>I-2022-00375</t>
  </si>
  <si>
    <t>I-2020-00316</t>
  </si>
  <si>
    <t>I-2020-00320</t>
  </si>
  <si>
    <t>I-2023-00451</t>
  </si>
  <si>
    <t>I-2018-00325</t>
  </si>
  <si>
    <t>I-2021-00585</t>
  </si>
  <si>
    <t>I-2019-00424</t>
  </si>
  <si>
    <t>I-2020-00328</t>
  </si>
  <si>
    <t>I-2014-00960</t>
  </si>
  <si>
    <t>I-2021-00590</t>
  </si>
  <si>
    <t>I-2022-00382</t>
  </si>
  <si>
    <t>I-2019-00430</t>
  </si>
  <si>
    <t>I-2022-00383</t>
  </si>
  <si>
    <t>I-2020-00332</t>
  </si>
  <si>
    <t>I-2023-00457</t>
  </si>
  <si>
    <t>I-2021-00596</t>
  </si>
  <si>
    <t>I-2020-00333</t>
  </si>
  <si>
    <t>I-2023-00461</t>
  </si>
  <si>
    <t>I-2021-00605</t>
  </si>
  <si>
    <t>I-2020-00339</t>
  </si>
  <si>
    <t>I-2019-00439</t>
  </si>
  <si>
    <t>I-2020-00337</t>
  </si>
  <si>
    <t>I-2023-00470</t>
  </si>
  <si>
    <t>I-2022-00395</t>
  </si>
  <si>
    <t>I-2021-00609</t>
  </si>
  <si>
    <t>I-2023-00472</t>
  </si>
  <si>
    <t>I-2022-00396</t>
  </si>
  <si>
    <t>I-2018-00342</t>
  </si>
  <si>
    <t>I-2017-00218</t>
  </si>
  <si>
    <t>I-2021-00613</t>
  </si>
  <si>
    <t>I-2020-00347</t>
  </si>
  <si>
    <t>I-2018-00344</t>
  </si>
  <si>
    <t>I-2023-00475</t>
  </si>
  <si>
    <t>I-2021-00611</t>
  </si>
  <si>
    <t>I-2021-00616</t>
  </si>
  <si>
    <t>I-2021-00620</t>
  </si>
  <si>
    <t>I-2022-00402</t>
  </si>
  <si>
    <t>I-2020-00353</t>
  </si>
  <si>
    <t>I-2021-00621</t>
  </si>
  <si>
    <t>I-2023-00482</t>
  </si>
  <si>
    <t>I-2021-00633</t>
  </si>
  <si>
    <t>I-2023-00487</t>
  </si>
  <si>
    <t>I-2022-00404</t>
  </si>
  <si>
    <t>I-2023-00492</t>
  </si>
  <si>
    <t>I-2022-00405</t>
  </si>
  <si>
    <t>I-2019-00466</t>
  </si>
  <si>
    <t>I-2021-00640</t>
  </si>
  <si>
    <t>I-2018-00359</t>
  </si>
  <si>
    <t>I-2014-01045</t>
  </si>
  <si>
    <t>I-2014-01047</t>
  </si>
  <si>
    <t>I-2014-01052</t>
  </si>
  <si>
    <t>I-2021-00645</t>
  </si>
  <si>
    <t>I-2015-00353</t>
  </si>
  <si>
    <t>I-2020-00364</t>
  </si>
  <si>
    <t>I-2021-00647</t>
  </si>
  <si>
    <t>I-2022-00413</t>
  </si>
  <si>
    <t>I-2020-00366</t>
  </si>
  <si>
    <t>I-2023-00504</t>
  </si>
  <si>
    <t>I-2022-00415</t>
  </si>
  <si>
    <t>I-2014-01057</t>
  </si>
  <si>
    <t>I-2021-00654</t>
  </si>
  <si>
    <t>I-2014-01058</t>
  </si>
  <si>
    <t>I-2021-00656</t>
  </si>
  <si>
    <t>I-2022-00424</t>
  </si>
  <si>
    <t>I-2023-00508</t>
  </si>
  <si>
    <t>I-2022-00425</t>
  </si>
  <si>
    <t>I-2022-00429</t>
  </si>
  <si>
    <t>I-2021-00665</t>
  </si>
  <si>
    <t>I-2021-00667</t>
  </si>
  <si>
    <t>I-2021-00664</t>
  </si>
  <si>
    <t>I-2023-00511</t>
  </si>
  <si>
    <t>I-2021-00669</t>
  </si>
  <si>
    <t>I-2020-00373</t>
  </si>
  <si>
    <t>I-2021-00675</t>
  </si>
  <si>
    <t>I-2017-00246</t>
  </si>
  <si>
    <t>I-2022-00436</t>
  </si>
  <si>
    <t>I-2014-01105</t>
  </si>
  <si>
    <t>I-2022-00440</t>
  </si>
  <si>
    <t>I-2017-00250</t>
  </si>
  <si>
    <t>I-2023-00521</t>
  </si>
  <si>
    <t>I-2022-00442</t>
  </si>
  <si>
    <t>I-2021-00683</t>
  </si>
  <si>
    <t>I-2023-00523</t>
  </si>
  <si>
    <t>I-2023-00528</t>
  </si>
  <si>
    <t>I-2023-00527</t>
  </si>
  <si>
    <t>I-2017-00255</t>
  </si>
  <si>
    <t>I-2021-00688</t>
  </si>
  <si>
    <t>I-2017-00257</t>
  </si>
  <si>
    <t>I-2018-00386</t>
  </si>
  <si>
    <t>I-2019-00512</t>
  </si>
  <si>
    <t>I-2020-00389</t>
  </si>
  <si>
    <t>I-2023-00536</t>
  </si>
  <si>
    <t>I-2022-00456</t>
  </si>
  <si>
    <t>I-2020-00392</t>
  </si>
  <si>
    <t>I-2018-00391</t>
  </si>
  <si>
    <t>I-2022-00460</t>
  </si>
  <si>
    <t>I-2020-00393</t>
  </si>
  <si>
    <t>I-2021-00701</t>
  </si>
  <si>
    <t>I-2017-00267</t>
  </si>
  <si>
    <t>I-2021-00698</t>
  </si>
  <si>
    <t>I-2018-00394</t>
  </si>
  <si>
    <t>I-2019-00522</t>
  </si>
  <si>
    <t>I-2015-00384</t>
  </si>
  <si>
    <t>I-2018-00396</t>
  </si>
  <si>
    <t>I-2023-00548</t>
  </si>
  <si>
    <t>I-2021-00710</t>
  </si>
  <si>
    <t>I-2022-00466</t>
  </si>
  <si>
    <t>I-2022-00467</t>
  </si>
  <si>
    <t>I-2016-00476</t>
  </si>
  <si>
    <t>I-2019-00531</t>
  </si>
  <si>
    <t>I-2021-00715</t>
  </si>
  <si>
    <t>I-2021-00714</t>
  </si>
  <si>
    <t>I-2020-00406</t>
  </si>
  <si>
    <t>I-2021-00712</t>
  </si>
  <si>
    <t>I-2020-00408</t>
  </si>
  <si>
    <t>I-2020-00411</t>
  </si>
  <si>
    <t>I-2020-00412</t>
  </si>
  <si>
    <t>I-2022-00473</t>
  </si>
  <si>
    <t>I-2022-00475</t>
  </si>
  <si>
    <t>I-2019-00538</t>
  </si>
  <si>
    <t>I-2021-00721</t>
  </si>
  <si>
    <t>I-2022-00477</t>
  </si>
  <si>
    <t>I-2021-00726</t>
  </si>
  <si>
    <t>I-2021-00734</t>
  </si>
  <si>
    <t>I-2021-00738</t>
  </si>
  <si>
    <t>I-2019-00548</t>
  </si>
  <si>
    <t>I-2018-00405</t>
  </si>
  <si>
    <t>I-2023-00569</t>
  </si>
  <si>
    <t>I-2022-00490</t>
  </si>
  <si>
    <t>I-2022-00494</t>
  </si>
  <si>
    <t>I-2021-00750</t>
  </si>
  <si>
    <t>I-2023-00572</t>
  </si>
  <si>
    <t>I-2022-00501</t>
  </si>
  <si>
    <t>I-2015-00420</t>
  </si>
  <si>
    <t>I-2022-00506</t>
  </si>
  <si>
    <t>I-2020-00439</t>
  </si>
  <si>
    <t>I-2022-00502</t>
  </si>
  <si>
    <t>I-2022-00504</t>
  </si>
  <si>
    <t>I-2021-00757</t>
  </si>
  <si>
    <t>I-2014-01213</t>
  </si>
  <si>
    <t>I-2015-00429</t>
  </si>
  <si>
    <t>I-2021-00758</t>
  </si>
  <si>
    <t>I-2023-00589</t>
  </si>
  <si>
    <t>I-2014-01226</t>
  </si>
  <si>
    <t>I-2021-00762</t>
  </si>
  <si>
    <t>I-2022-00510</t>
  </si>
  <si>
    <t>I-2014-01235</t>
  </si>
  <si>
    <t>I-2022-00511</t>
  </si>
  <si>
    <t>I-2014-01237</t>
  </si>
  <si>
    <t>I-2023-00591</t>
  </si>
  <si>
    <t>I-2021-00781</t>
  </si>
  <si>
    <t>I-2021-00776</t>
  </si>
  <si>
    <t>I-2022-00512</t>
  </si>
  <si>
    <t>I-2021-00773</t>
  </si>
  <si>
    <t>I-2021-00788</t>
  </si>
  <si>
    <t>I-2021-00787</t>
  </si>
  <si>
    <t>I-2023-00598</t>
  </si>
  <si>
    <t>I-2023-00599</t>
  </si>
  <si>
    <t>I-2021-00789</t>
  </si>
  <si>
    <t>I-2020-00457</t>
  </si>
  <si>
    <t>I-2019-00572</t>
  </si>
  <si>
    <t>I-2023-00601</t>
  </si>
  <si>
    <t>I-2020-00456</t>
  </si>
  <si>
    <t>I-2019-00573</t>
  </si>
  <si>
    <t>I-2022-00521</t>
  </si>
  <si>
    <t>I-2023-00607</t>
  </si>
  <si>
    <t>I-2023-00611</t>
  </si>
  <si>
    <t>I-2023-00609</t>
  </si>
  <si>
    <t>I-2020-00461</t>
  </si>
  <si>
    <t>I-2023-00613</t>
  </si>
  <si>
    <t>I-2021-00806</t>
  </si>
  <si>
    <t>I-2021-00807</t>
  </si>
  <si>
    <t>I-2023-00618</t>
  </si>
  <si>
    <t>I-2018-00434</t>
  </si>
  <si>
    <t>I-2018-00436</t>
  </si>
  <si>
    <t>I-2017-00312</t>
  </si>
  <si>
    <t>I-2018-00438</t>
  </si>
  <si>
    <t>I-2023-00634</t>
  </si>
  <si>
    <t>I-2021-00825</t>
  </si>
  <si>
    <t>I-2021-00824</t>
  </si>
  <si>
    <t>I-2020-00465</t>
  </si>
  <si>
    <t>I-2015-00464</t>
  </si>
  <si>
    <t>I-2020-00472</t>
  </si>
  <si>
    <t>I-2017-00318</t>
  </si>
  <si>
    <t>I-2014-01329</t>
  </si>
  <si>
    <t>I-2023-00644</t>
  </si>
  <si>
    <t>I-2022-00540</t>
  </si>
  <si>
    <t>I-2015-00482</t>
  </si>
  <si>
    <t>I-2022-00541</t>
  </si>
  <si>
    <t>I-2021-00836</t>
  </si>
  <si>
    <t>I-2022-00543</t>
  </si>
  <si>
    <t>I-2020-00476</t>
  </si>
  <si>
    <t>I-2023-00652</t>
  </si>
  <si>
    <t>I-2021-00849</t>
  </si>
  <si>
    <t>I-2020-00480</t>
  </si>
  <si>
    <t>I-2020-00484</t>
  </si>
  <si>
    <t>I-2021-00860</t>
  </si>
  <si>
    <t>I-2020-00488</t>
  </si>
  <si>
    <t>I-2022-00547</t>
  </si>
  <si>
    <t>I-2021-00862</t>
  </si>
  <si>
    <t>I-2019-00609</t>
  </si>
  <si>
    <t>I-2022-00552</t>
  </si>
  <si>
    <t>I-2021-00866</t>
  </si>
  <si>
    <t>I-2018-00459</t>
  </si>
  <si>
    <t>I-2020-00490</t>
  </si>
  <si>
    <t>I-2021-00872</t>
  </si>
  <si>
    <t>I-2014-01382</t>
  </si>
  <si>
    <t>I-2020-00495</t>
  </si>
  <si>
    <t>I-2020-00498</t>
  </si>
  <si>
    <t>I-2018-00464</t>
  </si>
  <si>
    <t>I-2023-00665</t>
  </si>
  <si>
    <t>I-2019-00619</t>
  </si>
  <si>
    <t>I-2023-00668</t>
  </si>
  <si>
    <t>I-2022-00558</t>
  </si>
  <si>
    <t>I-2022-00557</t>
  </si>
  <si>
    <t>I-2019-00621</t>
  </si>
  <si>
    <t>I-2022-00559</t>
  </si>
  <si>
    <t>I-2016-00566</t>
  </si>
  <si>
    <t>I-2023-00671</t>
  </si>
  <si>
    <t>I-2021-00886</t>
  </si>
  <si>
    <t>I-2022-00564</t>
  </si>
  <si>
    <t>I-2021-00885</t>
  </si>
  <si>
    <t>I-2020-00505</t>
  </si>
  <si>
    <t>I-2017-00336</t>
  </si>
  <si>
    <t>I-2021-00887</t>
  </si>
  <si>
    <t>I-2020-00509</t>
  </si>
  <si>
    <t>I-2019-00628</t>
  </si>
  <si>
    <t>I-2017-00338</t>
  </si>
  <si>
    <t>I-2021-00896</t>
  </si>
  <si>
    <t>I-2021-00890</t>
  </si>
  <si>
    <t>I-2022-00565</t>
  </si>
  <si>
    <t>I-2020-00510</t>
  </si>
  <si>
    <t>I-2023-00678</t>
  </si>
  <si>
    <t>I-2022-00567</t>
  </si>
  <si>
    <t>I-2021-00897</t>
  </si>
  <si>
    <t>I-2021-00903</t>
  </si>
  <si>
    <t>I-2021-00902</t>
  </si>
  <si>
    <t>I-2021-00907</t>
  </si>
  <si>
    <t>I-2021-00906</t>
  </si>
  <si>
    <t>I-2021-00908</t>
  </si>
  <si>
    <t>I-2023-00684</t>
  </si>
  <si>
    <t>I-2021-00911</t>
  </si>
  <si>
    <t>I-2021-00917</t>
  </si>
  <si>
    <t>I-2019-00647</t>
  </si>
  <si>
    <t>I-2016-00584</t>
  </si>
  <si>
    <t>I-2017-00345</t>
  </si>
  <si>
    <t>I-2023-00693</t>
  </si>
  <si>
    <t>I-2020-00521</t>
  </si>
  <si>
    <t>I-2021-00925</t>
  </si>
  <si>
    <t>I-2023-00695</t>
  </si>
  <si>
    <t>I-2020-00526</t>
  </si>
  <si>
    <t>I-2020-00527</t>
  </si>
  <si>
    <t>I-2022-00577</t>
  </si>
  <si>
    <t>I-2022-00580</t>
  </si>
  <si>
    <t>I-2021-00932</t>
  </si>
  <si>
    <t>I-2021-00931</t>
  </si>
  <si>
    <t>I-2021-00930</t>
  </si>
  <si>
    <t>I-2021-00936</t>
  </si>
  <si>
    <t>I-2021-00935</t>
  </si>
  <si>
    <t>I-2021-00941</t>
  </si>
  <si>
    <t>I-2021-00940</t>
  </si>
  <si>
    <t>I-2022-00582</t>
  </si>
  <si>
    <t>I-2022-00583</t>
  </si>
  <si>
    <t>I-2021-00946</t>
  </si>
  <si>
    <t>I-2017-00365</t>
  </si>
  <si>
    <t>I-2018-00505</t>
  </si>
  <si>
    <t>I-2021-00953</t>
  </si>
  <si>
    <t>I-2021-00960</t>
  </si>
  <si>
    <t>I-2023-00711</t>
  </si>
  <si>
    <t>I-2019-00676</t>
  </si>
  <si>
    <t>I-2023-00714</t>
  </si>
  <si>
    <t>I-2014-01514</t>
  </si>
  <si>
    <t>I-2018-00514</t>
  </si>
  <si>
    <t>I-2021-00966</t>
  </si>
  <si>
    <t>I-2019-00682</t>
  </si>
  <si>
    <t>I-2021-00971</t>
  </si>
  <si>
    <t>I-2021-00970</t>
  </si>
  <si>
    <t>I-2016-00623</t>
  </si>
  <si>
    <t>I-2022-00594</t>
  </si>
  <si>
    <t>I-2016-00627</t>
  </si>
  <si>
    <t>I-2019-00686</t>
  </si>
  <si>
    <t>I-2021-00982</t>
  </si>
  <si>
    <t>I-2020-00548</t>
  </si>
  <si>
    <t>I-2021-00986</t>
  </si>
  <si>
    <t>I-2021-00994</t>
  </si>
  <si>
    <t>I-2020-00554</t>
  </si>
  <si>
    <t>I-2021-00990</t>
  </si>
  <si>
    <t>I-2020-00558</t>
  </si>
  <si>
    <t>I-2014-01551</t>
  </si>
  <si>
    <t>I-2021-00999</t>
  </si>
  <si>
    <t>I-2020-00559</t>
  </si>
  <si>
    <t>I-2022-00603</t>
  </si>
  <si>
    <t>I-2019-00699</t>
  </si>
  <si>
    <t>I-2021-01003</t>
  </si>
  <si>
    <t>I-2019-00705</t>
  </si>
  <si>
    <t>I-2021-01006</t>
  </si>
  <si>
    <t>I-2017-00382</t>
  </si>
  <si>
    <t>I-2023-00737</t>
  </si>
  <si>
    <t>I-2016-00640</t>
  </si>
  <si>
    <t>I-2023-00743</t>
  </si>
  <si>
    <t>I-2022-00612</t>
  </si>
  <si>
    <t>I-2021-01022</t>
  </si>
  <si>
    <t>I-2021-01018</t>
  </si>
  <si>
    <t>I-2014-01572</t>
  </si>
  <si>
    <t>I-2015-00552</t>
  </si>
  <si>
    <t>I-2021-01017</t>
  </si>
  <si>
    <t>I-2023-00749</t>
  </si>
  <si>
    <t>I-2020-00565</t>
  </si>
  <si>
    <t>I-2020-00564</t>
  </si>
  <si>
    <t>I-2018-00544</t>
  </si>
  <si>
    <t>I-2021-01031</t>
  </si>
  <si>
    <t>I-2018-00546</t>
  </si>
  <si>
    <t>I-2019-00718</t>
  </si>
  <si>
    <t>I-2021-01030</t>
  </si>
  <si>
    <t>I-2021-01033</t>
  </si>
  <si>
    <t>I-2017-00388</t>
  </si>
  <si>
    <t>I-2021-01034</t>
  </si>
  <si>
    <t>I-2022-00622</t>
  </si>
  <si>
    <t>I-2022-00620</t>
  </si>
  <si>
    <t>I-2020-00568</t>
  </si>
  <si>
    <t>I-2015-00558</t>
  </si>
  <si>
    <t>I-2023-00760</t>
  </si>
  <si>
    <t>I-2021-01042</t>
  </si>
  <si>
    <t>I-2022-00626</t>
  </si>
  <si>
    <t>I-2021-01041</t>
  </si>
  <si>
    <t>I-2021-01043</t>
  </si>
  <si>
    <t>I-2016-00660</t>
  </si>
  <si>
    <t>I-2022-00627</t>
  </si>
  <si>
    <t>I-2021-01048</t>
  </si>
  <si>
    <t>I-2015-00563</t>
  </si>
  <si>
    <t>I-2022-00630</t>
  </si>
  <si>
    <t>I-2021-01050</t>
  </si>
  <si>
    <t>I-2021-01051</t>
  </si>
  <si>
    <t>I-2014-01615</t>
  </si>
  <si>
    <t>I-2018-00555</t>
  </si>
  <si>
    <t>I-2021-01052</t>
  </si>
  <si>
    <t>I-2018-00556</t>
  </si>
  <si>
    <t>I-2021-01056</t>
  </si>
  <si>
    <t>I-2017-00394</t>
  </si>
  <si>
    <t>I-2021-01058</t>
  </si>
  <si>
    <t>I-2021-01061</t>
  </si>
  <si>
    <t>I-2014-01634</t>
  </si>
  <si>
    <t>I-2021-01068</t>
  </si>
  <si>
    <t>I-2021-01064</t>
  </si>
  <si>
    <t>I-2020-00579</t>
  </si>
  <si>
    <t>I-2021-01075</t>
  </si>
  <si>
    <t>I-2017-00397</t>
  </si>
  <si>
    <t>I-2022-00640</t>
  </si>
  <si>
    <t>I-2022-00642</t>
  </si>
  <si>
    <t>I-2016-00671</t>
  </si>
  <si>
    <t>I-2021-01078</t>
  </si>
  <si>
    <t>I-2018-00570</t>
  </si>
  <si>
    <t>I-2023-00779</t>
  </si>
  <si>
    <t>I-2020-00589</t>
  </si>
  <si>
    <t>I-2023-00784</t>
  </si>
  <si>
    <t>I-2018-00572</t>
  </si>
  <si>
    <t>I-2021-01092</t>
  </si>
  <si>
    <t>I-2020-00594</t>
  </si>
  <si>
    <t>I-2023-00785</t>
  </si>
  <si>
    <t>I-2023-00786</t>
  </si>
  <si>
    <t>I-2018-00577</t>
  </si>
  <si>
    <t>I-2019-00754</t>
  </si>
  <si>
    <t>I-2022-00655</t>
  </si>
  <si>
    <t>I-2017-00399</t>
  </si>
  <si>
    <t>I-2022-00657</t>
  </si>
  <si>
    <t>I-2021-01096</t>
  </si>
  <si>
    <t>I-2020-00596</t>
  </si>
  <si>
    <t>I-2020-00597</t>
  </si>
  <si>
    <t>I-2022-00658</t>
  </si>
  <si>
    <t>I-2018-00584</t>
  </si>
  <si>
    <t>I-2022-00661</t>
  </si>
  <si>
    <t>I-2019-00757</t>
  </si>
  <si>
    <t>I-2016-00689</t>
  </si>
  <si>
    <t>I-2015-00597</t>
  </si>
  <si>
    <t>I-2020-00599</t>
  </si>
  <si>
    <t>I-2021-01105</t>
  </si>
  <si>
    <t>I-2021-01104</t>
  </si>
  <si>
    <t>I-2021-01108</t>
  </si>
  <si>
    <t>I-2023-00798</t>
  </si>
  <si>
    <t>I-2021-01110</t>
  </si>
  <si>
    <t>I-2019-00766</t>
  </si>
  <si>
    <t>I-2022-00667</t>
  </si>
  <si>
    <t>I-2021-01119</t>
  </si>
  <si>
    <t>I-2018-00592</t>
  </si>
  <si>
    <t>I-2015-00610</t>
  </si>
  <si>
    <t>I-2023-00802</t>
  </si>
  <si>
    <t>I-2023-00807</t>
  </si>
  <si>
    <t>I-2021-01124</t>
  </si>
  <si>
    <t>I-2014-01716</t>
  </si>
  <si>
    <t>I-2023-00812</t>
  </si>
  <si>
    <t>I-2019-00775</t>
  </si>
  <si>
    <t>I-2021-01137</t>
  </si>
  <si>
    <t>I-2023-00817</t>
  </si>
  <si>
    <t>I-2019-00779</t>
  </si>
  <si>
    <t>I-2020-00623</t>
  </si>
  <si>
    <t>I-2023-00826</t>
  </si>
  <si>
    <t>I-2023-00823</t>
  </si>
  <si>
    <t>I-2021-01149</t>
  </si>
  <si>
    <t>I-2019-00783</t>
  </si>
  <si>
    <t>I-2021-01151</t>
  </si>
  <si>
    <t>I-2015-00627</t>
  </si>
  <si>
    <t>I-2022-00678</t>
  </si>
  <si>
    <t>I-2022-00684</t>
  </si>
  <si>
    <t>I-2022-00682</t>
  </si>
  <si>
    <t>I-2023-00833</t>
  </si>
  <si>
    <t>I-2014-01764</t>
  </si>
  <si>
    <t>I-2022-00686</t>
  </si>
  <si>
    <t>I-2023-00834</t>
  </si>
  <si>
    <t>I-2018-00613</t>
  </si>
  <si>
    <t>I-2023-00835</t>
  </si>
  <si>
    <t>I-2022-00689</t>
  </si>
  <si>
    <t>I-2019-00799</t>
  </si>
  <si>
    <t>I-2014-01779</t>
  </si>
  <si>
    <t>I-2015-00649</t>
  </si>
  <si>
    <t>I-2022-00693</t>
  </si>
  <si>
    <t>I-2023-00841</t>
  </si>
  <si>
    <t>I-2023-00842</t>
  </si>
  <si>
    <t>I-2016-00736</t>
  </si>
  <si>
    <t>I-2015-00650</t>
  </si>
  <si>
    <t>I-2023-00844</t>
  </si>
  <si>
    <t>I-2023-00845</t>
  </si>
  <si>
    <t>I-2017-00429</t>
  </si>
  <si>
    <t>I-2019-00814</t>
  </si>
  <si>
    <t>I-2023-00854</t>
  </si>
  <si>
    <t>I-2023-00856</t>
  </si>
  <si>
    <t>I-2016-00748</t>
  </si>
  <si>
    <t>I-2015-00666</t>
  </si>
  <si>
    <t>I-2019-00817</t>
  </si>
  <si>
    <t>I-2019-00820</t>
  </si>
  <si>
    <t>I-2018-00628</t>
  </si>
  <si>
    <t>I-2019-00822</t>
  </si>
  <si>
    <t>I-2018-00632</t>
  </si>
  <si>
    <t>I-2014-01833</t>
  </si>
  <si>
    <t>I-2023-00867</t>
  </si>
  <si>
    <t>I-2023-00869</t>
  </si>
  <si>
    <t>I-2022-00717</t>
  </si>
  <si>
    <t>I-2023-00872</t>
  </si>
  <si>
    <t>I-2022-00719</t>
  </si>
  <si>
    <t>I-2023-00877</t>
  </si>
  <si>
    <t>I-2022-00728</t>
  </si>
  <si>
    <t>I-2018-00644</t>
  </si>
  <si>
    <t>I-2022-00729</t>
  </si>
  <si>
    <t>I-2017-00441</t>
  </si>
  <si>
    <t>I-2022-00730</t>
  </si>
  <si>
    <t>I-2019-00841</t>
  </si>
  <si>
    <t>I-2019-00844</t>
  </si>
  <si>
    <t>I-2018-00658</t>
  </si>
  <si>
    <t>I-2023-00894</t>
  </si>
  <si>
    <t>I-2022-00733</t>
  </si>
  <si>
    <t>I-2023-00891</t>
  </si>
  <si>
    <t>I-2019-00851</t>
  </si>
  <si>
    <t>I-2022-00736</t>
  </si>
  <si>
    <t>I-2014-01902</t>
  </si>
  <si>
    <t>I-2023-00897</t>
  </si>
  <si>
    <t>I-2018-00663</t>
  </si>
  <si>
    <t>I-2018-00666</t>
  </si>
  <si>
    <t>I-2014-01912</t>
  </si>
  <si>
    <t>I-2014-01923</t>
  </si>
  <si>
    <t>I-2023-00903</t>
  </si>
  <si>
    <t>I-2023-00902</t>
  </si>
  <si>
    <t>I-2018-00671</t>
  </si>
  <si>
    <t>I-2019-00856</t>
  </si>
  <si>
    <t>I-2023-00909</t>
  </si>
  <si>
    <t>I-2018-00675</t>
  </si>
  <si>
    <t>I-2023-00911</t>
  </si>
  <si>
    <t>I-2022-00742</t>
  </si>
  <si>
    <t>I-2019-00865</t>
  </si>
  <si>
    <t>I-2014-01941</t>
  </si>
  <si>
    <t>I-2018-00686</t>
  </si>
  <si>
    <t>I-2018-00684</t>
  </si>
  <si>
    <t>I-2019-00866</t>
  </si>
  <si>
    <t>I-2019-00870</t>
  </si>
  <si>
    <t>I-2022-00755</t>
  </si>
  <si>
    <t>I-2022-00756</t>
  </si>
  <si>
    <t>I-2022-00757</t>
  </si>
  <si>
    <t>I-2018-00701</t>
  </si>
  <si>
    <t>C--01040</t>
  </si>
  <si>
    <t>I-2014-02014</t>
  </si>
  <si>
    <t>I-2014-00432</t>
  </si>
  <si>
    <t>I-2019-00146</t>
  </si>
  <si>
    <t>I-2014-00781</t>
  </si>
  <si>
    <t>I-2014-01712</t>
  </si>
  <si>
    <t>I-2018-00520</t>
  </si>
  <si>
    <t>I-2015-00018</t>
  </si>
  <si>
    <t>I-2019-00328</t>
  </si>
  <si>
    <t>I-2018-00209</t>
  </si>
  <si>
    <t>I-2019-00658</t>
  </si>
  <si>
    <t>I-2016-00081</t>
  </si>
  <si>
    <t>I-2017-00067</t>
  </si>
  <si>
    <t>I-2020-00300</t>
  </si>
  <si>
    <t>I-2014-00727</t>
  </si>
  <si>
    <t>I-2019-00731</t>
  </si>
  <si>
    <t>I-2017-00450</t>
  </si>
  <si>
    <t>I-2019-00464</t>
  </si>
  <si>
    <t>I-2019-00391</t>
  </si>
  <si>
    <t>P-2019-03276</t>
  </si>
  <si>
    <t>I-2017-00463</t>
  </si>
  <si>
    <t>I-2019-00388</t>
  </si>
  <si>
    <t>I-2016-00503</t>
  </si>
  <si>
    <t>I-2019-00519</t>
  </si>
  <si>
    <t>I-2014-01395</t>
  </si>
  <si>
    <t>I-2020-00126</t>
  </si>
  <si>
    <t>I-2021-00132</t>
  </si>
  <si>
    <t>I-2020-00606</t>
  </si>
  <si>
    <t>I-2017-00270</t>
  </si>
  <si>
    <t>I-2014-00315</t>
  </si>
  <si>
    <t>I-2019-00020</t>
  </si>
  <si>
    <t>I-2018-00533</t>
  </si>
  <si>
    <t>I-2014-00792</t>
  </si>
  <si>
    <t>I-2018-00307</t>
  </si>
  <si>
    <t>P-2021-00497</t>
  </si>
  <si>
    <t>I-2020-00202</t>
  </si>
  <si>
    <t>I-2016-00177</t>
  </si>
  <si>
    <t>P-2021-00171</t>
  </si>
  <si>
    <t>I-2018-00661</t>
  </si>
  <si>
    <t>I-2014-01861</t>
  </si>
  <si>
    <t>I-2020-00330</t>
  </si>
  <si>
    <t>P-2021-02288</t>
  </si>
  <si>
    <t>I-2020-00492</t>
  </si>
  <si>
    <t>I-2018-00422</t>
  </si>
  <si>
    <t>I-2020-00141</t>
  </si>
  <si>
    <t>I-2021-00127</t>
  </si>
  <si>
    <t>I-2021-00194</t>
  </si>
  <si>
    <t>I-2021-00184</t>
  </si>
  <si>
    <t>I-2021-00653</t>
  </si>
  <si>
    <t>I-2022-00175</t>
  </si>
  <si>
    <t>I-2015-00516</t>
  </si>
  <si>
    <t>I-2021-01023</t>
  </si>
  <si>
    <t>I-2018-00451</t>
  </si>
  <si>
    <t>P-2022-01280</t>
  </si>
  <si>
    <t>I-2019-00877</t>
  </si>
  <si>
    <t>I-2017-00392</t>
  </si>
  <si>
    <t>I-2017-00024</t>
  </si>
  <si>
    <t>I-2022-00218</t>
  </si>
  <si>
    <t>I-2022-00483</t>
  </si>
  <si>
    <t>I-2018-00292</t>
  </si>
  <si>
    <t>I-2017-00161</t>
  </si>
  <si>
    <t>I-2019-00867</t>
  </si>
  <si>
    <t>I-2019-00106</t>
  </si>
  <si>
    <t>P-2023-00584</t>
  </si>
  <si>
    <t>I-2016-00254</t>
  </si>
  <si>
    <t>I-2014-01851</t>
  </si>
  <si>
    <t>I-2016-00644</t>
  </si>
  <si>
    <t>P-2022-02153</t>
  </si>
  <si>
    <t>I-2022-00674</t>
  </si>
  <si>
    <t>I-2014-01381</t>
  </si>
  <si>
    <t>I-2023-00200</t>
  </si>
  <si>
    <t>I-2022-00305</t>
  </si>
  <si>
    <t>I-2022-00450</t>
  </si>
  <si>
    <t>I-2021-00024</t>
  </si>
  <si>
    <t>I-2021-00742</t>
  </si>
  <si>
    <t>P-2023-01384</t>
  </si>
  <si>
    <t>P-2023-02968</t>
  </si>
  <si>
    <t>I-2021-01089</t>
  </si>
  <si>
    <t>I-2021-01094</t>
  </si>
  <si>
    <t>P-2023-03650</t>
  </si>
  <si>
    <t>I-2021-00797</t>
  </si>
  <si>
    <t>P-2023-04029</t>
  </si>
  <si>
    <t>Energy QS</t>
  </si>
  <si>
    <t>GG Specialty Insurance Company</t>
  </si>
  <si>
    <t>Delta Re Broking</t>
  </si>
  <si>
    <t>1 Apr 2025 – 1 Apr 2026</t>
  </si>
  <si>
    <t>Quote Requested by 3 March 2025 for Energy QS</t>
  </si>
  <si>
    <t>Energy</t>
  </si>
  <si>
    <t>TPL/BI/PD</t>
  </si>
  <si>
    <t>2014 (4/1/14 – 3/31/15)</t>
  </si>
  <si>
    <t>2015 (4/1/15 – 3/31/16)</t>
  </si>
  <si>
    <t>2016 (4/1/16 – 3/31/17)</t>
  </si>
  <si>
    <t>2017 (4/1/17 – 3/31/18)</t>
  </si>
  <si>
    <t>2018 (4/1/18 – 3/31/19)</t>
  </si>
  <si>
    <t>2019 (4/1/19 – 3/31/20)</t>
  </si>
  <si>
    <t>2020 (4/1/20 – 3/31/21)</t>
  </si>
  <si>
    <t>2021 (4/1/21 – 3/31/22)</t>
  </si>
  <si>
    <t>2022 (4/1/22 – 3/31/23)</t>
  </si>
  <si>
    <t>2023 (4/1/23 – 3/31/24)</t>
  </si>
  <si>
    <t>Original 2024 (4/1/24 – 3/31/25)</t>
  </si>
  <si>
    <t>Revised 2024 (4/1/24 – 3/31/25)</t>
  </si>
  <si>
    <t>2025 Proj. (4/1/25 – 3/31/26)</t>
  </si>
  <si>
    <t>P-2023-04008</t>
  </si>
  <si>
    <t>P-2023-04009</t>
  </si>
  <si>
    <t>P-2023-04010</t>
  </si>
  <si>
    <t>I-2017-00504</t>
  </si>
  <si>
    <t>P-2023-04011</t>
  </si>
  <si>
    <t>P-2023-04012</t>
  </si>
  <si>
    <t>P-2023-04013</t>
  </si>
  <si>
    <t>P-2023-04014</t>
  </si>
  <si>
    <t>P-2023-04015</t>
  </si>
  <si>
    <t>I-2019-00923</t>
  </si>
  <si>
    <t>P-2023-04016</t>
  </si>
  <si>
    <t>I-2021-01055</t>
  </si>
  <si>
    <t>P-2023-04017</t>
  </si>
  <si>
    <t>P-2023-04018</t>
  </si>
  <si>
    <t>P-2023-04019</t>
  </si>
  <si>
    <t>P-2023-04020</t>
  </si>
  <si>
    <t>I-2018-00673</t>
  </si>
  <si>
    <t>P-2023-04021</t>
  </si>
  <si>
    <t>P-2023-04022</t>
  </si>
  <si>
    <t>P-2023-04023</t>
  </si>
  <si>
    <t>P-2023-04024</t>
  </si>
  <si>
    <t>I-2014-01874</t>
  </si>
  <si>
    <t>P-2023-04025</t>
  </si>
  <si>
    <t>I-2019-00926</t>
  </si>
  <si>
    <t>P-2023-04026</t>
  </si>
  <si>
    <t>I-2017-00505</t>
  </si>
  <si>
    <t>P-2023-04027</t>
  </si>
  <si>
    <t>I-2014-01871</t>
  </si>
  <si>
    <t>P-2023-04028</t>
  </si>
  <si>
    <t>I-2022-00706</t>
  </si>
  <si>
    <t>P-2023-04030</t>
  </si>
  <si>
    <t>P-2023-04031</t>
  </si>
  <si>
    <t>P-2023-04032</t>
  </si>
  <si>
    <t>I-2018-00676</t>
  </si>
  <si>
    <t>P-2023-04033</t>
  </si>
  <si>
    <t>P-2023-04034</t>
  </si>
  <si>
    <t>P-2023-04035</t>
  </si>
  <si>
    <t>I-2020-00580</t>
  </si>
  <si>
    <t>P-2023-04036</t>
  </si>
  <si>
    <t>P-2023-04037</t>
  </si>
  <si>
    <t>I-2021-01060</t>
  </si>
  <si>
    <t>P-2023-04038</t>
  </si>
  <si>
    <t>I-2015-00663</t>
  </si>
  <si>
    <t>P-2023-04039</t>
  </si>
  <si>
    <t>I-2021-01062</t>
  </si>
  <si>
    <t>P-2023-04040</t>
  </si>
  <si>
    <t>I-2022-00712</t>
  </si>
  <si>
    <t>P-2023-04041</t>
  </si>
  <si>
    <t>I-2015-00660</t>
  </si>
  <si>
    <t>P-2023-04042</t>
  </si>
  <si>
    <t>P-2023-04043</t>
  </si>
  <si>
    <t>P-2023-04044</t>
  </si>
  <si>
    <t>I-2019-00928</t>
  </si>
  <si>
    <t>P-2023-04045</t>
  </si>
  <si>
    <t>P-2023-04046</t>
  </si>
  <si>
    <t>I-2021-01063</t>
  </si>
  <si>
    <t>P-2023-04047</t>
  </si>
  <si>
    <t>I-2022-00716</t>
  </si>
  <si>
    <t>P-2023-04048</t>
  </si>
  <si>
    <t>I-2014-01884</t>
  </si>
  <si>
    <t>P-2023-04049</t>
  </si>
  <si>
    <t>I-2019-00929</t>
  </si>
  <si>
    <t>P-2023-04050</t>
  </si>
  <si>
    <t>P-2023-04051</t>
  </si>
  <si>
    <t>I-2021-01065</t>
  </si>
  <si>
    <t>P-2023-04052</t>
  </si>
  <si>
    <t>I-2019-00930</t>
  </si>
  <si>
    <t>P-2023-04053</t>
  </si>
  <si>
    <t>P-2023-04054</t>
  </si>
  <si>
    <t>P-2023-04055</t>
  </si>
  <si>
    <t>P-2023-04056</t>
  </si>
  <si>
    <t>P-2023-04057</t>
  </si>
  <si>
    <t>P-2023-04058</t>
  </si>
  <si>
    <t>P-2023-04059</t>
  </si>
  <si>
    <t>P-2023-04060</t>
  </si>
  <si>
    <t>P-2023-04061</t>
  </si>
  <si>
    <t>P-2023-04062</t>
  </si>
  <si>
    <t>I-2021-01070</t>
  </si>
  <si>
    <t>P-2023-04063</t>
  </si>
  <si>
    <t>I-2017-00512</t>
  </si>
  <si>
    <t>P-2023-04064</t>
  </si>
  <si>
    <t>P-2023-04065</t>
  </si>
  <si>
    <t>P-2023-04066</t>
  </si>
  <si>
    <t>I-2017-00511</t>
  </si>
  <si>
    <t>P-2023-04067</t>
  </si>
  <si>
    <t>P-2023-04068</t>
  </si>
  <si>
    <t>I-2014-01886</t>
  </si>
  <si>
    <t>P-2023-04069</t>
  </si>
  <si>
    <t>P-2023-04070</t>
  </si>
  <si>
    <t>P-2023-04071</t>
  </si>
  <si>
    <t>I-2019-00932</t>
  </si>
  <si>
    <t>P-2023-04072</t>
  </si>
  <si>
    <t>I-2017-00516</t>
  </si>
  <si>
    <t>P-2023-04073</t>
  </si>
  <si>
    <t>P-2023-04074</t>
  </si>
  <si>
    <t>I-2016-00726</t>
  </si>
  <si>
    <t>P-2023-04075</t>
  </si>
  <si>
    <t>P-2023-04076</t>
  </si>
  <si>
    <t>I-2021-01072</t>
  </si>
  <si>
    <t>P-2023-04077</t>
  </si>
  <si>
    <t>I-2017-00515</t>
  </si>
  <si>
    <t>P-2023-04078</t>
  </si>
  <si>
    <t>P-2023-04079</t>
  </si>
  <si>
    <t>P-2023-04080</t>
  </si>
  <si>
    <t>P-2023-04081</t>
  </si>
  <si>
    <t>I-2023-00852</t>
  </si>
  <si>
    <t>P-2023-04082</t>
  </si>
  <si>
    <t>I-2014-01899</t>
  </si>
  <si>
    <t>P-2023-04083</t>
  </si>
  <si>
    <t>P-2023-04084</t>
  </si>
  <si>
    <t>P-2023-04085</t>
  </si>
  <si>
    <t>P-2023-04086</t>
  </si>
  <si>
    <t>P-2023-04087</t>
  </si>
  <si>
    <t>I-2019-00934</t>
  </si>
  <si>
    <t>P-2023-04088</t>
  </si>
  <si>
    <t>I-2020-00585</t>
  </si>
  <si>
    <t>P-2023-04089</t>
  </si>
  <si>
    <t>P-2023-04090</t>
  </si>
  <si>
    <t>I-2020-00588</t>
  </si>
  <si>
    <t>P-2023-04091</t>
  </si>
  <si>
    <t>I-2021-01074</t>
  </si>
  <si>
    <t>P-2023-04092</t>
  </si>
  <si>
    <t>I-2014-01901</t>
  </si>
  <si>
    <t>P-2023-04093</t>
  </si>
  <si>
    <t>I-2018-00683</t>
  </si>
  <si>
    <t>P-2023-04094</t>
  </si>
  <si>
    <t>I-2017-00521</t>
  </si>
  <si>
    <t>P-2023-04095</t>
  </si>
  <si>
    <t>P-2023-04096</t>
  </si>
  <si>
    <t>P-2023-04097</t>
  </si>
  <si>
    <t>P-2023-04098</t>
  </si>
  <si>
    <t>P-2023-04099</t>
  </si>
  <si>
    <t>I-2020-00590</t>
  </si>
  <si>
    <t>P-2023-04100</t>
  </si>
  <si>
    <t>P-2023-04101</t>
  </si>
  <si>
    <t>I-2016-00731</t>
  </si>
  <si>
    <t>P-2023-04102</t>
  </si>
  <si>
    <t>P-2023-04103</t>
  </si>
  <si>
    <t>I-2014-01906</t>
  </si>
  <si>
    <t>P-2023-04104</t>
  </si>
  <si>
    <t>I-2021-01076</t>
  </si>
  <si>
    <t>P-2023-04105</t>
  </si>
  <si>
    <t>I-2014-01905</t>
  </si>
  <si>
    <t>P-2023-04106</t>
  </si>
  <si>
    <t>P-2023-04107</t>
  </si>
  <si>
    <t>P-2023-04108</t>
  </si>
  <si>
    <t>P-2023-04109</t>
  </si>
  <si>
    <t>P-2023-04110</t>
  </si>
  <si>
    <t>P-2023-04111</t>
  </si>
  <si>
    <t>I-2023-00860</t>
  </si>
  <si>
    <t>P-2023-04112</t>
  </si>
  <si>
    <t>I-2019-00939</t>
  </si>
  <si>
    <t>P-2023-04113</t>
  </si>
  <si>
    <t>I-2022-00722</t>
  </si>
  <si>
    <t>P-2023-04114</t>
  </si>
  <si>
    <t>I-2019-00941</t>
  </si>
  <si>
    <t>P-2023-04115</t>
  </si>
  <si>
    <t>I-2015-00684</t>
  </si>
  <si>
    <t>P-2023-04116</t>
  </si>
  <si>
    <t>I-2014-01909</t>
  </si>
  <si>
    <t>P-2023-04117</t>
  </si>
  <si>
    <t>I-2017-00522</t>
  </si>
  <si>
    <t>P-2023-04118</t>
  </si>
  <si>
    <t>I-2022-00723</t>
  </si>
  <si>
    <t>P-2023-04119</t>
  </si>
  <si>
    <t>I-2019-00940</t>
  </si>
  <si>
    <t>P-2023-04120</t>
  </si>
  <si>
    <t>P-2023-04121</t>
  </si>
  <si>
    <t>P-2023-04122</t>
  </si>
  <si>
    <t>I-2019-00938</t>
  </si>
  <si>
    <t>P-2023-04123</t>
  </si>
  <si>
    <t>P-2023-04124</t>
  </si>
  <si>
    <t>I-2023-00862</t>
  </si>
  <si>
    <t>P-2023-04125</t>
  </si>
  <si>
    <t>P-2023-04126</t>
  </si>
  <si>
    <t>P-2023-04127</t>
  </si>
  <si>
    <t>I-2023-00865</t>
  </si>
  <si>
    <t>P-2023-04128</t>
  </si>
  <si>
    <t>I-2017-00525</t>
  </si>
  <si>
    <t>P-2023-04129</t>
  </si>
  <si>
    <t>I-2021-01081</t>
  </si>
  <si>
    <t>P-2023-04130</t>
  </si>
  <si>
    <t>I-2019-00943</t>
  </si>
  <si>
    <t>P-2023-04131</t>
  </si>
  <si>
    <t>P-2023-04132</t>
  </si>
  <si>
    <t>I-2014-01914</t>
  </si>
  <si>
    <t>P-2023-04133</t>
  </si>
  <si>
    <t>P-2023-04134</t>
  </si>
  <si>
    <t>P-2023-04135</t>
  </si>
  <si>
    <t>I-2014-01917</t>
  </si>
  <si>
    <t>P-2023-04136</t>
  </si>
  <si>
    <t>I-2019-00942</t>
  </si>
  <si>
    <t>P-2023-04137</t>
  </si>
  <si>
    <t>P-2023-04138</t>
  </si>
  <si>
    <t>P-2023-04139</t>
  </si>
  <si>
    <t>I-2019-00946</t>
  </si>
  <si>
    <t>P-2023-04140</t>
  </si>
  <si>
    <t>I-2014-01919</t>
  </si>
  <si>
    <t>I-2019-00944</t>
  </si>
  <si>
    <t>P-2023-04142</t>
  </si>
  <si>
    <t>P-2023-04143</t>
  </si>
  <si>
    <t>P-2023-04144</t>
  </si>
  <si>
    <t>P-2023-04145</t>
  </si>
  <si>
    <t>I-2019-00947</t>
  </si>
  <si>
    <t>P-2023-04146</t>
  </si>
  <si>
    <t>P-2023-04147</t>
  </si>
  <si>
    <t>P-2023-04148</t>
  </si>
  <si>
    <t>I-2021-01087</t>
  </si>
  <si>
    <t>P-2023-04150</t>
  </si>
  <si>
    <t>P-2023-04151</t>
  </si>
  <si>
    <t>P-2023-04152</t>
  </si>
  <si>
    <t>I-2018-00687</t>
  </si>
  <si>
    <t>P-2023-04153</t>
  </si>
  <si>
    <t>I-2021-01086</t>
  </si>
  <si>
    <t>P-2023-04155</t>
  </si>
  <si>
    <t>P-2023-04156</t>
  </si>
  <si>
    <t>P-2023-04157</t>
  </si>
  <si>
    <t>I-2023-00871</t>
  </si>
  <si>
    <t>P-2023-04158</t>
  </si>
  <si>
    <t>I-2019-00951</t>
  </si>
  <si>
    <t>P-2023-04159</t>
  </si>
  <si>
    <t>I-2021-01090</t>
  </si>
  <si>
    <t>P-2023-04160</t>
  </si>
  <si>
    <t>P-2023-04161</t>
  </si>
  <si>
    <t>P-2023-04162</t>
  </si>
  <si>
    <t>I-2019-00950</t>
  </si>
  <si>
    <t>P-2023-04163</t>
  </si>
  <si>
    <t>P-2023-04164</t>
  </si>
  <si>
    <t>I-2018-00689</t>
  </si>
  <si>
    <t>P-2023-04165</t>
  </si>
  <si>
    <t>P-2023-04166</t>
  </si>
  <si>
    <t>I-2018-00690</t>
  </si>
  <si>
    <t>P-2023-04167</t>
  </si>
  <si>
    <t>I-2014-01926</t>
  </si>
  <si>
    <t>P-2023-04168</t>
  </si>
  <si>
    <t>I-2014-01933</t>
  </si>
  <si>
    <t>P-2023-04169</t>
  </si>
  <si>
    <t>P-2023-04170</t>
  </si>
  <si>
    <t>P-2023-04172</t>
  </si>
  <si>
    <t>P-2023-04173</t>
  </si>
  <si>
    <t>I-2014-01937</t>
  </si>
  <si>
    <t>P-2023-04175</t>
  </si>
  <si>
    <t>I-2017-00529</t>
  </si>
  <si>
    <t>P-2023-04176</t>
  </si>
  <si>
    <t>I-2020-00598</t>
  </si>
  <si>
    <t>P-2023-04177</t>
  </si>
  <si>
    <t>P-2023-04178</t>
  </si>
  <si>
    <t>P-2023-04179</t>
  </si>
  <si>
    <t>I-2018-00691</t>
  </si>
  <si>
    <t>P-2023-04180</t>
  </si>
  <si>
    <t>P-2023-04182</t>
  </si>
  <si>
    <t>I-2019-00953</t>
  </si>
  <si>
    <t>P-2023-04183</t>
  </si>
  <si>
    <t>P-2023-04184</t>
  </si>
  <si>
    <t>P-2023-04185</t>
  </si>
  <si>
    <t>P-2023-04186</t>
  </si>
  <si>
    <t>I-2023-00876</t>
  </si>
  <si>
    <t>P-2023-04187</t>
  </si>
  <si>
    <t>P-2023-04188</t>
  </si>
  <si>
    <t>I-2022-00732</t>
  </si>
  <si>
    <t>P-2023-04189</t>
  </si>
  <si>
    <t>I-2016-00745</t>
  </si>
  <si>
    <t>P-2023-04190</t>
  </si>
  <si>
    <t>P-2023-04191</t>
  </si>
  <si>
    <t>I-2017-00533</t>
  </si>
  <si>
    <t>P-2023-04192</t>
  </si>
  <si>
    <t>I-2018-00694</t>
  </si>
  <si>
    <t>P-2023-04193</t>
  </si>
  <si>
    <t>P-2023-04194</t>
  </si>
  <si>
    <t>I-2016-00747</t>
  </si>
  <si>
    <t>P-2023-04195</t>
  </si>
  <si>
    <t>P-2023-04196</t>
  </si>
  <si>
    <t>I-2015-00696</t>
  </si>
  <si>
    <t>P-2023-04197</t>
  </si>
  <si>
    <t>I-2017-00534</t>
  </si>
  <si>
    <t>P-2023-04198</t>
  </si>
  <si>
    <t>I-2015-00695</t>
  </si>
  <si>
    <t>P-2023-04199</t>
  </si>
  <si>
    <t>P-2023-04200</t>
  </si>
  <si>
    <t>P-2023-04201</t>
  </si>
  <si>
    <t>I-2014-01947</t>
  </si>
  <si>
    <t>P-2023-04202</t>
  </si>
  <si>
    <t>I-2021-01101</t>
  </si>
  <si>
    <t>P-2023-04204</t>
  </si>
  <si>
    <t>I-2021-01102</t>
  </si>
  <si>
    <t>P-2023-04205</t>
  </si>
  <si>
    <t>I-2020-00601</t>
  </si>
  <si>
    <t>P-2023-04206</t>
  </si>
  <si>
    <t>P-2023-04207</t>
  </si>
  <si>
    <t>P-2023-04208</t>
  </si>
  <si>
    <t>P-2023-04209</t>
  </si>
  <si>
    <t>I-2019-00956</t>
  </si>
  <si>
    <t>P-2023-04210</t>
  </si>
  <si>
    <t>P-2023-04211</t>
  </si>
  <si>
    <t>P-2023-04212</t>
  </si>
  <si>
    <t>I-2019-00955</t>
  </si>
  <si>
    <t>P-2023-04213</t>
  </si>
  <si>
    <t>I-2021-01111</t>
  </si>
  <si>
    <t>P-2023-04214</t>
  </si>
  <si>
    <t>P-2023-04215</t>
  </si>
  <si>
    <t>P-2023-04216</t>
  </si>
  <si>
    <t>P-2023-04217</t>
  </si>
  <si>
    <t>P-2023-04218</t>
  </si>
  <si>
    <t>P-2023-04219</t>
  </si>
  <si>
    <t>P-2023-04220</t>
  </si>
  <si>
    <t>P-2023-04221</t>
  </si>
  <si>
    <t>I-2023-00886</t>
  </si>
  <si>
    <t>P-2023-04222</t>
  </si>
  <si>
    <t>I-2020-00607</t>
  </si>
  <si>
    <t>P-2023-04224</t>
  </si>
  <si>
    <t>P-2023-04225</t>
  </si>
  <si>
    <t>I-2018-00699</t>
  </si>
  <si>
    <t>P-2023-04226</t>
  </si>
  <si>
    <t>I-2019-00957</t>
  </si>
  <si>
    <t>P-2023-04227</t>
  </si>
  <si>
    <t>I-2016-00752</t>
  </si>
  <si>
    <t>P-2023-04228</t>
  </si>
  <si>
    <t>I-2017-00538</t>
  </si>
  <si>
    <t>P-2023-04229</t>
  </si>
  <si>
    <t>I-2014-01958</t>
  </si>
  <si>
    <t>P-2023-04230</t>
  </si>
  <si>
    <t>P-2023-04231</t>
  </si>
  <si>
    <t>P-2023-04232</t>
  </si>
  <si>
    <t>P-2023-04233</t>
  </si>
  <si>
    <t>I-2019-00960</t>
  </si>
  <si>
    <t>P-2023-04234</t>
  </si>
  <si>
    <t>P-2023-04235</t>
  </si>
  <si>
    <t>I-2021-01115</t>
  </si>
  <si>
    <t>P-2023-04236</t>
  </si>
  <si>
    <t>P-2023-04237</t>
  </si>
  <si>
    <t>I-2019-00961</t>
  </si>
  <si>
    <t>P-2023-04238</t>
  </si>
  <si>
    <t>I-2022-00734</t>
  </si>
  <si>
    <t>P-2023-04239</t>
  </si>
  <si>
    <t>I-2017-00540</t>
  </si>
  <si>
    <t>P-2023-04240</t>
  </si>
  <si>
    <t>P-2023-04241</t>
  </si>
  <si>
    <t>P-2023-04242</t>
  </si>
  <si>
    <t>P-2023-04243</t>
  </si>
  <si>
    <t>P-2023-04244</t>
  </si>
  <si>
    <t>P-2023-04245</t>
  </si>
  <si>
    <t>P-2023-04246</t>
  </si>
  <si>
    <t>I-2020-00609</t>
  </si>
  <si>
    <t>P-2023-04247</t>
  </si>
  <si>
    <t>I-2022-00740</t>
  </si>
  <si>
    <t>P-2023-04248</t>
  </si>
  <si>
    <t>I-2019-00962</t>
  </si>
  <si>
    <t>P-2023-04249</t>
  </si>
  <si>
    <t>I-2022-00738</t>
  </si>
  <si>
    <t>P-2023-04250</t>
  </si>
  <si>
    <t>P-2023-04251</t>
  </si>
  <si>
    <t>P-2023-04252</t>
  </si>
  <si>
    <t>I-2023-00892</t>
  </si>
  <si>
    <t>P-2023-04253</t>
  </si>
  <si>
    <t>I-2014-01973</t>
  </si>
  <si>
    <t>P-2023-04254</t>
  </si>
  <si>
    <t>I-2019-00965</t>
  </si>
  <si>
    <t>P-2023-04255</t>
  </si>
  <si>
    <t>I-2014-01975</t>
  </si>
  <si>
    <t>P-2023-04256</t>
  </si>
  <si>
    <t>I-2015-00707</t>
  </si>
  <si>
    <t>P-2023-04258</t>
  </si>
  <si>
    <t>I-2020-00612</t>
  </si>
  <si>
    <t>P-2023-04259</t>
  </si>
  <si>
    <t>I-2016-00759</t>
  </si>
  <si>
    <t>P-2023-04260</t>
  </si>
  <si>
    <t>I-2016-00761</t>
  </si>
  <si>
    <t>P-2023-04261</t>
  </si>
  <si>
    <t>I-2022-00746</t>
  </si>
  <si>
    <t>P-2023-04262</t>
  </si>
  <si>
    <t>I-2022-00744</t>
  </si>
  <si>
    <t>P-2023-04263</t>
  </si>
  <si>
    <t>I-2018-00702</t>
  </si>
  <si>
    <t>P-2023-04264</t>
  </si>
  <si>
    <t>P-2023-04265</t>
  </si>
  <si>
    <t>P-2023-04266</t>
  </si>
  <si>
    <t>P-2023-04267</t>
  </si>
  <si>
    <t>I-2016-00763</t>
  </si>
  <si>
    <t>P-2023-04268</t>
  </si>
  <si>
    <t>I-2014-01983</t>
  </si>
  <si>
    <t>I-2019-00968</t>
  </si>
  <si>
    <t>P-2023-04270</t>
  </si>
  <si>
    <t>I-2017-00542</t>
  </si>
  <si>
    <t>P-2023-04271</t>
  </si>
  <si>
    <t>I-2014-01982</t>
  </si>
  <si>
    <t>P-2023-04272</t>
  </si>
  <si>
    <t>I-2019-00966</t>
  </si>
  <si>
    <t>P-2023-04274</t>
  </si>
  <si>
    <t>I-2017-00541</t>
  </si>
  <si>
    <t>P-2023-04275</t>
  </si>
  <si>
    <t>I-2021-01121</t>
  </si>
  <si>
    <t>P-2023-04276</t>
  </si>
  <si>
    <t>P-2023-04277</t>
  </si>
  <si>
    <t>P-2023-04278</t>
  </si>
  <si>
    <t>I-2019-00967</t>
  </si>
  <si>
    <t>P-2023-04279</t>
  </si>
  <si>
    <t>I-2023-00896</t>
  </si>
  <si>
    <t>P-2023-04280</t>
  </si>
  <si>
    <t>P-2023-04281</t>
  </si>
  <si>
    <t>P-2023-04282</t>
  </si>
  <si>
    <t>I-2019-00974</t>
  </si>
  <si>
    <t>P-2023-04283</t>
  </si>
  <si>
    <t>P-2023-04284</t>
  </si>
  <si>
    <t>P-2023-04285</t>
  </si>
  <si>
    <t>I-2022-00749</t>
  </si>
  <si>
    <t>P-2023-04286</t>
  </si>
  <si>
    <t>I-2019-00973</t>
  </si>
  <si>
    <t>P-2023-04287</t>
  </si>
  <si>
    <t>P-2023-04288</t>
  </si>
  <si>
    <t>P-2023-04289</t>
  </si>
  <si>
    <t>I-2019-00979</t>
  </si>
  <si>
    <t>P-2023-04290</t>
  </si>
  <si>
    <t>I-2020-00615</t>
  </si>
  <si>
    <t>P-2023-04291</t>
  </si>
  <si>
    <t>I-2016-00767</t>
  </si>
  <si>
    <t>P-2023-04292</t>
  </si>
  <si>
    <t>I-2020-00616</t>
  </si>
  <si>
    <t>P-2023-04293</t>
  </si>
  <si>
    <t>P-2023-04294</t>
  </si>
  <si>
    <t>P-2023-04295</t>
  </si>
  <si>
    <t>P-2023-04296</t>
  </si>
  <si>
    <t>I-2019-00982</t>
  </si>
  <si>
    <t>P-2023-04297</t>
  </si>
  <si>
    <t>I-2021-01131</t>
  </si>
  <si>
    <t>P-2023-04298</t>
  </si>
  <si>
    <t>I-2014-01990</t>
  </si>
  <si>
    <t>P-2023-04299</t>
  </si>
  <si>
    <t>P-2023-04300</t>
  </si>
  <si>
    <t>I-2022-00751</t>
  </si>
  <si>
    <t>P-2023-04301</t>
  </si>
  <si>
    <t>P-2023-04302</t>
  </si>
  <si>
    <t>I-2021-01132</t>
  </si>
  <si>
    <t>P-2023-04303</t>
  </si>
  <si>
    <t>P-2023-04304</t>
  </si>
  <si>
    <t>P-2023-04305</t>
  </si>
  <si>
    <t>P-2023-04306</t>
  </si>
  <si>
    <t>I-2023-00906</t>
  </si>
  <si>
    <t>P-2023-04307</t>
  </si>
  <si>
    <t>P-2023-04308</t>
  </si>
  <si>
    <t>P-2023-04309</t>
  </si>
  <si>
    <t>P-2023-04310</t>
  </si>
  <si>
    <t>I-2016-00772</t>
  </si>
  <si>
    <t>P-2023-04311</t>
  </si>
  <si>
    <t>I-2018-00711</t>
  </si>
  <si>
    <t>I-2019-00985</t>
  </si>
  <si>
    <t>P-2023-04313</t>
  </si>
  <si>
    <t>I-2019-00984</t>
  </si>
  <si>
    <t>P-2023-04314</t>
  </si>
  <si>
    <t>I-2014-01996</t>
  </si>
  <si>
    <t>P-2023-04315</t>
  </si>
  <si>
    <t>P-2023-04316</t>
  </si>
  <si>
    <t>P-2023-04317</t>
  </si>
  <si>
    <t>I-2023-00908</t>
  </si>
  <si>
    <t>P-2023-04318</t>
  </si>
  <si>
    <t>P-2023-04319</t>
  </si>
  <si>
    <t>P-2023-04320</t>
  </si>
  <si>
    <t>P-2023-04321</t>
  </si>
  <si>
    <t>I-2015-00713</t>
  </si>
  <si>
    <t>P-2023-04322</t>
  </si>
  <si>
    <t>I-2017-00553</t>
  </si>
  <si>
    <t>P-2023-04323</t>
  </si>
  <si>
    <t>I-2021-01138</t>
  </si>
  <si>
    <t>P-2023-04324</t>
  </si>
  <si>
    <t>P-2023-04325</t>
  </si>
  <si>
    <t>P-2023-04326</t>
  </si>
  <si>
    <t>I-2020-00618</t>
  </si>
  <si>
    <t>P-2023-04327</t>
  </si>
  <si>
    <t>P-2023-04328</t>
  </si>
  <si>
    <t>P-2023-04329</t>
  </si>
  <si>
    <t>P-2023-04330</t>
  </si>
  <si>
    <t>P-2023-04331</t>
  </si>
  <si>
    <t>I-2018-00719</t>
  </si>
  <si>
    <t>P-2023-04332</t>
  </si>
  <si>
    <t>I-2014-02012</t>
  </si>
  <si>
    <t>P-2023-04333</t>
  </si>
  <si>
    <t>I-2014-02005</t>
  </si>
  <si>
    <t>P-2023-04334</t>
  </si>
  <si>
    <t>I-2019-00988</t>
  </si>
  <si>
    <t>P-2023-04335</t>
  </si>
  <si>
    <t>I-2014-02009</t>
  </si>
  <si>
    <t>P-2023-04336</t>
  </si>
  <si>
    <t>P-2023-04337</t>
  </si>
  <si>
    <t>P-2023-04338</t>
  </si>
  <si>
    <t>I-2022-00759</t>
  </si>
  <si>
    <t>P-2023-04339</t>
  </si>
  <si>
    <t>P-2023-04340</t>
  </si>
  <si>
    <t>P-2023-04341</t>
  </si>
  <si>
    <t>P-2023-04343</t>
  </si>
  <si>
    <t>I-2021-01147</t>
  </si>
  <si>
    <t>P-2023-04344</t>
  </si>
  <si>
    <t>I-2017-00559</t>
  </si>
  <si>
    <t>I-2021-01145</t>
  </si>
  <si>
    <t>I-2018-00720</t>
  </si>
  <si>
    <t>P-2023-04348</t>
  </si>
  <si>
    <t>P-2023-04349</t>
  </si>
  <si>
    <t>I-2021-01150</t>
  </si>
  <si>
    <t>P-2023-04350</t>
  </si>
  <si>
    <t>I-2019-00995</t>
  </si>
  <si>
    <t>P-2023-04351</t>
  </si>
  <si>
    <t>P-2023-04352</t>
  </si>
  <si>
    <t>P-2023-04353</t>
  </si>
  <si>
    <t>P-2023-04354</t>
  </si>
  <si>
    <t>I-2018-00724</t>
  </si>
  <si>
    <t>P-2023-04355</t>
  </si>
  <si>
    <t>I-2019-01002</t>
  </si>
  <si>
    <t>P-2023-04356</t>
  </si>
  <si>
    <t>I-2015-00719</t>
  </si>
  <si>
    <t>P-2023-04357</t>
  </si>
  <si>
    <t>P-2023-04358</t>
  </si>
  <si>
    <t>I-2017-00563</t>
  </si>
  <si>
    <t>P-2023-04359</t>
  </si>
  <si>
    <t>I-2022-00765</t>
  </si>
  <si>
    <t>P-2023-04360</t>
  </si>
  <si>
    <t>I-2019-01000</t>
  </si>
  <si>
    <t>P-2023-04361</t>
  </si>
  <si>
    <t>I-2019-00997</t>
  </si>
  <si>
    <t>I-2015-00002</t>
  </si>
  <si>
    <t>I-2018-00003</t>
  </si>
  <si>
    <t>I-2021-00002</t>
  </si>
  <si>
    <t>I-2019-00001</t>
  </si>
  <si>
    <t>I-2018-00001</t>
  </si>
  <si>
    <t>I-2019-00007</t>
  </si>
  <si>
    <t>I-2018-00009</t>
  </si>
  <si>
    <t>I-2019-00004</t>
  </si>
  <si>
    <t>I-2023-00006</t>
  </si>
  <si>
    <t>I-2014-00004</t>
  </si>
  <si>
    <t>I-2020-00002</t>
  </si>
  <si>
    <t>I-2018-00008</t>
  </si>
  <si>
    <t>I-2016-00003</t>
  </si>
  <si>
    <t>I-2018-00013</t>
  </si>
  <si>
    <t>I-2021-00005</t>
  </si>
  <si>
    <t>I-2014-00011</t>
  </si>
  <si>
    <t>I-2017-00004</t>
  </si>
  <si>
    <t>I-2022-00002</t>
  </si>
  <si>
    <t>I-2019-00012</t>
  </si>
  <si>
    <t>I-2019-00013</t>
  </si>
  <si>
    <t>I-2021-00007</t>
  </si>
  <si>
    <t>I-2021-00009</t>
  </si>
  <si>
    <t>I-2014-00012</t>
  </si>
  <si>
    <t>I-2022-00004</t>
  </si>
  <si>
    <t>I-2021-00019</t>
  </si>
  <si>
    <t>I-2018-00022</t>
  </si>
  <si>
    <t>I-2016-00009</t>
  </si>
  <si>
    <t>I-2019-00017</t>
  </si>
  <si>
    <t>I-2023-00011</t>
  </si>
  <si>
    <t>I-2022-00010</t>
  </si>
  <si>
    <t>I-2021-00021</t>
  </si>
  <si>
    <t>I-2021-00022</t>
  </si>
  <si>
    <t>I-2015-00006</t>
  </si>
  <si>
    <t>I-2022-00012</t>
  </si>
  <si>
    <t>I-2020-00010</t>
  </si>
  <si>
    <t>I-2020-00011</t>
  </si>
  <si>
    <t>I-2016-00012</t>
  </si>
  <si>
    <t>I-2016-00011</t>
  </si>
  <si>
    <t>I-2021-00029</t>
  </si>
  <si>
    <t>I-2014-00029</t>
  </si>
  <si>
    <t>I-2021-00027</t>
  </si>
  <si>
    <t>I-2021-00025</t>
  </si>
  <si>
    <t>I-2022-00013</t>
  </si>
  <si>
    <t>I-2017-00008</t>
  </si>
  <si>
    <t>I-2019-00021</t>
  </si>
  <si>
    <t>I-2020-00016</t>
  </si>
  <si>
    <t>I-2020-00015</t>
  </si>
  <si>
    <t>I-2019-00026</t>
  </si>
  <si>
    <t>I-2018-00026</t>
  </si>
  <si>
    <t>I-2023-00019</t>
  </si>
  <si>
    <t>I-2019-00025</t>
  </si>
  <si>
    <t>I-2016-00018</t>
  </si>
  <si>
    <t>I-2016-00020</t>
  </si>
  <si>
    <t>I-2021-00036</t>
  </si>
  <si>
    <t>I-2019-00028</t>
  </si>
  <si>
    <t>I-2021-00035</t>
  </si>
  <si>
    <t>I-2019-00032</t>
  </si>
  <si>
    <t>I-2019-00030</t>
  </si>
  <si>
    <t>I-2019-00033</t>
  </si>
  <si>
    <t>I-2023-00024</t>
  </si>
  <si>
    <t>I-2022-00028</t>
  </si>
  <si>
    <t>I-2021-00043</t>
  </si>
  <si>
    <t>I-2023-00027</t>
  </si>
  <si>
    <t>I-2014-00056</t>
  </si>
  <si>
    <t>I-2014-00053</t>
  </si>
  <si>
    <t>I-2014-00052</t>
  </si>
  <si>
    <t>I-2022-00031</t>
  </si>
  <si>
    <t>I-2020-00027</t>
  </si>
  <si>
    <t>I-2018-00031</t>
  </si>
  <si>
    <t>I-2019-00038</t>
  </si>
  <si>
    <t>I-2015-00021</t>
  </si>
  <si>
    <t>I-2016-00033</t>
  </si>
  <si>
    <t>I-2016-00032</t>
  </si>
  <si>
    <t>I-2018-00034</t>
  </si>
  <si>
    <t>I-2020-00028</t>
  </si>
  <si>
    <t>I-2014-00070</t>
  </si>
  <si>
    <t>I-2021-00052</t>
  </si>
  <si>
    <t>I-2018-00037</t>
  </si>
  <si>
    <t>I-2022-00034</t>
  </si>
  <si>
    <t>I-2016-00035</t>
  </si>
  <si>
    <t>I-2023-00037</t>
  </si>
  <si>
    <t>I-2020-00032</t>
  </si>
  <si>
    <t>I-2016-00037</t>
  </si>
  <si>
    <t>I-2020-00031</t>
  </si>
  <si>
    <t>I-2014-00079</t>
  </si>
  <si>
    <t>I-2017-00029</t>
  </si>
  <si>
    <t>I-2017-00030</t>
  </si>
  <si>
    <t>I-2021-00064</t>
  </si>
  <si>
    <t>I-2020-00036</t>
  </si>
  <si>
    <t>I-2014-00084</t>
  </si>
  <si>
    <t>I-2018-00041</t>
  </si>
  <si>
    <t>I-2023-00049</t>
  </si>
  <si>
    <t>I-2014-00089</t>
  </si>
  <si>
    <t>I-2019-00047</t>
  </si>
  <si>
    <t>I-2016-00043</t>
  </si>
  <si>
    <t>I-2021-00066</t>
  </si>
  <si>
    <t>I-2020-00040</t>
  </si>
  <si>
    <t>I-2021-00067</t>
  </si>
  <si>
    <t>I-2018-00047</t>
  </si>
  <si>
    <t>I-2014-00097</t>
  </si>
  <si>
    <t>I-2022-00043</t>
  </si>
  <si>
    <t>I-2016-00048</t>
  </si>
  <si>
    <t>I-2021-00069</t>
  </si>
  <si>
    <t>I-2019-00055</t>
  </si>
  <si>
    <t>I-2021-00075</t>
  </si>
  <si>
    <t>I-2018-00049</t>
  </si>
  <si>
    <t>I-2023-00064</t>
  </si>
  <si>
    <t>I-2019-00057</t>
  </si>
  <si>
    <t>I-2020-00048</t>
  </si>
  <si>
    <t>I-2017-00040</t>
  </si>
  <si>
    <t>I-2017-00042</t>
  </si>
  <si>
    <t>I-2016-00051</t>
  </si>
  <si>
    <t>I-2021-00081</t>
  </si>
  <si>
    <t>I-2016-00052</t>
  </si>
  <si>
    <t>I-2021-00082</t>
  </si>
  <si>
    <t>I-2019-00061</t>
  </si>
  <si>
    <t>I-2023-00069</t>
  </si>
  <si>
    <t>I-2021-00079</t>
  </si>
  <si>
    <t>I-2017-00044</t>
  </si>
  <si>
    <t>I-2019-00063</t>
  </si>
  <si>
    <t>I-2019-00064</t>
  </si>
  <si>
    <t>I-2014-00116</t>
  </si>
  <si>
    <t>I-2023-00073</t>
  </si>
  <si>
    <t>I-2016-00053</t>
  </si>
  <si>
    <t>I-2023-00078</t>
  </si>
  <si>
    <t>I-2014-00122</t>
  </si>
  <si>
    <t>I-2014-00123</t>
  </si>
  <si>
    <t>I-2017-00046</t>
  </si>
  <si>
    <t>I-2015-00043</t>
  </si>
  <si>
    <t>I-2017-00049</t>
  </si>
  <si>
    <t>I-2015-00042</t>
  </si>
  <si>
    <t>I-2021-00091</t>
  </si>
  <si>
    <t>I-2014-00129</t>
  </si>
  <si>
    <t>I-2014-00125</t>
  </si>
  <si>
    <t>I-2023-00081</t>
  </si>
  <si>
    <t>I-2022-00055</t>
  </si>
  <si>
    <t>I-2021-00096</t>
  </si>
  <si>
    <t>I-2019-00073</t>
  </si>
  <si>
    <t>I-2021-00098</t>
  </si>
  <si>
    <t>I-2014-00137</t>
  </si>
  <si>
    <t>I-2021-00093</t>
  </si>
  <si>
    <t>I-2019-00071</t>
  </si>
  <si>
    <t>I-2014-00139</t>
  </si>
  <si>
    <t>I-2016-00057</t>
  </si>
  <si>
    <t>I-2019-00076</t>
  </si>
  <si>
    <t>I-2023-00086</t>
  </si>
  <si>
    <t>I-2022-00057</t>
  </si>
  <si>
    <t>I-2021-00101</t>
  </si>
  <si>
    <t>I-2015-00048</t>
  </si>
  <si>
    <t>I-2014-00148</t>
  </si>
  <si>
    <t>I-2015-00049</t>
  </si>
  <si>
    <t>I-2021-00113</t>
  </si>
  <si>
    <t>I-2016-00058</t>
  </si>
  <si>
    <t>I-2018-00067</t>
  </si>
  <si>
    <t>I-2019-00086</t>
  </si>
  <si>
    <t>I-2016-00059</t>
  </si>
  <si>
    <t>I-2018-00068</t>
  </si>
  <si>
    <t>I-2019-00089</t>
  </si>
  <si>
    <t>I-2018-00065</t>
  </si>
  <si>
    <t>I-2021-00121</t>
  </si>
  <si>
    <t>I-2020-00060</t>
  </si>
  <si>
    <t>I-2018-00073</t>
  </si>
  <si>
    <t>I-2014-00166</t>
  </si>
  <si>
    <t>I-2015-00057</t>
  </si>
  <si>
    <t>I-2019-00094</t>
  </si>
  <si>
    <t>I-2021-00124</t>
  </si>
  <si>
    <t>I-2020-00062</t>
  </si>
  <si>
    <t>I-2018-00079</t>
  </si>
  <si>
    <t>I-2015-00058</t>
  </si>
  <si>
    <t>I-2016-00064</t>
  </si>
  <si>
    <t>I-2022-00065</t>
  </si>
  <si>
    <t>I-2018-00080</t>
  </si>
  <si>
    <t>I-2021-00130</t>
  </si>
  <si>
    <t>I-2014-00181</t>
  </si>
  <si>
    <t>I-2020-00064</t>
  </si>
  <si>
    <t>I-2014-00187</t>
  </si>
  <si>
    <t>I-2021-00134</t>
  </si>
  <si>
    <t>I-2014-00189</t>
  </si>
  <si>
    <t>I-2023-00105</t>
  </si>
  <si>
    <t>I-2017-00065</t>
  </si>
  <si>
    <t>I-2014-00192</t>
  </si>
  <si>
    <t>I-2018-00087</t>
  </si>
  <si>
    <t>I-2014-00196</t>
  </si>
  <si>
    <t>I-2014-00194</t>
  </si>
  <si>
    <t>I-2018-00088</t>
  </si>
  <si>
    <t>I-2023-00110</t>
  </si>
  <si>
    <t>I-2017-00069</t>
  </si>
  <si>
    <t>I-2021-00146</t>
  </si>
  <si>
    <t>I-2018-00091</t>
  </si>
  <si>
    <t>I-2018-00090</t>
  </si>
  <si>
    <t>I-2016-00075</t>
  </si>
  <si>
    <t>I-2022-00078</t>
  </si>
  <si>
    <t>I-2020-00071</t>
  </si>
  <si>
    <t>I-2016-00074</t>
  </si>
  <si>
    <t>I-2014-00212</t>
  </si>
  <si>
    <t>I-2023-00116</t>
  </si>
  <si>
    <t>I-2019-00110</t>
  </si>
  <si>
    <t>I-2014-00217</t>
  </si>
  <si>
    <t>I-2021-00150</t>
  </si>
  <si>
    <t>I-2014-00216</t>
  </si>
  <si>
    <t>I-2019-00113</t>
  </si>
  <si>
    <t>I-2018-00096</t>
  </si>
  <si>
    <t>I-2020-00076</t>
  </si>
  <si>
    <t>I-2015-00066</t>
  </si>
  <si>
    <t>I-2015-00065</t>
  </si>
  <si>
    <t>I-2021-00151</t>
  </si>
  <si>
    <t>I-2017-00073</t>
  </si>
  <si>
    <t>I-2018-00098</t>
  </si>
  <si>
    <t>I-2016-00078</t>
  </si>
  <si>
    <t>I-2014-00224</t>
  </si>
  <si>
    <t>I-2021-00153</t>
  </si>
  <si>
    <t>I-2023-00119</t>
  </si>
  <si>
    <t>I-2019-00115</t>
  </si>
  <si>
    <t>I-2016-00077</t>
  </si>
  <si>
    <t>I-2020-00080</t>
  </si>
  <si>
    <t>I-2017-00076</t>
  </si>
  <si>
    <t>I-2021-00152</t>
  </si>
  <si>
    <t>I-2017-00079</t>
  </si>
  <si>
    <t>I-2021-00159</t>
  </si>
  <si>
    <t>I-2021-00161</t>
  </si>
  <si>
    <t>I-2018-00105</t>
  </si>
  <si>
    <t>I-2021-00168</t>
  </si>
  <si>
    <t>I-2017-00084</t>
  </si>
  <si>
    <t>I-2018-00107</t>
  </si>
  <si>
    <t>I-2016-00084</t>
  </si>
  <si>
    <t>I-2018-00109</t>
  </si>
  <si>
    <t>I-2023-00134</t>
  </si>
  <si>
    <t>I-2022-00085</t>
  </si>
  <si>
    <t>I-2016-00087</t>
  </si>
  <si>
    <t>I-2022-00088</t>
  </si>
  <si>
    <t>I-2022-00086</t>
  </si>
  <si>
    <t>I-2019-00121</t>
  </si>
  <si>
    <t>I-2022-00089</t>
  </si>
  <si>
    <t>I-2017-00090</t>
  </si>
  <si>
    <t>I-2018-00112</t>
  </si>
  <si>
    <t>I-2021-00174</t>
  </si>
  <si>
    <t>I-2019-00125</t>
  </si>
  <si>
    <t>I-2021-00176</t>
  </si>
  <si>
    <t>I-2016-00094</t>
  </si>
  <si>
    <t>I-2014-00257</t>
  </si>
  <si>
    <t>I-2017-00092</t>
  </si>
  <si>
    <t>I-2014-00255</t>
  </si>
  <si>
    <t>I-2020-00092</t>
  </si>
  <si>
    <t>I-2019-00128</t>
  </si>
  <si>
    <t>I-2022-00096</t>
  </si>
  <si>
    <t>I-2020-00090</t>
  </si>
  <si>
    <t>I-2014-00268</t>
  </si>
  <si>
    <t>I-2019-00132</t>
  </si>
  <si>
    <t>I-2016-00101</t>
  </si>
  <si>
    <t>I-2022-00105</t>
  </si>
  <si>
    <t>I-2016-00102</t>
  </si>
  <si>
    <t>I-2020-00099</t>
  </si>
  <si>
    <t>I-2022-00102</t>
  </si>
  <si>
    <t>I-2022-00106</t>
  </si>
  <si>
    <t>I-2020-00101</t>
  </si>
  <si>
    <t>I-2021-00188</t>
  </si>
  <si>
    <t>I-2018-00117</t>
  </si>
  <si>
    <t>I-2014-00284</t>
  </si>
  <si>
    <t>I-2020-00105</t>
  </si>
  <si>
    <t>I-2020-00104</t>
  </si>
  <si>
    <t>I-2014-00283</t>
  </si>
  <si>
    <t>I-2020-00103</t>
  </si>
  <si>
    <t>I-2021-00185</t>
  </si>
  <si>
    <t>I-2016-00105</t>
  </si>
  <si>
    <t>I-2017-00098</t>
  </si>
  <si>
    <t>I-2015-00091</t>
  </si>
  <si>
    <t>I-2022-00112</t>
  </si>
  <si>
    <t>I-2016-00107</t>
  </si>
  <si>
    <t>I-2016-00106</t>
  </si>
  <si>
    <t>I-2014-00289</t>
  </si>
  <si>
    <t>I-2014-00292</t>
  </si>
  <si>
    <t>I-2021-00199</t>
  </si>
  <si>
    <t>I-2014-00295</t>
  </si>
  <si>
    <t>I-2021-00198</t>
  </si>
  <si>
    <t>I-2017-00101</t>
  </si>
  <si>
    <t>I-2021-00200</t>
  </si>
  <si>
    <t>I-2015-00093</t>
  </si>
  <si>
    <t>I-2019-00152</t>
  </si>
  <si>
    <t>I-2014-00303</t>
  </si>
  <si>
    <t>I-2020-00109</t>
  </si>
  <si>
    <t>I-2014-00304</t>
  </si>
  <si>
    <t>I-2021-00202</t>
  </si>
  <si>
    <t>I-2022-00124</t>
  </si>
  <si>
    <t>I-2017-00107</t>
  </si>
  <si>
    <t>I-2016-00117</t>
  </si>
  <si>
    <t>I-2014-00308</t>
  </si>
  <si>
    <t>I-2022-00127</t>
  </si>
  <si>
    <t>I-2015-00099</t>
  </si>
  <si>
    <t>I-2017-00111</t>
  </si>
  <si>
    <t>I-2023-00175</t>
  </si>
  <si>
    <t>I-2019-00159</t>
  </si>
  <si>
    <t>I-2019-00164</t>
  </si>
  <si>
    <t>I-2019-00163</t>
  </si>
  <si>
    <t>I-2021-00210</t>
  </si>
  <si>
    <t>I-2020-00115</t>
  </si>
  <si>
    <t>I-2014-00329</t>
  </si>
  <si>
    <t>I-2014-00325</t>
  </si>
  <si>
    <t>I-2017-00117</t>
  </si>
  <si>
    <t>I-2014-00345</t>
  </si>
  <si>
    <t>I-2018-00140</t>
  </si>
  <si>
    <t>I-2021-00222</t>
  </si>
  <si>
    <t>I-2015-00108</t>
  </si>
  <si>
    <t>I-2014-00351</t>
  </si>
  <si>
    <t>I-2021-00224</t>
  </si>
  <si>
    <t>I-2018-00142</t>
  </si>
  <si>
    <t>I-2019-00173</t>
  </si>
  <si>
    <t>I-2014-00358</t>
  </si>
  <si>
    <t>I-2014-00356</t>
  </si>
  <si>
    <t>I-2020-00122</t>
  </si>
  <si>
    <t>I-2022-00151</t>
  </si>
  <si>
    <t>I-2022-00148</t>
  </si>
  <si>
    <t>I-2018-00147</t>
  </si>
  <si>
    <t>I-2019-00176</t>
  </si>
  <si>
    <t>I-2014-00362</t>
  </si>
  <si>
    <t>I-2016-00135</t>
  </si>
  <si>
    <t>I-2020-00124</t>
  </si>
  <si>
    <t>I-2018-00152</t>
  </si>
  <si>
    <t>I-2014-00373</t>
  </si>
  <si>
    <t>I-2015-00113</t>
  </si>
  <si>
    <t>I-2021-00229</t>
  </si>
  <si>
    <t>I-2021-00230</t>
  </si>
  <si>
    <t>I-2014-00377</t>
  </si>
  <si>
    <t>I-2017-00130</t>
  </si>
  <si>
    <t>I-2016-00143</t>
  </si>
  <si>
    <t>I-2016-00144</t>
  </si>
  <si>
    <t>I-2022-00161</t>
  </si>
  <si>
    <t>I-2023-00206</t>
  </si>
  <si>
    <t>I-2018-00156</t>
  </si>
  <si>
    <t>I-2021-00239</t>
  </si>
  <si>
    <t>I-2021-00238</t>
  </si>
  <si>
    <t>I-2021-00240</t>
  </si>
  <si>
    <t>I-2016-00151</t>
  </si>
  <si>
    <t>I-2019-00192</t>
  </si>
  <si>
    <t>I-2016-00156</t>
  </si>
  <si>
    <t>I-2018-00158</t>
  </si>
  <si>
    <t>I-2021-00242</t>
  </si>
  <si>
    <t>I-2019-00193</t>
  </si>
  <si>
    <t>I-2015-00122</t>
  </si>
  <si>
    <t>I-2017-00133</t>
  </si>
  <si>
    <t>I-2018-00159</t>
  </si>
  <si>
    <t>I-2014-00400</t>
  </si>
  <si>
    <t>I-2014-00407</t>
  </si>
  <si>
    <t>I-2014-00406</t>
  </si>
  <si>
    <t>I-2021-00251</t>
  </si>
  <si>
    <t>I-2023-00210</t>
  </si>
  <si>
    <t>I-2017-00134</t>
  </si>
  <si>
    <t>I-2021-00254</t>
  </si>
  <si>
    <t>I-2023-00217</t>
  </si>
  <si>
    <t>I-2019-00196</t>
  </si>
  <si>
    <t>I-2023-00213</t>
  </si>
  <si>
    <t>I-2016-00168</t>
  </si>
  <si>
    <t>I-2021-00258</t>
  </si>
  <si>
    <t>I-2015-00131</t>
  </si>
  <si>
    <t>I-2019-00199</t>
  </si>
  <si>
    <t>I-2014-00421</t>
  </si>
  <si>
    <t>I-2021-00265</t>
  </si>
  <si>
    <t>I-2022-00182</t>
  </si>
  <si>
    <t>I-2018-00172</t>
  </si>
  <si>
    <t>I-2021-00271</t>
  </si>
  <si>
    <t>I-2018-00174</t>
  </si>
  <si>
    <t>I-2018-00178</t>
  </si>
  <si>
    <t>I-2020-00147</t>
  </si>
  <si>
    <t>I-2022-00183</t>
  </si>
  <si>
    <t>I-2021-00274</t>
  </si>
  <si>
    <t>I-2014-00431</t>
  </si>
  <si>
    <t>I-2016-00181</t>
  </si>
  <si>
    <t>I-2019-00213</t>
  </si>
  <si>
    <t>I-2016-00182</t>
  </si>
  <si>
    <t>I-2019-00215</t>
  </si>
  <si>
    <t>I-2017-00144</t>
  </si>
  <si>
    <t>I-2016-00184</t>
  </si>
  <si>
    <t>I-2014-00444</t>
  </si>
  <si>
    <t>I-2014-00439</t>
  </si>
  <si>
    <t>I-2016-00183</t>
  </si>
  <si>
    <t>I-2018-00186</t>
  </si>
  <si>
    <t>I-2018-00185</t>
  </si>
  <si>
    <t>I-2018-00189</t>
  </si>
  <si>
    <t>I-2022-00190</t>
  </si>
  <si>
    <t>I-2023-00231</t>
  </si>
  <si>
    <t>I-2018-00190</t>
  </si>
  <si>
    <t>I-2019-00216</t>
  </si>
  <si>
    <t>I-2016-00186</t>
  </si>
  <si>
    <t>I-2022-00189</t>
  </si>
  <si>
    <t>I-2021-00285</t>
  </si>
  <si>
    <t>I-2017-00145</t>
  </si>
  <si>
    <t>I-2014-00452</t>
  </si>
  <si>
    <t>I-2019-00217</t>
  </si>
  <si>
    <t>I-2014-00451</t>
  </si>
  <si>
    <t>I-2015-00144</t>
  </si>
  <si>
    <t>I-2020-00150</t>
  </si>
  <si>
    <t>I-2019-00218</t>
  </si>
  <si>
    <t>I-2023-00242</t>
  </si>
  <si>
    <t>I-2019-00223</t>
  </si>
  <si>
    <t>I-2019-00225</t>
  </si>
  <si>
    <t>I-2018-00192</t>
  </si>
  <si>
    <t>I-2023-00243</t>
  </si>
  <si>
    <t>I-2019-00222</t>
  </si>
  <si>
    <t>I-2014-00472</t>
  </si>
  <si>
    <t>I-2018-00195</t>
  </si>
  <si>
    <t>I-2019-00226</t>
  </si>
  <si>
    <t>I-2015-00150</t>
  </si>
  <si>
    <t>I-2014-00476</t>
  </si>
  <si>
    <t>I-2014-00478</t>
  </si>
  <si>
    <t>I-2021-00299</t>
  </si>
  <si>
    <t>I-2019-00235</t>
  </si>
  <si>
    <t>I-2016-00202</t>
  </si>
  <si>
    <t>I-2021-00304</t>
  </si>
  <si>
    <t>I-2023-00248</t>
  </si>
  <si>
    <t>I-2021-00302</t>
  </si>
  <si>
    <t>I-2014-00483</t>
  </si>
  <si>
    <t>I-2021-00306</t>
  </si>
  <si>
    <t>I-2019-00236</t>
  </si>
  <si>
    <t>I-2023-00250</t>
  </si>
  <si>
    <t>I-2018-00198</t>
  </si>
  <si>
    <t>I-2016-00208</t>
  </si>
  <si>
    <t>I-2016-00207</t>
  </si>
  <si>
    <t>I-2014-00492</t>
  </si>
  <si>
    <t>I-2019-00243</t>
  </si>
  <si>
    <t>I-2020-00164</t>
  </si>
  <si>
    <t>I-2019-00239</t>
  </si>
  <si>
    <t>I-2020-00163</t>
  </si>
  <si>
    <t>I-2017-00160</t>
  </si>
  <si>
    <t>I-2019-00247</t>
  </si>
  <si>
    <t>I-2020-00168</t>
  </si>
  <si>
    <t>I-2020-00170</t>
  </si>
  <si>
    <t>I-2023-00258</t>
  </si>
  <si>
    <t>I-2021-00311</t>
  </si>
  <si>
    <t>I-2014-00499</t>
  </si>
  <si>
    <t>I-2014-00502</t>
  </si>
  <si>
    <t>I-2021-00313</t>
  </si>
  <si>
    <t>I-2014-00508</t>
  </si>
  <si>
    <t>I-2016-00216</t>
  </si>
  <si>
    <t>I-2021-00318</t>
  </si>
  <si>
    <t>I-2021-00316</t>
  </si>
  <si>
    <t>I-2019-00255</t>
  </si>
  <si>
    <t>I-2019-00256</t>
  </si>
  <si>
    <t>I-2014-00523</t>
  </si>
  <si>
    <t>I-2021-00315</t>
  </si>
  <si>
    <t>I-2015-00168</t>
  </si>
  <si>
    <t>I-2021-00324</t>
  </si>
  <si>
    <t>I-2020-00177</t>
  </si>
  <si>
    <t>I-2014-00535</t>
  </si>
  <si>
    <t>I-2016-00222</t>
  </si>
  <si>
    <t>I-2015-00170</t>
  </si>
  <si>
    <t>I-2014-00536</t>
  </si>
  <si>
    <t>I-2021-00322</t>
  </si>
  <si>
    <t>I-2016-00221</t>
  </si>
  <si>
    <t>I-2022-00208</t>
  </si>
  <si>
    <t>I-2023-00268</t>
  </si>
  <si>
    <t>I-2017-00166</t>
  </si>
  <si>
    <t>I-2016-00223</t>
  </si>
  <si>
    <t>I-2015-00174</t>
  </si>
  <si>
    <t>I-2018-00212</t>
  </si>
  <si>
    <t>I-2016-00224</t>
  </si>
  <si>
    <t>I-2018-00213</t>
  </si>
  <si>
    <t>I-2019-00262</t>
  </si>
  <si>
    <t>I-2016-00227</t>
  </si>
  <si>
    <t>I-2019-00261</t>
  </si>
  <si>
    <t>I-2020-00181</t>
  </si>
  <si>
    <t>I-2021-00333</t>
  </si>
  <si>
    <t>I-2022-00220</t>
  </si>
  <si>
    <t>I-2017-00175</t>
  </si>
  <si>
    <t>I-2018-00219</t>
  </si>
  <si>
    <t>I-2018-00217</t>
  </si>
  <si>
    <t>I-2014-00555</t>
  </si>
  <si>
    <t>I-2014-00562</t>
  </si>
  <si>
    <t>I-2020-00185</t>
  </si>
  <si>
    <t>I-2021-00338</t>
  </si>
  <si>
    <t>I-2023-00284</t>
  </si>
  <si>
    <t>I-2015-00187</t>
  </si>
  <si>
    <t>I-2018-00223</t>
  </si>
  <si>
    <t>I-2020-00186</t>
  </si>
  <si>
    <t>I-2020-00190</t>
  </si>
  <si>
    <t>I-2021-00343</t>
  </si>
  <si>
    <t>I-2017-00180</t>
  </si>
  <si>
    <t>I-2019-00275</t>
  </si>
  <si>
    <t>I-2019-00277</t>
  </si>
  <si>
    <t>I-2020-00191</t>
  </si>
  <si>
    <t>I-2019-00280</t>
  </si>
  <si>
    <t>I-2021-00346</t>
  </si>
  <si>
    <t>I-2014-00585</t>
  </si>
  <si>
    <t>I-2014-00582</t>
  </si>
  <si>
    <t>I-2019-00279</t>
  </si>
  <si>
    <t>I-2014-00583</t>
  </si>
  <si>
    <t>I-2020-00194</t>
  </si>
  <si>
    <t>I-2018-00226</t>
  </si>
  <si>
    <t>I-2020-00195</t>
  </si>
  <si>
    <t>I-2022-00234</t>
  </si>
  <si>
    <t>I-2021-00344</t>
  </si>
  <si>
    <t>I-2021-00347</t>
  </si>
  <si>
    <t>I-2014-00592</t>
  </si>
  <si>
    <t>I-2019-00286</t>
  </si>
  <si>
    <t>I-2019-00287</t>
  </si>
  <si>
    <t>I-2021-00351</t>
  </si>
  <si>
    <t>I-2014-00598</t>
  </si>
  <si>
    <t>I-2014-00599</t>
  </si>
  <si>
    <t>I-2022-00240</t>
  </si>
  <si>
    <t>I-2021-00349</t>
  </si>
  <si>
    <t>I-2018-00228</t>
  </si>
  <si>
    <t>I-2019-00290</t>
  </si>
  <si>
    <t>I-2014-00605</t>
  </si>
  <si>
    <t>I-2019-00291</t>
  </si>
  <si>
    <t>I-2016-00247</t>
  </si>
  <si>
    <t>I-2022-00241</t>
  </si>
  <si>
    <t>I-2022-00244</t>
  </si>
  <si>
    <t>I-2021-00355</t>
  </si>
  <si>
    <t>I-2019-00292</t>
  </si>
  <si>
    <t>I-2022-00245</t>
  </si>
  <si>
    <t>I-2016-00251</t>
  </si>
  <si>
    <t>I-2020-00199</t>
  </si>
  <si>
    <t>I-2019-00294</t>
  </si>
  <si>
    <t>I-2019-00298</t>
  </si>
  <si>
    <t>I-2019-00295</t>
  </si>
  <si>
    <t>I-2022-00250</t>
  </si>
  <si>
    <t>I-2023-00296</t>
  </si>
  <si>
    <t>I-2015-00195</t>
  </si>
  <si>
    <t>I-2019-00301</t>
  </si>
  <si>
    <t>I-2019-00299</t>
  </si>
  <si>
    <t>I-2022-00253</t>
  </si>
  <si>
    <t>I-2020-00203</t>
  </si>
  <si>
    <t>I-2021-00364</t>
  </si>
  <si>
    <t>I-2016-00261</t>
  </si>
  <si>
    <t>I-2016-00264</t>
  </si>
  <si>
    <t>I-2017-00197</t>
  </si>
  <si>
    <t>I-2021-00377</t>
  </si>
  <si>
    <t>I-2015-00204</t>
  </si>
  <si>
    <t>I-2017-00199</t>
  </si>
  <si>
    <t>I-2014-00650</t>
  </si>
  <si>
    <t>I-2014-00648</t>
  </si>
  <si>
    <t>I-2019-00310</t>
  </si>
  <si>
    <t>I-2016-00266</t>
  </si>
  <si>
    <t>I-2018-00240</t>
  </si>
  <si>
    <t>I-2017-00201</t>
  </si>
  <si>
    <t>I-2014-00653</t>
  </si>
  <si>
    <t>I-2022-00269</t>
  </si>
  <si>
    <t>I-2022-00270</t>
  </si>
  <si>
    <t>I-2019-00313</t>
  </si>
  <si>
    <t>I-2017-00207</t>
  </si>
  <si>
    <t>I-2016-00271</t>
  </si>
  <si>
    <t>I-2021-00385</t>
  </si>
  <si>
    <t>I-2021-00384</t>
  </si>
  <si>
    <t>I-2017-00209</t>
  </si>
  <si>
    <t>I-2014-00659</t>
  </si>
  <si>
    <t>I-2020-00214</t>
  </si>
  <si>
    <t>I-2020-00217</t>
  </si>
  <si>
    <t>I-2022-00273</t>
  </si>
  <si>
    <t>I-2015-00209</t>
  </si>
  <si>
    <t>I-2019-00316</t>
  </si>
  <si>
    <t>I-2020-00215</t>
  </si>
  <si>
    <t>I-2014-00663</t>
  </si>
  <si>
    <t>I-2020-00216</t>
  </si>
  <si>
    <t>I-2021-00389</t>
  </si>
  <si>
    <t>I-2016-00274</t>
  </si>
  <si>
    <t>I-2014-00670</t>
  </si>
  <si>
    <t>I-2014-00667</t>
  </si>
  <si>
    <t>I-2015-00212</t>
  </si>
  <si>
    <t>I-2020-00218</t>
  </si>
  <si>
    <t>I-2018-00247</t>
  </si>
  <si>
    <t>I-2021-00396</t>
  </si>
  <si>
    <t>I-2019-00324</t>
  </si>
  <si>
    <t>I-2020-00222</t>
  </si>
  <si>
    <t>I-2018-00250</t>
  </si>
  <si>
    <t>I-2019-00329</t>
  </si>
  <si>
    <t>I-2019-00326</t>
  </si>
  <si>
    <t>I-2020-00221</t>
  </si>
  <si>
    <t>I-2014-00681</t>
  </si>
  <si>
    <t>I-2015-00216</t>
  </si>
  <si>
    <t>I-2020-00225</t>
  </si>
  <si>
    <t>I-2021-00400</t>
  </si>
  <si>
    <t>I-2016-00283</t>
  </si>
  <si>
    <t>I-2016-00281</t>
  </si>
  <si>
    <t>I-2018-00253</t>
  </si>
  <si>
    <t>I-2021-00408</t>
  </si>
  <si>
    <t>I-2014-00701</t>
  </si>
  <si>
    <t>I-2015-00226</t>
  </si>
  <si>
    <t>I-2018-00257</t>
  </si>
  <si>
    <t>I-2022-00285</t>
  </si>
  <si>
    <t>I-2014-00692</t>
  </si>
  <si>
    <t>I-2019-00335</t>
  </si>
  <si>
    <t>I-2016-00291</t>
  </si>
  <si>
    <t>I-2023-00327</t>
  </si>
  <si>
    <t>I-2014-00708</t>
  </si>
  <si>
    <t>I-2023-00329</t>
  </si>
  <si>
    <t>I-2018-00260</t>
  </si>
  <si>
    <t>I-2021-00412</t>
  </si>
  <si>
    <t>I-2018-00261</t>
  </si>
  <si>
    <t>I-2020-00231</t>
  </si>
  <si>
    <t>I-2018-00263</t>
  </si>
  <si>
    <t>I-2022-00287</t>
  </si>
  <si>
    <t>I-2017-00221</t>
  </si>
  <si>
    <t>I-2019-00342</t>
  </si>
  <si>
    <t>I-2019-00346</t>
  </si>
  <si>
    <t>I-2020-00233</t>
  </si>
  <si>
    <t>I-2017-00222</t>
  </si>
  <si>
    <t>I-2016-00297</t>
  </si>
  <si>
    <t>I-2019-00347</t>
  </si>
  <si>
    <t>I-2021-00417</t>
  </si>
  <si>
    <t>I-2022-00294</t>
  </si>
  <si>
    <t>I-2016-00300</t>
  </si>
  <si>
    <t>I-2022-00292</t>
  </si>
  <si>
    <t>I-2017-00224</t>
  </si>
  <si>
    <t>I-2015-00231</t>
  </si>
  <si>
    <t>I-2016-00299</t>
  </si>
  <si>
    <t>I-2021-00423</t>
  </si>
  <si>
    <t>I-2022-00296</t>
  </si>
  <si>
    <t>I-2014-00732</t>
  </si>
  <si>
    <t>I-2020-00240</t>
  </si>
  <si>
    <t>I-2018-00270</t>
  </si>
  <si>
    <t>I-2022-00298</t>
  </si>
  <si>
    <t>I-2023-00336</t>
  </si>
  <si>
    <t>I-2019-00351</t>
  </si>
  <si>
    <t>I-2018-00274</t>
  </si>
  <si>
    <t>I-2015-00242</t>
  </si>
  <si>
    <t>I-2023-00341</t>
  </si>
  <si>
    <t>I-2021-00434</t>
  </si>
  <si>
    <t>I-2014-00736</t>
  </si>
  <si>
    <t>I-2019-00355</t>
  </si>
  <si>
    <t>I-2015-00244</t>
  </si>
  <si>
    <t>I-2022-00304</t>
  </si>
  <si>
    <t>I-2021-00437</t>
  </si>
  <si>
    <t>I-2020-00247</t>
  </si>
  <si>
    <t>I-2018-00279</t>
  </si>
  <si>
    <t>I-2018-00278</t>
  </si>
  <si>
    <t>I-2020-00248</t>
  </si>
  <si>
    <t>I-2016-00305</t>
  </si>
  <si>
    <t>I-2019-00362</t>
  </si>
  <si>
    <t>I-2017-00233</t>
  </si>
  <si>
    <t>I-2014-00754</t>
  </si>
  <si>
    <t>I-2020-00250</t>
  </si>
  <si>
    <t>I-2014-00764</t>
  </si>
  <si>
    <t>I-2021-00445</t>
  </si>
  <si>
    <t>I-2018-00282</t>
  </si>
  <si>
    <t>I-2021-00449</t>
  </si>
  <si>
    <t>I-2019-00369</t>
  </si>
  <si>
    <t>I-2020-00254</t>
  </si>
  <si>
    <t>I-2021-00450</t>
  </si>
  <si>
    <t>I-2019-00371</t>
  </si>
  <si>
    <t>I-2014-00774</t>
  </si>
  <si>
    <t>I-2016-00324</t>
  </si>
  <si>
    <t>I-2021-00456</t>
  </si>
  <si>
    <t>I-2016-00321</t>
  </si>
  <si>
    <t>I-2020-00256</t>
  </si>
  <si>
    <t>I-2023-00352</t>
  </si>
  <si>
    <t>I-2018-00283</t>
  </si>
  <si>
    <t>I-2015-00257</t>
  </si>
  <si>
    <t>I-2016-00325</t>
  </si>
  <si>
    <t>I-2015-00260</t>
  </si>
  <si>
    <t>I-2019-00378</t>
  </si>
  <si>
    <t>I-2019-00379</t>
  </si>
  <si>
    <t>I-2014-00789</t>
  </si>
  <si>
    <t>I-2020-00259</t>
  </si>
  <si>
    <t>I-2018-00289</t>
  </si>
  <si>
    <t>I-2018-00288</t>
  </si>
  <si>
    <t>I-2023-00357</t>
  </si>
  <si>
    <t>I-2021-00462</t>
  </si>
  <si>
    <t>I-2021-00461</t>
  </si>
  <si>
    <t>I-2021-00470</t>
  </si>
  <si>
    <t>I-2018-00290</t>
  </si>
  <si>
    <t>I-2019-00381</t>
  </si>
  <si>
    <t>I-2021-00467</t>
  </si>
  <si>
    <t>I-2020-00263</t>
  </si>
  <si>
    <t>I-2014-00808</t>
  </si>
  <si>
    <t>I-2014-00810</t>
  </si>
  <si>
    <t>I-2016-00332</t>
  </si>
  <si>
    <t>I-2016-00331</t>
  </si>
  <si>
    <t>I-2018-00294</t>
  </si>
  <si>
    <t>I-2018-00297</t>
  </si>
  <si>
    <t>I-2022-00326</t>
  </si>
  <si>
    <t>I-2020-00264</t>
  </si>
  <si>
    <t>I-2014-00819</t>
  </si>
  <si>
    <t>I-2018-00300</t>
  </si>
  <si>
    <t>I-2016-00335</t>
  </si>
  <si>
    <t>I-2017-00245</t>
  </si>
  <si>
    <t>I-2022-00332</t>
  </si>
  <si>
    <t>I-2020-00269</t>
  </si>
  <si>
    <t>I-2015-00278</t>
  </si>
  <si>
    <t>I-2020-00273</t>
  </si>
  <si>
    <t>I-2021-00483</t>
  </si>
  <si>
    <t>I-2019-00392</t>
  </si>
  <si>
    <t>I-2019-00398</t>
  </si>
  <si>
    <t>I-2019-00399</t>
  </si>
  <si>
    <t>I-2016-00339</t>
  </si>
  <si>
    <t>I-2017-00249</t>
  </si>
  <si>
    <t>I-2014-00837</t>
  </si>
  <si>
    <t>I-2018-00304</t>
  </si>
  <si>
    <t>I-2021-00491</t>
  </si>
  <si>
    <t>I-2020-00277</t>
  </si>
  <si>
    <t>I-2016-00344</t>
  </si>
  <si>
    <t>I-2015-00283</t>
  </si>
  <si>
    <t>I-2023-00375</t>
  </si>
  <si>
    <t>I-2014-00846</t>
  </si>
  <si>
    <t>I-2014-00850</t>
  </si>
  <si>
    <t>I-2019-00404</t>
  </si>
  <si>
    <t>I-2023-00378</t>
  </si>
  <si>
    <t>I-2015-00287</t>
  </si>
  <si>
    <t>I-2021-00500</t>
  </si>
  <si>
    <t>I-2021-00504</t>
  </si>
  <si>
    <t>I-2023-00384</t>
  </si>
  <si>
    <t>I-2016-00352</t>
  </si>
  <si>
    <t>I-2023-00390</t>
  </si>
  <si>
    <t>I-2019-00411</t>
  </si>
  <si>
    <t>I-2018-00326</t>
  </si>
  <si>
    <t>I-2021-00512</t>
  </si>
  <si>
    <t>I-2019-00415</t>
  </si>
  <si>
    <t>I-2022-00350</t>
  </si>
  <si>
    <t>I-2021-00510</t>
  </si>
  <si>
    <t>I-2015-00295</t>
  </si>
  <si>
    <t>I-2021-00511</t>
  </si>
  <si>
    <t>I-2021-00516</t>
  </si>
  <si>
    <t>I-2020-00287</t>
  </si>
  <si>
    <t>I-2019-00418</t>
  </si>
  <si>
    <t>I-2014-00872</t>
  </si>
  <si>
    <t>I-2015-00296</t>
  </si>
  <si>
    <t>I-2021-00519</t>
  </si>
  <si>
    <t>I-2018-00327</t>
  </si>
  <si>
    <t>I-2017-00260</t>
  </si>
  <si>
    <t>I-2014-00881</t>
  </si>
  <si>
    <t>I-2021-00523</t>
  </si>
  <si>
    <t>I-2019-00420</t>
  </si>
  <si>
    <t>I-2015-00300</t>
  </si>
  <si>
    <t>I-2015-00299</t>
  </si>
  <si>
    <t>I-2022-00358</t>
  </si>
  <si>
    <t>I-2014-00889</t>
  </si>
  <si>
    <t>I-2021-00531</t>
  </si>
  <si>
    <t>I-2017-00262</t>
  </si>
  <si>
    <t>I-2018-00332</t>
  </si>
  <si>
    <t>I-2020-00291</t>
  </si>
  <si>
    <t>I-2014-00895</t>
  </si>
  <si>
    <t>I-2021-00534</t>
  </si>
  <si>
    <t>I-2018-00336</t>
  </si>
  <si>
    <t>I-2016-00366</t>
  </si>
  <si>
    <t>I-2016-00367</t>
  </si>
  <si>
    <t>I-2014-00892</t>
  </si>
  <si>
    <t>I-2022-00362</t>
  </si>
  <si>
    <t>I-2015-00303</t>
  </si>
  <si>
    <t>I-2014-00897</t>
  </si>
  <si>
    <t>I-2021-00537</t>
  </si>
  <si>
    <t>I-2019-00433</t>
  </si>
  <si>
    <t>I-2020-00292</t>
  </si>
  <si>
    <t>I-2019-00431</t>
  </si>
  <si>
    <t>I-2020-00297</t>
  </si>
  <si>
    <t>I-2021-00540</t>
  </si>
  <si>
    <t>I-2014-00903</t>
  </si>
  <si>
    <t>I-2021-00543</t>
  </si>
  <si>
    <t>I-2021-00545</t>
  </si>
  <si>
    <t>I-2019-00437</t>
  </si>
  <si>
    <t>I-2021-00542</t>
  </si>
  <si>
    <t>I-2019-00438</t>
  </si>
  <si>
    <t>I-2016-00374</t>
  </si>
  <si>
    <t>I-2015-00313</t>
  </si>
  <si>
    <t>I-2017-00269</t>
  </si>
  <si>
    <t>I-2021-00549</t>
  </si>
  <si>
    <t>I-2015-00311</t>
  </si>
  <si>
    <t>I-2014-00915</t>
  </si>
  <si>
    <t>I-2021-00550</t>
  </si>
  <si>
    <t>I-2017-00271</t>
  </si>
  <si>
    <t>I-2014-00929</t>
  </si>
  <si>
    <t>I-2015-00316</t>
  </si>
  <si>
    <t>I-2014-00927</t>
  </si>
  <si>
    <t>I-2019-00446</t>
  </si>
  <si>
    <t>I-2019-00447</t>
  </si>
  <si>
    <t>I-2022-00374</t>
  </si>
  <si>
    <t>I-2020-00305</t>
  </si>
  <si>
    <t>I-2016-00378</t>
  </si>
  <si>
    <t>I-2017-00275</t>
  </si>
  <si>
    <t>I-2021-00565</t>
  </si>
  <si>
    <t>I-2014-00932</t>
  </si>
  <si>
    <t>I-2015-00324</t>
  </si>
  <si>
    <t>I-2018-00347</t>
  </si>
  <si>
    <t>I-2019-00450</t>
  </si>
  <si>
    <t>I-2019-00451</t>
  </si>
  <si>
    <t>I-2016-00386</t>
  </si>
  <si>
    <t>I-2020-00308</t>
  </si>
  <si>
    <t>I-2016-00383</t>
  </si>
  <si>
    <t>I-2016-00385</t>
  </si>
  <si>
    <t>I-2017-00279</t>
  </si>
  <si>
    <t>I-2021-00571</t>
  </si>
  <si>
    <t>I-2020-00310</t>
  </si>
  <si>
    <t>I-2018-00349</t>
  </si>
  <si>
    <t>I-2019-00457</t>
  </si>
  <si>
    <t>I-2018-00350</t>
  </si>
  <si>
    <t>I-2019-00459</t>
  </si>
  <si>
    <t>I-2018-00352</t>
  </si>
  <si>
    <t>I-2019-00460</t>
  </si>
  <si>
    <t>I-2020-00313</t>
  </si>
  <si>
    <t>I-2020-00314</t>
  </si>
  <si>
    <t>I-2018-00356</t>
  </si>
  <si>
    <t>I-2019-00462</t>
  </si>
  <si>
    <t>I-2016-00394</t>
  </si>
  <si>
    <t>I-2014-00969</t>
  </si>
  <si>
    <t>I-2019-00463</t>
  </si>
  <si>
    <t>I-2022-00389</t>
  </si>
  <si>
    <t>I-2022-00386</t>
  </si>
  <si>
    <t>I-2022-00388</t>
  </si>
  <si>
    <t>I-2014-00975</t>
  </si>
  <si>
    <t>I-2021-00580</t>
  </si>
  <si>
    <t>I-2023-00447</t>
  </si>
  <si>
    <t>I-2022-00394</t>
  </si>
  <si>
    <t>I-2021-00587</t>
  </si>
  <si>
    <t>I-2017-00281</t>
  </si>
  <si>
    <t>I-2018-00361</t>
  </si>
  <si>
    <t>I-2014-00987</t>
  </si>
  <si>
    <t>I-2016-00397</t>
  </si>
  <si>
    <t>I-2021-00589</t>
  </si>
  <si>
    <t>I-2015-00339</t>
  </si>
  <si>
    <t>I-2021-00592</t>
  </si>
  <si>
    <t>I-2023-00450</t>
  </si>
  <si>
    <t>I-2014-00991</t>
  </si>
  <si>
    <t>I-2017-00283</t>
  </si>
  <si>
    <t>I-2019-00473</t>
  </si>
  <si>
    <t>I-2020-00322</t>
  </si>
  <si>
    <t>I-2018-00366</t>
  </si>
  <si>
    <t>I-2014-00995</t>
  </si>
  <si>
    <t>I-2019-00471</t>
  </si>
  <si>
    <t>I-2015-00343</t>
  </si>
  <si>
    <t>I-2014-00993</t>
  </si>
  <si>
    <t>I-2023-00455</t>
  </si>
  <si>
    <t>I-2021-00597</t>
  </si>
  <si>
    <t>I-2017-00285</t>
  </si>
  <si>
    <t>I-2019-00476</t>
  </si>
  <si>
    <t>I-2015-00344</t>
  </si>
  <si>
    <t>I-2014-01000</t>
  </si>
  <si>
    <t>I-2020-00324</t>
  </si>
  <si>
    <t>I-2018-00372</t>
  </si>
  <si>
    <t>I-2017-00286</t>
  </si>
  <si>
    <t>I-2022-00397</t>
  </si>
  <si>
    <t>I-2019-00480</t>
  </si>
  <si>
    <t>I-2021-00600</t>
  </si>
  <si>
    <t>I-2022-00400</t>
  </si>
  <si>
    <t>I-2014-01010</t>
  </si>
  <si>
    <t>I-2019-00485</t>
  </si>
  <si>
    <t>I-2019-00481</t>
  </si>
  <si>
    <t>I-2015-00347</t>
  </si>
  <si>
    <t>I-2023-00462</t>
  </si>
  <si>
    <t>I-2014-01006</t>
  </si>
  <si>
    <t>I-2014-01009</t>
  </si>
  <si>
    <t>I-2022-00401</t>
  </si>
  <si>
    <t>I-2014-01008</t>
  </si>
  <si>
    <t>I-2019-00482</t>
  </si>
  <si>
    <t>I-2023-00466</t>
  </si>
  <si>
    <t>I-2018-00376</t>
  </si>
  <si>
    <t>I-2023-00464</t>
  </si>
  <si>
    <t>I-2019-00488</t>
  </si>
  <si>
    <t>I-2022-00403</t>
  </si>
  <si>
    <t>I-2019-00489</t>
  </si>
  <si>
    <t>I-2015-00349</t>
  </si>
  <si>
    <t>I-2014-01017</t>
  </si>
  <si>
    <t>I-2019-00491</t>
  </si>
  <si>
    <t>I-2018-00377</t>
  </si>
  <si>
    <t>I-2014-01014</t>
  </si>
  <si>
    <t>I-2014-01020</t>
  </si>
  <si>
    <t>I-2018-00381</t>
  </si>
  <si>
    <t>I-2021-00607</t>
  </si>
  <si>
    <t>I-2014-01022</t>
  </si>
  <si>
    <t>I-2020-00327</t>
  </si>
  <si>
    <t>I-2015-00351</t>
  </si>
  <si>
    <t>I-2018-00382</t>
  </si>
  <si>
    <t>I-2018-00385</t>
  </si>
  <si>
    <t>I-2016-00409</t>
  </si>
  <si>
    <t>I-2023-00473</t>
  </si>
  <si>
    <t>I-2022-00406</t>
  </si>
  <si>
    <t>I-2014-01029</t>
  </si>
  <si>
    <t>I-2021-00615</t>
  </si>
  <si>
    <t>I-2018-00388</t>
  </si>
  <si>
    <t>I-2014-01035</t>
  </si>
  <si>
    <t>I-2022-00411</t>
  </si>
  <si>
    <t>I-2019-00501</t>
  </si>
  <si>
    <t>I-2023-00476</t>
  </si>
  <si>
    <t>I-2016-00411</t>
  </si>
  <si>
    <t>I-2018-00387</t>
  </si>
  <si>
    <t>I-2021-00619</t>
  </si>
  <si>
    <t>I-2021-00622</t>
  </si>
  <si>
    <t>I-2019-00503</t>
  </si>
  <si>
    <t>I-2016-00415</t>
  </si>
  <si>
    <t>I-2023-00477</t>
  </si>
  <si>
    <t>I-2018-00393</t>
  </si>
  <si>
    <t>I-2016-00414</t>
  </si>
  <si>
    <t>I-2014-01039</t>
  </si>
  <si>
    <t>I-2017-00292</t>
  </si>
  <si>
    <t>I-2014-01044</t>
  </si>
  <si>
    <t>I-2021-00627</t>
  </si>
  <si>
    <t>I-2020-00336</t>
  </si>
  <si>
    <t>I-2018-00395</t>
  </si>
  <si>
    <t>I-2021-00630</t>
  </si>
  <si>
    <t>I-2022-00419</t>
  </si>
  <si>
    <t>I-2021-00632</t>
  </si>
  <si>
    <t>I-2015-00364</t>
  </si>
  <si>
    <t>I-2023-00486</t>
  </si>
  <si>
    <t>I-2022-00420</t>
  </si>
  <si>
    <t>I-2014-01060</t>
  </si>
  <si>
    <t>I-2019-00513</t>
  </si>
  <si>
    <t>I-2023-00490</t>
  </si>
  <si>
    <t>I-2021-00637</t>
  </si>
  <si>
    <t>I-2021-00635</t>
  </si>
  <si>
    <t>I-2021-00638</t>
  </si>
  <si>
    <t>I-2021-00639</t>
  </si>
  <si>
    <t>I-2016-00421</t>
  </si>
  <si>
    <t>I-2018-00406</t>
  </si>
  <si>
    <t>I-2019-00514</t>
  </si>
  <si>
    <t>I-2017-00294</t>
  </si>
  <si>
    <t>I-2018-00403</t>
  </si>
  <si>
    <t>I-2022-00421</t>
  </si>
  <si>
    <t>I-2023-00494</t>
  </si>
  <si>
    <t>I-2018-00407</t>
  </si>
  <si>
    <t>I-2014-01078</t>
  </si>
  <si>
    <t>I-2023-00498</t>
  </si>
  <si>
    <t>I-2016-00429</t>
  </si>
  <si>
    <t>I-2014-01085</t>
  </si>
  <si>
    <t>I-2014-01083</t>
  </si>
  <si>
    <t>I-2019-00518</t>
  </si>
  <si>
    <t>I-2020-00342</t>
  </si>
  <si>
    <t>I-2023-00499</t>
  </si>
  <si>
    <t>I-2017-00297</t>
  </si>
  <si>
    <t>I-2022-00430</t>
  </si>
  <si>
    <t>I-2016-00433</t>
  </si>
  <si>
    <t>I-2019-00520</t>
  </si>
  <si>
    <t>I-2014-01092</t>
  </si>
  <si>
    <t>I-2014-01095</t>
  </si>
  <si>
    <t>I-2017-00301</t>
  </si>
  <si>
    <t>I-2015-00376</t>
  </si>
  <si>
    <t>I-2014-01102</t>
  </si>
  <si>
    <t>I-2015-00377</t>
  </si>
  <si>
    <t>I-2014-01100</t>
  </si>
  <si>
    <t>I-2014-01096</t>
  </si>
  <si>
    <t>I-2022-00433</t>
  </si>
  <si>
    <t>I-2018-00414</t>
  </si>
  <si>
    <t>I-2015-00381</t>
  </si>
  <si>
    <t>I-2014-01103</t>
  </si>
  <si>
    <t>I-2014-01106</t>
  </si>
  <si>
    <t>I-2020-00349</t>
  </si>
  <si>
    <t>I-2022-00435</t>
  </si>
  <si>
    <t>I-2015-00380</t>
  </si>
  <si>
    <t>I-2018-00417</t>
  </si>
  <si>
    <t>I-2023-00510</t>
  </si>
  <si>
    <t>I-2014-01114</t>
  </si>
  <si>
    <t>I-2021-00658</t>
  </si>
  <si>
    <t>I-2022-00438</t>
  </si>
  <si>
    <t>I-2014-01110</t>
  </si>
  <si>
    <t>I-2014-01111</t>
  </si>
  <si>
    <t>I-2014-01109</t>
  </si>
  <si>
    <t>I-2015-00383</t>
  </si>
  <si>
    <t>I-2022-00441</t>
  </si>
  <si>
    <t>I-2019-00529</t>
  </si>
  <si>
    <t>I-2021-00662</t>
  </si>
  <si>
    <t>I-2021-00663</t>
  </si>
  <si>
    <t>I-2022-00446</t>
  </si>
  <si>
    <t>I-2022-00444</t>
  </si>
  <si>
    <t>I-2015-00387</t>
  </si>
  <si>
    <t>I-2014-01127</t>
  </si>
  <si>
    <t>I-2019-00532</t>
  </si>
  <si>
    <t>I-2018-00423</t>
  </si>
  <si>
    <t>I-2017-00308</t>
  </si>
  <si>
    <t>I-2021-00670</t>
  </si>
  <si>
    <t>I-2019-00535</t>
  </si>
  <si>
    <t>I-2022-00449</t>
  </si>
  <si>
    <t>I-2022-00448</t>
  </si>
  <si>
    <t>I-2017-00313</t>
  </si>
  <si>
    <t>I-2020-00354</t>
  </si>
  <si>
    <t>I-2021-00673</t>
  </si>
  <si>
    <t>I-2019-00537</t>
  </si>
  <si>
    <t>I-2019-00536</t>
  </si>
  <si>
    <t>I-2014-01134</t>
  </si>
  <si>
    <t>I-2023-00519</t>
  </si>
  <si>
    <t>I-2022-00453</t>
  </si>
  <si>
    <t>I-2014-01136</t>
  </si>
  <si>
    <t>I-2023-00518</t>
  </si>
  <si>
    <t>I-2014-01144</t>
  </si>
  <si>
    <t>I-2020-00357</t>
  </si>
  <si>
    <t>I-2014-01147</t>
  </si>
  <si>
    <t>I-2017-00317</t>
  </si>
  <si>
    <t>I-2021-00679</t>
  </si>
  <si>
    <t>I-2014-01153</t>
  </si>
  <si>
    <t>I-2014-01157</t>
  </si>
  <si>
    <t>I-2019-00541</t>
  </si>
  <si>
    <t>I-2020-00359</t>
  </si>
  <si>
    <t>I-2014-01158</t>
  </si>
  <si>
    <t>I-2018-00432</t>
  </si>
  <si>
    <t>I-2015-00401</t>
  </si>
  <si>
    <t>I-2014-01166</t>
  </si>
  <si>
    <t>I-2021-00681</t>
  </si>
  <si>
    <t>I-2014-01159</t>
  </si>
  <si>
    <t>I-2014-01168</t>
  </si>
  <si>
    <t>I-2014-01174</t>
  </si>
  <si>
    <t>I-2021-00687</t>
  </si>
  <si>
    <t>I-2016-00455</t>
  </si>
  <si>
    <t>I-2014-01170</t>
  </si>
  <si>
    <t>I-2020-00363</t>
  </si>
  <si>
    <t>I-2017-00321</t>
  </si>
  <si>
    <t>I-2019-00549</t>
  </si>
  <si>
    <t>I-2019-00552</t>
  </si>
  <si>
    <t>I-2014-01178</t>
  </si>
  <si>
    <t>I-2015-00406</t>
  </si>
  <si>
    <t>I-2014-01185</t>
  </si>
  <si>
    <t>I-2017-00322</t>
  </si>
  <si>
    <t>I-2021-00693</t>
  </si>
  <si>
    <t>I-2020-00365</t>
  </si>
  <si>
    <t>I-2019-00556</t>
  </si>
  <si>
    <t>I-2023-00532</t>
  </si>
  <si>
    <t>I-2022-00461</t>
  </si>
  <si>
    <t>I-2015-00413</t>
  </si>
  <si>
    <t>I-2016-00463</t>
  </si>
  <si>
    <t>I-2019-00558</t>
  </si>
  <si>
    <t>I-2017-00327</t>
  </si>
  <si>
    <t>I-2016-00465</t>
  </si>
  <si>
    <t>I-2019-00563</t>
  </si>
  <si>
    <t>I-2014-01204</t>
  </si>
  <si>
    <t>I-2019-00564</t>
  </si>
  <si>
    <t>I-2021-00699</t>
  </si>
  <si>
    <t>I-2020-00370</t>
  </si>
  <si>
    <t>I-2021-00702</t>
  </si>
  <si>
    <t>I-2020-00371</t>
  </si>
  <si>
    <t>I-2016-00472</t>
  </si>
  <si>
    <t>I-2016-00473</t>
  </si>
  <si>
    <t>I-2014-01217</t>
  </si>
  <si>
    <t>I-2021-00704</t>
  </si>
  <si>
    <t>I-2019-00577</t>
  </si>
  <si>
    <t>I-2022-00469</t>
  </si>
  <si>
    <t>I-2021-00709</t>
  </si>
  <si>
    <t>I-2021-00711</t>
  </si>
  <si>
    <t>I-2021-00713</t>
  </si>
  <si>
    <t>I-2019-00580</t>
  </si>
  <si>
    <t>I-2018-00445</t>
  </si>
  <si>
    <t>I-2022-00476</t>
  </si>
  <si>
    <t>I-2021-00716</t>
  </si>
  <si>
    <t>I-2020-00377</t>
  </si>
  <si>
    <t>I-2022-00478</t>
  </si>
  <si>
    <t>I-2018-00446</t>
  </si>
  <si>
    <t>I-2018-00447</t>
  </si>
  <si>
    <t>I-2019-00583</t>
  </si>
  <si>
    <t>I-2017-00339</t>
  </si>
  <si>
    <t>I-2014-01232</t>
  </si>
  <si>
    <t>I-2021-00723</t>
  </si>
  <si>
    <t>I-2014-01236</t>
  </si>
  <si>
    <t>I-2015-00426</t>
  </si>
  <si>
    <t>I-2020-00380</t>
  </si>
  <si>
    <t>I-2022-00482</t>
  </si>
  <si>
    <t>I-2018-00448</t>
  </si>
  <si>
    <t>I-2016-00479</t>
  </si>
  <si>
    <t>I-2019-00588</t>
  </si>
  <si>
    <t>I-2023-00547</t>
  </si>
  <si>
    <t>I-2019-00590</t>
  </si>
  <si>
    <t>I-2023-00549</t>
  </si>
  <si>
    <t>I-2023-00550</t>
  </si>
  <si>
    <t>I-2021-00728</t>
  </si>
  <si>
    <t>I-2020-00382</t>
  </si>
  <si>
    <t>I-2014-01240</t>
  </si>
  <si>
    <t>I-2019-00594</t>
  </si>
  <si>
    <t>I-2020-00381</t>
  </si>
  <si>
    <t>I-2021-00724</t>
  </si>
  <si>
    <t>I-2019-00593</t>
  </si>
  <si>
    <t>I-2015-00430</t>
  </si>
  <si>
    <t>I-2023-00554</t>
  </si>
  <si>
    <t>I-2022-00485</t>
  </si>
  <si>
    <t>I-2021-00731</t>
  </si>
  <si>
    <t>I-2021-00729</t>
  </si>
  <si>
    <t>I-2022-00486</t>
  </si>
  <si>
    <t>I-2015-00437</t>
  </si>
  <si>
    <t>I-2015-00434</t>
  </si>
  <si>
    <t>I-2019-00600</t>
  </si>
  <si>
    <t>I-2019-00602</t>
  </si>
  <si>
    <t>I-2022-00488</t>
  </si>
  <si>
    <t>I-2019-00601</t>
  </si>
  <si>
    <t>I-2019-00604</t>
  </si>
  <si>
    <t>I-2022-00491</t>
  </si>
  <si>
    <t>I-2015-00442</t>
  </si>
  <si>
    <t>I-2021-00745</t>
  </si>
  <si>
    <t>I-2018-00460</t>
  </si>
  <si>
    <t>I-2022-00499</t>
  </si>
  <si>
    <t>I-2014-01276</t>
  </si>
  <si>
    <t>I-2018-00462</t>
  </si>
  <si>
    <t>I-2021-00746</t>
  </si>
  <si>
    <t>I-2023-00564</t>
  </si>
  <si>
    <t>I-2014-01275</t>
  </si>
  <si>
    <t>I-2020-00390</t>
  </si>
  <si>
    <t>I-2017-00353</t>
  </si>
  <si>
    <t>I-2021-00749</t>
  </si>
  <si>
    <t>I-2021-00748</t>
  </si>
  <si>
    <t>I-2018-00468</t>
  </si>
  <si>
    <t>I-2017-00354</t>
  </si>
  <si>
    <t>I-2021-00755</t>
  </si>
  <si>
    <t>I-2022-00503</t>
  </si>
  <si>
    <t>I-2019-00615</t>
  </si>
  <si>
    <t>I-2017-00356</t>
  </si>
  <si>
    <t>I-2014-01295</t>
  </si>
  <si>
    <t>I-2017-00357</t>
  </si>
  <si>
    <t>I-2020-00399</t>
  </si>
  <si>
    <t>I-2021-00763</t>
  </si>
  <si>
    <t>I-2020-00400</t>
  </si>
  <si>
    <t>I-2015-00456</t>
  </si>
  <si>
    <t>I-2022-00507</t>
  </si>
  <si>
    <t>I-2016-00507</t>
  </si>
  <si>
    <t>I-2016-00509</t>
  </si>
  <si>
    <t>I-2019-00622</t>
  </si>
  <si>
    <t>I-2023-00571</t>
  </si>
  <si>
    <t>I-2021-00766</t>
  </si>
  <si>
    <t>I-2018-00477</t>
  </si>
  <si>
    <t>I-2023-00576</t>
  </si>
  <si>
    <t>I-2021-00767</t>
  </si>
  <si>
    <t>I-2014-01311</t>
  </si>
  <si>
    <t>I-2016-00512</t>
  </si>
  <si>
    <t>I-2019-00627</t>
  </si>
  <si>
    <t>I-2019-00631</t>
  </si>
  <si>
    <t>I-2021-00774</t>
  </si>
  <si>
    <t>I-2014-01320</t>
  </si>
  <si>
    <t>I-2014-01321</t>
  </si>
  <si>
    <t>I-2017-00362</t>
  </si>
  <si>
    <t>I-2022-00513</t>
  </si>
  <si>
    <t>I-2017-00367</t>
  </si>
  <si>
    <t>I-2019-00639</t>
  </si>
  <si>
    <t>I-2023-00584</t>
  </si>
  <si>
    <t>I-2020-00410</t>
  </si>
  <si>
    <t>I-2021-00780</t>
  </si>
  <si>
    <t>I-2021-00778</t>
  </si>
  <si>
    <t>I-2014-01332</t>
  </si>
  <si>
    <t>I-2017-00370</t>
  </si>
  <si>
    <t>I-2015-00473</t>
  </si>
  <si>
    <t>I-2023-00587</t>
  </si>
  <si>
    <t>I-2017-00372</t>
  </si>
  <si>
    <t>I-2014-01339</t>
  </si>
  <si>
    <t>I-2023-00590</t>
  </si>
  <si>
    <t>I-2014-01338</t>
  </si>
  <si>
    <t>I-2014-01334</t>
  </si>
  <si>
    <t>I-2014-01342</t>
  </si>
  <si>
    <t>I-2019-00643</t>
  </si>
  <si>
    <t>I-2021-00786</t>
  </si>
  <si>
    <t>I-2016-00520</t>
  </si>
  <si>
    <t>I-2018-00490</t>
  </si>
  <si>
    <t>I-2021-00796</t>
  </si>
  <si>
    <t>I-2016-00521</t>
  </si>
  <si>
    <t>I-2014-01348</t>
  </si>
  <si>
    <t>I-2020-00413</t>
  </si>
  <si>
    <t>I-2022-00517</t>
  </si>
  <si>
    <t>I-2016-00522</t>
  </si>
  <si>
    <t>I-2015-00476</t>
  </si>
  <si>
    <t>I-2017-00373</t>
  </si>
  <si>
    <t>I-2014-01349</t>
  </si>
  <si>
    <t>I-2016-00524</t>
  </si>
  <si>
    <t>I-2017-00374</t>
  </si>
  <si>
    <t>I-2021-00800</t>
  </si>
  <si>
    <t>I-2014-01351</t>
  </si>
  <si>
    <t>I-2021-00798</t>
  </si>
  <si>
    <t>I-2020-00415</t>
  </si>
  <si>
    <t>I-2015-00484</t>
  </si>
  <si>
    <t>I-2018-00495</t>
  </si>
  <si>
    <t>I-2019-00649</t>
  </si>
  <si>
    <t>I-2015-00489</t>
  </si>
  <si>
    <t>I-2014-01356</t>
  </si>
  <si>
    <t>I-2022-00520</t>
  </si>
  <si>
    <t>I-2021-00805</t>
  </si>
  <si>
    <t>I-2018-00499</t>
  </si>
  <si>
    <t>I-2021-00804</t>
  </si>
  <si>
    <t>I-2023-00597</t>
  </si>
  <si>
    <t>I-2014-01367</t>
  </si>
  <si>
    <t>I-2018-00501</t>
  </si>
  <si>
    <t>I-2014-01368</t>
  </si>
  <si>
    <t>I-2017-00376</t>
  </si>
  <si>
    <t>I-2015-00492</t>
  </si>
  <si>
    <t>I-2019-00657</t>
  </si>
  <si>
    <t>I-2016-00532</t>
  </si>
  <si>
    <t>I-2022-00526</t>
  </si>
  <si>
    <t>I-2019-00660</t>
  </si>
  <si>
    <t>I-2015-00494</t>
  </si>
  <si>
    <t>I-2017-00377</t>
  </si>
  <si>
    <t>I-2020-00424</t>
  </si>
  <si>
    <t>I-2020-00426</t>
  </si>
  <si>
    <t>I-2016-00541</t>
  </si>
  <si>
    <t>I-2020-00425</t>
  </si>
  <si>
    <t>I-2019-00668</t>
  </si>
  <si>
    <t>I-2014-01393</t>
  </si>
  <si>
    <t>I-2015-00498</t>
  </si>
  <si>
    <t>I-2020-00427</t>
  </si>
  <si>
    <t>I-2018-00504</t>
  </si>
  <si>
    <t>I-2017-00378</t>
  </si>
  <si>
    <t>I-2021-00818</t>
  </si>
  <si>
    <t>I-2022-00531</t>
  </si>
  <si>
    <t>I-2014-01399</t>
  </si>
  <si>
    <t>I-2015-00501</t>
  </si>
  <si>
    <t>I-2020-00429</t>
  </si>
  <si>
    <t>I-2019-00673</t>
  </si>
  <si>
    <t>I-2014-01400</t>
  </si>
  <si>
    <t>I-2015-00502</t>
  </si>
  <si>
    <t>I-2019-00675</t>
  </si>
  <si>
    <t>I-2022-00535</t>
  </si>
  <si>
    <t>I-2014-01404</t>
  </si>
  <si>
    <t>I-2023-00615</t>
  </si>
  <si>
    <t>I-2019-00677</t>
  </si>
  <si>
    <t>I-2015-00503</t>
  </si>
  <si>
    <t>I-2018-00509</t>
  </si>
  <si>
    <t>I-2021-00829</t>
  </si>
  <si>
    <t>I-2018-00510</t>
  </si>
  <si>
    <t>I-2021-00832</t>
  </si>
  <si>
    <t>I-2021-00831</t>
  </si>
  <si>
    <t>I-2018-00511</t>
  </si>
  <si>
    <t>I-2018-00513</t>
  </si>
  <si>
    <t>I-2020-00434</t>
  </si>
  <si>
    <t>I-2019-00683</t>
  </si>
  <si>
    <t>I-2020-00435</t>
  </si>
  <si>
    <t>I-2018-00519</t>
  </si>
  <si>
    <t>I-2015-00509</t>
  </si>
  <si>
    <t>I-2017-00390</t>
  </si>
  <si>
    <t>I-2018-00518</t>
  </si>
  <si>
    <t>I-2020-00437</t>
  </si>
  <si>
    <t>I-2019-00685</t>
  </si>
  <si>
    <t>I-2021-00839</t>
  </si>
  <si>
    <t>I-2016-00556</t>
  </si>
  <si>
    <t>I-2016-00555</t>
  </si>
  <si>
    <t>I-2022-00549</t>
  </si>
  <si>
    <t>I-2022-00548</t>
  </si>
  <si>
    <t>I-2022-00551</t>
  </si>
  <si>
    <t>I-2020-00441</t>
  </si>
  <si>
    <t>I-2017-00393</t>
  </si>
  <si>
    <t>I-2016-00560</t>
  </si>
  <si>
    <t>I-2019-00692</t>
  </si>
  <si>
    <t>I-2022-00554</t>
  </si>
  <si>
    <t>I-2022-00553</t>
  </si>
  <si>
    <t>I-2020-00445</t>
  </si>
  <si>
    <t>I-2019-00697</t>
  </si>
  <si>
    <t>I-2018-00523</t>
  </si>
  <si>
    <t>I-2020-00446</t>
  </si>
  <si>
    <t>I-2020-00447</t>
  </si>
  <si>
    <t>I-2021-00854</t>
  </si>
  <si>
    <t>I-2021-00858</t>
  </si>
  <si>
    <t>I-2021-00857</t>
  </si>
  <si>
    <t>I-2014-01466</t>
  </si>
  <si>
    <t>I-2022-00562</t>
  </si>
  <si>
    <t>I-2018-00532</t>
  </si>
  <si>
    <t>I-2021-00864</t>
  </si>
  <si>
    <t>I-2018-00531</t>
  </si>
  <si>
    <t>I-2015-00521</t>
  </si>
  <si>
    <t>I-2023-00650</t>
  </si>
  <si>
    <t>I-2015-00527</t>
  </si>
  <si>
    <t>I-2019-00708</t>
  </si>
  <si>
    <t>I-2019-00707</t>
  </si>
  <si>
    <t>I-2023-00655</t>
  </si>
  <si>
    <t>I-2014-01473</t>
  </si>
  <si>
    <t>I-2020-00453</t>
  </si>
  <si>
    <t>I-2017-00407</t>
  </si>
  <si>
    <t>I-2019-00711</t>
  </si>
  <si>
    <t>I-2019-00715</t>
  </si>
  <si>
    <t>I-2018-00537</t>
  </si>
  <si>
    <t>I-2023-00664</t>
  </si>
  <si>
    <t>I-2018-00536</t>
  </si>
  <si>
    <t>I-2023-00673</t>
  </si>
  <si>
    <t>I-2018-00539</t>
  </si>
  <si>
    <t>I-2017-00410</t>
  </si>
  <si>
    <t>I-2014-01502</t>
  </si>
  <si>
    <t>I-2019-00720</t>
  </si>
  <si>
    <t>I-2015-00534</t>
  </si>
  <si>
    <t>I-2014-01503</t>
  </si>
  <si>
    <t>I-2022-00579</t>
  </si>
  <si>
    <t>I-2015-00535</t>
  </si>
  <si>
    <t>I-2020-00469</t>
  </si>
  <si>
    <t>I-2021-00882</t>
  </si>
  <si>
    <t>I-2014-01511</t>
  </si>
  <si>
    <t>I-2019-00724</t>
  </si>
  <si>
    <t>I-2021-00883</t>
  </si>
  <si>
    <t>I-2023-00676</t>
  </si>
  <si>
    <t>I-2014-01516</t>
  </si>
  <si>
    <t>I-2019-00725</t>
  </si>
  <si>
    <t>I-2018-00545</t>
  </si>
  <si>
    <t>I-2020-00470</t>
  </si>
  <si>
    <t>I-2019-00728</t>
  </si>
  <si>
    <t>I-2016-00591</t>
  </si>
  <si>
    <t>I-2015-00543</t>
  </si>
  <si>
    <t>I-2014-01532</t>
  </si>
  <si>
    <t>I-2017-00414</t>
  </si>
  <si>
    <t>I-2022-00585</t>
  </si>
  <si>
    <t>I-2017-00413</t>
  </si>
  <si>
    <t>I-2018-00548</t>
  </si>
  <si>
    <t>I-2020-00473</t>
  </si>
  <si>
    <t>I-2014-01537</t>
  </si>
  <si>
    <t>I-2017-00415</t>
  </si>
  <si>
    <t>I-2019-00736</t>
  </si>
  <si>
    <t>I-2022-00588</t>
  </si>
  <si>
    <t>I-2022-00590</t>
  </si>
  <si>
    <t>I-2023-00687</t>
  </si>
  <si>
    <t>I-2022-00592</t>
  </si>
  <si>
    <t>I-2021-00893</t>
  </si>
  <si>
    <t>I-2017-00418</t>
  </si>
  <si>
    <t>I-2020-00478</t>
  </si>
  <si>
    <t>I-2018-00553</t>
  </si>
  <si>
    <t>I-2019-00741</t>
  </si>
  <si>
    <t>I-2020-00477</t>
  </si>
  <si>
    <t>I-2023-00691</t>
  </si>
  <si>
    <t>I-2017-00422</t>
  </si>
  <si>
    <t>I-2022-00597</t>
  </si>
  <si>
    <t>I-2021-00899</t>
  </si>
  <si>
    <t>I-2022-00598</t>
  </si>
  <si>
    <t>I-2019-00747</t>
  </si>
  <si>
    <t>I-2019-00746</t>
  </si>
  <si>
    <t>I-2019-00751</t>
  </si>
  <si>
    <t>I-2021-00904</t>
  </si>
  <si>
    <t>I-2021-00901</t>
  </si>
  <si>
    <t>I-2022-00599</t>
  </si>
  <si>
    <t>I-2022-00602</t>
  </si>
  <si>
    <t>I-2014-01554</t>
  </si>
  <si>
    <t>I-2020-00481</t>
  </si>
  <si>
    <t>I-2014-01549</t>
  </si>
  <si>
    <t>I-2019-00756</t>
  </si>
  <si>
    <t>I-2014-01555</t>
  </si>
  <si>
    <t>I-2017-00424</t>
  </si>
  <si>
    <t>I-2014-01561</t>
  </si>
  <si>
    <t>I-2014-01559</t>
  </si>
  <si>
    <t>I-2015-00559</t>
  </si>
  <si>
    <t>I-2021-00919</t>
  </si>
  <si>
    <t>I-2014-01564</t>
  </si>
  <si>
    <t>I-2020-00486</t>
  </si>
  <si>
    <t>I-2014-01576</t>
  </si>
  <si>
    <t>I-2014-01565</t>
  </si>
  <si>
    <t>I-2020-00487</t>
  </si>
  <si>
    <t>I-2022-00606</t>
  </si>
  <si>
    <t>I-2017-00433</t>
  </si>
  <si>
    <t>I-2014-01577</t>
  </si>
  <si>
    <t>I-2023-00709</t>
  </si>
  <si>
    <t>I-2015-00561</t>
  </si>
  <si>
    <t>I-2020-00491</t>
  </si>
  <si>
    <t>I-2023-00712</t>
  </si>
  <si>
    <t>I-2020-00493</t>
  </si>
  <si>
    <t>I-2014-01589</t>
  </si>
  <si>
    <t>I-2019-00778</t>
  </si>
  <si>
    <t>I-2016-00614</t>
  </si>
  <si>
    <t>I-2018-00562</t>
  </si>
  <si>
    <t>I-2014-01588</t>
  </si>
  <si>
    <t>I-2017-00439</t>
  </si>
  <si>
    <t>I-2021-00929</t>
  </si>
  <si>
    <t>I-2022-00616</t>
  </si>
  <si>
    <t>I-2017-00440</t>
  </si>
  <si>
    <t>I-2022-00614</t>
  </si>
  <si>
    <t>I-2016-00617</t>
  </si>
  <si>
    <t>I-2018-00565</t>
  </si>
  <si>
    <t>I-2014-01590</t>
  </si>
  <si>
    <t>I-2023-00720</t>
  </si>
  <si>
    <t>I-2018-00568</t>
  </si>
  <si>
    <t>I-2022-00617</t>
  </si>
  <si>
    <t>I-2014-01601</t>
  </si>
  <si>
    <t>I-2016-00620</t>
  </si>
  <si>
    <t>I-2014-01604</t>
  </si>
  <si>
    <t>I-2014-01603</t>
  </si>
  <si>
    <t>I-2015-00570</t>
  </si>
  <si>
    <t>I-2021-00938</t>
  </si>
  <si>
    <t>I-2020-00499</t>
  </si>
  <si>
    <t>I-2018-00575</t>
  </si>
  <si>
    <t>I-2017-00444</t>
  </si>
  <si>
    <t>I-2019-00785</t>
  </si>
  <si>
    <t>I-2014-01610</t>
  </si>
  <si>
    <t>I-2014-01607</t>
  </si>
  <si>
    <t>I-2021-00944</t>
  </si>
  <si>
    <t>I-2018-00579</t>
  </si>
  <si>
    <t>I-2014-01626</t>
  </si>
  <si>
    <t>I-2014-01625</t>
  </si>
  <si>
    <t>I-2022-00625</t>
  </si>
  <si>
    <t>I-2017-00446</t>
  </si>
  <si>
    <t>I-2020-00503</t>
  </si>
  <si>
    <t>I-2023-00734</t>
  </si>
  <si>
    <t>I-2019-00798</t>
  </si>
  <si>
    <t>I-2023-00735</t>
  </si>
  <si>
    <t>I-2021-00954</t>
  </si>
  <si>
    <t>I-2018-00587</t>
  </si>
  <si>
    <t>I-2019-00800</t>
  </si>
  <si>
    <t>I-2014-01632</t>
  </si>
  <si>
    <t>I-2014-01633</t>
  </si>
  <si>
    <t>I-2014-01631</t>
  </si>
  <si>
    <t>I-2016-00633</t>
  </si>
  <si>
    <t>I-2014-01638</t>
  </si>
  <si>
    <t>I-2021-00958</t>
  </si>
  <si>
    <t>I-2015-00578</t>
  </si>
  <si>
    <t>I-2020-00511</t>
  </si>
  <si>
    <t>I-2021-00959</t>
  </si>
  <si>
    <t>I-2014-01645</t>
  </si>
  <si>
    <t>I-2021-00962</t>
  </si>
  <si>
    <t>I-2018-00589</t>
  </si>
  <si>
    <t>I-2022-00629</t>
  </si>
  <si>
    <t>I-2022-00631</t>
  </si>
  <si>
    <t>I-2022-00632</t>
  </si>
  <si>
    <t>I-2020-00514</t>
  </si>
  <si>
    <t>I-2019-00813</t>
  </si>
  <si>
    <t>I-2014-01657</t>
  </si>
  <si>
    <t>I-2021-00964</t>
  </si>
  <si>
    <t>I-2014-01656</t>
  </si>
  <si>
    <t>I-2022-00634</t>
  </si>
  <si>
    <t>I-2023-00748</t>
  </si>
  <si>
    <t>I-2018-00595</t>
  </si>
  <si>
    <t>I-2018-00598</t>
  </si>
  <si>
    <t>I-2014-01675</t>
  </si>
  <si>
    <t>I-2014-01679</t>
  </si>
  <si>
    <t>I-2023-00751</t>
  </si>
  <si>
    <t>I-2014-01685</t>
  </si>
  <si>
    <t>I-2014-01683</t>
  </si>
  <si>
    <t>I-2023-00753</t>
  </si>
  <si>
    <t>I-2019-00823</t>
  </si>
  <si>
    <t>I-2021-00972</t>
  </si>
  <si>
    <t>I-2023-00756</t>
  </si>
  <si>
    <t>I-2017-00456</t>
  </si>
  <si>
    <t>I-2023-00758</t>
  </si>
  <si>
    <t>I-2018-00601</t>
  </si>
  <si>
    <t>I-2020-00530</t>
  </si>
  <si>
    <t>I-2014-01694</t>
  </si>
  <si>
    <t>I-2017-00457</t>
  </si>
  <si>
    <t>I-2016-00651</t>
  </si>
  <si>
    <t>I-2017-00462</t>
  </si>
  <si>
    <t>I-2016-00656</t>
  </si>
  <si>
    <t>I-2018-00605</t>
  </si>
  <si>
    <t>I-2017-00461</t>
  </si>
  <si>
    <t>I-2023-00763</t>
  </si>
  <si>
    <t>I-2021-00974</t>
  </si>
  <si>
    <t>I-2018-00604</t>
  </si>
  <si>
    <t>I-2019-00831</t>
  </si>
  <si>
    <t>I-2021-00977</t>
  </si>
  <si>
    <t>I-2014-01703</t>
  </si>
  <si>
    <t>I-2021-00975</t>
  </si>
  <si>
    <t>I-2018-00608</t>
  </si>
  <si>
    <t>I-2017-00464</t>
  </si>
  <si>
    <t>I-2016-00659</t>
  </si>
  <si>
    <t>I-2014-01708</t>
  </si>
  <si>
    <t>I-2014-01707</t>
  </si>
  <si>
    <t>I-2019-00834</t>
  </si>
  <si>
    <t>I-2016-00663</t>
  </si>
  <si>
    <t>I-2023-00768</t>
  </si>
  <si>
    <t>I-2020-00538</t>
  </si>
  <si>
    <t>I-2021-00980</t>
  </si>
  <si>
    <t>I-2021-00978</t>
  </si>
  <si>
    <t>I-2015-00601</t>
  </si>
  <si>
    <t>I-2016-00664</t>
  </si>
  <si>
    <t>I-2014-01725</t>
  </si>
  <si>
    <t>I-2014-01726</t>
  </si>
  <si>
    <t>I-2016-00666</t>
  </si>
  <si>
    <t>I-2022-00650</t>
  </si>
  <si>
    <t>I-2014-01731</t>
  </si>
  <si>
    <t>I-2014-01733</t>
  </si>
  <si>
    <t>I-2018-00619</t>
  </si>
  <si>
    <t>I-2015-00603</t>
  </si>
  <si>
    <t>I-2014-01735</t>
  </si>
  <si>
    <t>I-2020-00541</t>
  </si>
  <si>
    <t>I-2021-00993</t>
  </si>
  <si>
    <t>I-2015-00613</t>
  </si>
  <si>
    <t>I-2022-00654</t>
  </si>
  <si>
    <t>I-2020-00544</t>
  </si>
  <si>
    <t>I-2021-00991</t>
  </si>
  <si>
    <t>I-2020-00546</t>
  </si>
  <si>
    <t>I-2015-00614</t>
  </si>
  <si>
    <t>I-2020-00547</t>
  </si>
  <si>
    <t>I-2020-00551</t>
  </si>
  <si>
    <t>I-2014-01753</t>
  </si>
  <si>
    <t>I-2021-01000</t>
  </si>
  <si>
    <t>I-2018-00624</t>
  </si>
  <si>
    <t>I-2017-00469</t>
  </si>
  <si>
    <t>I-2014-01757</t>
  </si>
  <si>
    <t>I-2022-00659</t>
  </si>
  <si>
    <t>I-2019-00846</t>
  </si>
  <si>
    <t>I-2019-00847</t>
  </si>
  <si>
    <t>I-2018-00626</t>
  </si>
  <si>
    <t>I-2016-00674</t>
  </si>
  <si>
    <t>I-2015-00622</t>
  </si>
  <si>
    <t>I-2019-00850</t>
  </si>
  <si>
    <t>I-2014-01758</t>
  </si>
  <si>
    <t>I-2019-00853</t>
  </si>
  <si>
    <t>I-2020-00555</t>
  </si>
  <si>
    <t>I-2018-00633</t>
  </si>
  <si>
    <t>I-2019-00857</t>
  </si>
  <si>
    <t>I-2023-00789</t>
  </si>
  <si>
    <t>I-2014-01771</t>
  </si>
  <si>
    <t>I-2022-00664</t>
  </si>
  <si>
    <t>I-2018-00635</t>
  </si>
  <si>
    <t>I-2022-00666</t>
  </si>
  <si>
    <t>I-2014-01776</t>
  </si>
  <si>
    <t>I-2019-00858</t>
  </si>
  <si>
    <t>I-2014-01778</t>
  </si>
  <si>
    <t>I-2018-00638</t>
  </si>
  <si>
    <t>I-2014-01788</t>
  </si>
  <si>
    <t>I-2022-00668</t>
  </si>
  <si>
    <t>I-2022-00671</t>
  </si>
  <si>
    <t>I-2016-00687</t>
  </si>
  <si>
    <t>I-2023-00800</t>
  </si>
  <si>
    <t>I-2017-00475</t>
  </si>
  <si>
    <t>I-2018-00642</t>
  </si>
  <si>
    <t>I-2016-00688</t>
  </si>
  <si>
    <t>I-2014-01798</t>
  </si>
  <si>
    <t>I-2023-00803</t>
  </si>
  <si>
    <t>I-2019-00872</t>
  </si>
  <si>
    <t>I-2018-00647</t>
  </si>
  <si>
    <t>I-2016-00693</t>
  </si>
  <si>
    <t>I-2015-00638</t>
  </si>
  <si>
    <t>I-2021-01016</t>
  </si>
  <si>
    <t>I-2022-00673</t>
  </si>
  <si>
    <t>I-2016-00696</t>
  </si>
  <si>
    <t>I-2021-01021</t>
  </si>
  <si>
    <t>I-2014-01810</t>
  </si>
  <si>
    <t>I-2023-00806</t>
  </si>
  <si>
    <t>I-2014-01814</t>
  </si>
  <si>
    <t>I-2019-00878</t>
  </si>
  <si>
    <t>I-2020-00563</t>
  </si>
  <si>
    <t>I-2019-00881</t>
  </si>
  <si>
    <t>I-2020-00566</t>
  </si>
  <si>
    <t>I-2017-00489</t>
  </si>
  <si>
    <t>I-2019-00886</t>
  </si>
  <si>
    <t>I-2017-00486</t>
  </si>
  <si>
    <t>I-2017-00485</t>
  </si>
  <si>
    <t>I-2022-00679</t>
  </si>
  <si>
    <t>I-2019-00893</t>
  </si>
  <si>
    <t>I-2023-00811</t>
  </si>
  <si>
    <t>I-2020-00569</t>
  </si>
  <si>
    <t>I-2019-00895</t>
  </si>
  <si>
    <t>I-2019-00896</t>
  </si>
  <si>
    <t>I-2015-00644</t>
  </si>
  <si>
    <t>I-2022-00685</t>
  </si>
  <si>
    <t>I-2021-01035</t>
  </si>
  <si>
    <t>I-2020-00573</t>
  </si>
  <si>
    <t>I-2019-00900</t>
  </si>
  <si>
    <t>I-2023-00814</t>
  </si>
  <si>
    <t>I-2022-00691</t>
  </si>
  <si>
    <t>I-2014-01843</t>
  </si>
  <si>
    <t>I-2019-00901</t>
  </si>
  <si>
    <t>I-2016-00706</t>
  </si>
  <si>
    <t>I-2019-00902</t>
  </si>
  <si>
    <t>I-2020-00574</t>
  </si>
  <si>
    <t>I-2015-00647</t>
  </si>
  <si>
    <t>I-2014-01850</t>
  </si>
  <si>
    <t>I-2017-00493</t>
  </si>
  <si>
    <t>I-2021-01039</t>
  </si>
  <si>
    <t>I-2015-00648</t>
  </si>
  <si>
    <t>I-2014-01852</t>
  </si>
  <si>
    <t>I-2017-00496</t>
  </si>
  <si>
    <t>I-2022-00698</t>
  </si>
  <si>
    <t>I-2017-00498</t>
  </si>
  <si>
    <t>I-2018-00665</t>
  </si>
  <si>
    <t>I-2019-00915</t>
  </si>
  <si>
    <t>I-2022-00702</t>
  </si>
  <si>
    <t>I-2023-00827</t>
  </si>
  <si>
    <t>I-2019-00911</t>
  </si>
  <si>
    <t>I-2020-00575</t>
  </si>
  <si>
    <t>I-2019-00916</t>
  </si>
  <si>
    <t>I-2021-01047</t>
  </si>
  <si>
    <t>I-2023-00831</t>
  </si>
  <si>
    <t>I-2019-00920</t>
  </si>
  <si>
    <t>I-2021-01049</t>
  </si>
  <si>
    <t>I-2017-00501</t>
  </si>
  <si>
    <t>C--00468</t>
  </si>
  <si>
    <t>P-2019-03519</t>
  </si>
  <si>
    <t>Severe arc-flash at 4160V MCC during cabinet racking; plant outage and third-party contractor injury claims.</t>
  </si>
  <si>
    <t>C--00469</t>
  </si>
  <si>
    <t>P-2019-03579</t>
  </si>
  <si>
    <t>Valve packing leak at wellhead; ground impact limited to pad; remediation.</t>
  </si>
  <si>
    <t>C--00476</t>
  </si>
  <si>
    <t>I-2016-00100</t>
  </si>
  <si>
    <t>P-2019-00502</t>
  </si>
  <si>
    <t>Generator backfire ignited vapors in remote test separator shack; smoke and wiring loss.</t>
  </si>
  <si>
    <t>C--00479</t>
  </si>
  <si>
    <t>I-2019-00123</t>
  </si>
  <si>
    <t>P-2019-00468</t>
  </si>
  <si>
    <t>Overflow from produced-water tank into secondary containment after transmitter failure; vacuum recovery only.</t>
  </si>
  <si>
    <t>C--00487</t>
  </si>
  <si>
    <t>P-2019-01150</t>
  </si>
  <si>
    <t>Small valve packing leak; stained soil removed from within pad.</t>
  </si>
  <si>
    <t>C--00489</t>
  </si>
  <si>
    <t>I-2018-00692</t>
  </si>
  <si>
    <t>P-2019-03563</t>
  </si>
  <si>
    <t>Slip on wet mat at warehouse; sprain/strain alleged.</t>
  </si>
  <si>
    <t>C--00490</t>
  </si>
  <si>
    <t>P-2019-02396</t>
  </si>
  <si>
    <t>C--00502</t>
  </si>
  <si>
    <t>P-2019-03164</t>
  </si>
  <si>
    <t>Pinhole leak at methanol line flange inside containment; absorbents and gasket replacement.</t>
  </si>
  <si>
    <t>C--00504</t>
  </si>
  <si>
    <t>I-2019-00302</t>
  </si>
  <si>
    <t>P-2019-01170</t>
  </si>
  <si>
    <t>Track-hoe flip on ROW slope; operator orthopedics and equipment retrieval.</t>
  </si>
  <si>
    <t>C--00507</t>
  </si>
  <si>
    <t>I-2019-00474</t>
  </si>
  <si>
    <t>P-2019-01840</t>
  </si>
  <si>
    <t>Knocked-over safety bollard during skid steer turn; replace/paint.</t>
  </si>
  <si>
    <t>C--00512</t>
  </si>
  <si>
    <t>P-2019-03002</t>
  </si>
  <si>
    <t>Slow seep at chemical tote valve; absorbents and disposal.</t>
  </si>
  <si>
    <t>C--00513</t>
  </si>
  <si>
    <t>I-2019-00318</t>
  </si>
  <si>
    <t>P-2020-01221</t>
  </si>
  <si>
    <t>C--00529</t>
  </si>
  <si>
    <t>P-2019-03308</t>
  </si>
  <si>
    <t>Contractor vehicle T-boned crossing lease road; moderate injuries.</t>
  </si>
  <si>
    <t>C--00532</t>
  </si>
  <si>
    <t>I-2014-00873</t>
  </si>
  <si>
    <t>P-2020-01601</t>
  </si>
  <si>
    <t>Road-spray overshoot to third-party vehicles during coating operation; clean/repaint costs.</t>
  </si>
  <si>
    <t>C--00533</t>
  </si>
  <si>
    <t>P-2019-03087</t>
  </si>
  <si>
    <t>Contractor tripped over ground cable; elbow strain.</t>
  </si>
  <si>
    <t>C--00535</t>
  </si>
  <si>
    <t>P-2019-02848</t>
  </si>
  <si>
    <t>Low-pressure hose whip during washout of frac tanks; bruising and cleanup.</t>
  </si>
  <si>
    <t>C--00537</t>
  </si>
  <si>
    <t>I-2016-00427</t>
  </si>
  <si>
    <t>P-2019-02000</t>
  </si>
  <si>
    <t>Tool dropped from ladder; facial cut; urgent care visit only.</t>
  </si>
  <si>
    <t>C--00539</t>
  </si>
  <si>
    <t>I-2016-00412</t>
  </si>
  <si>
    <t>P-2019-01930</t>
  </si>
  <si>
    <t>Small arc-flash while replacing breaker in pump house; outpatient burns and component swap.</t>
  </si>
  <si>
    <t>C--00551</t>
  </si>
  <si>
    <t>I-2014-00990</t>
  </si>
  <si>
    <t>P-2019-01823</t>
  </si>
  <si>
    <t>Small dent to customer handrail during removal; repaint/repair claimed.</t>
  </si>
  <si>
    <t>C--00552</t>
  </si>
  <si>
    <t>I-2019-00922</t>
  </si>
  <si>
    <t>P-2019-03442</t>
  </si>
  <si>
    <t>Loader contact with cable bridge; short outage; minor property claims.</t>
  </si>
  <si>
    <t>C--00553</t>
  </si>
  <si>
    <t>P-2019-03535</t>
  </si>
  <si>
    <t>Low-speed forklift contact with guardrail; repaint and inspection.</t>
  </si>
  <si>
    <t>C--00556</t>
  </si>
  <si>
    <t>P-2020-02363</t>
  </si>
  <si>
    <t>Trip on hose at cleaning bay; one stitch; RTW next shift.</t>
  </si>
  <si>
    <t>C--00559</t>
  </si>
  <si>
    <t>P-2020-02400</t>
  </si>
  <si>
    <t>Belt guard failure on small compressor injured mechanic hand.</t>
  </si>
  <si>
    <t>C--00568</t>
  </si>
  <si>
    <t>I-2014-00759</t>
  </si>
  <si>
    <t>P-2019-01405</t>
  </si>
  <si>
    <t>Tank overfill through faulty level instrument escaped berm during rain event; creek remediation required.</t>
  </si>
  <si>
    <t>C--00569</t>
  </si>
  <si>
    <t>I-2014-01146</t>
  </si>
  <si>
    <t>P-2019-02115</t>
  </si>
  <si>
    <t>Backing skid steer into bollard damaged handrail and light standard at yard.</t>
  </si>
  <si>
    <t>C--00572</t>
  </si>
  <si>
    <t>P-2020-01098</t>
  </si>
  <si>
    <t>Treater dump valve stuck open and overfilled skim tank; contained cleanup and downtime.</t>
  </si>
  <si>
    <t>C--00578</t>
  </si>
  <si>
    <t>P-2020-01522</t>
  </si>
  <si>
    <t>Backing accident with trailer on site; bumper/frame damage and soft-tissue claim.</t>
  </si>
  <si>
    <t>C--00579</t>
  </si>
  <si>
    <t>I-2018-00715</t>
  </si>
  <si>
    <t>P-2019-03702</t>
  </si>
  <si>
    <t>Portable generator fire damaged nearby tote and fencing; limited offsite impact.</t>
  </si>
  <si>
    <t>C--00584</t>
  </si>
  <si>
    <t>P-2019-02587</t>
  </si>
  <si>
    <t>Small condensate spill from sample tap left open; pad cleanup only.</t>
  </si>
  <si>
    <t>C--00585</t>
  </si>
  <si>
    <t>I-2019-00559</t>
  </si>
  <si>
    <t>P-2019-02188</t>
  </si>
  <si>
    <t>Overspray onto parked pickup during high winds; detailing/repaint.</t>
  </si>
  <si>
    <t>C--00587</t>
  </si>
  <si>
    <t>P-2020-01369</t>
  </si>
  <si>
    <t>Small produced water drip at flange; padsorb cleanup; no offsite impact.</t>
  </si>
  <si>
    <t>C--00589</t>
  </si>
  <si>
    <t>C--00590</t>
  </si>
  <si>
    <t>P-2021-00502</t>
  </si>
  <si>
    <t>Pigging operation expelled liquids unexpectedly at receiver; operator knocked down and equipment contaminated.</t>
  </si>
  <si>
    <t>C--00591</t>
  </si>
  <si>
    <t>P-2019-03086</t>
  </si>
  <si>
    <t>Ladder misstep from second rung; ankle sprain.</t>
  </si>
  <si>
    <t>C--00593</t>
  </si>
  <si>
    <t>P-2020-03291</t>
  </si>
  <si>
    <t>C--00594</t>
  </si>
  <si>
    <t>I-2016-00438</t>
  </si>
  <si>
    <t>P-2019-02064</t>
  </si>
  <si>
    <t>C--00596</t>
  </si>
  <si>
    <t>P-2020-01712</t>
  </si>
  <si>
    <t>Slip in mud at lease road turnout; shoulder strain.</t>
  </si>
  <si>
    <t>C--00597</t>
  </si>
  <si>
    <t>P-2020-02706</t>
  </si>
  <si>
    <t>C--00604</t>
  </si>
  <si>
    <t>P-2020-00493</t>
  </si>
  <si>
    <t>C--00605</t>
  </si>
  <si>
    <t>P-2020-00990</t>
  </si>
  <si>
    <t>Hand injury while latching iron on frac manifold; sutures and lost-time claim.</t>
  </si>
  <si>
    <t>C--00608</t>
  </si>
  <si>
    <t>I-2019-00242</t>
  </si>
  <si>
    <t>P-2020-00929</t>
  </si>
  <si>
    <t>Slip on chemical residue at pad; knee and shoulder injuries alleged.</t>
  </si>
  <si>
    <t>C--00612</t>
  </si>
  <si>
    <t>P-2019-03416</t>
  </si>
  <si>
    <t>Nitrogen pumper overpressured tubing during unload; parted string and fishing operations.</t>
  </si>
  <si>
    <t>C--00613</t>
  </si>
  <si>
    <t>I-2014-00316</t>
  </si>
  <si>
    <t>P-2021-00674</t>
  </si>
  <si>
    <t>Slip in mud beside produced-water pit; strain claim with brief lost time.</t>
  </si>
  <si>
    <t>C--00616</t>
  </si>
  <si>
    <t>P-2020-01425</t>
  </si>
  <si>
    <t>Hose whip at low pressure; bruise; clinic follow-up.</t>
  </si>
  <si>
    <t>C--00620</t>
  </si>
  <si>
    <t>I-2016-00118</t>
  </si>
  <si>
    <t>P-2020-00595</t>
  </si>
  <si>
    <t>Slow drip at water transfer manifold; recovered on pad.</t>
  </si>
  <si>
    <t>C--00622</t>
  </si>
  <si>
    <t>P-2020-03164</t>
  </si>
  <si>
    <t>High-pressure hose whip in sump cleaning; subcontractor struck by hose.</t>
  </si>
  <si>
    <t>C--00626</t>
  </si>
  <si>
    <t>P-2019-01122</t>
  </si>
  <si>
    <t>Small tank overflow within berm; full recovery; offsite impacts denied.</t>
  </si>
  <si>
    <t>C--00631</t>
  </si>
  <si>
    <t>P-2020-01530</t>
  </si>
  <si>
    <t>Excavator rollover while building reserve pit; orthopedic injuries and environmental cleanup.</t>
  </si>
  <si>
    <t>C--00634</t>
  </si>
  <si>
    <t>P-2021-01366</t>
  </si>
  <si>
    <t>Small overflow from chemical day tank within concrete curb; disposal and reporting.</t>
  </si>
  <si>
    <t>C--00636</t>
  </si>
  <si>
    <t>I-2018-00181</t>
  </si>
  <si>
    <t>P-2021-00931</t>
  </si>
  <si>
    <t>C--00638</t>
  </si>
  <si>
    <t>P-2021-00006</t>
  </si>
  <si>
    <t>Forklift tapped pallet stack; one minor foot injury reported.</t>
  </si>
  <si>
    <t>C--00639</t>
  </si>
  <si>
    <t>P-2021-01350</t>
  </si>
  <si>
    <t>Brine transfer hose chafed through on trailer frame; contained spill on location.</t>
  </si>
  <si>
    <t>C--00641</t>
  </si>
  <si>
    <t>P-2020-02001</t>
  </si>
  <si>
    <t>C--00647</t>
  </si>
  <si>
    <t>P-2021-00483</t>
  </si>
  <si>
    <t>C--00648</t>
  </si>
  <si>
    <t>I-2019-00417</t>
  </si>
  <si>
    <t>P-2021-01791</t>
  </si>
  <si>
    <t>Road gravel cracked third-party windshield; replacement.</t>
  </si>
  <si>
    <t>C--00650</t>
  </si>
  <si>
    <t>I-2019-00777</t>
  </si>
  <si>
    <t>P-2021-03207</t>
  </si>
  <si>
    <t>Flare pilot outage caused smoky release and short community complaint response.</t>
  </si>
  <si>
    <t>C--00652</t>
  </si>
  <si>
    <t>P-2019-03155</t>
  </si>
  <si>
    <t>Trip on uneven grating; wrist sprain; return-to-work in 3 weeks.</t>
  </si>
  <si>
    <t>C--00657</t>
  </si>
  <si>
    <t>P-2021-01215</t>
  </si>
  <si>
    <t>C--00658</t>
  </si>
  <si>
    <t>I-2014-01985</t>
  </si>
  <si>
    <t>P-2020-03539</t>
  </si>
  <si>
    <t>Pickup vs gate arm; repair and short downtime claim.</t>
  </si>
  <si>
    <t>C--00659</t>
  </si>
  <si>
    <t>P-2021-00077</t>
  </si>
  <si>
    <t>C--00662</t>
  </si>
  <si>
    <t>I-2020-00192</t>
  </si>
  <si>
    <t>P-2020-01071</t>
  </si>
  <si>
    <t>Rod-pump stuffing box leak sprayed crude onto lease operator vehicle; fire followed attempted restart.</t>
  </si>
  <si>
    <t>C--00664</t>
  </si>
  <si>
    <t>P-2021-00965</t>
  </si>
  <si>
    <t>Minor sideswipe between company pickup and vacuum truck on lease road; BI disputed.</t>
  </si>
  <si>
    <t>C--00665</t>
  </si>
  <si>
    <t>C--00666</t>
  </si>
  <si>
    <t>I-2018-00211</t>
  </si>
  <si>
    <t>P-2021-01113</t>
  </si>
  <si>
    <t>Corroded thief hatch hinge failed during gauging; fall injury and tank-top repairs.</t>
  </si>
  <si>
    <t>C--00668</t>
  </si>
  <si>
    <t>I-2016-00341</t>
  </si>
  <si>
    <t>P-2020-01535</t>
  </si>
  <si>
    <t>Vehicle sideswipe while passing slow-moving water truck; BI/PD mixed claim.</t>
  </si>
  <si>
    <t>C--00669</t>
  </si>
  <si>
    <t>I-2016-00246</t>
  </si>
  <si>
    <t>P-2020-01110</t>
  </si>
  <si>
    <t>Tank roof seam leak; recovery of 30â€“40 bbl and liner cleanup.</t>
  </si>
  <si>
    <t>C--00670</t>
  </si>
  <si>
    <t>P-2021-00200</t>
  </si>
  <si>
    <t>C--00672</t>
  </si>
  <si>
    <t>P-2021-02610</t>
  </si>
  <si>
    <t>Minor rear-end in traffic; bumper damage; soft-tissue complaint.</t>
  </si>
  <si>
    <t>C--00677</t>
  </si>
  <si>
    <t>I-2014-00366</t>
  </si>
  <si>
    <t>P-2020-00682</t>
  </si>
  <si>
    <t>C--00679</t>
  </si>
  <si>
    <t>P-2021-02458</t>
  </si>
  <si>
    <t>Hand caught between pipe sections while rolling on rack; lacerations.</t>
  </si>
  <si>
    <t>C--00682</t>
  </si>
  <si>
    <t>P-2020-01967</t>
  </si>
  <si>
    <t>C--00683</t>
  </si>
  <si>
    <t>P-2021-01768</t>
  </si>
  <si>
    <t>Tool dropped from separator stair landed on contractor shoulder; clinic-only treatment.</t>
  </si>
  <si>
    <t>C--00684</t>
  </si>
  <si>
    <t>P-2021-02833</t>
  </si>
  <si>
    <t>Low-energy arc at MCC; minor burns; component replacements.</t>
  </si>
  <si>
    <t>C--00685</t>
  </si>
  <si>
    <t>I-2019-00494</t>
  </si>
  <si>
    <t>P-2021-02108</t>
  </si>
  <si>
    <t>C--00690</t>
  </si>
  <si>
    <t>I-2015-00488</t>
  </si>
  <si>
    <t>P-2021-02759</t>
  </si>
  <si>
    <t>C--00693</t>
  </si>
  <si>
    <t>P-2019-03642</t>
  </si>
  <si>
    <t>C--00696</t>
  </si>
  <si>
    <t>P-2021-00930</t>
  </si>
  <si>
    <t>C--00704</t>
  </si>
  <si>
    <t>I-2017-00384</t>
  </si>
  <si>
    <t>P-2020-02518</t>
  </si>
  <si>
    <t>C--00707</t>
  </si>
  <si>
    <t>C--00708</t>
  </si>
  <si>
    <t>P-2021-00491</t>
  </si>
  <si>
    <t>C--00709</t>
  </si>
  <si>
    <t>P-2022-00021</t>
  </si>
  <si>
    <t>C--00718</t>
  </si>
  <si>
    <t>P-2019-03024</t>
  </si>
  <si>
    <t>Plug-and-weld blowout plug ejection; struck worker; eye/facial injuries.</t>
  </si>
  <si>
    <t>C--00721</t>
  </si>
  <si>
    <t>P-2020-03447</t>
  </si>
  <si>
    <t>C--00722</t>
  </si>
  <si>
    <t>P-2020-01093</t>
  </si>
  <si>
    <t>Frac valve body failure sent iron fragment through command trailer; severe laceration claim.</t>
  </si>
  <si>
    <t>C--00724</t>
  </si>
  <si>
    <t>I-2021-00801</t>
  </si>
  <si>
    <t>P-2021-02742</t>
  </si>
  <si>
    <t>Small tank overfill within berm; vacuum truck recovery; no wildlife impact.</t>
  </si>
  <si>
    <t>C--00727</t>
  </si>
  <si>
    <t>P-2022-00167</t>
  </si>
  <si>
    <t>Forklift punctured chemical tote at frac yard; cleanup and disposal.</t>
  </si>
  <si>
    <t>C--00728</t>
  </si>
  <si>
    <t>P-2021-03491</t>
  </si>
  <si>
    <t>Struck-by while staging scaffolding planks; contusion only.</t>
  </si>
  <si>
    <t>C--00729</t>
  </si>
  <si>
    <t>P-2022-00263</t>
  </si>
  <si>
    <t>C--00730</t>
  </si>
  <si>
    <t>I-2021-00792</t>
  </si>
  <si>
    <t>P-2021-02721</t>
  </si>
  <si>
    <t>Grinder kickback during fabrication; laceration injuries; PPE adequacy disputed.</t>
  </si>
  <si>
    <t>C--00731</t>
  </si>
  <si>
    <t>P-2021-01268</t>
  </si>
  <si>
    <t>Minor hot-work spark singed insulation; spot replacement.</t>
  </si>
  <si>
    <t>C--00733</t>
  </si>
  <si>
    <t>I-2019-00276</t>
  </si>
  <si>
    <t>P-2022-01194</t>
  </si>
  <si>
    <t>Small battery fire in chemical shed; smoke damage to contents.</t>
  </si>
  <si>
    <t>C--00735</t>
  </si>
  <si>
    <t>P-2021-03063</t>
  </si>
  <si>
    <t>Drillship moonpool dropped-object damaged subsea equipment during completion; costly recovery campaign.</t>
  </si>
  <si>
    <t>C--00739</t>
  </si>
  <si>
    <t>P-2022-01748</t>
  </si>
  <si>
    <t>Dropped tubing joint during pick; foot crush injury and lost-time claim.</t>
  </si>
  <si>
    <t>C--00746</t>
  </si>
  <si>
    <t>P-2021-02950</t>
  </si>
  <si>
    <t>C--00748</t>
  </si>
  <si>
    <t>C--00751</t>
  </si>
  <si>
    <t>P-2022-02469</t>
  </si>
  <si>
    <t>C--00752</t>
  </si>
  <si>
    <t>P-2021-03520</t>
  </si>
  <si>
    <t>C--00755</t>
  </si>
  <si>
    <t>I-2018-00354</t>
  </si>
  <si>
    <t>P-2022-01982</t>
  </si>
  <si>
    <t>Rear-end collision (company pickup vs sweeper); bodily injury alleged.</t>
  </si>
  <si>
    <t>C--00762</t>
  </si>
  <si>
    <t>P-2022-01208</t>
  </si>
  <si>
    <t>C--00763</t>
  </si>
  <si>
    <t>Ladder fall from trailer deck during rig-up; shoulder and back injuries.</t>
  </si>
  <si>
    <t>C--00764</t>
  </si>
  <si>
    <t>I-2020-00506</t>
  </si>
  <si>
    <t>P-2020-02924</t>
  </si>
  <si>
    <t>C--00767</t>
  </si>
  <si>
    <t>P-2021-02313</t>
  </si>
  <si>
    <t>Backing into bollard at yard; fender repair; no injuries.</t>
  </si>
  <si>
    <t>C--00769</t>
  </si>
  <si>
    <t>I-2016-00484</t>
  </si>
  <si>
    <t>P-2021-02522</t>
  </si>
  <si>
    <t>C--00774</t>
  </si>
  <si>
    <t>P-2021-02812</t>
  </si>
  <si>
    <t>Hydrogen sulfide exposure during kick event on workover; fatality alleged and extended well control campaign.</t>
  </si>
  <si>
    <t>C--00776</t>
  </si>
  <si>
    <t>P-2022-00910</t>
  </si>
  <si>
    <t>Chemical injection quill leaked at wellhead; stained soil removed within pad.</t>
  </si>
  <si>
    <t>C--00777</t>
  </si>
  <si>
    <t>P-2022-01378</t>
  </si>
  <si>
    <t>C--00779</t>
  </si>
  <si>
    <t>Small flash fire at line heater after delayed ignition; minor burns and repair.</t>
  </si>
  <si>
    <t>C--00782</t>
  </si>
  <si>
    <t>P-2022-00530</t>
  </si>
  <si>
    <t>Flash fire during hot-work on heater-treater; ignition of vapors under wind gust conditions; severe burns alleged.</t>
  </si>
  <si>
    <t>C--00786</t>
  </si>
  <si>
    <t>P-2021-01255</t>
  </si>
  <si>
    <t>Crude truck loading arm detached at terminal; splash loss and rack repairs.</t>
  </si>
  <si>
    <t>C--00788</t>
  </si>
  <si>
    <t>P-2021-03294</t>
  </si>
  <si>
    <t>C--00789</t>
  </si>
  <si>
    <t>P-2021-02115</t>
  </si>
  <si>
    <t>C--00790</t>
  </si>
  <si>
    <t>P-2022-00546</t>
  </si>
  <si>
    <t>Low-speed backing accident with wireline unit and lease-operator truck; PD and soft-tissue.</t>
  </si>
  <si>
    <t>C--00791</t>
  </si>
  <si>
    <t>P-2022-00586</t>
  </si>
  <si>
    <t>Instrument air failure dumped well to flare unexpectedly; neighbor nuisance and restart costs.</t>
  </si>
  <si>
    <t>C--00795</t>
  </si>
  <si>
    <t>P-2020-00406</t>
  </si>
  <si>
    <t>Mud pump fluid-end crack during circulation; debris damaged guard and one hand injury.</t>
  </si>
  <si>
    <t>C--00796</t>
  </si>
  <si>
    <t>I-2020-00097</t>
  </si>
  <si>
    <t>P-2020-00505</t>
  </si>
  <si>
    <t>C--00801</t>
  </si>
  <si>
    <t>I-2015-00688</t>
  </si>
  <si>
    <t>P-2020-03431</t>
  </si>
  <si>
    <t>Temporary bypass hose failed at amine unit; sour-water release and odor complaints.</t>
  </si>
  <si>
    <t>C--00803</t>
  </si>
  <si>
    <t>P-2020-03239</t>
  </si>
  <si>
    <t>C--00804</t>
  </si>
  <si>
    <t>P-2022-01356</t>
  </si>
  <si>
    <t>C--00806</t>
  </si>
  <si>
    <t>P-2021-04012</t>
  </si>
  <si>
    <t>C--00807</t>
  </si>
  <si>
    <t>I-2022-00265</t>
  </si>
  <si>
    <t>P-2022-01327</t>
  </si>
  <si>
    <t>Emergency shutdown valve failed closed causing surge and exchanger tube failure at gas plant.</t>
  </si>
  <si>
    <t>C--00808</t>
  </si>
  <si>
    <t>P-2022-02593</t>
  </si>
  <si>
    <t>C--00809</t>
  </si>
  <si>
    <t>P-2021-02135</t>
  </si>
  <si>
    <t>C--00810</t>
  </si>
  <si>
    <t>I-2018-00569</t>
  </si>
  <si>
    <t>P-2021-03243</t>
  </si>
  <si>
    <t>Grease line rupture at compressor station sprayed hot lubricant; slip injury and cleanup.</t>
  </si>
  <si>
    <t>C--00814</t>
  </si>
  <si>
    <t>P-2022-02532</t>
  </si>
  <si>
    <t>Small flash fire in heater-treater during startup; first-aid injuries; equipment repair.</t>
  </si>
  <si>
    <t>C--00815</t>
  </si>
  <si>
    <t>C--00818</t>
  </si>
  <si>
    <t>P-2022-03884</t>
  </si>
  <si>
    <t>Forklift struck racked casing at yard; property damage and minor injuries.</t>
  </si>
  <si>
    <t>C--00819</t>
  </si>
  <si>
    <t>P-2022-01172</t>
  </si>
  <si>
    <t>C--00820</t>
  </si>
  <si>
    <t>P-2022-00488</t>
  </si>
  <si>
    <t>C--00821</t>
  </si>
  <si>
    <t>P-2021-02014</t>
  </si>
  <si>
    <t>C--00822</t>
  </si>
  <si>
    <t>P-2022-03969</t>
  </si>
  <si>
    <t>Worker tripped over hose on platform; wrist fracture; safety barricade allegations.</t>
  </si>
  <si>
    <t>C--00823</t>
  </si>
  <si>
    <t>P-2022-02814</t>
  </si>
  <si>
    <t>C--00828</t>
  </si>
  <si>
    <t>P-2023-00748</t>
  </si>
  <si>
    <t>C--00830</t>
  </si>
  <si>
    <t>I-2018-00413</t>
  </si>
  <si>
    <t>P-2020-01985</t>
  </si>
  <si>
    <t>C--00831</t>
  </si>
  <si>
    <t>P-2021-02154</t>
  </si>
  <si>
    <t>Pipeline HDD strike beneath creek crossing; crude release migrated offsite requiring multi-parcel remediation and monitoring.</t>
  </si>
  <si>
    <t>C--00833</t>
  </si>
  <si>
    <t>P-2022-01716</t>
  </si>
  <si>
    <t>Road collapse under overweight truck on lease road; recovery and road repair.</t>
  </si>
  <si>
    <t>C--00834</t>
  </si>
  <si>
    <t>I-2021-00475</t>
  </si>
  <si>
    <t>P-2021-01644</t>
  </si>
  <si>
    <t>C--00837</t>
  </si>
  <si>
    <t>I-2019-00208</t>
  </si>
  <si>
    <t>P-2022-00927</t>
  </si>
  <si>
    <t>Rear-end at stoplight off-site while on duty; two-vehicle BI/PD.</t>
  </si>
  <si>
    <t>C--00839</t>
  </si>
  <si>
    <t>P-2022-03838</t>
  </si>
  <si>
    <t>Minor arc when removing fused disconnect; no hospitalization.</t>
  </si>
  <si>
    <t>C--00841</t>
  </si>
  <si>
    <t>P-2022-03857</t>
  </si>
  <si>
    <t>Condensate theft and vandalism on remote battery caused spill and property damage.</t>
  </si>
  <si>
    <t>C--00842</t>
  </si>
  <si>
    <t>P-2021-01477</t>
  </si>
  <si>
    <t>C--00844</t>
  </si>
  <si>
    <t>I-2019-00666</t>
  </si>
  <si>
    <t>P-2022-02813</t>
  </si>
  <si>
    <t>Pipe rack collapse in yard dropped two joints onto pickup bed; limited BI.</t>
  </si>
  <si>
    <t>C--00847</t>
  </si>
  <si>
    <t>P-2022-03721</t>
  </si>
  <si>
    <t>C--00850</t>
  </si>
  <si>
    <t>I-2020-00282</t>
  </si>
  <si>
    <t>P-2022-01755</t>
  </si>
  <si>
    <t>C--00851</t>
  </si>
  <si>
    <t>P-2022-01100</t>
  </si>
  <si>
    <t>High-pressure test cap failure in fabrication yard; struck worker and destroyed test manifold.</t>
  </si>
  <si>
    <t>C--00853</t>
  </si>
  <si>
    <t>C--00854</t>
  </si>
  <si>
    <t>P-2023-02603</t>
  </si>
  <si>
    <t>C--00856</t>
  </si>
  <si>
    <t>P-2022-02999</t>
  </si>
  <si>
    <t>C--00858</t>
  </si>
  <si>
    <t>P-2022-02183</t>
  </si>
  <si>
    <t>C--00859</t>
  </si>
  <si>
    <t>I-2017-00274</t>
  </si>
  <si>
    <t>P-2022-01926</t>
  </si>
  <si>
    <t>C--00860</t>
  </si>
  <si>
    <t>I-2017-00006</t>
  </si>
  <si>
    <t>P-2023-00058</t>
  </si>
  <si>
    <t>C--00862</t>
  </si>
  <si>
    <t>P-2022-02264</t>
  </si>
  <si>
    <t>Refinery unit upset alleged from contaminated crude; downstream losses and pump seal failures.</t>
  </si>
  <si>
    <t>C--00863</t>
  </si>
  <si>
    <t>P-2023-00992</t>
  </si>
  <si>
    <t>Trailer tongue failure while hauling pump skid; roadway recovery and equipment scratches.</t>
  </si>
  <si>
    <t>C--00865</t>
  </si>
  <si>
    <t>P-2023-00083</t>
  </si>
  <si>
    <t>Heater-treater explosion during startup after pilot failure; two severe burns and equipment total loss.</t>
  </si>
  <si>
    <t>C--00871</t>
  </si>
  <si>
    <t>P-2023-00550</t>
  </si>
  <si>
    <t>Step-through from corroded grating at tank battery catwalk; orthopedic injury.</t>
  </si>
  <si>
    <t>C--00873</t>
  </si>
  <si>
    <t>P-2023-00020</t>
  </si>
  <si>
    <t>Produced-water release ~50 bbl within lined containment; vacuum recovery and disposal.</t>
  </si>
  <si>
    <t>C--00879</t>
  </si>
  <si>
    <t>P-2021-03861</t>
  </si>
  <si>
    <t>C--00881</t>
  </si>
  <si>
    <t>C--00883</t>
  </si>
  <si>
    <t>P-2022-01257</t>
  </si>
  <si>
    <t>C--00884</t>
  </si>
  <si>
    <t>P-2021-01294</t>
  </si>
  <si>
    <t>C--00886</t>
  </si>
  <si>
    <t>P-2022-03655</t>
  </si>
  <si>
    <t>C--00887</t>
  </si>
  <si>
    <t>C--00888</t>
  </si>
  <si>
    <t>P-2021-04034</t>
  </si>
  <si>
    <t>C--00891</t>
  </si>
  <si>
    <t>I-2017-00048</t>
  </si>
  <si>
    <t>P-2021-00302</t>
  </si>
  <si>
    <t>Rig carrier overturned on mountain lease road; serious injury and expensive recovery.</t>
  </si>
  <si>
    <t>C--00894</t>
  </si>
  <si>
    <t>P-2023-01329</t>
  </si>
  <si>
    <t>C--00896</t>
  </si>
  <si>
    <t>P-2023-01090</t>
  </si>
  <si>
    <t>C--00897</t>
  </si>
  <si>
    <t>P-2023-00630</t>
  </si>
  <si>
    <t>C--00899</t>
  </si>
  <si>
    <t>P-2021-00145</t>
  </si>
  <si>
    <t>Coupling leak at LACT skid dripped crude within berm; absorbents and disposal.</t>
  </si>
  <si>
    <t>C--00906</t>
  </si>
  <si>
    <t>P-2023-01182</t>
  </si>
  <si>
    <t>C--00907</t>
  </si>
  <si>
    <t>P-2023-03360</t>
  </si>
  <si>
    <t>Compressor rod throw punctured crankcase and ignited oil mist; building repairs and BI.</t>
  </si>
  <si>
    <t>C--00909</t>
  </si>
  <si>
    <t>P-2023-00884</t>
  </si>
  <si>
    <t>C--00910</t>
  </si>
  <si>
    <t>P-2023-00409</t>
  </si>
  <si>
    <t>C--00911</t>
  </si>
  <si>
    <t>I-2018-00006</t>
  </si>
  <si>
    <t>P-2022-00013</t>
  </si>
  <si>
    <t>C--00916</t>
  </si>
  <si>
    <t>P-2021-03685</t>
  </si>
  <si>
    <t>C--00917</t>
  </si>
  <si>
    <t>P-2022-03269</t>
  </si>
  <si>
    <t>C--00918</t>
  </si>
  <si>
    <t>P-2023-01452</t>
  </si>
  <si>
    <t>C--00919</t>
  </si>
  <si>
    <t>P-2023-01806</t>
  </si>
  <si>
    <t>C--00922</t>
  </si>
  <si>
    <t>I-2019-00511</t>
  </si>
  <si>
    <t>P-2021-02178</t>
  </si>
  <si>
    <t>Leak from truck load line on water tanks; cleanup within facility.</t>
  </si>
  <si>
    <t>C--00924</t>
  </si>
  <si>
    <t>P-2023-01585</t>
  </si>
  <si>
    <t>C--00927</t>
  </si>
  <si>
    <t>P-2023-02236</t>
  </si>
  <si>
    <t>C--00928</t>
  </si>
  <si>
    <t>P-2020-01690</t>
  </si>
  <si>
    <t>C--00930</t>
  </si>
  <si>
    <t>P-2023-01370</t>
  </si>
  <si>
    <t>Compressor building fire fueled by condensate mist; unit total loss and collateral damage to substation cabling.</t>
  </si>
  <si>
    <t>C--00933</t>
  </si>
  <si>
    <t>P-2023-00563</t>
  </si>
  <si>
    <t>Small diesel spill from generator belly tank at compressor site; soil removal and disposal.</t>
  </si>
  <si>
    <t>C--00935</t>
  </si>
  <si>
    <t>P-2023-00864</t>
  </si>
  <si>
    <t>C--00938</t>
  </si>
  <si>
    <t>P-2023-01911</t>
  </si>
  <si>
    <t>Vacuum truck mirror struck gate post entering pad; minor property loss, no spill.</t>
  </si>
  <si>
    <t>C--00939</t>
  </si>
  <si>
    <t>P-2020-03409</t>
  </si>
  <si>
    <t>C--00942</t>
  </si>
  <si>
    <t>P-2023-00194</t>
  </si>
  <si>
    <t>C--00944</t>
  </si>
  <si>
    <t>P-2022-01778</t>
  </si>
  <si>
    <t>Pressure gauge failed during bleed-down; glass fragments injured technician.</t>
  </si>
  <si>
    <t>C--00945</t>
  </si>
  <si>
    <t>P-2023-03162</t>
  </si>
  <si>
    <t>C--00949</t>
  </si>
  <si>
    <t>I-2022-00437</t>
  </si>
  <si>
    <t>P-2023-02458</t>
  </si>
  <si>
    <t>C--00955</t>
  </si>
  <si>
    <t>P-2023-03088</t>
  </si>
  <si>
    <t>C--00958</t>
  </si>
  <si>
    <t>P-2021-02497</t>
  </si>
  <si>
    <t>C--00959</t>
  </si>
  <si>
    <t>P-2020-00715</t>
  </si>
  <si>
    <t>C--00960</t>
  </si>
  <si>
    <t>P-2022-03617</t>
  </si>
  <si>
    <t>Valve misalignment caused reverse flow and dehydration unit contamination; product off-spec and cleanup.</t>
  </si>
  <si>
    <t>C--00961</t>
  </si>
  <si>
    <t>P-2021-01763</t>
  </si>
  <si>
    <t>Pinch injury at pipe tongs; superficial laceration.</t>
  </si>
  <si>
    <t>C--00962</t>
  </si>
  <si>
    <t>P-2023-03277</t>
  </si>
  <si>
    <t>C--00963</t>
  </si>
  <si>
    <t>P-2023-03769</t>
  </si>
  <si>
    <t>C--00964</t>
  </si>
  <si>
    <t>P-2023-01744</t>
  </si>
  <si>
    <t>C--00970</t>
  </si>
  <si>
    <t>C--00973</t>
  </si>
  <si>
    <t>P-2023-03902</t>
  </si>
  <si>
    <t>C--00975</t>
  </si>
  <si>
    <t>P-2023-01015</t>
  </si>
  <si>
    <t>C--00976</t>
  </si>
  <si>
    <t>C--00978</t>
  </si>
  <si>
    <t>P-2023-01610</t>
  </si>
  <si>
    <t>C--00979</t>
  </si>
  <si>
    <t>P-2023-03605</t>
  </si>
  <si>
    <t>C--00985</t>
  </si>
  <si>
    <t>C--00986</t>
  </si>
  <si>
    <t>P-2023-01939</t>
  </si>
  <si>
    <t>C--00987</t>
  </si>
  <si>
    <t>C--00994</t>
  </si>
  <si>
    <t>P-2022-00620</t>
  </si>
  <si>
    <t>C--00999</t>
  </si>
  <si>
    <t>P-2022-02713</t>
  </si>
  <si>
    <t>C--01000</t>
  </si>
  <si>
    <t>I-2021-00718</t>
  </si>
  <si>
    <t>P-2022-02495</t>
  </si>
  <si>
    <t>Portable light tower tipped in high winds onto parked service truck; property damage and strain claim.</t>
  </si>
  <si>
    <t>C--01001</t>
  </si>
  <si>
    <t>P-2023-03332</t>
  </si>
  <si>
    <t>C--01002</t>
  </si>
  <si>
    <t>C--01006</t>
  </si>
  <si>
    <t>P-2022-00595</t>
  </si>
  <si>
    <t>C--01007</t>
  </si>
  <si>
    <t>P-2022-04021</t>
  </si>
  <si>
    <t>Hot-oil truck fire at wellsite spread to treater stairs and handrails.</t>
  </si>
  <si>
    <t>C--01011</t>
  </si>
  <si>
    <t>C--01013</t>
  </si>
  <si>
    <t>C--01016</t>
  </si>
  <si>
    <t>C--01017</t>
  </si>
  <si>
    <t>C--01018</t>
  </si>
  <si>
    <t>C--01019</t>
  </si>
  <si>
    <t>C--01026</t>
  </si>
  <si>
    <t>P-2023-03128</t>
  </si>
  <si>
    <t>C--01027</t>
  </si>
  <si>
    <t>I-2019-00341</t>
  </si>
  <si>
    <t>P-2021-01450</t>
  </si>
  <si>
    <t>C--01031</t>
  </si>
  <si>
    <t>P-2023-02385</t>
  </si>
  <si>
    <t>C--01037</t>
  </si>
  <si>
    <t>P-2019-01380</t>
  </si>
  <si>
    <t>P-2022-03777</t>
  </si>
  <si>
    <t>P-2022-03296</t>
  </si>
  <si>
    <t>Description</t>
  </si>
  <si>
    <t>Reporting Date</t>
  </si>
  <si>
    <t>Minor rear-end in traffic; bumper damage.</t>
  </si>
  <si>
    <t>Compressor explosion inside customer building; structural damage and equipment total loss; allegations of design defect; nuclear verdict.</t>
  </si>
  <si>
    <t>exclude policies from Alabama state (out of appetite)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</si>
</sst>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/mm/dd"/>
    <numFmt numFmtId="165" formatCode="_(* #,##0_);_(* \(#,##0\);_(* &quot;-&quot;??_);_(@_)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Lucida Console"/>
      <family val="3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3" fillId="0" borderId="0" xfId="0" applyFont="1"/>
    <xf numFmtId="164" fontId="2" fillId="0" borderId="0" xfId="0" applyNumberFormat="1" applyFont="1"/>
    <xf numFmtId="15" fontId="0" fillId="0" borderId="0" xfId="0" applyNumberFormat="1"/>
    <xf numFmtId="14" fontId="0" fillId="0" borderId="0" xfId="0" applyNumberFormat="1"/>
    <xf numFmtId="11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165" fontId="5" fillId="0" borderId="0" xfId="1" applyNumberFormat="1" applyFont="1"/>
    <xf numFmtId="165" fontId="1" fillId="0" borderId="0" xfId="0" applyNumberFormat="1" applyFont="1"/>
    <xf numFmtId="0" fontId="6" fillId="0" borderId="0" xfId="0" applyFont="1"/>
    <xf numFmtId="9" fontId="1" fillId="0" borderId="0" xfId="2" applyFont="1"/>
    <xf numFmtId="0" fontId="7" fillId="0" borderId="0" xfId="0" applyFont="1"/>
    <xf numFmtId="0" fontId="8" fillId="0" borderId="1" xfId="0" applyFont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43" fontId="8" fillId="0" borderId="1" xfId="0" applyNumberFormat="1" applyFont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10" sqref="B10"/>
    </sheetView>
  </sheetViews>
  <sheetFormatPr defaultColWidth="12.5703125" defaultRowHeight="15" customHeight="1" x14ac:dyDescent="0.2"/>
  <cols>
    <col min="1" max="1" width="32.5703125" customWidth="1"/>
    <col min="2" max="26" width="11.42578125" customWidth="1"/>
  </cols>
  <sheetData>
    <row r="1" spans="1:26" ht="12.75" customHeight="1" x14ac:dyDescent="0.2"/>
    <row r="2" spans="1:26" ht="12.75" customHeight="1" x14ac:dyDescent="0.2">
      <c r="A2" s="1" t="s">
        <v>7323</v>
      </c>
    </row>
    <row r="3" spans="1:26" ht="12.75" customHeight="1" x14ac:dyDescent="0.2">
      <c r="A3" s="1" t="s">
        <v>7322</v>
      </c>
    </row>
    <row r="4" spans="1:26" ht="12.75" customHeight="1" x14ac:dyDescent="0.2">
      <c r="A4" s="1" t="s">
        <v>7321</v>
      </c>
    </row>
    <row r="5" spans="1:26" ht="12.75" customHeight="1" x14ac:dyDescent="0.2">
      <c r="A5" s="1" t="s">
        <v>7324</v>
      </c>
    </row>
    <row r="6" spans="1:26" ht="12.75" customHeight="1" x14ac:dyDescent="0.2"/>
    <row r="7" spans="1:26" ht="12.75" customHeight="1" x14ac:dyDescent="0.2">
      <c r="A7" s="1" t="s">
        <v>7325</v>
      </c>
    </row>
    <row r="8" spans="1:26" ht="12.75" customHeight="1" x14ac:dyDescent="0.2"/>
    <row r="9" spans="1:26" ht="12.75" customHeight="1" x14ac:dyDescent="0.2"/>
    <row r="10" spans="1:26" ht="12.75" customHeight="1" x14ac:dyDescent="0.2">
      <c r="B10" s="1" t="str">
        <f>A4</f>
        <v>Energy QS</v>
      </c>
    </row>
    <row r="11" spans="1:26" ht="12.75" customHeight="1" x14ac:dyDescent="0.2">
      <c r="A11" s="1" t="s">
        <v>0</v>
      </c>
      <c r="B11" s="1" t="s">
        <v>1</v>
      </c>
    </row>
    <row r="12" spans="1:26" ht="12.75" customHeight="1" x14ac:dyDescent="0.2">
      <c r="A12" s="2" t="s">
        <v>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1" t="s">
        <v>3</v>
      </c>
      <c r="B13" s="6">
        <v>45748</v>
      </c>
    </row>
    <row r="14" spans="1:26" ht="12.75" customHeight="1" x14ac:dyDescent="0.25">
      <c r="A14" s="3" t="s">
        <v>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5">
      <c r="A15" s="4" t="s">
        <v>5</v>
      </c>
      <c r="B15" t="s">
        <v>52</v>
      </c>
    </row>
    <row r="16" spans="1:26" ht="12.75" customHeight="1" x14ac:dyDescent="0.25">
      <c r="A16" s="4" t="s">
        <v>6</v>
      </c>
      <c r="B16" s="7">
        <v>45748</v>
      </c>
    </row>
    <row r="17" spans="1:26" ht="12.75" customHeight="1" x14ac:dyDescent="0.25">
      <c r="A17" s="4" t="s">
        <v>7</v>
      </c>
      <c r="B17" s="7">
        <v>45747</v>
      </c>
    </row>
    <row r="18" spans="1:26" ht="12.75" customHeight="1" x14ac:dyDescent="0.2">
      <c r="A18" s="1" t="s">
        <v>8</v>
      </c>
      <c r="B18" t="s">
        <v>6331</v>
      </c>
    </row>
    <row r="19" spans="1:26" ht="12.75" customHeight="1" x14ac:dyDescent="0.2">
      <c r="A19" s="1" t="s">
        <v>9</v>
      </c>
      <c r="B19" t="s">
        <v>91</v>
      </c>
    </row>
    <row r="20" spans="1:26" ht="12.75" customHeight="1" x14ac:dyDescent="0.2">
      <c r="A20" s="1" t="s">
        <v>10</v>
      </c>
      <c r="B20" t="s">
        <v>7326</v>
      </c>
    </row>
    <row r="21" spans="1:26" ht="12.75" customHeight="1" x14ac:dyDescent="0.2">
      <c r="A21" s="1" t="s">
        <v>11</v>
      </c>
      <c r="B21" t="s">
        <v>7326</v>
      </c>
    </row>
    <row r="22" spans="1:26" ht="12.75" customHeight="1" x14ac:dyDescent="0.2">
      <c r="A22" s="1" t="s">
        <v>12</v>
      </c>
      <c r="B22" t="s">
        <v>92</v>
      </c>
    </row>
    <row r="23" spans="1:26" ht="12.75" customHeight="1" x14ac:dyDescent="0.2">
      <c r="A23" s="1" t="s">
        <v>13</v>
      </c>
      <c r="B23" t="s">
        <v>7327</v>
      </c>
    </row>
    <row r="24" spans="1:26" ht="12.75" customHeight="1" x14ac:dyDescent="0.2"/>
    <row r="25" spans="1:26" ht="12.75" customHeight="1" x14ac:dyDescent="0.25">
      <c r="A25" s="3" t="s">
        <v>14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5">
      <c r="A26" s="4" t="s">
        <v>15</v>
      </c>
      <c r="B26" t="s">
        <v>93</v>
      </c>
    </row>
    <row r="27" spans="1:26" ht="12.75" customHeight="1" x14ac:dyDescent="0.25">
      <c r="A27" s="4" t="s">
        <v>16</v>
      </c>
      <c r="B27" t="s">
        <v>93</v>
      </c>
    </row>
    <row r="28" spans="1:26" ht="12.75" customHeight="1" x14ac:dyDescent="0.25">
      <c r="A28" s="3" t="s">
        <v>17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5">
      <c r="A29" s="4" t="s">
        <v>18</v>
      </c>
      <c r="B29" t="s">
        <v>52</v>
      </c>
    </row>
    <row r="30" spans="1:26" ht="12.75" customHeight="1" x14ac:dyDescent="0.25">
      <c r="A30" s="3" t="s">
        <v>19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1" t="s">
        <v>20</v>
      </c>
      <c r="B31" s="9">
        <f>'Premium summary'!N11</f>
        <v>49400000</v>
      </c>
    </row>
    <row r="32" spans="1:26" ht="12.75" customHeight="1" x14ac:dyDescent="0.25">
      <c r="A32" s="3" t="s">
        <v>21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5">
      <c r="A33" s="4" t="s">
        <v>22</v>
      </c>
      <c r="B33" t="s">
        <v>94</v>
      </c>
    </row>
    <row r="34" spans="1:26" ht="12.75" customHeight="1" x14ac:dyDescent="0.25">
      <c r="A34" s="4" t="s">
        <v>23</v>
      </c>
      <c r="B34" t="s">
        <v>95</v>
      </c>
    </row>
    <row r="35" spans="1:26" ht="12.75" customHeight="1" x14ac:dyDescent="0.25">
      <c r="A35" s="3" t="s">
        <v>24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5">
      <c r="A36" s="3" t="s">
        <v>25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1" t="s">
        <v>26</v>
      </c>
      <c r="B37">
        <v>2.5</v>
      </c>
    </row>
    <row r="38" spans="1:26" ht="12.75" customHeight="1" x14ac:dyDescent="0.25">
      <c r="A38" s="4" t="s">
        <v>27</v>
      </c>
      <c r="B38" t="s">
        <v>96</v>
      </c>
    </row>
    <row r="39" spans="1:26" ht="12.75" customHeight="1" x14ac:dyDescent="0.2"/>
    <row r="40" spans="1:26" ht="12.75" customHeight="1" x14ac:dyDescent="0.2"/>
    <row r="41" spans="1:26" ht="12.75" customHeight="1" x14ac:dyDescent="0.2"/>
    <row r="42" spans="1:26" ht="12.75" customHeight="1" x14ac:dyDescent="0.2"/>
    <row r="43" spans="1:26" ht="12.75" customHeight="1" x14ac:dyDescent="0.2"/>
    <row r="44" spans="1:26" ht="12.75" customHeight="1" x14ac:dyDescent="0.2"/>
    <row r="45" spans="1:26" ht="12.75" customHeight="1" x14ac:dyDescent="0.2"/>
    <row r="46" spans="1:26" ht="12.75" customHeight="1" x14ac:dyDescent="0.2"/>
    <row r="47" spans="1:26" ht="12.75" customHeight="1" x14ac:dyDescent="0.2"/>
    <row r="48" spans="1:26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>
      <selection activeCell="L31" sqref="L31"/>
    </sheetView>
  </sheetViews>
  <sheetFormatPr defaultColWidth="12.5703125" defaultRowHeight="15" customHeight="1" x14ac:dyDescent="0.2"/>
  <cols>
    <col min="1" max="1" width="11.42578125" customWidth="1"/>
    <col min="2" max="2" width="15.85546875" customWidth="1"/>
    <col min="3" max="3" width="13.85546875" customWidth="1"/>
    <col min="4" max="4" width="15" customWidth="1"/>
    <col min="5" max="5" width="13.5703125" customWidth="1"/>
    <col min="6" max="6" width="13.42578125" customWidth="1"/>
    <col min="7" max="7" width="14.140625" customWidth="1"/>
    <col min="8" max="9" width="13.140625" customWidth="1"/>
    <col min="10" max="10" width="13.85546875" customWidth="1"/>
    <col min="11" max="26" width="11.42578125" customWidth="1"/>
  </cols>
  <sheetData>
    <row r="1" spans="1:14" ht="12.75" customHeight="1" x14ac:dyDescent="0.2">
      <c r="A1" s="1" t="s">
        <v>28</v>
      </c>
    </row>
    <row r="2" spans="1:14" ht="12.75" customHeight="1" x14ac:dyDescent="0.2"/>
    <row r="3" spans="1:14" ht="12.75" customHeight="1" x14ac:dyDescent="0.2">
      <c r="A3" s="1" t="s">
        <v>97</v>
      </c>
      <c r="B3" t="str">
        <f>Intro!A3</f>
        <v>GG Specialty Insurance Company</v>
      </c>
    </row>
    <row r="4" spans="1:14" ht="12.75" customHeight="1" x14ac:dyDescent="0.2">
      <c r="A4" s="1" t="s">
        <v>29</v>
      </c>
      <c r="B4" s="1" t="str">
        <f>Intro!A4</f>
        <v>Energy QS</v>
      </c>
    </row>
    <row r="5" spans="1:14" ht="12.75" customHeight="1" x14ac:dyDescent="0.2">
      <c r="A5" s="1" t="s">
        <v>30</v>
      </c>
      <c r="B5" s="5">
        <f>Intro!B16</f>
        <v>45748</v>
      </c>
    </row>
    <row r="6" spans="1:14" ht="12.75" customHeight="1" x14ac:dyDescent="0.2"/>
    <row r="7" spans="1:14" ht="12.75" customHeight="1" x14ac:dyDescent="0.2">
      <c r="A7" s="1" t="s">
        <v>31</v>
      </c>
    </row>
    <row r="8" spans="1:14" ht="12.75" customHeight="1" x14ac:dyDescent="0.2"/>
    <row r="9" spans="1:14" ht="12.75" customHeight="1" x14ac:dyDescent="0.2">
      <c r="A9" s="1" t="s">
        <v>32</v>
      </c>
    </row>
    <row r="10" spans="1:14" ht="12.75" customHeight="1" x14ac:dyDescent="0.2">
      <c r="A10" s="1" t="s">
        <v>33</v>
      </c>
      <c r="B10" s="1" t="s">
        <v>7328</v>
      </c>
      <c r="C10" s="1" t="s">
        <v>7329</v>
      </c>
      <c r="D10" s="1" t="s">
        <v>7330</v>
      </c>
      <c r="E10" s="1" t="s">
        <v>7331</v>
      </c>
      <c r="F10" s="1" t="s">
        <v>7332</v>
      </c>
      <c r="G10" s="1" t="s">
        <v>7333</v>
      </c>
      <c r="H10" s="1" t="s">
        <v>7334</v>
      </c>
      <c r="I10" s="1" t="s">
        <v>7335</v>
      </c>
      <c r="J10" s="1" t="s">
        <v>7336</v>
      </c>
      <c r="K10" s="1" t="s">
        <v>7337</v>
      </c>
      <c r="L10" s="1" t="s">
        <v>7338</v>
      </c>
      <c r="M10" s="1" t="s">
        <v>7339</v>
      </c>
      <c r="N10" s="1" t="s">
        <v>7340</v>
      </c>
    </row>
    <row r="11" spans="1:14" ht="12.75" customHeight="1" x14ac:dyDescent="0.2">
      <c r="A11" s="1" t="s">
        <v>98</v>
      </c>
      <c r="B11" s="11">
        <v>29688183</v>
      </c>
      <c r="C11" s="11">
        <v>36104942</v>
      </c>
      <c r="D11" s="11">
        <v>42996497</v>
      </c>
      <c r="E11" s="11">
        <v>43813632</v>
      </c>
      <c r="F11" s="11">
        <v>49063086</v>
      </c>
      <c r="G11" s="9">
        <v>58102403</v>
      </c>
      <c r="H11" s="9">
        <v>58849613</v>
      </c>
      <c r="I11" s="9">
        <v>67927992</v>
      </c>
      <c r="J11" s="9">
        <v>71287821</v>
      </c>
      <c r="K11" s="9">
        <v>81689136</v>
      </c>
      <c r="L11" s="9">
        <v>84600000</v>
      </c>
      <c r="M11" s="9">
        <v>85200000</v>
      </c>
      <c r="N11" s="9">
        <v>49400000</v>
      </c>
    </row>
    <row r="12" spans="1:14" ht="12.75" customHeight="1" x14ac:dyDescent="0.2">
      <c r="B12" s="16"/>
    </row>
    <row r="13" spans="1:14" ht="12.75" customHeight="1" x14ac:dyDescent="0.2">
      <c r="A13" s="1" t="s">
        <v>34</v>
      </c>
    </row>
    <row r="14" spans="1:14" ht="12.75" customHeight="1" x14ac:dyDescent="0.2"/>
    <row r="15" spans="1:14" ht="12.75" customHeight="1" x14ac:dyDescent="0.2">
      <c r="A15" s="1" t="s">
        <v>35</v>
      </c>
    </row>
    <row r="16" spans="1:14" ht="12.75" customHeight="1" x14ac:dyDescent="0.2">
      <c r="A16" s="1" t="s">
        <v>36</v>
      </c>
      <c r="B16" s="1" t="s">
        <v>37</v>
      </c>
      <c r="C16" s="1" t="s">
        <v>38</v>
      </c>
      <c r="D16" s="1" t="s">
        <v>39</v>
      </c>
    </row>
    <row r="17" spans="1:7" ht="12.75" customHeight="1" x14ac:dyDescent="0.2">
      <c r="A17" s="1">
        <v>2014</v>
      </c>
      <c r="B17" s="9">
        <v>7756736.8000000007</v>
      </c>
      <c r="C17" s="9">
        <v>3903463.2</v>
      </c>
      <c r="D17" s="10">
        <f>B17+C17</f>
        <v>11660200</v>
      </c>
      <c r="F17" s="20"/>
      <c r="G17" s="20"/>
    </row>
    <row r="18" spans="1:7" ht="12.75" customHeight="1" x14ac:dyDescent="0.2">
      <c r="A18" s="1">
        <f t="shared" ref="A18:A20" si="0">A17+1</f>
        <v>2015</v>
      </c>
      <c r="B18" s="9">
        <v>17248191.5</v>
      </c>
      <c r="C18" s="9">
        <v>9270408.5499999989</v>
      </c>
      <c r="D18" s="10">
        <f t="shared" ref="D18:D20" si="1">B18+C18</f>
        <v>26518600.049999997</v>
      </c>
      <c r="F18" s="20"/>
      <c r="G18" s="20"/>
    </row>
    <row r="19" spans="1:7" ht="12.75" customHeight="1" x14ac:dyDescent="0.2">
      <c r="A19" s="1">
        <f t="shared" si="0"/>
        <v>2016</v>
      </c>
      <c r="B19" s="9">
        <v>22988480.68</v>
      </c>
      <c r="C19" s="9">
        <v>12184048.520000001</v>
      </c>
      <c r="D19" s="10">
        <f t="shared" si="1"/>
        <v>35172529.200000003</v>
      </c>
      <c r="F19" s="20"/>
      <c r="G19" s="20"/>
    </row>
    <row r="20" spans="1:7" ht="12.75" customHeight="1" x14ac:dyDescent="0.2">
      <c r="A20" s="1">
        <f t="shared" si="0"/>
        <v>2017</v>
      </c>
      <c r="B20" s="9">
        <v>27841286</v>
      </c>
      <c r="C20" s="9">
        <v>14836468</v>
      </c>
      <c r="D20" s="10">
        <f t="shared" si="1"/>
        <v>42677754</v>
      </c>
    </row>
    <row r="21" spans="1:7" ht="12.75" customHeight="1" x14ac:dyDescent="0.2">
      <c r="A21" s="1">
        <f t="shared" ref="A21:A27" si="2">A20+1</f>
        <v>2018</v>
      </c>
      <c r="B21" s="9">
        <v>29092085</v>
      </c>
      <c r="C21" s="9">
        <v>15856554</v>
      </c>
      <c r="D21" s="10">
        <f>B21+C21</f>
        <v>44948639</v>
      </c>
    </row>
    <row r="22" spans="1:7" ht="12.75" customHeight="1" x14ac:dyDescent="0.2">
      <c r="A22" s="1">
        <f t="shared" si="2"/>
        <v>2019</v>
      </c>
      <c r="B22" s="9">
        <v>33367010</v>
      </c>
      <c r="C22" s="9">
        <v>18653446</v>
      </c>
      <c r="D22" s="10">
        <f t="shared" ref="D22:D27" si="3">B22+C22</f>
        <v>52020456</v>
      </c>
    </row>
    <row r="23" spans="1:7" ht="12.75" customHeight="1" x14ac:dyDescent="0.2">
      <c r="A23" s="1">
        <f t="shared" si="2"/>
        <v>2020</v>
      </c>
      <c r="B23" s="9">
        <v>37112797</v>
      </c>
      <c r="C23" s="9">
        <v>20234150</v>
      </c>
      <c r="D23" s="10">
        <f t="shared" si="3"/>
        <v>57346947</v>
      </c>
    </row>
    <row r="24" spans="1:7" ht="12.75" customHeight="1" x14ac:dyDescent="0.2">
      <c r="A24" s="1">
        <f t="shared" si="2"/>
        <v>2021</v>
      </c>
      <c r="B24" s="9">
        <v>39854170</v>
      </c>
      <c r="C24" s="9">
        <v>22026472</v>
      </c>
      <c r="D24" s="10">
        <f t="shared" si="3"/>
        <v>61880642</v>
      </c>
    </row>
    <row r="25" spans="1:7" ht="12.75" customHeight="1" x14ac:dyDescent="0.2">
      <c r="A25" s="1">
        <f t="shared" si="2"/>
        <v>2022</v>
      </c>
      <c r="B25" s="9">
        <v>43900188</v>
      </c>
      <c r="C25" s="9">
        <v>24818363</v>
      </c>
      <c r="D25" s="10">
        <f t="shared" si="3"/>
        <v>68718551</v>
      </c>
    </row>
    <row r="26" spans="1:7" ht="12.75" customHeight="1" x14ac:dyDescent="0.2">
      <c r="A26" s="1">
        <f t="shared" si="2"/>
        <v>2023</v>
      </c>
      <c r="B26" s="9">
        <v>47731531</v>
      </c>
      <c r="C26" s="9">
        <v>26506379</v>
      </c>
      <c r="D26" s="10">
        <f t="shared" si="3"/>
        <v>74237910</v>
      </c>
    </row>
    <row r="27" spans="1:7" ht="12.75" customHeight="1" x14ac:dyDescent="0.2">
      <c r="A27" s="1">
        <f t="shared" si="2"/>
        <v>2024</v>
      </c>
      <c r="B27" s="9">
        <v>48863449</v>
      </c>
      <c r="C27" s="9">
        <v>25851608</v>
      </c>
      <c r="D27" s="10">
        <f t="shared" si="3"/>
        <v>74715057</v>
      </c>
    </row>
    <row r="28" spans="1:7" ht="12.75" customHeight="1" x14ac:dyDescent="0.2">
      <c r="A28" s="1"/>
    </row>
    <row r="29" spans="1:7" ht="12.75" customHeight="1" x14ac:dyDescent="0.2">
      <c r="A29" s="1"/>
    </row>
    <row r="30" spans="1:7" ht="12.75" customHeight="1" x14ac:dyDescent="0.2">
      <c r="A30" s="1" t="s">
        <v>39</v>
      </c>
      <c r="B30" s="10">
        <f>SUM(B17:B27)</f>
        <v>355755924.98000002</v>
      </c>
      <c r="C30" s="10">
        <f>SUM(C17:C27)</f>
        <v>194141360.27000001</v>
      </c>
      <c r="D30" s="10">
        <f>SUM(D17:D27)</f>
        <v>549897285.25</v>
      </c>
    </row>
    <row r="31" spans="1:7" ht="12.75" customHeight="1" x14ac:dyDescent="0.2"/>
    <row r="32" spans="1:7" ht="12.75" customHeight="1" x14ac:dyDescent="0.2">
      <c r="A32" s="1" t="s">
        <v>34</v>
      </c>
    </row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5277777777778" bottom="1.05277777777778" header="0" footer="0"/>
  <pageSetup orientation="portrait" r:id="rId1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E35" sqref="E35"/>
    </sheetView>
  </sheetViews>
  <sheetFormatPr defaultColWidth="12.5703125" defaultRowHeight="15" customHeight="1" x14ac:dyDescent="0.2"/>
  <cols>
    <col min="1" max="26" width="11.42578125" customWidth="1"/>
  </cols>
  <sheetData>
    <row r="1" spans="1:5" ht="12.75" customHeight="1" x14ac:dyDescent="0.2">
      <c r="A1" s="1" t="s">
        <v>40</v>
      </c>
    </row>
    <row r="2" spans="1:5" ht="12.75" customHeight="1" x14ac:dyDescent="0.2"/>
    <row r="3" spans="1:5" ht="12.75" customHeight="1" x14ac:dyDescent="0.2">
      <c r="A3" s="1" t="s">
        <v>97</v>
      </c>
      <c r="B3" t="str">
        <f>'Premium summary'!B3</f>
        <v>GG Specialty Insurance Company</v>
      </c>
    </row>
    <row r="4" spans="1:5" ht="12.75" customHeight="1" x14ac:dyDescent="0.2">
      <c r="A4" s="1" t="s">
        <v>29</v>
      </c>
      <c r="B4" t="str">
        <f>'Premium summary'!B4</f>
        <v>Energy QS</v>
      </c>
    </row>
    <row r="5" spans="1:5" ht="12.75" customHeight="1" x14ac:dyDescent="0.2">
      <c r="A5" s="1" t="s">
        <v>30</v>
      </c>
      <c r="B5" s="5">
        <f>'Premium summary'!B5</f>
        <v>45748</v>
      </c>
    </row>
    <row r="6" spans="1:5" ht="12.75" customHeight="1" x14ac:dyDescent="0.2">
      <c r="A6" s="1" t="s">
        <v>41</v>
      </c>
      <c r="B6" s="5">
        <v>45626</v>
      </c>
    </row>
    <row r="7" spans="1:5" ht="12.75" customHeight="1" x14ac:dyDescent="0.2"/>
    <row r="8" spans="1:5" ht="12.75" customHeight="1" x14ac:dyDescent="0.2">
      <c r="A8" s="1" t="s">
        <v>42</v>
      </c>
    </row>
    <row r="9" spans="1:5" ht="12.75" customHeight="1" x14ac:dyDescent="0.2">
      <c r="A9" s="1" t="s">
        <v>43</v>
      </c>
    </row>
    <row r="10" spans="1:5" ht="12.75" customHeight="1" x14ac:dyDescent="0.2">
      <c r="A10">
        <v>2014</v>
      </c>
      <c r="B10">
        <v>-1.9</v>
      </c>
      <c r="D10" s="16"/>
      <c r="E10" s="16"/>
    </row>
    <row r="11" spans="1:5" ht="12.75" customHeight="1" x14ac:dyDescent="0.2">
      <c r="A11" s="1">
        <f t="shared" ref="A11:A14" si="0">A10+1</f>
        <v>2015</v>
      </c>
      <c r="B11">
        <v>0</v>
      </c>
    </row>
    <row r="12" spans="1:5" ht="12.75" customHeight="1" x14ac:dyDescent="0.2">
      <c r="A12" s="1">
        <f t="shared" si="0"/>
        <v>2016</v>
      </c>
      <c r="B12">
        <v>7.2</v>
      </c>
    </row>
    <row r="13" spans="1:5" ht="12.75" customHeight="1" x14ac:dyDescent="0.2">
      <c r="A13" s="1">
        <f t="shared" si="0"/>
        <v>2017</v>
      </c>
      <c r="B13">
        <v>-2.6</v>
      </c>
    </row>
    <row r="14" spans="1:5" ht="12.75" customHeight="1" x14ac:dyDescent="0.2">
      <c r="A14" s="1">
        <f t="shared" si="0"/>
        <v>2018</v>
      </c>
      <c r="B14">
        <v>-1.3</v>
      </c>
    </row>
    <row r="15" spans="1:5" ht="12.75" customHeight="1" x14ac:dyDescent="0.2">
      <c r="A15" s="1">
        <f t="shared" ref="A15:A18" si="1">A14+1</f>
        <v>2019</v>
      </c>
      <c r="B15">
        <v>7.2</v>
      </c>
    </row>
    <row r="16" spans="1:5" ht="12.75" customHeight="1" x14ac:dyDescent="0.2">
      <c r="A16" s="1">
        <f t="shared" si="1"/>
        <v>2020</v>
      </c>
      <c r="B16">
        <v>-2.2999999999999998</v>
      </c>
    </row>
    <row r="17" spans="1:2" ht="12.75" customHeight="1" x14ac:dyDescent="0.2">
      <c r="A17" s="1">
        <f t="shared" si="1"/>
        <v>2021</v>
      </c>
      <c r="B17">
        <v>9.3000000000000007</v>
      </c>
    </row>
    <row r="18" spans="1:2" ht="12.75" customHeight="1" x14ac:dyDescent="0.2">
      <c r="A18" s="1">
        <f t="shared" si="1"/>
        <v>2022</v>
      </c>
      <c r="B18">
        <v>2</v>
      </c>
    </row>
    <row r="19" spans="1:2" ht="12.75" customHeight="1" x14ac:dyDescent="0.2">
      <c r="A19" s="1" t="s">
        <v>44</v>
      </c>
      <c r="B19">
        <v>5</v>
      </c>
    </row>
    <row r="20" spans="1:2" ht="12.75" customHeight="1" x14ac:dyDescent="0.2">
      <c r="A20" s="1" t="s">
        <v>45</v>
      </c>
      <c r="B20">
        <v>2.5</v>
      </c>
    </row>
    <row r="21" spans="1:2" ht="12.75" customHeight="1" x14ac:dyDescent="0.2">
      <c r="A21" s="1" t="s">
        <v>46</v>
      </c>
      <c r="B21">
        <v>1</v>
      </c>
    </row>
    <row r="22" spans="1:2" ht="12.75" customHeight="1" x14ac:dyDescent="0.2">
      <c r="A22" s="1" t="s">
        <v>47</v>
      </c>
      <c r="B22">
        <v>-13.8</v>
      </c>
    </row>
    <row r="23" spans="1:2" ht="12.75" customHeight="1" x14ac:dyDescent="0.2"/>
    <row r="24" spans="1:2" ht="12.75" customHeight="1" x14ac:dyDescent="0.2">
      <c r="A24" s="1" t="s">
        <v>34</v>
      </c>
    </row>
    <row r="25" spans="1:2" ht="12.75" customHeight="1" x14ac:dyDescent="0.2">
      <c r="A25" s="1" t="s">
        <v>48</v>
      </c>
    </row>
    <row r="26" spans="1:2" ht="12.75" customHeight="1" x14ac:dyDescent="0.2">
      <c r="A26" s="1" t="s">
        <v>49</v>
      </c>
    </row>
    <row r="27" spans="1:2" ht="12.75" customHeight="1" x14ac:dyDescent="0.2"/>
    <row r="28" spans="1:2" ht="12.75" customHeight="1" x14ac:dyDescent="0.2"/>
    <row r="29" spans="1:2" ht="12.75" customHeight="1" x14ac:dyDescent="0.2"/>
    <row r="30" spans="1:2" ht="12.75" customHeight="1" x14ac:dyDescent="0.2"/>
    <row r="31" spans="1:2" ht="12.75" customHeight="1" x14ac:dyDescent="0.2"/>
    <row r="32" spans="1: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2311"/>
  <sheetViews>
    <sheetView workbookViewId="0">
      <selection activeCell="F26" sqref="F26"/>
    </sheetView>
  </sheetViews>
  <sheetFormatPr defaultColWidth="12.5703125" defaultRowHeight="15" customHeight="1" x14ac:dyDescent="0.2"/>
  <cols>
    <col min="1" max="9" width="11.42578125" customWidth="1"/>
    <col min="10" max="10" width="14.5703125" customWidth="1"/>
    <col min="11" max="11" width="10.5703125" customWidth="1"/>
    <col min="12" max="25" width="11.42578125" customWidth="1"/>
  </cols>
  <sheetData>
    <row r="1" spans="1:12" ht="12.75" customHeight="1" x14ac:dyDescent="0.2">
      <c r="A1" s="1" t="s">
        <v>50</v>
      </c>
    </row>
    <row r="2" spans="1:12" ht="12.75" customHeight="1" x14ac:dyDescent="0.2"/>
    <row r="3" spans="1:12" ht="12.75" customHeight="1" x14ac:dyDescent="0.2">
      <c r="A3" s="1" t="s">
        <v>97</v>
      </c>
      <c r="B3" t="str">
        <f>'Premium summary'!B3</f>
        <v>GG Specialty Insurance Company</v>
      </c>
    </row>
    <row r="4" spans="1:12" ht="12.75" customHeight="1" x14ac:dyDescent="0.2">
      <c r="A4" s="1" t="s">
        <v>29</v>
      </c>
      <c r="B4" t="str">
        <f>'Premium summary'!B4</f>
        <v>Energy QS</v>
      </c>
    </row>
    <row r="5" spans="1:12" ht="12.75" customHeight="1" x14ac:dyDescent="0.2">
      <c r="A5" s="1" t="s">
        <v>30</v>
      </c>
      <c r="B5" s="5">
        <f>'Premium summary'!B5</f>
        <v>45748</v>
      </c>
    </row>
    <row r="6" spans="1:12" ht="12.75" customHeight="1" x14ac:dyDescent="0.2">
      <c r="A6" s="1" t="s">
        <v>41</v>
      </c>
      <c r="B6" s="5">
        <f>'Rate change'!B6</f>
        <v>45626</v>
      </c>
    </row>
    <row r="7" spans="1:12" ht="12.75" customHeight="1" x14ac:dyDescent="0.2">
      <c r="A7" s="1" t="s">
        <v>51</v>
      </c>
      <c r="B7" s="1" t="s">
        <v>52</v>
      </c>
    </row>
    <row r="8" spans="1:12" ht="12.75" customHeight="1" x14ac:dyDescent="0.2"/>
    <row r="9" spans="1:12" ht="12.75" customHeight="1" x14ac:dyDescent="0.2">
      <c r="A9" s="15" t="str">
        <f>"Policy Bordereau: Policies incepting between "&amp;TEXT(EOMONTH(B6,-12)+1,"Mmmm dd, yyyy")&amp;" and "&amp;TEXT(B6,"Mmmm dd, yyyy")</f>
        <v>Policy Bordereau: Policies incepting between December 01, 2023 and November 30, 2024</v>
      </c>
    </row>
    <row r="10" spans="1:12" ht="12.75" customHeight="1" x14ac:dyDescent="0.2"/>
    <row r="11" spans="1:12" ht="12.75" customHeight="1" x14ac:dyDescent="0.2">
      <c r="A11" s="1" t="s">
        <v>53</v>
      </c>
    </row>
    <row r="12" spans="1:12" ht="12.75" customHeight="1" x14ac:dyDescent="0.2">
      <c r="A12" s="1" t="s">
        <v>9986</v>
      </c>
    </row>
    <row r="13" spans="1:12" ht="12.75" customHeight="1" x14ac:dyDescent="0.2"/>
    <row r="14" spans="1:12" ht="12.75" customHeight="1" x14ac:dyDescent="0.2">
      <c r="A14" s="13" t="s">
        <v>6325</v>
      </c>
      <c r="B14" s="13" t="s">
        <v>6326</v>
      </c>
      <c r="C14" s="1" t="s">
        <v>54</v>
      </c>
      <c r="D14" s="1" t="s">
        <v>33</v>
      </c>
      <c r="E14" s="1" t="s">
        <v>55</v>
      </c>
      <c r="F14" s="1" t="s">
        <v>56</v>
      </c>
      <c r="G14" s="1" t="s">
        <v>57</v>
      </c>
      <c r="H14" s="1" t="s">
        <v>58</v>
      </c>
      <c r="I14" s="1" t="s">
        <v>59</v>
      </c>
      <c r="J14" s="1" t="s">
        <v>60</v>
      </c>
      <c r="K14" s="1" t="s">
        <v>61</v>
      </c>
      <c r="L14" s="1"/>
    </row>
    <row r="15" spans="1:12" ht="12.75" customHeight="1" x14ac:dyDescent="0.2">
      <c r="A15" t="s">
        <v>7341</v>
      </c>
      <c r="B15" t="s">
        <v>1127</v>
      </c>
      <c r="C15">
        <v>2023</v>
      </c>
      <c r="D15">
        <v>2023</v>
      </c>
      <c r="E15" s="7">
        <v>45261</v>
      </c>
      <c r="F15" s="7">
        <v>45626</v>
      </c>
      <c r="G15" t="s">
        <v>99</v>
      </c>
      <c r="H15" t="s">
        <v>108</v>
      </c>
      <c r="I15" t="s">
        <v>104</v>
      </c>
      <c r="J15">
        <v>6684.59</v>
      </c>
      <c r="K15">
        <v>1000000</v>
      </c>
    </row>
    <row r="16" spans="1:12" ht="12.75" customHeight="1" x14ac:dyDescent="0.2">
      <c r="A16" t="s">
        <v>7342</v>
      </c>
      <c r="B16" t="s">
        <v>7167</v>
      </c>
      <c r="C16">
        <v>2023</v>
      </c>
      <c r="D16">
        <v>2023</v>
      </c>
      <c r="E16" s="7">
        <v>45261</v>
      </c>
      <c r="F16" s="7">
        <v>45626</v>
      </c>
      <c r="G16" t="s">
        <v>99</v>
      </c>
      <c r="H16" t="s">
        <v>102</v>
      </c>
      <c r="I16" t="s">
        <v>101</v>
      </c>
      <c r="J16">
        <v>6596.65</v>
      </c>
      <c r="K16">
        <v>1000000</v>
      </c>
    </row>
    <row r="17" spans="1:11" ht="12.75" customHeight="1" x14ac:dyDescent="0.2">
      <c r="A17" t="s">
        <v>7343</v>
      </c>
      <c r="B17" t="s">
        <v>7344</v>
      </c>
      <c r="C17">
        <v>2023</v>
      </c>
      <c r="D17">
        <v>2023</v>
      </c>
      <c r="E17" s="7">
        <v>45261</v>
      </c>
      <c r="F17" s="7">
        <v>45626</v>
      </c>
      <c r="G17" t="s">
        <v>135</v>
      </c>
      <c r="H17" t="s">
        <v>6348</v>
      </c>
      <c r="I17" t="s">
        <v>101</v>
      </c>
      <c r="J17">
        <v>3638.46</v>
      </c>
      <c r="K17">
        <v>500000</v>
      </c>
    </row>
    <row r="18" spans="1:11" ht="12.75" customHeight="1" x14ac:dyDescent="0.2">
      <c r="A18" t="s">
        <v>7345</v>
      </c>
      <c r="B18" t="s">
        <v>408</v>
      </c>
      <c r="C18">
        <v>2023</v>
      </c>
      <c r="D18">
        <v>2023</v>
      </c>
      <c r="E18" s="7">
        <v>45261</v>
      </c>
      <c r="F18" s="7">
        <v>45626</v>
      </c>
      <c r="G18" t="s">
        <v>135</v>
      </c>
      <c r="H18" t="s">
        <v>110</v>
      </c>
      <c r="I18" t="s">
        <v>104</v>
      </c>
      <c r="J18">
        <v>33028.160000000003</v>
      </c>
      <c r="K18">
        <v>5000000</v>
      </c>
    </row>
    <row r="19" spans="1:11" ht="12.75" customHeight="1" x14ac:dyDescent="0.2">
      <c r="A19" t="s">
        <v>7346</v>
      </c>
      <c r="B19" t="s">
        <v>230</v>
      </c>
      <c r="C19">
        <v>2023</v>
      </c>
      <c r="D19">
        <v>2023</v>
      </c>
      <c r="E19" s="7">
        <v>45261</v>
      </c>
      <c r="F19" s="7">
        <v>45626</v>
      </c>
      <c r="G19" t="s">
        <v>135</v>
      </c>
      <c r="H19" t="s">
        <v>110</v>
      </c>
      <c r="I19" t="s">
        <v>104</v>
      </c>
      <c r="J19">
        <v>6889.29</v>
      </c>
      <c r="K19">
        <v>1000000</v>
      </c>
    </row>
    <row r="20" spans="1:11" ht="12.75" customHeight="1" x14ac:dyDescent="0.2">
      <c r="A20" t="s">
        <v>7347</v>
      </c>
      <c r="B20" t="s">
        <v>651</v>
      </c>
      <c r="C20">
        <v>2023</v>
      </c>
      <c r="D20">
        <v>2023</v>
      </c>
      <c r="E20" s="7">
        <v>45261</v>
      </c>
      <c r="F20" s="7">
        <v>45626</v>
      </c>
      <c r="G20" t="s">
        <v>135</v>
      </c>
      <c r="H20" t="s">
        <v>6334</v>
      </c>
      <c r="I20" t="s">
        <v>101</v>
      </c>
      <c r="J20">
        <v>74578.09</v>
      </c>
      <c r="K20">
        <v>10000000</v>
      </c>
    </row>
    <row r="21" spans="1:11" ht="12.75" customHeight="1" x14ac:dyDescent="0.2">
      <c r="A21" t="s">
        <v>7348</v>
      </c>
      <c r="B21" t="s">
        <v>7226</v>
      </c>
      <c r="C21">
        <v>2023</v>
      </c>
      <c r="D21">
        <v>2023</v>
      </c>
      <c r="E21" s="7">
        <v>45261</v>
      </c>
      <c r="F21" s="7">
        <v>45626</v>
      </c>
      <c r="G21" t="s">
        <v>135</v>
      </c>
      <c r="H21" t="s">
        <v>115</v>
      </c>
      <c r="I21" t="s">
        <v>104</v>
      </c>
      <c r="J21">
        <v>5483.37</v>
      </c>
      <c r="K21">
        <v>1000000</v>
      </c>
    </row>
    <row r="22" spans="1:11" ht="12.75" customHeight="1" x14ac:dyDescent="0.2">
      <c r="A22" t="s">
        <v>7349</v>
      </c>
      <c r="B22" t="s">
        <v>7350</v>
      </c>
      <c r="C22">
        <v>2023</v>
      </c>
      <c r="D22">
        <v>2023</v>
      </c>
      <c r="E22" s="7">
        <v>45261</v>
      </c>
      <c r="F22" s="7">
        <v>45626</v>
      </c>
      <c r="G22" t="s">
        <v>135</v>
      </c>
      <c r="H22" t="s">
        <v>106</v>
      </c>
      <c r="I22" t="s">
        <v>101</v>
      </c>
      <c r="J22">
        <v>46881</v>
      </c>
      <c r="K22">
        <v>5000000</v>
      </c>
    </row>
    <row r="23" spans="1:11" ht="12.75" customHeight="1" x14ac:dyDescent="0.2">
      <c r="A23" t="s">
        <v>7351</v>
      </c>
      <c r="B23" t="s">
        <v>7352</v>
      </c>
      <c r="C23">
        <v>2023</v>
      </c>
      <c r="D23">
        <v>2023</v>
      </c>
      <c r="E23" s="7">
        <v>45261</v>
      </c>
      <c r="F23" s="7">
        <v>45626</v>
      </c>
      <c r="G23" t="s">
        <v>135</v>
      </c>
      <c r="H23" t="s">
        <v>100</v>
      </c>
      <c r="I23" t="s">
        <v>104</v>
      </c>
      <c r="J23">
        <v>8856.76</v>
      </c>
      <c r="K23">
        <v>1500000</v>
      </c>
    </row>
    <row r="24" spans="1:11" ht="12.75" customHeight="1" x14ac:dyDescent="0.2">
      <c r="A24" t="s">
        <v>7353</v>
      </c>
      <c r="B24" t="s">
        <v>407</v>
      </c>
      <c r="C24">
        <v>2023</v>
      </c>
      <c r="D24">
        <v>2023</v>
      </c>
      <c r="E24" s="7">
        <v>45261</v>
      </c>
      <c r="F24" s="7">
        <v>45626</v>
      </c>
      <c r="G24" t="s">
        <v>135</v>
      </c>
      <c r="H24" t="s">
        <v>6334</v>
      </c>
      <c r="I24" t="s">
        <v>104</v>
      </c>
      <c r="J24">
        <v>11983.69</v>
      </c>
      <c r="K24">
        <v>2000000</v>
      </c>
    </row>
    <row r="25" spans="1:11" ht="12.75" customHeight="1" x14ac:dyDescent="0.2">
      <c r="A25" t="s">
        <v>7354</v>
      </c>
      <c r="B25" t="s">
        <v>7095</v>
      </c>
      <c r="C25">
        <v>2023</v>
      </c>
      <c r="D25">
        <v>2023</v>
      </c>
      <c r="E25" s="7">
        <v>45261</v>
      </c>
      <c r="F25" s="7">
        <v>45626</v>
      </c>
      <c r="G25" t="s">
        <v>135</v>
      </c>
      <c r="H25" t="s">
        <v>106</v>
      </c>
      <c r="I25" t="s">
        <v>104</v>
      </c>
      <c r="J25">
        <v>9679.25</v>
      </c>
      <c r="K25">
        <v>1500000</v>
      </c>
    </row>
    <row r="26" spans="1:11" ht="12.75" customHeight="1" x14ac:dyDescent="0.2">
      <c r="A26" t="s">
        <v>7355</v>
      </c>
      <c r="B26" t="s">
        <v>7098</v>
      </c>
      <c r="C26">
        <v>2023</v>
      </c>
      <c r="D26">
        <v>2023</v>
      </c>
      <c r="E26" s="7">
        <v>45261</v>
      </c>
      <c r="F26" s="7">
        <v>45626</v>
      </c>
      <c r="G26" t="s">
        <v>135</v>
      </c>
      <c r="H26" t="s">
        <v>106</v>
      </c>
      <c r="I26" t="s">
        <v>101</v>
      </c>
      <c r="J26">
        <v>88249.27</v>
      </c>
      <c r="K26">
        <v>10000000</v>
      </c>
    </row>
    <row r="27" spans="1:11" ht="12.75" customHeight="1" x14ac:dyDescent="0.2">
      <c r="A27" t="s">
        <v>7356</v>
      </c>
      <c r="B27" t="s">
        <v>7357</v>
      </c>
      <c r="C27">
        <v>2023</v>
      </c>
      <c r="D27">
        <v>2023</v>
      </c>
      <c r="E27" s="7">
        <v>45261</v>
      </c>
      <c r="F27" s="7">
        <v>45626</v>
      </c>
      <c r="G27" t="s">
        <v>135</v>
      </c>
      <c r="H27" t="s">
        <v>103</v>
      </c>
      <c r="I27" t="s">
        <v>101</v>
      </c>
      <c r="J27">
        <v>3637.53</v>
      </c>
      <c r="K27">
        <v>500000</v>
      </c>
    </row>
    <row r="28" spans="1:11" ht="12.75" customHeight="1" x14ac:dyDescent="0.2">
      <c r="A28" t="s">
        <v>7358</v>
      </c>
      <c r="B28" t="s">
        <v>7170</v>
      </c>
      <c r="C28">
        <v>2023</v>
      </c>
      <c r="D28">
        <v>2023</v>
      </c>
      <c r="E28" s="7">
        <v>45262</v>
      </c>
      <c r="F28" s="7">
        <v>45627</v>
      </c>
      <c r="G28" t="s">
        <v>99</v>
      </c>
      <c r="H28" t="s">
        <v>106</v>
      </c>
      <c r="I28" t="s">
        <v>101</v>
      </c>
      <c r="J28">
        <v>8840.27</v>
      </c>
      <c r="K28">
        <v>1000000</v>
      </c>
    </row>
    <row r="29" spans="1:11" ht="12.75" customHeight="1" x14ac:dyDescent="0.2">
      <c r="A29" t="s">
        <v>7359</v>
      </c>
      <c r="B29" t="s">
        <v>7172</v>
      </c>
      <c r="C29">
        <v>2023</v>
      </c>
      <c r="D29">
        <v>2023</v>
      </c>
      <c r="E29" s="7">
        <v>45262</v>
      </c>
      <c r="F29" s="7">
        <v>45627</v>
      </c>
      <c r="G29" t="s">
        <v>99</v>
      </c>
      <c r="H29" t="s">
        <v>6332</v>
      </c>
      <c r="I29" t="s">
        <v>104</v>
      </c>
      <c r="J29">
        <v>5273.3</v>
      </c>
      <c r="K29">
        <v>1000000</v>
      </c>
    </row>
    <row r="30" spans="1:11" ht="12.75" customHeight="1" x14ac:dyDescent="0.2">
      <c r="A30" t="s">
        <v>7360</v>
      </c>
      <c r="B30" t="s">
        <v>1128</v>
      </c>
      <c r="C30">
        <v>2023</v>
      </c>
      <c r="D30">
        <v>2023</v>
      </c>
      <c r="E30" s="7">
        <v>45262</v>
      </c>
      <c r="F30" s="7">
        <v>45627</v>
      </c>
      <c r="G30" t="s">
        <v>99</v>
      </c>
      <c r="H30" t="s">
        <v>110</v>
      </c>
      <c r="I30" t="s">
        <v>101</v>
      </c>
      <c r="J30">
        <v>9063.0400000000009</v>
      </c>
      <c r="K30">
        <v>1000000</v>
      </c>
    </row>
    <row r="31" spans="1:11" ht="12.75" customHeight="1" x14ac:dyDescent="0.2">
      <c r="A31" t="s">
        <v>7361</v>
      </c>
      <c r="B31" t="s">
        <v>7362</v>
      </c>
      <c r="C31">
        <v>2023</v>
      </c>
      <c r="D31">
        <v>2023</v>
      </c>
      <c r="E31" s="7">
        <v>45262</v>
      </c>
      <c r="F31" s="7">
        <v>45627</v>
      </c>
      <c r="G31" t="s">
        <v>135</v>
      </c>
      <c r="H31" t="s">
        <v>106</v>
      </c>
      <c r="I31" t="s">
        <v>101</v>
      </c>
      <c r="J31">
        <v>12122.4</v>
      </c>
      <c r="K31">
        <v>1500000</v>
      </c>
    </row>
    <row r="32" spans="1:11" ht="12.75" customHeight="1" x14ac:dyDescent="0.2">
      <c r="A32" t="s">
        <v>7363</v>
      </c>
      <c r="B32" t="s">
        <v>7364</v>
      </c>
      <c r="C32">
        <v>2023</v>
      </c>
      <c r="D32">
        <v>2023</v>
      </c>
      <c r="E32" s="7">
        <v>45262</v>
      </c>
      <c r="F32" s="7">
        <v>45627</v>
      </c>
      <c r="G32" t="s">
        <v>135</v>
      </c>
      <c r="H32" t="s">
        <v>114</v>
      </c>
      <c r="I32" t="s">
        <v>104</v>
      </c>
      <c r="J32">
        <v>5611.07</v>
      </c>
      <c r="K32">
        <v>1000000</v>
      </c>
    </row>
    <row r="33" spans="1:11" ht="12.75" customHeight="1" x14ac:dyDescent="0.2">
      <c r="A33" t="s">
        <v>7365</v>
      </c>
      <c r="B33" t="s">
        <v>7366</v>
      </c>
      <c r="C33">
        <v>2023</v>
      </c>
      <c r="D33">
        <v>2023</v>
      </c>
      <c r="E33" s="7">
        <v>45262</v>
      </c>
      <c r="F33" s="7">
        <v>45627</v>
      </c>
      <c r="G33" t="s">
        <v>135</v>
      </c>
      <c r="H33" t="s">
        <v>110</v>
      </c>
      <c r="I33" t="s">
        <v>104</v>
      </c>
      <c r="J33">
        <v>64243.48</v>
      </c>
      <c r="K33">
        <v>10000000</v>
      </c>
    </row>
    <row r="34" spans="1:11" ht="12.75" customHeight="1" x14ac:dyDescent="0.2">
      <c r="A34" t="s">
        <v>7367</v>
      </c>
      <c r="B34" t="s">
        <v>7368</v>
      </c>
      <c r="C34">
        <v>2023</v>
      </c>
      <c r="D34">
        <v>2023</v>
      </c>
      <c r="E34" s="7">
        <v>45262</v>
      </c>
      <c r="F34" s="7">
        <v>45627</v>
      </c>
      <c r="G34" t="s">
        <v>135</v>
      </c>
      <c r="H34" t="s">
        <v>107</v>
      </c>
      <c r="I34" t="s">
        <v>104</v>
      </c>
      <c r="J34">
        <v>29518.32</v>
      </c>
      <c r="K34">
        <v>5000000</v>
      </c>
    </row>
    <row r="35" spans="1:11" ht="12.75" customHeight="1" x14ac:dyDescent="0.2">
      <c r="A35" t="s">
        <v>7369</v>
      </c>
      <c r="B35" t="s">
        <v>7102</v>
      </c>
      <c r="C35">
        <v>2023</v>
      </c>
      <c r="D35">
        <v>2023</v>
      </c>
      <c r="E35" s="7">
        <v>45262</v>
      </c>
      <c r="F35" s="7">
        <v>45627</v>
      </c>
      <c r="G35" t="s">
        <v>135</v>
      </c>
      <c r="H35" t="s">
        <v>107</v>
      </c>
      <c r="I35" t="s">
        <v>101</v>
      </c>
      <c r="J35">
        <v>11449.94</v>
      </c>
      <c r="K35">
        <v>1500000</v>
      </c>
    </row>
    <row r="36" spans="1:11" ht="12.75" customHeight="1" x14ac:dyDescent="0.2">
      <c r="A36" t="s">
        <v>7320</v>
      </c>
      <c r="B36" t="s">
        <v>7370</v>
      </c>
      <c r="C36">
        <v>2023</v>
      </c>
      <c r="D36">
        <v>2023</v>
      </c>
      <c r="E36" s="7">
        <v>45262</v>
      </c>
      <c r="F36" s="7">
        <v>45627</v>
      </c>
      <c r="G36" t="s">
        <v>135</v>
      </c>
      <c r="H36" t="s">
        <v>106</v>
      </c>
      <c r="I36" t="s">
        <v>104</v>
      </c>
      <c r="J36">
        <v>11079.81</v>
      </c>
      <c r="K36">
        <v>1500000</v>
      </c>
    </row>
    <row r="37" spans="1:11" ht="12.75" customHeight="1" x14ac:dyDescent="0.2">
      <c r="A37" t="s">
        <v>7371</v>
      </c>
      <c r="B37" t="s">
        <v>7100</v>
      </c>
      <c r="C37">
        <v>2023</v>
      </c>
      <c r="D37">
        <v>2023</v>
      </c>
      <c r="E37" s="7">
        <v>45262</v>
      </c>
      <c r="F37" s="7">
        <v>45627</v>
      </c>
      <c r="G37" t="s">
        <v>135</v>
      </c>
      <c r="H37" t="s">
        <v>115</v>
      </c>
      <c r="I37" t="s">
        <v>104</v>
      </c>
      <c r="J37">
        <v>5611.23</v>
      </c>
      <c r="K37">
        <v>1000000</v>
      </c>
    </row>
    <row r="38" spans="1:11" ht="12.75" customHeight="1" x14ac:dyDescent="0.2">
      <c r="A38" t="s">
        <v>7372</v>
      </c>
      <c r="B38" t="s">
        <v>7107</v>
      </c>
      <c r="C38">
        <v>2023</v>
      </c>
      <c r="D38">
        <v>2023</v>
      </c>
      <c r="E38" s="7">
        <v>45262</v>
      </c>
      <c r="F38" s="7">
        <v>45627</v>
      </c>
      <c r="G38" t="s">
        <v>135</v>
      </c>
      <c r="H38" t="s">
        <v>108</v>
      </c>
      <c r="I38" t="s">
        <v>101</v>
      </c>
      <c r="J38">
        <v>18239.13</v>
      </c>
      <c r="K38">
        <v>2000000</v>
      </c>
    </row>
    <row r="39" spans="1:11" ht="12.75" customHeight="1" x14ac:dyDescent="0.2">
      <c r="A39" t="s">
        <v>7373</v>
      </c>
      <c r="B39" t="s">
        <v>7374</v>
      </c>
      <c r="C39">
        <v>2023</v>
      </c>
      <c r="D39">
        <v>2023</v>
      </c>
      <c r="E39" s="7">
        <v>45262</v>
      </c>
      <c r="F39" s="7">
        <v>45627</v>
      </c>
      <c r="G39" t="s">
        <v>135</v>
      </c>
      <c r="H39" t="s">
        <v>106</v>
      </c>
      <c r="I39" t="s">
        <v>101</v>
      </c>
      <c r="J39">
        <v>9403.08</v>
      </c>
      <c r="K39">
        <v>1000000</v>
      </c>
    </row>
    <row r="40" spans="1:11" ht="12.75" customHeight="1" x14ac:dyDescent="0.2">
      <c r="A40" t="s">
        <v>7375</v>
      </c>
      <c r="B40" t="s">
        <v>1129</v>
      </c>
      <c r="C40">
        <v>2023</v>
      </c>
      <c r="D40">
        <v>2023</v>
      </c>
      <c r="E40" s="7">
        <v>45263</v>
      </c>
      <c r="F40" s="7">
        <v>45628</v>
      </c>
      <c r="G40" t="s">
        <v>99</v>
      </c>
      <c r="H40" t="s">
        <v>6348</v>
      </c>
      <c r="I40" t="s">
        <v>104</v>
      </c>
      <c r="J40">
        <v>10866.56</v>
      </c>
      <c r="K40">
        <v>2000000</v>
      </c>
    </row>
    <row r="41" spans="1:11" ht="12.75" customHeight="1" x14ac:dyDescent="0.2">
      <c r="A41" t="s">
        <v>7376</v>
      </c>
      <c r="B41" t="s">
        <v>1130</v>
      </c>
      <c r="C41">
        <v>2023</v>
      </c>
      <c r="D41">
        <v>2023</v>
      </c>
      <c r="E41" s="7">
        <v>45263</v>
      </c>
      <c r="F41" s="7">
        <v>45628</v>
      </c>
      <c r="G41" t="s">
        <v>99</v>
      </c>
      <c r="H41" t="s">
        <v>112</v>
      </c>
      <c r="I41" t="s">
        <v>104</v>
      </c>
      <c r="J41">
        <v>37691.75</v>
      </c>
      <c r="K41">
        <v>5000000</v>
      </c>
    </row>
    <row r="42" spans="1:11" ht="12.75" customHeight="1" x14ac:dyDescent="0.2">
      <c r="A42" t="s">
        <v>7377</v>
      </c>
      <c r="B42" t="s">
        <v>7378</v>
      </c>
      <c r="C42">
        <v>2023</v>
      </c>
      <c r="D42">
        <v>2023</v>
      </c>
      <c r="E42" s="7">
        <v>45263</v>
      </c>
      <c r="F42" s="7">
        <v>45628</v>
      </c>
      <c r="G42" t="s">
        <v>135</v>
      </c>
      <c r="H42" t="s">
        <v>106</v>
      </c>
      <c r="I42" t="s">
        <v>104</v>
      </c>
      <c r="J42">
        <v>10791.23</v>
      </c>
      <c r="K42">
        <v>1500000</v>
      </c>
    </row>
    <row r="43" spans="1:11" ht="12.75" customHeight="1" x14ac:dyDescent="0.2">
      <c r="A43" t="s">
        <v>7379</v>
      </c>
      <c r="B43" t="s">
        <v>7103</v>
      </c>
      <c r="C43">
        <v>2023</v>
      </c>
      <c r="D43">
        <v>2023</v>
      </c>
      <c r="E43" s="7">
        <v>45263</v>
      </c>
      <c r="F43" s="7">
        <v>45628</v>
      </c>
      <c r="G43" t="s">
        <v>135</v>
      </c>
      <c r="H43" t="s">
        <v>102</v>
      </c>
      <c r="I43" t="s">
        <v>101</v>
      </c>
      <c r="J43">
        <v>7693.74</v>
      </c>
      <c r="K43">
        <v>1000000</v>
      </c>
    </row>
    <row r="44" spans="1:11" ht="12.75" customHeight="1" x14ac:dyDescent="0.2">
      <c r="A44" t="s">
        <v>7380</v>
      </c>
      <c r="B44" t="s">
        <v>7381</v>
      </c>
      <c r="C44">
        <v>2023</v>
      </c>
      <c r="D44">
        <v>2023</v>
      </c>
      <c r="E44" s="7">
        <v>45263</v>
      </c>
      <c r="F44" s="7">
        <v>45628</v>
      </c>
      <c r="G44" t="s">
        <v>135</v>
      </c>
      <c r="H44" t="s">
        <v>102</v>
      </c>
      <c r="I44" t="s">
        <v>101</v>
      </c>
      <c r="J44">
        <v>7183.49</v>
      </c>
      <c r="K44">
        <v>1000000</v>
      </c>
    </row>
    <row r="45" spans="1:11" ht="12.75" customHeight="1" x14ac:dyDescent="0.2">
      <c r="A45" t="s">
        <v>7382</v>
      </c>
      <c r="B45" t="s">
        <v>7383</v>
      </c>
      <c r="C45">
        <v>2023</v>
      </c>
      <c r="D45">
        <v>2023</v>
      </c>
      <c r="E45" s="7">
        <v>45263</v>
      </c>
      <c r="F45" s="7">
        <v>45628</v>
      </c>
      <c r="G45" t="s">
        <v>135</v>
      </c>
      <c r="H45" t="s">
        <v>111</v>
      </c>
      <c r="I45" t="s">
        <v>101</v>
      </c>
      <c r="J45">
        <v>3861.67</v>
      </c>
      <c r="K45">
        <v>500000</v>
      </c>
    </row>
    <row r="46" spans="1:11" ht="12.75" customHeight="1" x14ac:dyDescent="0.2">
      <c r="A46" t="s">
        <v>7384</v>
      </c>
      <c r="B46" t="s">
        <v>7385</v>
      </c>
      <c r="C46">
        <v>2023</v>
      </c>
      <c r="D46">
        <v>2023</v>
      </c>
      <c r="E46" s="7">
        <v>45263</v>
      </c>
      <c r="F46" s="7">
        <v>45628</v>
      </c>
      <c r="G46" t="s">
        <v>135</v>
      </c>
      <c r="H46" t="s">
        <v>102</v>
      </c>
      <c r="I46" t="s">
        <v>101</v>
      </c>
      <c r="J46">
        <v>10581.53</v>
      </c>
      <c r="K46">
        <v>1500000</v>
      </c>
    </row>
    <row r="47" spans="1:11" ht="12.75" customHeight="1" x14ac:dyDescent="0.2">
      <c r="A47" t="s">
        <v>7386</v>
      </c>
      <c r="B47" t="s">
        <v>7387</v>
      </c>
      <c r="C47">
        <v>2023</v>
      </c>
      <c r="D47">
        <v>2023</v>
      </c>
      <c r="E47" s="7">
        <v>45263</v>
      </c>
      <c r="F47" s="7">
        <v>45628</v>
      </c>
      <c r="G47" t="s">
        <v>135</v>
      </c>
      <c r="H47" t="s">
        <v>107</v>
      </c>
      <c r="I47" t="s">
        <v>101</v>
      </c>
      <c r="J47">
        <v>10388.370000000001</v>
      </c>
      <c r="K47">
        <v>1500000</v>
      </c>
    </row>
    <row r="48" spans="1:11" ht="12.75" customHeight="1" x14ac:dyDescent="0.2">
      <c r="A48" t="s">
        <v>7388</v>
      </c>
      <c r="B48" t="s">
        <v>7389</v>
      </c>
      <c r="C48">
        <v>2023</v>
      </c>
      <c r="D48">
        <v>2023</v>
      </c>
      <c r="E48" s="7">
        <v>45263</v>
      </c>
      <c r="F48" s="7">
        <v>45628</v>
      </c>
      <c r="G48" t="s">
        <v>135</v>
      </c>
      <c r="H48" t="s">
        <v>112</v>
      </c>
      <c r="I48" t="s">
        <v>104</v>
      </c>
      <c r="J48">
        <v>10406.35</v>
      </c>
      <c r="K48">
        <v>1500000</v>
      </c>
    </row>
    <row r="49" spans="1:11" ht="12.75" customHeight="1" x14ac:dyDescent="0.2">
      <c r="A49" t="s">
        <v>7390</v>
      </c>
      <c r="B49" t="s">
        <v>1131</v>
      </c>
      <c r="C49">
        <v>2023</v>
      </c>
      <c r="D49">
        <v>2023</v>
      </c>
      <c r="E49" s="7">
        <v>45264</v>
      </c>
      <c r="F49" s="7">
        <v>45629</v>
      </c>
      <c r="G49" t="s">
        <v>99</v>
      </c>
      <c r="H49" t="s">
        <v>107</v>
      </c>
      <c r="I49" t="s">
        <v>101</v>
      </c>
      <c r="J49">
        <v>10974.39</v>
      </c>
      <c r="K49">
        <v>1500000</v>
      </c>
    </row>
    <row r="50" spans="1:11" ht="12.75" customHeight="1" x14ac:dyDescent="0.2">
      <c r="A50" t="s">
        <v>7391</v>
      </c>
      <c r="B50" t="s">
        <v>653</v>
      </c>
      <c r="C50">
        <v>2023</v>
      </c>
      <c r="D50">
        <v>2023</v>
      </c>
      <c r="E50" s="7">
        <v>45264</v>
      </c>
      <c r="F50" s="7">
        <v>45629</v>
      </c>
      <c r="G50" t="s">
        <v>135</v>
      </c>
      <c r="H50" t="s">
        <v>113</v>
      </c>
      <c r="I50" t="s">
        <v>101</v>
      </c>
      <c r="J50">
        <v>7218.87</v>
      </c>
      <c r="K50">
        <v>1000000</v>
      </c>
    </row>
    <row r="51" spans="1:11" ht="12.75" customHeight="1" x14ac:dyDescent="0.2">
      <c r="A51" t="s">
        <v>7392</v>
      </c>
      <c r="B51" t="s">
        <v>7393</v>
      </c>
      <c r="C51">
        <v>2023</v>
      </c>
      <c r="D51">
        <v>2023</v>
      </c>
      <c r="E51" s="7">
        <v>45264</v>
      </c>
      <c r="F51" s="7">
        <v>45629</v>
      </c>
      <c r="G51" t="s">
        <v>135</v>
      </c>
      <c r="H51" t="s">
        <v>107</v>
      </c>
      <c r="I51" t="s">
        <v>104</v>
      </c>
      <c r="J51">
        <v>5676.53</v>
      </c>
      <c r="K51">
        <v>1000000</v>
      </c>
    </row>
    <row r="52" spans="1:11" ht="12.75" customHeight="1" x14ac:dyDescent="0.2">
      <c r="A52" t="s">
        <v>7394</v>
      </c>
      <c r="B52" t="s">
        <v>652</v>
      </c>
      <c r="C52">
        <v>2023</v>
      </c>
      <c r="D52">
        <v>2023</v>
      </c>
      <c r="E52" s="7">
        <v>45264</v>
      </c>
      <c r="F52" s="7">
        <v>45629</v>
      </c>
      <c r="G52" t="s">
        <v>135</v>
      </c>
      <c r="H52" t="s">
        <v>110</v>
      </c>
      <c r="I52" t="s">
        <v>104</v>
      </c>
      <c r="J52">
        <v>7718.63</v>
      </c>
      <c r="K52">
        <v>1000000</v>
      </c>
    </row>
    <row r="53" spans="1:11" ht="12.75" customHeight="1" x14ac:dyDescent="0.2">
      <c r="A53" t="s">
        <v>7395</v>
      </c>
      <c r="B53" t="s">
        <v>7396</v>
      </c>
      <c r="C53">
        <v>2023</v>
      </c>
      <c r="D53">
        <v>2023</v>
      </c>
      <c r="E53" s="7">
        <v>45264</v>
      </c>
      <c r="F53" s="7">
        <v>45629</v>
      </c>
      <c r="G53" t="s">
        <v>135</v>
      </c>
      <c r="H53" t="s">
        <v>109</v>
      </c>
      <c r="I53" t="s">
        <v>104</v>
      </c>
      <c r="J53">
        <v>5638.23</v>
      </c>
      <c r="K53">
        <v>1000000</v>
      </c>
    </row>
    <row r="54" spans="1:11" ht="12.75" customHeight="1" x14ac:dyDescent="0.2">
      <c r="A54" t="s">
        <v>7397</v>
      </c>
      <c r="B54" t="s">
        <v>7398</v>
      </c>
      <c r="C54">
        <v>2023</v>
      </c>
      <c r="D54">
        <v>2023</v>
      </c>
      <c r="E54" s="7">
        <v>45264</v>
      </c>
      <c r="F54" s="7">
        <v>45629</v>
      </c>
      <c r="G54" t="s">
        <v>135</v>
      </c>
      <c r="H54" t="s">
        <v>107</v>
      </c>
      <c r="I54" t="s">
        <v>101</v>
      </c>
      <c r="J54">
        <v>10554.49</v>
      </c>
      <c r="K54">
        <v>1500000</v>
      </c>
    </row>
    <row r="55" spans="1:11" ht="12.75" customHeight="1" x14ac:dyDescent="0.2">
      <c r="A55" t="s">
        <v>7399</v>
      </c>
      <c r="B55" t="s">
        <v>7400</v>
      </c>
      <c r="C55">
        <v>2023</v>
      </c>
      <c r="D55">
        <v>2023</v>
      </c>
      <c r="E55" s="7">
        <v>45264</v>
      </c>
      <c r="F55" s="7">
        <v>45629</v>
      </c>
      <c r="G55" t="s">
        <v>135</v>
      </c>
      <c r="H55" t="s">
        <v>106</v>
      </c>
      <c r="I55" t="s">
        <v>101</v>
      </c>
      <c r="J55">
        <v>16796.759999999998</v>
      </c>
      <c r="K55">
        <v>2000000</v>
      </c>
    </row>
    <row r="56" spans="1:11" ht="12.75" customHeight="1" x14ac:dyDescent="0.2">
      <c r="A56" t="s">
        <v>7401</v>
      </c>
      <c r="B56" t="s">
        <v>7402</v>
      </c>
      <c r="C56">
        <v>2023</v>
      </c>
      <c r="D56">
        <v>2023</v>
      </c>
      <c r="E56" s="7">
        <v>45264</v>
      </c>
      <c r="F56" s="7">
        <v>45629</v>
      </c>
      <c r="G56" t="s">
        <v>135</v>
      </c>
      <c r="H56" t="s">
        <v>102</v>
      </c>
      <c r="I56" t="s">
        <v>104</v>
      </c>
      <c r="J56">
        <v>29243.45</v>
      </c>
      <c r="K56">
        <v>5000000</v>
      </c>
    </row>
    <row r="57" spans="1:11" ht="12.75" customHeight="1" x14ac:dyDescent="0.2">
      <c r="A57" t="s">
        <v>7403</v>
      </c>
      <c r="B57" t="s">
        <v>409</v>
      </c>
      <c r="C57">
        <v>2023</v>
      </c>
      <c r="D57">
        <v>2023</v>
      </c>
      <c r="E57" s="7">
        <v>45264</v>
      </c>
      <c r="F57" s="7">
        <v>45629</v>
      </c>
      <c r="G57" t="s">
        <v>135</v>
      </c>
      <c r="H57" t="s">
        <v>105</v>
      </c>
      <c r="I57" t="s">
        <v>101</v>
      </c>
      <c r="J57">
        <v>11606.99</v>
      </c>
      <c r="K57">
        <v>1500000</v>
      </c>
    </row>
    <row r="58" spans="1:11" ht="12.75" customHeight="1" x14ac:dyDescent="0.2">
      <c r="A58" t="s">
        <v>7404</v>
      </c>
      <c r="B58" t="s">
        <v>7405</v>
      </c>
      <c r="C58">
        <v>2023</v>
      </c>
      <c r="D58">
        <v>2023</v>
      </c>
      <c r="E58" s="7">
        <v>45264</v>
      </c>
      <c r="F58" s="7">
        <v>45629</v>
      </c>
      <c r="G58" t="s">
        <v>135</v>
      </c>
      <c r="H58" t="s">
        <v>6337</v>
      </c>
      <c r="I58" t="s">
        <v>104</v>
      </c>
      <c r="J58">
        <v>2929.23</v>
      </c>
      <c r="K58">
        <v>500000</v>
      </c>
    </row>
    <row r="59" spans="1:11" ht="12.75" customHeight="1" x14ac:dyDescent="0.2">
      <c r="A59" t="s">
        <v>7406</v>
      </c>
      <c r="B59" t="s">
        <v>7407</v>
      </c>
      <c r="C59">
        <v>2023</v>
      </c>
      <c r="D59">
        <v>2023</v>
      </c>
      <c r="E59" s="7">
        <v>45264</v>
      </c>
      <c r="F59" s="7">
        <v>45629</v>
      </c>
      <c r="G59" t="s">
        <v>135</v>
      </c>
      <c r="H59" t="s">
        <v>103</v>
      </c>
      <c r="I59" t="s">
        <v>104</v>
      </c>
      <c r="J59">
        <v>9214.4599999999991</v>
      </c>
      <c r="K59">
        <v>1500000</v>
      </c>
    </row>
    <row r="60" spans="1:11" ht="12.75" customHeight="1" x14ac:dyDescent="0.2">
      <c r="A60" t="s">
        <v>7408</v>
      </c>
      <c r="B60" t="s">
        <v>7106</v>
      </c>
      <c r="C60">
        <v>2023</v>
      </c>
      <c r="D60">
        <v>2023</v>
      </c>
      <c r="E60" s="7">
        <v>45264</v>
      </c>
      <c r="F60" s="7">
        <v>45629</v>
      </c>
      <c r="G60" t="s">
        <v>135</v>
      </c>
      <c r="H60" t="s">
        <v>100</v>
      </c>
      <c r="I60" t="s">
        <v>101</v>
      </c>
      <c r="J60">
        <v>14928.5</v>
      </c>
      <c r="K60">
        <v>2000000</v>
      </c>
    </row>
    <row r="61" spans="1:11" ht="12.75" customHeight="1" x14ac:dyDescent="0.2">
      <c r="A61" t="s">
        <v>7409</v>
      </c>
      <c r="B61" t="s">
        <v>7189</v>
      </c>
      <c r="C61">
        <v>2023</v>
      </c>
      <c r="D61">
        <v>2023</v>
      </c>
      <c r="E61" s="7">
        <v>45264</v>
      </c>
      <c r="F61" s="7">
        <v>45629</v>
      </c>
      <c r="G61" t="s">
        <v>135</v>
      </c>
      <c r="H61" t="s">
        <v>102</v>
      </c>
      <c r="I61" t="s">
        <v>101</v>
      </c>
      <c r="J61">
        <v>9632.98</v>
      </c>
      <c r="K61">
        <v>1500000</v>
      </c>
    </row>
    <row r="62" spans="1:11" ht="12.75" customHeight="1" x14ac:dyDescent="0.2">
      <c r="A62" t="s">
        <v>7410</v>
      </c>
      <c r="B62" t="s">
        <v>1132</v>
      </c>
      <c r="C62">
        <v>2023</v>
      </c>
      <c r="D62">
        <v>2023</v>
      </c>
      <c r="E62" s="7">
        <v>45265</v>
      </c>
      <c r="F62" s="7">
        <v>45630</v>
      </c>
      <c r="G62" t="s">
        <v>99</v>
      </c>
      <c r="H62" t="s">
        <v>107</v>
      </c>
      <c r="I62" t="s">
        <v>104</v>
      </c>
      <c r="J62">
        <v>9200.17</v>
      </c>
      <c r="K62">
        <v>1500000</v>
      </c>
    </row>
    <row r="63" spans="1:11" ht="12.75" customHeight="1" x14ac:dyDescent="0.2">
      <c r="A63" t="s">
        <v>7411</v>
      </c>
      <c r="B63" t="s">
        <v>7178</v>
      </c>
      <c r="C63">
        <v>2023</v>
      </c>
      <c r="D63">
        <v>2023</v>
      </c>
      <c r="E63" s="7">
        <v>45265</v>
      </c>
      <c r="F63" s="7">
        <v>45630</v>
      </c>
      <c r="G63" t="s">
        <v>99</v>
      </c>
      <c r="H63" t="s">
        <v>6337</v>
      </c>
      <c r="I63" t="s">
        <v>104</v>
      </c>
      <c r="J63">
        <v>8254.65</v>
      </c>
      <c r="K63">
        <v>1500000</v>
      </c>
    </row>
    <row r="64" spans="1:11" ht="12.75" customHeight="1" x14ac:dyDescent="0.2">
      <c r="A64" t="s">
        <v>7412</v>
      </c>
      <c r="B64" t="s">
        <v>7179</v>
      </c>
      <c r="C64">
        <v>2023</v>
      </c>
      <c r="D64">
        <v>2023</v>
      </c>
      <c r="E64" s="7">
        <v>45265</v>
      </c>
      <c r="F64" s="7">
        <v>45630</v>
      </c>
      <c r="G64" t="s">
        <v>99</v>
      </c>
      <c r="H64" t="s">
        <v>102</v>
      </c>
      <c r="I64" t="s">
        <v>101</v>
      </c>
      <c r="J64">
        <v>7373.26</v>
      </c>
      <c r="K64">
        <v>1000000</v>
      </c>
    </row>
    <row r="65" spans="1:11" ht="12.75" customHeight="1" x14ac:dyDescent="0.2">
      <c r="A65" t="s">
        <v>7413</v>
      </c>
      <c r="B65" t="s">
        <v>1133</v>
      </c>
      <c r="C65">
        <v>2023</v>
      </c>
      <c r="D65">
        <v>2023</v>
      </c>
      <c r="E65" s="7">
        <v>45265</v>
      </c>
      <c r="F65" s="7">
        <v>45630</v>
      </c>
      <c r="G65" t="s">
        <v>99</v>
      </c>
      <c r="H65" t="s">
        <v>113</v>
      </c>
      <c r="I65" t="s">
        <v>104</v>
      </c>
      <c r="J65">
        <v>56847.38</v>
      </c>
      <c r="K65">
        <v>10000000</v>
      </c>
    </row>
    <row r="66" spans="1:11" ht="12.75" customHeight="1" x14ac:dyDescent="0.2">
      <c r="A66" t="s">
        <v>7414</v>
      </c>
      <c r="B66" t="s">
        <v>7182</v>
      </c>
      <c r="C66">
        <v>2023</v>
      </c>
      <c r="D66">
        <v>2023</v>
      </c>
      <c r="E66" s="7">
        <v>45265</v>
      </c>
      <c r="F66" s="7">
        <v>45630</v>
      </c>
      <c r="G66" t="s">
        <v>99</v>
      </c>
      <c r="H66" t="s">
        <v>6334</v>
      </c>
      <c r="I66" t="s">
        <v>104</v>
      </c>
      <c r="J66">
        <v>2640.07</v>
      </c>
      <c r="K66">
        <v>500000</v>
      </c>
    </row>
    <row r="67" spans="1:11" ht="12.75" customHeight="1" x14ac:dyDescent="0.2">
      <c r="A67" t="s">
        <v>7415</v>
      </c>
      <c r="B67" t="s">
        <v>7183</v>
      </c>
      <c r="C67">
        <v>2023</v>
      </c>
      <c r="D67">
        <v>2023</v>
      </c>
      <c r="E67" s="7">
        <v>45265</v>
      </c>
      <c r="F67" s="7">
        <v>45630</v>
      </c>
      <c r="G67" t="s">
        <v>99</v>
      </c>
      <c r="H67" t="s">
        <v>114</v>
      </c>
      <c r="I67" t="s">
        <v>104</v>
      </c>
      <c r="J67">
        <v>7785.06</v>
      </c>
      <c r="K67">
        <v>1500000</v>
      </c>
    </row>
    <row r="68" spans="1:11" ht="12.75" customHeight="1" x14ac:dyDescent="0.2">
      <c r="A68" t="s">
        <v>7416</v>
      </c>
      <c r="B68" t="s">
        <v>1134</v>
      </c>
      <c r="C68">
        <v>2023</v>
      </c>
      <c r="D68">
        <v>2023</v>
      </c>
      <c r="E68" s="7">
        <v>45265</v>
      </c>
      <c r="F68" s="7">
        <v>45630</v>
      </c>
      <c r="G68" t="s">
        <v>99</v>
      </c>
      <c r="H68" t="s">
        <v>115</v>
      </c>
      <c r="I68" t="s">
        <v>104</v>
      </c>
      <c r="J68">
        <v>28681.13</v>
      </c>
      <c r="K68">
        <v>5000000</v>
      </c>
    </row>
    <row r="69" spans="1:11" ht="12.75" customHeight="1" x14ac:dyDescent="0.2">
      <c r="A69" t="s">
        <v>7417</v>
      </c>
      <c r="B69" t="s">
        <v>7418</v>
      </c>
      <c r="C69">
        <v>2023</v>
      </c>
      <c r="D69">
        <v>2023</v>
      </c>
      <c r="E69" s="7">
        <v>45265</v>
      </c>
      <c r="F69" s="7">
        <v>45630</v>
      </c>
      <c r="G69" t="s">
        <v>135</v>
      </c>
      <c r="H69" t="s">
        <v>102</v>
      </c>
      <c r="I69" t="s">
        <v>101</v>
      </c>
      <c r="J69">
        <v>14218.13</v>
      </c>
      <c r="K69">
        <v>2000000</v>
      </c>
    </row>
    <row r="70" spans="1:11" ht="12.75" customHeight="1" x14ac:dyDescent="0.2">
      <c r="A70" t="s">
        <v>7419</v>
      </c>
      <c r="B70" t="s">
        <v>7420</v>
      </c>
      <c r="C70">
        <v>2023</v>
      </c>
      <c r="D70">
        <v>2023</v>
      </c>
      <c r="E70" s="7">
        <v>45265</v>
      </c>
      <c r="F70" s="7">
        <v>45630</v>
      </c>
      <c r="G70" t="s">
        <v>135</v>
      </c>
      <c r="H70" t="s">
        <v>106</v>
      </c>
      <c r="I70" t="s">
        <v>101</v>
      </c>
      <c r="J70">
        <v>4362.1099999999997</v>
      </c>
      <c r="K70">
        <v>500000</v>
      </c>
    </row>
    <row r="71" spans="1:11" ht="12.75" customHeight="1" x14ac:dyDescent="0.2">
      <c r="A71" t="s">
        <v>7421</v>
      </c>
      <c r="B71" t="s">
        <v>7105</v>
      </c>
      <c r="C71">
        <v>2023</v>
      </c>
      <c r="D71">
        <v>2023</v>
      </c>
      <c r="E71" s="7">
        <v>45265</v>
      </c>
      <c r="F71" s="7">
        <v>45630</v>
      </c>
      <c r="G71" t="s">
        <v>135</v>
      </c>
      <c r="H71" t="s">
        <v>6348</v>
      </c>
      <c r="I71" t="s">
        <v>104</v>
      </c>
      <c r="J71">
        <v>7889.03</v>
      </c>
      <c r="K71">
        <v>1500000</v>
      </c>
    </row>
    <row r="72" spans="1:11" ht="12.75" customHeight="1" x14ac:dyDescent="0.2">
      <c r="A72" t="s">
        <v>7422</v>
      </c>
      <c r="B72" t="s">
        <v>410</v>
      </c>
      <c r="C72">
        <v>2023</v>
      </c>
      <c r="D72">
        <v>2023</v>
      </c>
      <c r="E72" s="7">
        <v>45265</v>
      </c>
      <c r="F72" s="7">
        <v>45630</v>
      </c>
      <c r="G72" t="s">
        <v>135</v>
      </c>
      <c r="H72" t="s">
        <v>106</v>
      </c>
      <c r="I72" t="s">
        <v>101</v>
      </c>
      <c r="J72">
        <v>14617.12</v>
      </c>
      <c r="K72">
        <v>1500000</v>
      </c>
    </row>
    <row r="73" spans="1:11" ht="12.75" customHeight="1" x14ac:dyDescent="0.2">
      <c r="A73" t="s">
        <v>7423</v>
      </c>
      <c r="B73" t="s">
        <v>7424</v>
      </c>
      <c r="C73">
        <v>2023</v>
      </c>
      <c r="D73">
        <v>2023</v>
      </c>
      <c r="E73" s="7">
        <v>45265</v>
      </c>
      <c r="F73" s="7">
        <v>45630</v>
      </c>
      <c r="G73" t="s">
        <v>135</v>
      </c>
      <c r="H73" t="s">
        <v>102</v>
      </c>
      <c r="I73" t="s">
        <v>104</v>
      </c>
      <c r="J73">
        <v>8125.82</v>
      </c>
      <c r="K73">
        <v>1500000</v>
      </c>
    </row>
    <row r="74" spans="1:11" ht="12.75" customHeight="1" x14ac:dyDescent="0.2">
      <c r="A74" t="s">
        <v>7425</v>
      </c>
      <c r="B74" t="s">
        <v>7198</v>
      </c>
      <c r="C74">
        <v>2023</v>
      </c>
      <c r="D74">
        <v>2023</v>
      </c>
      <c r="E74" s="7">
        <v>45265</v>
      </c>
      <c r="F74" s="7">
        <v>45630</v>
      </c>
      <c r="G74" t="s">
        <v>135</v>
      </c>
      <c r="H74" t="s">
        <v>115</v>
      </c>
      <c r="I74" t="s">
        <v>101</v>
      </c>
      <c r="J74">
        <v>14484.3</v>
      </c>
      <c r="K74">
        <v>2000000</v>
      </c>
    </row>
    <row r="75" spans="1:11" ht="12.75" customHeight="1" x14ac:dyDescent="0.2">
      <c r="A75" t="s">
        <v>7426</v>
      </c>
      <c r="B75" t="s">
        <v>7427</v>
      </c>
      <c r="C75">
        <v>2023</v>
      </c>
      <c r="D75">
        <v>2023</v>
      </c>
      <c r="E75" s="7">
        <v>45265</v>
      </c>
      <c r="F75" s="7">
        <v>45630</v>
      </c>
      <c r="G75" t="s">
        <v>135</v>
      </c>
      <c r="H75" t="s">
        <v>116</v>
      </c>
      <c r="I75" t="s">
        <v>104</v>
      </c>
      <c r="J75">
        <v>11233.4</v>
      </c>
      <c r="K75">
        <v>2000000</v>
      </c>
    </row>
    <row r="76" spans="1:11" ht="12.75" customHeight="1" x14ac:dyDescent="0.2">
      <c r="A76" t="s">
        <v>7428</v>
      </c>
      <c r="B76" t="s">
        <v>1135</v>
      </c>
      <c r="C76">
        <v>2023</v>
      </c>
      <c r="D76">
        <v>2023</v>
      </c>
      <c r="E76" s="7">
        <v>45266</v>
      </c>
      <c r="F76" s="7">
        <v>45631</v>
      </c>
      <c r="G76" t="s">
        <v>99</v>
      </c>
      <c r="H76" t="s">
        <v>107</v>
      </c>
      <c r="I76" t="s">
        <v>104</v>
      </c>
      <c r="J76">
        <v>56200.58</v>
      </c>
      <c r="K76">
        <v>10000000</v>
      </c>
    </row>
    <row r="77" spans="1:11" ht="12.75" customHeight="1" x14ac:dyDescent="0.2">
      <c r="A77" t="s">
        <v>7429</v>
      </c>
      <c r="B77" t="s">
        <v>1136</v>
      </c>
      <c r="C77">
        <v>2023</v>
      </c>
      <c r="D77">
        <v>2023</v>
      </c>
      <c r="E77" s="7">
        <v>45266</v>
      </c>
      <c r="F77" s="7">
        <v>45631</v>
      </c>
      <c r="G77" t="s">
        <v>99</v>
      </c>
      <c r="H77" t="s">
        <v>106</v>
      </c>
      <c r="I77" t="s">
        <v>101</v>
      </c>
      <c r="J77">
        <v>91905.06</v>
      </c>
      <c r="K77">
        <v>10000000</v>
      </c>
    </row>
    <row r="78" spans="1:11" ht="12.75" customHeight="1" x14ac:dyDescent="0.2">
      <c r="A78" t="s">
        <v>7430</v>
      </c>
      <c r="B78" t="s">
        <v>7431</v>
      </c>
      <c r="C78">
        <v>2023</v>
      </c>
      <c r="D78">
        <v>2023</v>
      </c>
      <c r="E78" s="7">
        <v>45266</v>
      </c>
      <c r="F78" s="7">
        <v>45631</v>
      </c>
      <c r="G78" t="s">
        <v>135</v>
      </c>
      <c r="H78" t="s">
        <v>107</v>
      </c>
      <c r="I78" t="s">
        <v>101</v>
      </c>
      <c r="J78">
        <v>11617.14</v>
      </c>
      <c r="K78">
        <v>1500000</v>
      </c>
    </row>
    <row r="79" spans="1:11" ht="12.75" customHeight="1" x14ac:dyDescent="0.2">
      <c r="A79" t="s">
        <v>7432</v>
      </c>
      <c r="B79" t="s">
        <v>7433</v>
      </c>
      <c r="C79">
        <v>2023</v>
      </c>
      <c r="D79">
        <v>2023</v>
      </c>
      <c r="E79" s="7">
        <v>45266</v>
      </c>
      <c r="F79" s="7">
        <v>45631</v>
      </c>
      <c r="G79" t="s">
        <v>135</v>
      </c>
      <c r="H79" t="s">
        <v>102</v>
      </c>
      <c r="I79" t="s">
        <v>104</v>
      </c>
      <c r="J79">
        <v>58224.03</v>
      </c>
      <c r="K79">
        <v>10000000</v>
      </c>
    </row>
    <row r="80" spans="1:11" ht="12.75" customHeight="1" x14ac:dyDescent="0.2">
      <c r="A80" t="s">
        <v>7434</v>
      </c>
      <c r="B80" t="s">
        <v>411</v>
      </c>
      <c r="C80">
        <v>2023</v>
      </c>
      <c r="D80">
        <v>2023</v>
      </c>
      <c r="E80" s="7">
        <v>45266</v>
      </c>
      <c r="F80" s="7">
        <v>45631</v>
      </c>
      <c r="G80" t="s">
        <v>135</v>
      </c>
      <c r="H80" t="s">
        <v>102</v>
      </c>
      <c r="I80" t="s">
        <v>101</v>
      </c>
      <c r="J80">
        <v>14157.2</v>
      </c>
      <c r="K80">
        <v>2000000</v>
      </c>
    </row>
    <row r="81" spans="1:11" ht="12.75" customHeight="1" x14ac:dyDescent="0.2">
      <c r="A81" t="s">
        <v>7435</v>
      </c>
      <c r="B81" t="s">
        <v>7436</v>
      </c>
      <c r="C81">
        <v>2023</v>
      </c>
      <c r="D81">
        <v>2023</v>
      </c>
      <c r="E81" s="7">
        <v>45266</v>
      </c>
      <c r="F81" s="7">
        <v>45631</v>
      </c>
      <c r="G81" t="s">
        <v>135</v>
      </c>
      <c r="H81" t="s">
        <v>114</v>
      </c>
      <c r="I81" t="s">
        <v>104</v>
      </c>
      <c r="J81">
        <v>11451.71</v>
      </c>
      <c r="K81">
        <v>2000000</v>
      </c>
    </row>
    <row r="82" spans="1:11" ht="12.75" customHeight="1" x14ac:dyDescent="0.2">
      <c r="A82" t="s">
        <v>7437</v>
      </c>
      <c r="B82" t="s">
        <v>654</v>
      </c>
      <c r="C82">
        <v>2023</v>
      </c>
      <c r="D82">
        <v>2023</v>
      </c>
      <c r="E82" s="7">
        <v>45266</v>
      </c>
      <c r="F82" s="7">
        <v>45631</v>
      </c>
      <c r="G82" t="s">
        <v>135</v>
      </c>
      <c r="H82" t="s">
        <v>107</v>
      </c>
      <c r="I82" t="s">
        <v>104</v>
      </c>
      <c r="J82">
        <v>11375.86</v>
      </c>
      <c r="K82">
        <v>2000000</v>
      </c>
    </row>
    <row r="83" spans="1:11" ht="12.75" customHeight="1" x14ac:dyDescent="0.2">
      <c r="A83" t="s">
        <v>7438</v>
      </c>
      <c r="B83" t="s">
        <v>7439</v>
      </c>
      <c r="C83">
        <v>2023</v>
      </c>
      <c r="D83">
        <v>2023</v>
      </c>
      <c r="E83" s="7">
        <v>45266</v>
      </c>
      <c r="F83" s="7">
        <v>45631</v>
      </c>
      <c r="G83" t="s">
        <v>135</v>
      </c>
      <c r="H83" t="s">
        <v>108</v>
      </c>
      <c r="I83" t="s">
        <v>104</v>
      </c>
      <c r="J83">
        <v>13654.39</v>
      </c>
      <c r="K83">
        <v>2000000</v>
      </c>
    </row>
    <row r="84" spans="1:11" ht="12.75" customHeight="1" x14ac:dyDescent="0.2">
      <c r="A84" t="s">
        <v>7440</v>
      </c>
      <c r="B84" t="s">
        <v>7441</v>
      </c>
      <c r="C84">
        <v>2023</v>
      </c>
      <c r="D84">
        <v>2023</v>
      </c>
      <c r="E84" s="7">
        <v>45266</v>
      </c>
      <c r="F84" s="7">
        <v>45631</v>
      </c>
      <c r="G84" t="s">
        <v>135</v>
      </c>
      <c r="H84" t="s">
        <v>107</v>
      </c>
      <c r="I84" t="s">
        <v>101</v>
      </c>
      <c r="J84">
        <v>6508.78</v>
      </c>
      <c r="K84">
        <v>1000000</v>
      </c>
    </row>
    <row r="85" spans="1:11" ht="12.75" customHeight="1" x14ac:dyDescent="0.2">
      <c r="A85" t="s">
        <v>7442</v>
      </c>
      <c r="B85" t="s">
        <v>1137</v>
      </c>
      <c r="C85">
        <v>2023</v>
      </c>
      <c r="D85">
        <v>2023</v>
      </c>
      <c r="E85" s="7">
        <v>45267</v>
      </c>
      <c r="F85" s="7">
        <v>45632</v>
      </c>
      <c r="G85" t="s">
        <v>99</v>
      </c>
      <c r="H85" t="s">
        <v>108</v>
      </c>
      <c r="I85" t="s">
        <v>101</v>
      </c>
      <c r="J85">
        <v>9585.85</v>
      </c>
      <c r="K85">
        <v>1000000</v>
      </c>
    </row>
    <row r="86" spans="1:11" ht="12.75" customHeight="1" x14ac:dyDescent="0.2">
      <c r="A86" t="s">
        <v>7443</v>
      </c>
      <c r="B86" t="s">
        <v>1138</v>
      </c>
      <c r="C86">
        <v>2023</v>
      </c>
      <c r="D86">
        <v>2023</v>
      </c>
      <c r="E86" s="7">
        <v>45267</v>
      </c>
      <c r="F86" s="7">
        <v>45632</v>
      </c>
      <c r="G86" t="s">
        <v>99</v>
      </c>
      <c r="H86" t="s">
        <v>108</v>
      </c>
      <c r="I86" t="s">
        <v>104</v>
      </c>
      <c r="J86">
        <v>73558.2</v>
      </c>
      <c r="K86">
        <v>10000000</v>
      </c>
    </row>
    <row r="87" spans="1:11" ht="12.75" customHeight="1" x14ac:dyDescent="0.2">
      <c r="A87" t="s">
        <v>7444</v>
      </c>
      <c r="B87" t="s">
        <v>1139</v>
      </c>
      <c r="C87">
        <v>2023</v>
      </c>
      <c r="D87">
        <v>2023</v>
      </c>
      <c r="E87" s="7">
        <v>45267</v>
      </c>
      <c r="F87" s="7">
        <v>45632</v>
      </c>
      <c r="G87" t="s">
        <v>99</v>
      </c>
      <c r="H87" t="s">
        <v>114</v>
      </c>
      <c r="I87" t="s">
        <v>101</v>
      </c>
      <c r="J87">
        <v>71909.600000000006</v>
      </c>
      <c r="K87">
        <v>10000000</v>
      </c>
    </row>
    <row r="88" spans="1:11" ht="12.75" customHeight="1" x14ac:dyDescent="0.2">
      <c r="A88" t="s">
        <v>7445</v>
      </c>
      <c r="B88" t="s">
        <v>7446</v>
      </c>
      <c r="C88">
        <v>2023</v>
      </c>
      <c r="D88">
        <v>2023</v>
      </c>
      <c r="E88" s="7">
        <v>45267</v>
      </c>
      <c r="F88" s="7">
        <v>45632</v>
      </c>
      <c r="G88" t="s">
        <v>99</v>
      </c>
      <c r="H88" t="s">
        <v>107</v>
      </c>
      <c r="I88" t="s">
        <v>101</v>
      </c>
      <c r="J88">
        <v>7666.34</v>
      </c>
      <c r="K88">
        <v>1000000</v>
      </c>
    </row>
    <row r="89" spans="1:11" ht="12.75" customHeight="1" x14ac:dyDescent="0.2">
      <c r="A89" t="s">
        <v>7447</v>
      </c>
      <c r="B89" t="s">
        <v>7448</v>
      </c>
      <c r="C89">
        <v>2023</v>
      </c>
      <c r="D89">
        <v>2023</v>
      </c>
      <c r="E89" s="7">
        <v>45267</v>
      </c>
      <c r="F89" s="7">
        <v>45632</v>
      </c>
      <c r="G89" t="s">
        <v>135</v>
      </c>
      <c r="H89" t="s">
        <v>107</v>
      </c>
      <c r="I89" t="s">
        <v>101</v>
      </c>
      <c r="J89">
        <v>3431.96</v>
      </c>
      <c r="K89">
        <v>500000</v>
      </c>
    </row>
    <row r="90" spans="1:11" ht="12.75" customHeight="1" x14ac:dyDescent="0.2">
      <c r="A90" t="s">
        <v>7449</v>
      </c>
      <c r="B90" t="s">
        <v>231</v>
      </c>
      <c r="C90">
        <v>2023</v>
      </c>
      <c r="D90">
        <v>2023</v>
      </c>
      <c r="E90" s="7">
        <v>45267</v>
      </c>
      <c r="F90" s="7">
        <v>45632</v>
      </c>
      <c r="G90" t="s">
        <v>135</v>
      </c>
      <c r="H90" t="s">
        <v>115</v>
      </c>
      <c r="I90" t="s">
        <v>101</v>
      </c>
      <c r="J90">
        <v>72703.33</v>
      </c>
      <c r="K90">
        <v>10000000</v>
      </c>
    </row>
    <row r="91" spans="1:11" ht="12.75" customHeight="1" x14ac:dyDescent="0.2">
      <c r="A91" t="s">
        <v>7450</v>
      </c>
      <c r="B91" t="s">
        <v>7215</v>
      </c>
      <c r="C91">
        <v>2023</v>
      </c>
      <c r="D91">
        <v>2023</v>
      </c>
      <c r="E91" s="7">
        <v>45267</v>
      </c>
      <c r="F91" s="7">
        <v>45632</v>
      </c>
      <c r="G91" t="s">
        <v>135</v>
      </c>
      <c r="H91" t="s">
        <v>100</v>
      </c>
      <c r="I91" t="s">
        <v>101</v>
      </c>
      <c r="J91">
        <v>6724.58</v>
      </c>
      <c r="K91">
        <v>1000000</v>
      </c>
    </row>
    <row r="92" spans="1:11" ht="12.75" customHeight="1" x14ac:dyDescent="0.2">
      <c r="A92" t="s">
        <v>7451</v>
      </c>
      <c r="B92" t="s">
        <v>7200</v>
      </c>
      <c r="C92">
        <v>2023</v>
      </c>
      <c r="D92">
        <v>2023</v>
      </c>
      <c r="E92" s="7">
        <v>45267</v>
      </c>
      <c r="F92" s="7">
        <v>45632</v>
      </c>
      <c r="G92" t="s">
        <v>135</v>
      </c>
      <c r="H92" t="s">
        <v>102</v>
      </c>
      <c r="I92" t="s">
        <v>101</v>
      </c>
      <c r="J92">
        <v>3752.06</v>
      </c>
      <c r="K92">
        <v>500000</v>
      </c>
    </row>
    <row r="93" spans="1:11" ht="12.75" customHeight="1" x14ac:dyDescent="0.2">
      <c r="A93" t="s">
        <v>7452</v>
      </c>
      <c r="B93" t="s">
        <v>655</v>
      </c>
      <c r="C93">
        <v>2023</v>
      </c>
      <c r="D93">
        <v>2023</v>
      </c>
      <c r="E93" s="7">
        <v>45267</v>
      </c>
      <c r="F93" s="7">
        <v>45632</v>
      </c>
      <c r="G93" t="s">
        <v>135</v>
      </c>
      <c r="H93" t="s">
        <v>102</v>
      </c>
      <c r="I93" t="s">
        <v>101</v>
      </c>
      <c r="J93">
        <v>3578.7</v>
      </c>
      <c r="K93">
        <v>500000</v>
      </c>
    </row>
    <row r="94" spans="1:11" ht="12.75" customHeight="1" x14ac:dyDescent="0.2">
      <c r="A94" t="s">
        <v>7453</v>
      </c>
      <c r="B94" t="s">
        <v>7454</v>
      </c>
      <c r="C94">
        <v>2023</v>
      </c>
      <c r="D94">
        <v>2023</v>
      </c>
      <c r="E94" s="7">
        <v>45267</v>
      </c>
      <c r="F94" s="7">
        <v>45632</v>
      </c>
      <c r="G94" t="s">
        <v>135</v>
      </c>
      <c r="H94" t="s">
        <v>106</v>
      </c>
      <c r="I94" t="s">
        <v>101</v>
      </c>
      <c r="J94">
        <v>8381.34</v>
      </c>
      <c r="K94">
        <v>1000000</v>
      </c>
    </row>
    <row r="95" spans="1:11" ht="12.75" customHeight="1" x14ac:dyDescent="0.2">
      <c r="A95" t="s">
        <v>7455</v>
      </c>
      <c r="B95" t="s">
        <v>7456</v>
      </c>
      <c r="C95">
        <v>2023</v>
      </c>
      <c r="D95">
        <v>2023</v>
      </c>
      <c r="E95" s="7">
        <v>45267</v>
      </c>
      <c r="F95" s="7">
        <v>45632</v>
      </c>
      <c r="G95" t="s">
        <v>135</v>
      </c>
      <c r="H95" t="s">
        <v>103</v>
      </c>
      <c r="I95" t="s">
        <v>104</v>
      </c>
      <c r="J95">
        <v>5382.41</v>
      </c>
      <c r="K95">
        <v>1000000</v>
      </c>
    </row>
    <row r="96" spans="1:11" ht="12.75" customHeight="1" x14ac:dyDescent="0.2">
      <c r="A96" t="s">
        <v>7457</v>
      </c>
      <c r="B96" t="s">
        <v>7116</v>
      </c>
      <c r="C96">
        <v>2023</v>
      </c>
      <c r="D96">
        <v>2023</v>
      </c>
      <c r="E96" s="7">
        <v>45267</v>
      </c>
      <c r="F96" s="7">
        <v>45632</v>
      </c>
      <c r="G96" t="s">
        <v>135</v>
      </c>
      <c r="H96" t="s">
        <v>102</v>
      </c>
      <c r="I96" t="s">
        <v>104</v>
      </c>
      <c r="J96">
        <v>59666.17</v>
      </c>
      <c r="K96">
        <v>10000000</v>
      </c>
    </row>
    <row r="97" spans="1:11" ht="12.75" customHeight="1" x14ac:dyDescent="0.2">
      <c r="A97" t="s">
        <v>7458</v>
      </c>
      <c r="B97" t="s">
        <v>7459</v>
      </c>
      <c r="C97">
        <v>2023</v>
      </c>
      <c r="D97">
        <v>2023</v>
      </c>
      <c r="E97" s="7">
        <v>45267</v>
      </c>
      <c r="F97" s="7">
        <v>45632</v>
      </c>
      <c r="G97" t="s">
        <v>135</v>
      </c>
      <c r="H97" t="s">
        <v>115</v>
      </c>
      <c r="I97" t="s">
        <v>104</v>
      </c>
      <c r="J97">
        <v>9316.15</v>
      </c>
      <c r="K97">
        <v>1500000</v>
      </c>
    </row>
    <row r="98" spans="1:11" ht="12.75" customHeight="1" x14ac:dyDescent="0.2">
      <c r="A98" t="s">
        <v>7460</v>
      </c>
      <c r="B98" t="s">
        <v>7461</v>
      </c>
      <c r="C98">
        <v>2023</v>
      </c>
      <c r="D98">
        <v>2023</v>
      </c>
      <c r="E98" s="7">
        <v>45267</v>
      </c>
      <c r="F98" s="7">
        <v>45632</v>
      </c>
      <c r="G98" t="s">
        <v>135</v>
      </c>
      <c r="H98" t="s">
        <v>106</v>
      </c>
      <c r="I98" t="s">
        <v>104</v>
      </c>
      <c r="J98">
        <v>3720.11</v>
      </c>
      <c r="K98">
        <v>500000</v>
      </c>
    </row>
    <row r="99" spans="1:11" ht="12.75" customHeight="1" x14ac:dyDescent="0.2">
      <c r="A99" t="s">
        <v>7462</v>
      </c>
      <c r="B99" t="s">
        <v>7463</v>
      </c>
      <c r="C99">
        <v>2023</v>
      </c>
      <c r="D99">
        <v>2023</v>
      </c>
      <c r="E99" s="7">
        <v>45267</v>
      </c>
      <c r="F99" s="7">
        <v>45632</v>
      </c>
      <c r="G99" t="s">
        <v>135</v>
      </c>
      <c r="H99" t="s">
        <v>107</v>
      </c>
      <c r="I99" t="s">
        <v>101</v>
      </c>
      <c r="J99">
        <v>32170.6</v>
      </c>
      <c r="K99">
        <v>5000000</v>
      </c>
    </row>
    <row r="100" spans="1:11" ht="12.75" customHeight="1" x14ac:dyDescent="0.2">
      <c r="A100" t="s">
        <v>7464</v>
      </c>
      <c r="B100" t="s">
        <v>7465</v>
      </c>
      <c r="C100">
        <v>2023</v>
      </c>
      <c r="D100">
        <v>2023</v>
      </c>
      <c r="E100" s="7">
        <v>45267</v>
      </c>
      <c r="F100" s="7">
        <v>45632</v>
      </c>
      <c r="G100" t="s">
        <v>135</v>
      </c>
      <c r="H100" t="s">
        <v>113</v>
      </c>
      <c r="I100" t="s">
        <v>101</v>
      </c>
      <c r="J100">
        <v>14174.83</v>
      </c>
      <c r="K100">
        <v>2000000</v>
      </c>
    </row>
    <row r="101" spans="1:11" ht="12.75" customHeight="1" x14ac:dyDescent="0.2">
      <c r="A101" t="s">
        <v>7466</v>
      </c>
      <c r="B101" t="s">
        <v>7467</v>
      </c>
      <c r="C101">
        <v>2023</v>
      </c>
      <c r="D101">
        <v>2023</v>
      </c>
      <c r="E101" s="7">
        <v>45267</v>
      </c>
      <c r="F101" s="7">
        <v>45632</v>
      </c>
      <c r="G101" t="s">
        <v>135</v>
      </c>
      <c r="H101" t="s">
        <v>106</v>
      </c>
      <c r="I101" t="s">
        <v>101</v>
      </c>
      <c r="J101">
        <v>8505.7099999999991</v>
      </c>
      <c r="K101">
        <v>1000000</v>
      </c>
    </row>
    <row r="102" spans="1:11" ht="12.75" customHeight="1" x14ac:dyDescent="0.2">
      <c r="A102" t="s">
        <v>7468</v>
      </c>
      <c r="B102" t="s">
        <v>1140</v>
      </c>
      <c r="C102">
        <v>2023</v>
      </c>
      <c r="D102">
        <v>2023</v>
      </c>
      <c r="E102" s="7">
        <v>45268</v>
      </c>
      <c r="F102" s="7">
        <v>45633</v>
      </c>
      <c r="G102" t="s">
        <v>99</v>
      </c>
      <c r="H102" t="s">
        <v>112</v>
      </c>
      <c r="I102" t="s">
        <v>101</v>
      </c>
      <c r="J102">
        <v>14083.84</v>
      </c>
      <c r="K102">
        <v>1500000</v>
      </c>
    </row>
    <row r="103" spans="1:11" ht="12.75" customHeight="1" x14ac:dyDescent="0.2">
      <c r="A103" t="s">
        <v>7469</v>
      </c>
      <c r="B103" t="s">
        <v>7186</v>
      </c>
      <c r="C103">
        <v>2023</v>
      </c>
      <c r="D103">
        <v>2023</v>
      </c>
      <c r="E103" s="7">
        <v>45268</v>
      </c>
      <c r="F103" s="7">
        <v>45633</v>
      </c>
      <c r="G103" t="s">
        <v>99</v>
      </c>
      <c r="H103" t="s">
        <v>106</v>
      </c>
      <c r="I103" t="s">
        <v>101</v>
      </c>
      <c r="J103">
        <v>9215.32</v>
      </c>
      <c r="K103">
        <v>1000000</v>
      </c>
    </row>
    <row r="104" spans="1:11" ht="12.75" customHeight="1" x14ac:dyDescent="0.2">
      <c r="A104" t="s">
        <v>7470</v>
      </c>
      <c r="B104" t="s">
        <v>656</v>
      </c>
      <c r="C104">
        <v>2023</v>
      </c>
      <c r="D104">
        <v>2023</v>
      </c>
      <c r="E104" s="7">
        <v>45268</v>
      </c>
      <c r="F104" s="7">
        <v>45633</v>
      </c>
      <c r="G104" t="s">
        <v>135</v>
      </c>
      <c r="H104" t="s">
        <v>107</v>
      </c>
      <c r="I104" t="s">
        <v>101</v>
      </c>
      <c r="J104">
        <v>34767.22</v>
      </c>
      <c r="K104">
        <v>5000000</v>
      </c>
    </row>
    <row r="105" spans="1:11" ht="12.75" customHeight="1" x14ac:dyDescent="0.2">
      <c r="A105" t="s">
        <v>7471</v>
      </c>
      <c r="B105" t="s">
        <v>7232</v>
      </c>
      <c r="C105">
        <v>2023</v>
      </c>
      <c r="D105">
        <v>2023</v>
      </c>
      <c r="E105" s="7">
        <v>45268</v>
      </c>
      <c r="F105" s="7">
        <v>45633</v>
      </c>
      <c r="G105" t="s">
        <v>135</v>
      </c>
      <c r="H105" t="s">
        <v>102</v>
      </c>
      <c r="I105" t="s">
        <v>101</v>
      </c>
      <c r="J105">
        <v>7276.54</v>
      </c>
      <c r="K105">
        <v>1000000</v>
      </c>
    </row>
    <row r="106" spans="1:11" ht="12.75" customHeight="1" x14ac:dyDescent="0.2">
      <c r="A106" t="s">
        <v>7472</v>
      </c>
      <c r="B106" t="s">
        <v>7473</v>
      </c>
      <c r="C106">
        <v>2023</v>
      </c>
      <c r="D106">
        <v>2023</v>
      </c>
      <c r="E106" s="7">
        <v>45268</v>
      </c>
      <c r="F106" s="7">
        <v>45633</v>
      </c>
      <c r="G106" t="s">
        <v>135</v>
      </c>
      <c r="H106" t="s">
        <v>102</v>
      </c>
      <c r="I106" t="s">
        <v>101</v>
      </c>
      <c r="J106">
        <v>7174.18</v>
      </c>
      <c r="K106">
        <v>1000000</v>
      </c>
    </row>
    <row r="107" spans="1:11" ht="12.75" customHeight="1" x14ac:dyDescent="0.2">
      <c r="A107" t="s">
        <v>7474</v>
      </c>
      <c r="B107" t="s">
        <v>7113</v>
      </c>
      <c r="C107">
        <v>2023</v>
      </c>
      <c r="D107">
        <v>2023</v>
      </c>
      <c r="E107" s="7">
        <v>45268</v>
      </c>
      <c r="F107" s="7">
        <v>45633</v>
      </c>
      <c r="G107" t="s">
        <v>135</v>
      </c>
      <c r="H107" t="s">
        <v>105</v>
      </c>
      <c r="I107" t="s">
        <v>104</v>
      </c>
      <c r="J107">
        <v>6157.04</v>
      </c>
      <c r="K107">
        <v>1000000</v>
      </c>
    </row>
    <row r="108" spans="1:11" ht="12.75" customHeight="1" x14ac:dyDescent="0.2">
      <c r="A108" t="s">
        <v>7475</v>
      </c>
      <c r="B108" t="s">
        <v>7476</v>
      </c>
      <c r="C108">
        <v>2023</v>
      </c>
      <c r="D108">
        <v>2023</v>
      </c>
      <c r="E108" s="7">
        <v>45268</v>
      </c>
      <c r="F108" s="7">
        <v>45633</v>
      </c>
      <c r="G108" t="s">
        <v>135</v>
      </c>
      <c r="H108" t="s">
        <v>107</v>
      </c>
      <c r="I108" t="s">
        <v>104</v>
      </c>
      <c r="J108">
        <v>10349.08</v>
      </c>
      <c r="K108">
        <v>2000000</v>
      </c>
    </row>
    <row r="109" spans="1:11" ht="12.75" customHeight="1" x14ac:dyDescent="0.2">
      <c r="A109" t="s">
        <v>7477</v>
      </c>
      <c r="B109" t="s">
        <v>7108</v>
      </c>
      <c r="C109">
        <v>2023</v>
      </c>
      <c r="D109">
        <v>2023</v>
      </c>
      <c r="E109" s="7">
        <v>45268</v>
      </c>
      <c r="F109" s="7">
        <v>45633</v>
      </c>
      <c r="G109" t="s">
        <v>135</v>
      </c>
      <c r="H109" t="s">
        <v>102</v>
      </c>
      <c r="I109" t="s">
        <v>104</v>
      </c>
      <c r="J109">
        <v>56779.64</v>
      </c>
      <c r="K109">
        <v>10000000</v>
      </c>
    </row>
    <row r="110" spans="1:11" ht="12.75" customHeight="1" x14ac:dyDescent="0.2">
      <c r="A110" t="s">
        <v>7478</v>
      </c>
      <c r="B110" t="s">
        <v>7479</v>
      </c>
      <c r="C110">
        <v>2023</v>
      </c>
      <c r="D110">
        <v>2023</v>
      </c>
      <c r="E110" s="7">
        <v>45268</v>
      </c>
      <c r="F110" s="7">
        <v>45633</v>
      </c>
      <c r="G110" t="s">
        <v>135</v>
      </c>
      <c r="H110" t="s">
        <v>102</v>
      </c>
      <c r="I110" t="s">
        <v>104</v>
      </c>
      <c r="J110">
        <v>2736.49</v>
      </c>
      <c r="K110">
        <v>500000</v>
      </c>
    </row>
    <row r="111" spans="1:11" ht="12.75" customHeight="1" x14ac:dyDescent="0.2">
      <c r="A111" t="s">
        <v>7480</v>
      </c>
      <c r="B111" t="s">
        <v>7481</v>
      </c>
      <c r="C111">
        <v>2023</v>
      </c>
      <c r="D111">
        <v>2023</v>
      </c>
      <c r="E111" s="7">
        <v>45268</v>
      </c>
      <c r="F111" s="7">
        <v>45633</v>
      </c>
      <c r="G111" t="s">
        <v>135</v>
      </c>
      <c r="H111" t="s">
        <v>111</v>
      </c>
      <c r="I111" t="s">
        <v>101</v>
      </c>
      <c r="J111">
        <v>6702.22</v>
      </c>
      <c r="K111">
        <v>1000000</v>
      </c>
    </row>
    <row r="112" spans="1:11" ht="12.75" customHeight="1" x14ac:dyDescent="0.2">
      <c r="A112" t="s">
        <v>7482</v>
      </c>
      <c r="B112" t="s">
        <v>7483</v>
      </c>
      <c r="C112">
        <v>2023</v>
      </c>
      <c r="D112">
        <v>2023</v>
      </c>
      <c r="E112" s="7">
        <v>45268</v>
      </c>
      <c r="F112" s="7">
        <v>45633</v>
      </c>
      <c r="G112" t="s">
        <v>135</v>
      </c>
      <c r="H112" t="s">
        <v>106</v>
      </c>
      <c r="I112" t="s">
        <v>104</v>
      </c>
      <c r="J112">
        <v>14268.99</v>
      </c>
      <c r="K112">
        <v>2000000</v>
      </c>
    </row>
    <row r="113" spans="1:11" ht="12.75" customHeight="1" x14ac:dyDescent="0.2">
      <c r="A113" t="s">
        <v>7484</v>
      </c>
      <c r="B113" t="s">
        <v>1141</v>
      </c>
      <c r="C113">
        <v>2023</v>
      </c>
      <c r="D113">
        <v>2023</v>
      </c>
      <c r="E113" s="7">
        <v>45269</v>
      </c>
      <c r="F113" s="7">
        <v>45634</v>
      </c>
      <c r="G113" t="s">
        <v>99</v>
      </c>
      <c r="H113" t="s">
        <v>102</v>
      </c>
      <c r="I113" t="s">
        <v>104</v>
      </c>
      <c r="J113">
        <v>7882.42</v>
      </c>
      <c r="K113">
        <v>1500000</v>
      </c>
    </row>
    <row r="114" spans="1:11" ht="12.75" customHeight="1" x14ac:dyDescent="0.2">
      <c r="A114" t="s">
        <v>7485</v>
      </c>
      <c r="B114" t="s">
        <v>7187</v>
      </c>
      <c r="C114">
        <v>2023</v>
      </c>
      <c r="D114">
        <v>2023</v>
      </c>
      <c r="E114" s="7">
        <v>45269</v>
      </c>
      <c r="F114" s="7">
        <v>45634</v>
      </c>
      <c r="G114" t="s">
        <v>99</v>
      </c>
      <c r="H114" t="s">
        <v>107</v>
      </c>
      <c r="I114" t="s">
        <v>104</v>
      </c>
      <c r="J114">
        <v>12168.68</v>
      </c>
      <c r="K114">
        <v>2000000</v>
      </c>
    </row>
    <row r="115" spans="1:11" ht="12.75" customHeight="1" x14ac:dyDescent="0.2">
      <c r="A115" t="s">
        <v>7486</v>
      </c>
      <c r="B115" t="s">
        <v>1142</v>
      </c>
      <c r="C115">
        <v>2023</v>
      </c>
      <c r="D115">
        <v>2023</v>
      </c>
      <c r="E115" s="7">
        <v>45269</v>
      </c>
      <c r="F115" s="7">
        <v>45634</v>
      </c>
      <c r="G115" t="s">
        <v>99</v>
      </c>
      <c r="H115" t="s">
        <v>116</v>
      </c>
      <c r="I115" t="s">
        <v>101</v>
      </c>
      <c r="J115">
        <v>65200.55</v>
      </c>
      <c r="K115">
        <v>10000000</v>
      </c>
    </row>
    <row r="116" spans="1:11" ht="12.75" customHeight="1" x14ac:dyDescent="0.2">
      <c r="A116" t="s">
        <v>7487</v>
      </c>
      <c r="B116" t="s">
        <v>1143</v>
      </c>
      <c r="C116">
        <v>2023</v>
      </c>
      <c r="D116">
        <v>2023</v>
      </c>
      <c r="E116" s="7">
        <v>45269</v>
      </c>
      <c r="F116" s="7">
        <v>45634</v>
      </c>
      <c r="G116" t="s">
        <v>99</v>
      </c>
      <c r="H116" t="s">
        <v>105</v>
      </c>
      <c r="I116" t="s">
        <v>101</v>
      </c>
      <c r="J116">
        <v>7248.51</v>
      </c>
      <c r="K116">
        <v>1000000</v>
      </c>
    </row>
    <row r="117" spans="1:11" ht="12.75" customHeight="1" x14ac:dyDescent="0.2">
      <c r="A117" t="s">
        <v>7488</v>
      </c>
      <c r="B117" t="s">
        <v>1144</v>
      </c>
      <c r="C117">
        <v>2023</v>
      </c>
      <c r="D117">
        <v>2023</v>
      </c>
      <c r="E117" s="7">
        <v>45269</v>
      </c>
      <c r="F117" s="7">
        <v>45634</v>
      </c>
      <c r="G117" t="s">
        <v>99</v>
      </c>
      <c r="H117" t="s">
        <v>102</v>
      </c>
      <c r="I117" t="s">
        <v>104</v>
      </c>
      <c r="J117">
        <v>27947.95</v>
      </c>
      <c r="K117">
        <v>5000000</v>
      </c>
    </row>
    <row r="118" spans="1:11" ht="12.75" customHeight="1" x14ac:dyDescent="0.2">
      <c r="A118" t="s">
        <v>7489</v>
      </c>
      <c r="B118" t="s">
        <v>7490</v>
      </c>
      <c r="C118">
        <v>2023</v>
      </c>
      <c r="D118">
        <v>2023</v>
      </c>
      <c r="E118" s="7">
        <v>45269</v>
      </c>
      <c r="F118" s="7">
        <v>45634</v>
      </c>
      <c r="G118" t="s">
        <v>99</v>
      </c>
      <c r="H118" t="s">
        <v>102</v>
      </c>
      <c r="I118" t="s">
        <v>101</v>
      </c>
      <c r="J118">
        <v>14151.08</v>
      </c>
      <c r="K118">
        <v>2000000</v>
      </c>
    </row>
    <row r="119" spans="1:11" ht="12.75" customHeight="1" x14ac:dyDescent="0.2">
      <c r="A119" t="s">
        <v>7491</v>
      </c>
      <c r="B119" t="s">
        <v>7492</v>
      </c>
      <c r="C119">
        <v>2023</v>
      </c>
      <c r="D119">
        <v>2023</v>
      </c>
      <c r="E119" s="7">
        <v>45269</v>
      </c>
      <c r="F119" s="7">
        <v>45634</v>
      </c>
      <c r="G119" t="s">
        <v>135</v>
      </c>
      <c r="H119" t="s">
        <v>107</v>
      </c>
      <c r="I119" t="s">
        <v>104</v>
      </c>
      <c r="J119">
        <v>59024.51</v>
      </c>
      <c r="K119">
        <v>10000000</v>
      </c>
    </row>
    <row r="120" spans="1:11" ht="12.75" customHeight="1" x14ac:dyDescent="0.2">
      <c r="A120" t="s">
        <v>7493</v>
      </c>
      <c r="B120" t="s">
        <v>7494</v>
      </c>
      <c r="C120">
        <v>2023</v>
      </c>
      <c r="D120">
        <v>2023</v>
      </c>
      <c r="E120" s="7">
        <v>45269</v>
      </c>
      <c r="F120" s="7">
        <v>45634</v>
      </c>
      <c r="G120" t="s">
        <v>135</v>
      </c>
      <c r="H120" t="s">
        <v>116</v>
      </c>
      <c r="I120" t="s">
        <v>104</v>
      </c>
      <c r="J120">
        <v>12177.75</v>
      </c>
      <c r="K120">
        <v>2000000</v>
      </c>
    </row>
    <row r="121" spans="1:11" ht="12.75" customHeight="1" x14ac:dyDescent="0.2">
      <c r="A121" t="s">
        <v>7495</v>
      </c>
      <c r="B121" t="s">
        <v>7496</v>
      </c>
      <c r="C121">
        <v>2023</v>
      </c>
      <c r="D121">
        <v>2023</v>
      </c>
      <c r="E121" s="7">
        <v>45269</v>
      </c>
      <c r="F121" s="7">
        <v>45634</v>
      </c>
      <c r="G121" t="s">
        <v>135</v>
      </c>
      <c r="H121" t="s">
        <v>6348</v>
      </c>
      <c r="I121" t="s">
        <v>101</v>
      </c>
      <c r="J121">
        <v>66012.11</v>
      </c>
      <c r="K121">
        <v>10000000</v>
      </c>
    </row>
    <row r="122" spans="1:11" ht="12.75" customHeight="1" x14ac:dyDescent="0.2">
      <c r="A122" t="s">
        <v>7497</v>
      </c>
      <c r="B122" t="s">
        <v>7498</v>
      </c>
      <c r="C122">
        <v>2023</v>
      </c>
      <c r="D122">
        <v>2023</v>
      </c>
      <c r="E122" s="7">
        <v>45269</v>
      </c>
      <c r="F122" s="7">
        <v>45634</v>
      </c>
      <c r="G122" t="s">
        <v>135</v>
      </c>
      <c r="H122" t="s">
        <v>107</v>
      </c>
      <c r="I122" t="s">
        <v>101</v>
      </c>
      <c r="J122">
        <v>37639.769999999997</v>
      </c>
      <c r="K122">
        <v>5000000</v>
      </c>
    </row>
    <row r="123" spans="1:11" ht="12.75" customHeight="1" x14ac:dyDescent="0.2">
      <c r="A123" t="s">
        <v>7499</v>
      </c>
      <c r="B123" t="s">
        <v>7500</v>
      </c>
      <c r="C123">
        <v>2023</v>
      </c>
      <c r="D123">
        <v>2023</v>
      </c>
      <c r="E123" s="7">
        <v>45269</v>
      </c>
      <c r="F123" s="7">
        <v>45634</v>
      </c>
      <c r="G123" t="s">
        <v>135</v>
      </c>
      <c r="H123" t="s">
        <v>100</v>
      </c>
      <c r="I123" t="s">
        <v>101</v>
      </c>
      <c r="J123">
        <v>14001.93</v>
      </c>
      <c r="K123">
        <v>2000000</v>
      </c>
    </row>
    <row r="124" spans="1:11" ht="12.75" customHeight="1" x14ac:dyDescent="0.2">
      <c r="A124" t="s">
        <v>7501</v>
      </c>
      <c r="B124" t="s">
        <v>7502</v>
      </c>
      <c r="C124">
        <v>2023</v>
      </c>
      <c r="D124">
        <v>2023</v>
      </c>
      <c r="E124" s="7">
        <v>45269</v>
      </c>
      <c r="F124" s="7">
        <v>45634</v>
      </c>
      <c r="G124" t="s">
        <v>135</v>
      </c>
      <c r="H124" t="s">
        <v>113</v>
      </c>
      <c r="I124" t="s">
        <v>101</v>
      </c>
      <c r="J124">
        <v>66805.460000000006</v>
      </c>
      <c r="K124">
        <v>10000000</v>
      </c>
    </row>
    <row r="125" spans="1:11" ht="12.75" customHeight="1" x14ac:dyDescent="0.2">
      <c r="A125" t="s">
        <v>7503</v>
      </c>
      <c r="B125" t="s">
        <v>7504</v>
      </c>
      <c r="C125">
        <v>2023</v>
      </c>
      <c r="D125">
        <v>2023</v>
      </c>
      <c r="E125" s="7">
        <v>45269</v>
      </c>
      <c r="F125" s="7">
        <v>45634</v>
      </c>
      <c r="G125" t="s">
        <v>135</v>
      </c>
      <c r="H125" t="s">
        <v>108</v>
      </c>
      <c r="I125" t="s">
        <v>104</v>
      </c>
      <c r="J125">
        <v>64523.87</v>
      </c>
      <c r="K125">
        <v>10000000</v>
      </c>
    </row>
    <row r="126" spans="1:11" ht="12.75" customHeight="1" x14ac:dyDescent="0.2">
      <c r="A126" t="s">
        <v>7505</v>
      </c>
      <c r="B126" t="s">
        <v>7506</v>
      </c>
      <c r="C126">
        <v>2023</v>
      </c>
      <c r="D126">
        <v>2023</v>
      </c>
      <c r="E126" s="7">
        <v>45269</v>
      </c>
      <c r="F126" s="7">
        <v>45634</v>
      </c>
      <c r="G126" t="s">
        <v>135</v>
      </c>
      <c r="H126" t="s">
        <v>106</v>
      </c>
      <c r="I126" t="s">
        <v>101</v>
      </c>
      <c r="J126">
        <v>9514.2000000000007</v>
      </c>
      <c r="K126">
        <v>1000000</v>
      </c>
    </row>
    <row r="127" spans="1:11" ht="12.75" customHeight="1" x14ac:dyDescent="0.2">
      <c r="A127" t="s">
        <v>7507</v>
      </c>
      <c r="B127" t="s">
        <v>7120</v>
      </c>
      <c r="C127">
        <v>2023</v>
      </c>
      <c r="D127">
        <v>2023</v>
      </c>
      <c r="E127" s="7">
        <v>45269</v>
      </c>
      <c r="F127" s="7">
        <v>45634</v>
      </c>
      <c r="G127" t="s">
        <v>135</v>
      </c>
      <c r="H127" t="s">
        <v>115</v>
      </c>
      <c r="I127" t="s">
        <v>101</v>
      </c>
      <c r="J127">
        <v>11224.83</v>
      </c>
      <c r="K127">
        <v>1500000</v>
      </c>
    </row>
    <row r="128" spans="1:11" ht="12.75" customHeight="1" x14ac:dyDescent="0.2">
      <c r="A128" t="s">
        <v>7508</v>
      </c>
      <c r="B128" t="s">
        <v>412</v>
      </c>
      <c r="C128">
        <v>2023</v>
      </c>
      <c r="D128">
        <v>2023</v>
      </c>
      <c r="E128" s="7">
        <v>45269</v>
      </c>
      <c r="F128" s="7">
        <v>45634</v>
      </c>
      <c r="G128" t="s">
        <v>135</v>
      </c>
      <c r="H128" t="s">
        <v>102</v>
      </c>
      <c r="I128" t="s">
        <v>101</v>
      </c>
      <c r="J128">
        <v>9691.16</v>
      </c>
      <c r="K128">
        <v>1500000</v>
      </c>
    </row>
    <row r="129" spans="1:11" ht="12.75" customHeight="1" x14ac:dyDescent="0.2">
      <c r="A129" t="s">
        <v>7509</v>
      </c>
      <c r="B129" t="s">
        <v>7510</v>
      </c>
      <c r="C129">
        <v>2023</v>
      </c>
      <c r="D129">
        <v>2023</v>
      </c>
      <c r="E129" s="7">
        <v>45269</v>
      </c>
      <c r="F129" s="7">
        <v>45634</v>
      </c>
      <c r="G129" t="s">
        <v>135</v>
      </c>
      <c r="H129" t="s">
        <v>102</v>
      </c>
      <c r="I129" t="s">
        <v>101</v>
      </c>
      <c r="J129">
        <v>3897.47</v>
      </c>
      <c r="K129">
        <v>500000</v>
      </c>
    </row>
    <row r="130" spans="1:11" ht="12.75" customHeight="1" x14ac:dyDescent="0.2">
      <c r="A130" t="s">
        <v>7511</v>
      </c>
      <c r="B130" t="s">
        <v>1145</v>
      </c>
      <c r="C130">
        <v>2023</v>
      </c>
      <c r="D130">
        <v>2023</v>
      </c>
      <c r="E130" s="7">
        <v>45270</v>
      </c>
      <c r="F130" s="7">
        <v>45635</v>
      </c>
      <c r="G130" t="s">
        <v>99</v>
      </c>
      <c r="H130" t="s">
        <v>103</v>
      </c>
      <c r="I130" t="s">
        <v>104</v>
      </c>
      <c r="J130">
        <v>28381.81</v>
      </c>
      <c r="K130">
        <v>5000000</v>
      </c>
    </row>
    <row r="131" spans="1:11" ht="12.75" customHeight="1" x14ac:dyDescent="0.2">
      <c r="A131" t="s">
        <v>7512</v>
      </c>
      <c r="B131" t="s">
        <v>7513</v>
      </c>
      <c r="C131">
        <v>2023</v>
      </c>
      <c r="D131">
        <v>2023</v>
      </c>
      <c r="E131" s="7">
        <v>45270</v>
      </c>
      <c r="F131" s="7">
        <v>45635</v>
      </c>
      <c r="G131" t="s">
        <v>99</v>
      </c>
      <c r="H131" t="s">
        <v>109</v>
      </c>
      <c r="I131" t="s">
        <v>101</v>
      </c>
      <c r="J131">
        <v>64653.89</v>
      </c>
      <c r="K131">
        <v>10000000</v>
      </c>
    </row>
    <row r="132" spans="1:11" ht="12.75" customHeight="1" x14ac:dyDescent="0.2">
      <c r="A132" t="s">
        <v>7514</v>
      </c>
      <c r="B132" t="s">
        <v>1146</v>
      </c>
      <c r="C132">
        <v>2023</v>
      </c>
      <c r="D132">
        <v>2023</v>
      </c>
      <c r="E132" s="7">
        <v>45270</v>
      </c>
      <c r="F132" s="7">
        <v>45635</v>
      </c>
      <c r="G132" t="s">
        <v>99</v>
      </c>
      <c r="H132" t="s">
        <v>102</v>
      </c>
      <c r="I132" t="s">
        <v>104</v>
      </c>
      <c r="J132">
        <v>11339.71</v>
      </c>
      <c r="K132">
        <v>2000000</v>
      </c>
    </row>
    <row r="133" spans="1:11" ht="12.75" customHeight="1" x14ac:dyDescent="0.2">
      <c r="A133" t="s">
        <v>7515</v>
      </c>
      <c r="B133" t="s">
        <v>1147</v>
      </c>
      <c r="C133">
        <v>2023</v>
      </c>
      <c r="D133">
        <v>2023</v>
      </c>
      <c r="E133" s="7">
        <v>45270</v>
      </c>
      <c r="F133" s="7">
        <v>45635</v>
      </c>
      <c r="G133" t="s">
        <v>99</v>
      </c>
      <c r="H133" t="s">
        <v>108</v>
      </c>
      <c r="I133" t="s">
        <v>104</v>
      </c>
      <c r="J133">
        <v>3681.29</v>
      </c>
      <c r="K133">
        <v>500000</v>
      </c>
    </row>
    <row r="134" spans="1:11" ht="12.75" customHeight="1" x14ac:dyDescent="0.2">
      <c r="A134" t="s">
        <v>7516</v>
      </c>
      <c r="B134" t="s">
        <v>7517</v>
      </c>
      <c r="C134">
        <v>2023</v>
      </c>
      <c r="D134">
        <v>2023</v>
      </c>
      <c r="E134" s="7">
        <v>45270</v>
      </c>
      <c r="F134" s="7">
        <v>45635</v>
      </c>
      <c r="G134" t="s">
        <v>99</v>
      </c>
      <c r="H134" t="s">
        <v>108</v>
      </c>
      <c r="I134" t="s">
        <v>104</v>
      </c>
      <c r="J134">
        <v>13833.54</v>
      </c>
      <c r="K134">
        <v>2000000</v>
      </c>
    </row>
    <row r="135" spans="1:11" ht="12.75" customHeight="1" x14ac:dyDescent="0.2">
      <c r="A135" t="s">
        <v>7518</v>
      </c>
      <c r="B135" t="s">
        <v>7519</v>
      </c>
      <c r="C135">
        <v>2023</v>
      </c>
      <c r="D135">
        <v>2023</v>
      </c>
      <c r="E135" s="7">
        <v>45270</v>
      </c>
      <c r="F135" s="7">
        <v>45635</v>
      </c>
      <c r="G135" t="s">
        <v>135</v>
      </c>
      <c r="H135" t="s">
        <v>106</v>
      </c>
      <c r="I135" t="s">
        <v>104</v>
      </c>
      <c r="J135">
        <v>13240.69</v>
      </c>
      <c r="K135">
        <v>2000000</v>
      </c>
    </row>
    <row r="136" spans="1:11" ht="12.75" customHeight="1" x14ac:dyDescent="0.2">
      <c r="A136" t="s">
        <v>7520</v>
      </c>
      <c r="B136" t="s">
        <v>7521</v>
      </c>
      <c r="C136">
        <v>2023</v>
      </c>
      <c r="D136">
        <v>2023</v>
      </c>
      <c r="E136" s="7">
        <v>45270</v>
      </c>
      <c r="F136" s="7">
        <v>45635</v>
      </c>
      <c r="G136" t="s">
        <v>135</v>
      </c>
      <c r="H136" t="s">
        <v>107</v>
      </c>
      <c r="I136" t="s">
        <v>104</v>
      </c>
      <c r="J136">
        <v>2919.39</v>
      </c>
      <c r="K136">
        <v>500000</v>
      </c>
    </row>
    <row r="137" spans="1:11" ht="12.75" customHeight="1" x14ac:dyDescent="0.2">
      <c r="A137" t="s">
        <v>7522</v>
      </c>
      <c r="B137" t="s">
        <v>7523</v>
      </c>
      <c r="C137">
        <v>2023</v>
      </c>
      <c r="D137">
        <v>2023</v>
      </c>
      <c r="E137" s="7">
        <v>45270</v>
      </c>
      <c r="F137" s="7">
        <v>45635</v>
      </c>
      <c r="G137" t="s">
        <v>135</v>
      </c>
      <c r="H137" t="s">
        <v>102</v>
      </c>
      <c r="I137" t="s">
        <v>101</v>
      </c>
      <c r="J137">
        <v>15505.46</v>
      </c>
      <c r="K137">
        <v>2000000</v>
      </c>
    </row>
    <row r="138" spans="1:11" ht="12.75" customHeight="1" x14ac:dyDescent="0.2">
      <c r="A138" t="s">
        <v>7524</v>
      </c>
      <c r="B138" t="s">
        <v>657</v>
      </c>
      <c r="C138">
        <v>2023</v>
      </c>
      <c r="D138">
        <v>2023</v>
      </c>
      <c r="E138" s="7">
        <v>45270</v>
      </c>
      <c r="F138" s="7">
        <v>45635</v>
      </c>
      <c r="G138" t="s">
        <v>135</v>
      </c>
      <c r="H138" t="s">
        <v>106</v>
      </c>
      <c r="I138" t="s">
        <v>101</v>
      </c>
      <c r="J138">
        <v>13037.3</v>
      </c>
      <c r="K138">
        <v>1500000</v>
      </c>
    </row>
    <row r="139" spans="1:11" ht="12.75" customHeight="1" x14ac:dyDescent="0.2">
      <c r="A139" t="s">
        <v>7525</v>
      </c>
      <c r="B139" t="s">
        <v>7526</v>
      </c>
      <c r="C139">
        <v>2023</v>
      </c>
      <c r="D139">
        <v>2023</v>
      </c>
      <c r="E139" s="7">
        <v>45270</v>
      </c>
      <c r="F139" s="7">
        <v>45635</v>
      </c>
      <c r="G139" t="s">
        <v>135</v>
      </c>
      <c r="H139" t="s">
        <v>110</v>
      </c>
      <c r="I139" t="s">
        <v>104</v>
      </c>
      <c r="J139">
        <v>6422.17</v>
      </c>
      <c r="K139">
        <v>1000000</v>
      </c>
    </row>
    <row r="140" spans="1:11" ht="12.75" customHeight="1" x14ac:dyDescent="0.2">
      <c r="A140" t="s">
        <v>7527</v>
      </c>
      <c r="B140" t="s">
        <v>7202</v>
      </c>
      <c r="C140">
        <v>2023</v>
      </c>
      <c r="D140">
        <v>2023</v>
      </c>
      <c r="E140" s="7">
        <v>45270</v>
      </c>
      <c r="F140" s="7">
        <v>45635</v>
      </c>
      <c r="G140" t="s">
        <v>135</v>
      </c>
      <c r="H140" t="s">
        <v>6337</v>
      </c>
      <c r="I140" t="s">
        <v>104</v>
      </c>
      <c r="J140">
        <v>8522.35</v>
      </c>
      <c r="K140">
        <v>1500000</v>
      </c>
    </row>
    <row r="141" spans="1:11" ht="12.75" customHeight="1" x14ac:dyDescent="0.2">
      <c r="A141" t="s">
        <v>7528</v>
      </c>
      <c r="B141" t="s">
        <v>7219</v>
      </c>
      <c r="C141">
        <v>2023</v>
      </c>
      <c r="D141">
        <v>2023</v>
      </c>
      <c r="E141" s="7">
        <v>45270</v>
      </c>
      <c r="F141" s="7">
        <v>45635</v>
      </c>
      <c r="G141" t="s">
        <v>135</v>
      </c>
      <c r="H141" t="s">
        <v>102</v>
      </c>
      <c r="I141" t="s">
        <v>104</v>
      </c>
      <c r="J141">
        <v>10253.469999999999</v>
      </c>
      <c r="K141">
        <v>2000000</v>
      </c>
    </row>
    <row r="142" spans="1:11" ht="12.75" customHeight="1" x14ac:dyDescent="0.2">
      <c r="A142" t="s">
        <v>7529</v>
      </c>
      <c r="B142" t="s">
        <v>7530</v>
      </c>
      <c r="C142">
        <v>2023</v>
      </c>
      <c r="D142">
        <v>2023</v>
      </c>
      <c r="E142" s="7">
        <v>45270</v>
      </c>
      <c r="F142" s="7">
        <v>45635</v>
      </c>
      <c r="G142" t="s">
        <v>135</v>
      </c>
      <c r="H142" t="s">
        <v>105</v>
      </c>
      <c r="I142" t="s">
        <v>101</v>
      </c>
      <c r="J142">
        <v>11160.25</v>
      </c>
      <c r="K142">
        <v>1500000</v>
      </c>
    </row>
    <row r="143" spans="1:11" ht="12.75" customHeight="1" x14ac:dyDescent="0.2">
      <c r="A143" t="s">
        <v>7531</v>
      </c>
      <c r="B143" t="s">
        <v>7532</v>
      </c>
      <c r="C143">
        <v>2023</v>
      </c>
      <c r="D143">
        <v>2023</v>
      </c>
      <c r="E143" s="7">
        <v>45270</v>
      </c>
      <c r="F143" s="7">
        <v>45635</v>
      </c>
      <c r="G143" t="s">
        <v>135</v>
      </c>
      <c r="H143" t="s">
        <v>102</v>
      </c>
      <c r="I143" t="s">
        <v>101</v>
      </c>
      <c r="J143">
        <v>77359.55</v>
      </c>
      <c r="K143">
        <v>10000000</v>
      </c>
    </row>
    <row r="144" spans="1:11" ht="12.75" customHeight="1" x14ac:dyDescent="0.2">
      <c r="A144" t="s">
        <v>7533</v>
      </c>
      <c r="B144" t="s">
        <v>659</v>
      </c>
      <c r="C144">
        <v>2023</v>
      </c>
      <c r="D144">
        <v>2023</v>
      </c>
      <c r="E144" s="7">
        <v>45270</v>
      </c>
      <c r="F144" s="7">
        <v>45635</v>
      </c>
      <c r="G144" t="s">
        <v>135</v>
      </c>
      <c r="H144" t="s">
        <v>105</v>
      </c>
      <c r="I144" t="s">
        <v>101</v>
      </c>
      <c r="J144">
        <v>6852.75</v>
      </c>
      <c r="K144">
        <v>1000000</v>
      </c>
    </row>
    <row r="145" spans="1:11" ht="12.75" customHeight="1" x14ac:dyDescent="0.2">
      <c r="A145" t="s">
        <v>7534</v>
      </c>
      <c r="B145" t="s">
        <v>658</v>
      </c>
      <c r="C145">
        <v>2023</v>
      </c>
      <c r="D145">
        <v>2023</v>
      </c>
      <c r="E145" s="7">
        <v>45270</v>
      </c>
      <c r="F145" s="7">
        <v>45635</v>
      </c>
      <c r="G145" t="s">
        <v>135</v>
      </c>
      <c r="H145" t="s">
        <v>102</v>
      </c>
      <c r="I145" t="s">
        <v>101</v>
      </c>
      <c r="J145">
        <v>7695.33</v>
      </c>
      <c r="K145">
        <v>1000000</v>
      </c>
    </row>
    <row r="146" spans="1:11" ht="12.75" customHeight="1" x14ac:dyDescent="0.2">
      <c r="A146" t="s">
        <v>7535</v>
      </c>
      <c r="B146" t="s">
        <v>7536</v>
      </c>
      <c r="C146">
        <v>2023</v>
      </c>
      <c r="D146">
        <v>2023</v>
      </c>
      <c r="E146" s="7">
        <v>45271</v>
      </c>
      <c r="F146" s="7">
        <v>45636</v>
      </c>
      <c r="G146" t="s">
        <v>135</v>
      </c>
      <c r="H146" t="s">
        <v>102</v>
      </c>
      <c r="I146" t="s">
        <v>104</v>
      </c>
      <c r="J146">
        <v>5943.58</v>
      </c>
      <c r="K146">
        <v>1000000</v>
      </c>
    </row>
    <row r="147" spans="1:11" ht="12.75" customHeight="1" x14ac:dyDescent="0.2">
      <c r="A147" t="s">
        <v>7537</v>
      </c>
      <c r="B147" t="s">
        <v>7538</v>
      </c>
      <c r="C147">
        <v>2023</v>
      </c>
      <c r="D147">
        <v>2023</v>
      </c>
      <c r="E147" s="7">
        <v>45271</v>
      </c>
      <c r="F147" s="7">
        <v>45636</v>
      </c>
      <c r="G147" t="s">
        <v>135</v>
      </c>
      <c r="H147" t="s">
        <v>102</v>
      </c>
      <c r="I147" t="s">
        <v>101</v>
      </c>
      <c r="J147">
        <v>13439.85</v>
      </c>
      <c r="K147">
        <v>2000000</v>
      </c>
    </row>
    <row r="148" spans="1:11" ht="12.75" customHeight="1" x14ac:dyDescent="0.2">
      <c r="A148" t="s">
        <v>7540</v>
      </c>
      <c r="B148" t="s">
        <v>1148</v>
      </c>
      <c r="C148">
        <v>2023</v>
      </c>
      <c r="D148">
        <v>2023</v>
      </c>
      <c r="E148" s="7">
        <v>45272</v>
      </c>
      <c r="F148" s="7">
        <v>45637</v>
      </c>
      <c r="G148" t="s">
        <v>99</v>
      </c>
      <c r="H148" t="s">
        <v>6332</v>
      </c>
      <c r="I148" t="s">
        <v>101</v>
      </c>
      <c r="J148">
        <v>10365.67</v>
      </c>
      <c r="K148">
        <v>1500000</v>
      </c>
    </row>
    <row r="149" spans="1:11" ht="12.75" customHeight="1" x14ac:dyDescent="0.2">
      <c r="A149" t="s">
        <v>7541</v>
      </c>
      <c r="B149" t="s">
        <v>7196</v>
      </c>
      <c r="C149">
        <v>2023</v>
      </c>
      <c r="D149">
        <v>2023</v>
      </c>
      <c r="E149" s="7">
        <v>45272</v>
      </c>
      <c r="F149" s="7">
        <v>45637</v>
      </c>
      <c r="G149" t="s">
        <v>99</v>
      </c>
      <c r="H149" t="s">
        <v>103</v>
      </c>
      <c r="I149" t="s">
        <v>104</v>
      </c>
      <c r="J149">
        <v>7912.78</v>
      </c>
      <c r="K149">
        <v>1500000</v>
      </c>
    </row>
    <row r="150" spans="1:11" ht="12.75" customHeight="1" x14ac:dyDescent="0.2">
      <c r="A150" t="s">
        <v>7542</v>
      </c>
      <c r="B150" t="s">
        <v>1149</v>
      </c>
      <c r="C150">
        <v>2023</v>
      </c>
      <c r="D150">
        <v>2023</v>
      </c>
      <c r="E150" s="7">
        <v>45272</v>
      </c>
      <c r="F150" s="7">
        <v>45637</v>
      </c>
      <c r="G150" t="s">
        <v>99</v>
      </c>
      <c r="H150" t="s">
        <v>110</v>
      </c>
      <c r="I150" t="s">
        <v>101</v>
      </c>
      <c r="J150">
        <v>8564.49</v>
      </c>
      <c r="K150">
        <v>1000000</v>
      </c>
    </row>
    <row r="151" spans="1:11" ht="12.75" customHeight="1" x14ac:dyDescent="0.2">
      <c r="A151" t="s">
        <v>7543</v>
      </c>
      <c r="B151" t="s">
        <v>7544</v>
      </c>
      <c r="C151">
        <v>2023</v>
      </c>
      <c r="D151">
        <v>2023</v>
      </c>
      <c r="E151" s="7">
        <v>45272</v>
      </c>
      <c r="F151" s="7">
        <v>45637</v>
      </c>
      <c r="G151" t="s">
        <v>135</v>
      </c>
      <c r="H151" t="s">
        <v>106</v>
      </c>
      <c r="I151" t="s">
        <v>104</v>
      </c>
      <c r="J151">
        <v>3809.05</v>
      </c>
      <c r="K151">
        <v>500000</v>
      </c>
    </row>
    <row r="152" spans="1:11" ht="12.75" customHeight="1" x14ac:dyDescent="0.2">
      <c r="A152" t="s">
        <v>7545</v>
      </c>
      <c r="B152" t="s">
        <v>7204</v>
      </c>
      <c r="C152">
        <v>2023</v>
      </c>
      <c r="D152">
        <v>2023</v>
      </c>
      <c r="E152" s="7">
        <v>45272</v>
      </c>
      <c r="F152" s="7">
        <v>45637</v>
      </c>
      <c r="G152" t="s">
        <v>135</v>
      </c>
      <c r="H152" t="s">
        <v>116</v>
      </c>
      <c r="I152" t="s">
        <v>101</v>
      </c>
      <c r="J152">
        <v>14879.46</v>
      </c>
      <c r="K152">
        <v>2000000</v>
      </c>
    </row>
    <row r="153" spans="1:11" ht="12.75" customHeight="1" x14ac:dyDescent="0.2">
      <c r="A153" t="s">
        <v>7546</v>
      </c>
      <c r="B153" t="s">
        <v>7130</v>
      </c>
      <c r="C153">
        <v>2023</v>
      </c>
      <c r="D153">
        <v>2023</v>
      </c>
      <c r="E153" s="7">
        <v>45272</v>
      </c>
      <c r="F153" s="7">
        <v>45637</v>
      </c>
      <c r="G153" t="s">
        <v>135</v>
      </c>
      <c r="H153" t="s">
        <v>112</v>
      </c>
      <c r="I153" t="s">
        <v>101</v>
      </c>
      <c r="J153">
        <v>8588.27</v>
      </c>
      <c r="K153">
        <v>1000000</v>
      </c>
    </row>
    <row r="154" spans="1:11" ht="12.75" customHeight="1" x14ac:dyDescent="0.2">
      <c r="A154" t="s">
        <v>7547</v>
      </c>
      <c r="B154" t="s">
        <v>413</v>
      </c>
      <c r="C154">
        <v>2023</v>
      </c>
      <c r="D154">
        <v>2023</v>
      </c>
      <c r="E154" s="7">
        <v>45272</v>
      </c>
      <c r="F154" s="7">
        <v>45637</v>
      </c>
      <c r="G154" t="s">
        <v>135</v>
      </c>
      <c r="H154" t="s">
        <v>102</v>
      </c>
      <c r="I154" t="s">
        <v>104</v>
      </c>
      <c r="J154">
        <v>7926.73</v>
      </c>
      <c r="K154">
        <v>1500000</v>
      </c>
    </row>
    <row r="155" spans="1:11" ht="12.75" customHeight="1" x14ac:dyDescent="0.2">
      <c r="A155" t="s">
        <v>1178</v>
      </c>
      <c r="B155" t="s">
        <v>7548</v>
      </c>
      <c r="C155">
        <v>2023</v>
      </c>
      <c r="D155">
        <v>2023</v>
      </c>
      <c r="E155" s="7">
        <v>45272</v>
      </c>
      <c r="F155" s="7">
        <v>45637</v>
      </c>
      <c r="G155" t="s">
        <v>135</v>
      </c>
      <c r="H155" t="s">
        <v>110</v>
      </c>
      <c r="I155" t="s">
        <v>101</v>
      </c>
      <c r="J155">
        <v>4292.26</v>
      </c>
      <c r="K155">
        <v>500000</v>
      </c>
    </row>
    <row r="156" spans="1:11" ht="12.75" customHeight="1" x14ac:dyDescent="0.2">
      <c r="A156" t="s">
        <v>7549</v>
      </c>
      <c r="B156" t="s">
        <v>7220</v>
      </c>
      <c r="C156">
        <v>2023</v>
      </c>
      <c r="D156">
        <v>2023</v>
      </c>
      <c r="E156" s="7">
        <v>45272</v>
      </c>
      <c r="F156" s="7">
        <v>45637</v>
      </c>
      <c r="G156" t="s">
        <v>135</v>
      </c>
      <c r="H156" t="s">
        <v>103</v>
      </c>
      <c r="I156" t="s">
        <v>101</v>
      </c>
      <c r="J156">
        <v>6519.69</v>
      </c>
      <c r="K156">
        <v>1000000</v>
      </c>
    </row>
    <row r="157" spans="1:11" ht="12.75" customHeight="1" x14ac:dyDescent="0.2">
      <c r="A157" t="s">
        <v>7550</v>
      </c>
      <c r="B157" t="s">
        <v>7231</v>
      </c>
      <c r="C157">
        <v>2023</v>
      </c>
      <c r="D157">
        <v>2023</v>
      </c>
      <c r="E157" s="7">
        <v>45272</v>
      </c>
      <c r="F157" s="7">
        <v>45637</v>
      </c>
      <c r="G157" t="s">
        <v>135</v>
      </c>
      <c r="H157" t="s">
        <v>106</v>
      </c>
      <c r="I157" t="s">
        <v>101</v>
      </c>
      <c r="J157">
        <v>92656.22</v>
      </c>
      <c r="K157">
        <v>10000000</v>
      </c>
    </row>
    <row r="158" spans="1:11" ht="12.75" customHeight="1" x14ac:dyDescent="0.2">
      <c r="A158" t="s">
        <v>7551</v>
      </c>
      <c r="B158" t="s">
        <v>7552</v>
      </c>
      <c r="C158">
        <v>2023</v>
      </c>
      <c r="D158">
        <v>2023</v>
      </c>
      <c r="E158" s="7">
        <v>45272</v>
      </c>
      <c r="F158" s="7">
        <v>45637</v>
      </c>
      <c r="G158" t="s">
        <v>135</v>
      </c>
      <c r="H158" t="s">
        <v>107</v>
      </c>
      <c r="I158" t="s">
        <v>101</v>
      </c>
      <c r="J158">
        <v>7501.24</v>
      </c>
      <c r="K158">
        <v>1000000</v>
      </c>
    </row>
    <row r="159" spans="1:11" ht="12.75" customHeight="1" x14ac:dyDescent="0.2">
      <c r="A159" t="s">
        <v>7553</v>
      </c>
      <c r="B159" t="s">
        <v>7554</v>
      </c>
      <c r="C159">
        <v>2023</v>
      </c>
      <c r="D159">
        <v>2023</v>
      </c>
      <c r="E159" s="7">
        <v>45272</v>
      </c>
      <c r="F159" s="7">
        <v>45637</v>
      </c>
      <c r="G159" t="s">
        <v>135</v>
      </c>
      <c r="H159" t="s">
        <v>107</v>
      </c>
      <c r="I159" t="s">
        <v>101</v>
      </c>
      <c r="J159">
        <v>3241.27</v>
      </c>
      <c r="K159">
        <v>500000</v>
      </c>
    </row>
    <row r="160" spans="1:11" ht="12.75" customHeight="1" x14ac:dyDescent="0.2">
      <c r="A160" t="s">
        <v>1179</v>
      </c>
      <c r="B160" t="s">
        <v>7129</v>
      </c>
      <c r="C160">
        <v>2023</v>
      </c>
      <c r="D160">
        <v>2023</v>
      </c>
      <c r="E160" s="7">
        <v>45272</v>
      </c>
      <c r="F160" s="7">
        <v>45637</v>
      </c>
      <c r="G160" t="s">
        <v>135</v>
      </c>
      <c r="H160" t="s">
        <v>103</v>
      </c>
      <c r="I160" t="s">
        <v>101</v>
      </c>
      <c r="J160">
        <v>13889.37</v>
      </c>
      <c r="K160">
        <v>2000000</v>
      </c>
    </row>
    <row r="161" spans="1:11" ht="12.75" customHeight="1" x14ac:dyDescent="0.2">
      <c r="A161" t="s">
        <v>7555</v>
      </c>
      <c r="B161" t="s">
        <v>7197</v>
      </c>
      <c r="C161">
        <v>2023</v>
      </c>
      <c r="D161">
        <v>2023</v>
      </c>
      <c r="E161" s="7">
        <v>45273</v>
      </c>
      <c r="F161" s="7">
        <v>45638</v>
      </c>
      <c r="G161" t="s">
        <v>99</v>
      </c>
      <c r="H161" t="s">
        <v>109</v>
      </c>
      <c r="I161" t="s">
        <v>101</v>
      </c>
      <c r="J161">
        <v>73761.59</v>
      </c>
      <c r="K161">
        <v>10000000</v>
      </c>
    </row>
    <row r="162" spans="1:11" ht="12.75" customHeight="1" x14ac:dyDescent="0.2">
      <c r="A162" t="s">
        <v>7556</v>
      </c>
      <c r="B162" t="s">
        <v>1150</v>
      </c>
      <c r="C162">
        <v>2023</v>
      </c>
      <c r="D162">
        <v>2023</v>
      </c>
      <c r="E162" s="7">
        <v>45273</v>
      </c>
      <c r="F162" s="7">
        <v>45638</v>
      </c>
      <c r="G162" t="s">
        <v>99</v>
      </c>
      <c r="H162" t="s">
        <v>6332</v>
      </c>
      <c r="I162" t="s">
        <v>101</v>
      </c>
      <c r="J162">
        <v>15525.14</v>
      </c>
      <c r="K162">
        <v>2000000</v>
      </c>
    </row>
    <row r="163" spans="1:11" ht="12.75" customHeight="1" x14ac:dyDescent="0.2">
      <c r="A163" t="s">
        <v>7557</v>
      </c>
      <c r="B163" t="s">
        <v>7558</v>
      </c>
      <c r="C163">
        <v>2023</v>
      </c>
      <c r="D163">
        <v>2023</v>
      </c>
      <c r="E163" s="7">
        <v>45273</v>
      </c>
      <c r="F163" s="7">
        <v>45638</v>
      </c>
      <c r="G163" t="s">
        <v>99</v>
      </c>
      <c r="H163" t="s">
        <v>109</v>
      </c>
      <c r="I163" t="s">
        <v>104</v>
      </c>
      <c r="J163">
        <v>8414.41</v>
      </c>
      <c r="K163">
        <v>1500000</v>
      </c>
    </row>
    <row r="164" spans="1:11" ht="12.75" customHeight="1" x14ac:dyDescent="0.2">
      <c r="A164" t="s">
        <v>7559</v>
      </c>
      <c r="B164" t="s">
        <v>7560</v>
      </c>
      <c r="C164">
        <v>2023</v>
      </c>
      <c r="D164">
        <v>2023</v>
      </c>
      <c r="E164" s="7">
        <v>45273</v>
      </c>
      <c r="F164" s="7">
        <v>45638</v>
      </c>
      <c r="G164" t="s">
        <v>135</v>
      </c>
      <c r="H164" t="s">
        <v>100</v>
      </c>
      <c r="I164" t="s">
        <v>101</v>
      </c>
      <c r="J164">
        <v>3792.33</v>
      </c>
      <c r="K164">
        <v>500000</v>
      </c>
    </row>
    <row r="165" spans="1:11" ht="12.75" customHeight="1" x14ac:dyDescent="0.2">
      <c r="A165" t="s">
        <v>7561</v>
      </c>
      <c r="B165" t="s">
        <v>7562</v>
      </c>
      <c r="C165">
        <v>2023</v>
      </c>
      <c r="D165">
        <v>2023</v>
      </c>
      <c r="E165" s="7">
        <v>45273</v>
      </c>
      <c r="F165" s="7">
        <v>45638</v>
      </c>
      <c r="G165" t="s">
        <v>135</v>
      </c>
      <c r="H165" t="s">
        <v>102</v>
      </c>
      <c r="I165" t="s">
        <v>104</v>
      </c>
      <c r="J165">
        <v>7680.68</v>
      </c>
      <c r="K165">
        <v>1500000</v>
      </c>
    </row>
    <row r="166" spans="1:11" ht="12.75" customHeight="1" x14ac:dyDescent="0.2">
      <c r="A166" t="s">
        <v>7563</v>
      </c>
      <c r="B166" t="s">
        <v>7119</v>
      </c>
      <c r="C166">
        <v>2023</v>
      </c>
      <c r="D166">
        <v>2023</v>
      </c>
      <c r="E166" s="7">
        <v>45273</v>
      </c>
      <c r="F166" s="7">
        <v>45638</v>
      </c>
      <c r="G166" t="s">
        <v>135</v>
      </c>
      <c r="H166" t="s">
        <v>102</v>
      </c>
      <c r="I166" t="s">
        <v>101</v>
      </c>
      <c r="J166">
        <v>13563.63</v>
      </c>
      <c r="K166">
        <v>2000000</v>
      </c>
    </row>
    <row r="167" spans="1:11" ht="12.75" customHeight="1" x14ac:dyDescent="0.2">
      <c r="A167" t="s">
        <v>7564</v>
      </c>
      <c r="B167" t="s">
        <v>7206</v>
      </c>
      <c r="C167">
        <v>2023</v>
      </c>
      <c r="D167">
        <v>2023</v>
      </c>
      <c r="E167" s="7">
        <v>45273</v>
      </c>
      <c r="F167" s="7">
        <v>45638</v>
      </c>
      <c r="G167" t="s">
        <v>135</v>
      </c>
      <c r="H167" t="s">
        <v>107</v>
      </c>
      <c r="I167" t="s">
        <v>101</v>
      </c>
      <c r="J167">
        <v>3616.77</v>
      </c>
      <c r="K167">
        <v>500000</v>
      </c>
    </row>
    <row r="168" spans="1:11" ht="12.75" customHeight="1" x14ac:dyDescent="0.2">
      <c r="A168" t="s">
        <v>7565</v>
      </c>
      <c r="B168" t="s">
        <v>7566</v>
      </c>
      <c r="C168">
        <v>2023</v>
      </c>
      <c r="D168">
        <v>2023</v>
      </c>
      <c r="E168" s="7">
        <v>45273</v>
      </c>
      <c r="F168" s="7">
        <v>45638</v>
      </c>
      <c r="G168" t="s">
        <v>135</v>
      </c>
      <c r="H168" t="s">
        <v>102</v>
      </c>
      <c r="I168" t="s">
        <v>104</v>
      </c>
      <c r="J168">
        <v>11552.98</v>
      </c>
      <c r="K168">
        <v>2000000</v>
      </c>
    </row>
    <row r="169" spans="1:11" ht="12.75" customHeight="1" x14ac:dyDescent="0.2">
      <c r="A169" t="s">
        <v>7567</v>
      </c>
      <c r="B169" t="s">
        <v>7316</v>
      </c>
      <c r="C169">
        <v>2023</v>
      </c>
      <c r="D169">
        <v>2023</v>
      </c>
      <c r="E169" s="7">
        <v>45273</v>
      </c>
      <c r="F169" s="7">
        <v>45638</v>
      </c>
      <c r="G169" t="s">
        <v>135</v>
      </c>
      <c r="H169" t="s">
        <v>103</v>
      </c>
      <c r="I169" t="s">
        <v>101</v>
      </c>
      <c r="J169">
        <v>13103.01</v>
      </c>
      <c r="K169">
        <v>2000000</v>
      </c>
    </row>
    <row r="170" spans="1:11" ht="12.75" customHeight="1" x14ac:dyDescent="0.2">
      <c r="A170" t="s">
        <v>7568</v>
      </c>
      <c r="B170" t="s">
        <v>7569</v>
      </c>
      <c r="C170">
        <v>2023</v>
      </c>
      <c r="D170">
        <v>2023</v>
      </c>
      <c r="E170" s="7">
        <v>45273</v>
      </c>
      <c r="F170" s="7">
        <v>45638</v>
      </c>
      <c r="G170" t="s">
        <v>135</v>
      </c>
      <c r="H170" t="s">
        <v>107</v>
      </c>
      <c r="I170" t="s">
        <v>104</v>
      </c>
      <c r="J170">
        <v>28190.35</v>
      </c>
      <c r="K170">
        <v>5000000</v>
      </c>
    </row>
    <row r="171" spans="1:11" ht="12.75" customHeight="1" x14ac:dyDescent="0.2">
      <c r="A171" t="s">
        <v>7570</v>
      </c>
      <c r="B171" t="s">
        <v>660</v>
      </c>
      <c r="C171">
        <v>2023</v>
      </c>
      <c r="D171">
        <v>2023</v>
      </c>
      <c r="E171" s="7">
        <v>45273</v>
      </c>
      <c r="F171" s="7">
        <v>45638</v>
      </c>
      <c r="G171" t="s">
        <v>135</v>
      </c>
      <c r="H171" t="s">
        <v>103</v>
      </c>
      <c r="I171" t="s">
        <v>104</v>
      </c>
      <c r="J171">
        <v>12049.05</v>
      </c>
      <c r="K171">
        <v>2000000</v>
      </c>
    </row>
    <row r="172" spans="1:11" ht="12.75" customHeight="1" x14ac:dyDescent="0.2">
      <c r="A172" t="s">
        <v>7571</v>
      </c>
      <c r="B172" t="s">
        <v>7572</v>
      </c>
      <c r="C172">
        <v>2023</v>
      </c>
      <c r="D172">
        <v>2023</v>
      </c>
      <c r="E172" s="7">
        <v>45273</v>
      </c>
      <c r="F172" s="7">
        <v>45638</v>
      </c>
      <c r="G172" t="s">
        <v>135</v>
      </c>
      <c r="H172" t="s">
        <v>114</v>
      </c>
      <c r="I172" t="s">
        <v>101</v>
      </c>
      <c r="J172">
        <v>11597.97</v>
      </c>
      <c r="K172">
        <v>1500000</v>
      </c>
    </row>
    <row r="173" spans="1:11" ht="12.75" customHeight="1" x14ac:dyDescent="0.2">
      <c r="A173" t="s">
        <v>7573</v>
      </c>
      <c r="B173" t="s">
        <v>7574</v>
      </c>
      <c r="C173">
        <v>2023</v>
      </c>
      <c r="D173">
        <v>2023</v>
      </c>
      <c r="E173" s="7">
        <v>45273</v>
      </c>
      <c r="F173" s="7">
        <v>45638</v>
      </c>
      <c r="G173" t="s">
        <v>135</v>
      </c>
      <c r="H173" t="s">
        <v>105</v>
      </c>
      <c r="I173" t="s">
        <v>101</v>
      </c>
      <c r="J173">
        <v>7009.51</v>
      </c>
      <c r="K173">
        <v>1000000</v>
      </c>
    </row>
    <row r="174" spans="1:11" ht="12.75" customHeight="1" x14ac:dyDescent="0.2">
      <c r="A174" t="s">
        <v>7575</v>
      </c>
      <c r="B174" t="s">
        <v>7576</v>
      </c>
      <c r="C174">
        <v>2023</v>
      </c>
      <c r="D174">
        <v>2023</v>
      </c>
      <c r="E174" s="7">
        <v>45273</v>
      </c>
      <c r="F174" s="7">
        <v>45638</v>
      </c>
      <c r="G174" t="s">
        <v>135</v>
      </c>
      <c r="H174" t="s">
        <v>113</v>
      </c>
      <c r="I174" t="s">
        <v>101</v>
      </c>
      <c r="J174">
        <v>15164.92</v>
      </c>
      <c r="K174">
        <v>2000000</v>
      </c>
    </row>
    <row r="175" spans="1:11" ht="12.75" customHeight="1" x14ac:dyDescent="0.2">
      <c r="A175" t="s">
        <v>7577</v>
      </c>
      <c r="B175" t="s">
        <v>7180</v>
      </c>
      <c r="C175">
        <v>2023</v>
      </c>
      <c r="D175">
        <v>2023</v>
      </c>
      <c r="E175" s="7">
        <v>45273</v>
      </c>
      <c r="F175" s="7">
        <v>45638</v>
      </c>
      <c r="G175" t="s">
        <v>135</v>
      </c>
      <c r="H175" t="s">
        <v>116</v>
      </c>
      <c r="I175" t="s">
        <v>101</v>
      </c>
      <c r="J175">
        <v>9963.0499999999993</v>
      </c>
      <c r="K175">
        <v>1500000</v>
      </c>
    </row>
    <row r="176" spans="1:11" ht="12.75" customHeight="1" x14ac:dyDescent="0.2">
      <c r="A176" t="s">
        <v>7578</v>
      </c>
      <c r="B176" t="s">
        <v>7199</v>
      </c>
      <c r="C176">
        <v>2023</v>
      </c>
      <c r="D176">
        <v>2023</v>
      </c>
      <c r="E176" s="7">
        <v>45274</v>
      </c>
      <c r="F176" s="7">
        <v>45639</v>
      </c>
      <c r="G176" t="s">
        <v>99</v>
      </c>
      <c r="H176" t="s">
        <v>113</v>
      </c>
      <c r="I176" t="s">
        <v>104</v>
      </c>
      <c r="J176">
        <v>5350.95</v>
      </c>
      <c r="K176">
        <v>1000000</v>
      </c>
    </row>
    <row r="177" spans="1:11" ht="12.75" customHeight="1" x14ac:dyDescent="0.2">
      <c r="A177" t="s">
        <v>1180</v>
      </c>
      <c r="B177" t="s">
        <v>1151</v>
      </c>
      <c r="C177">
        <v>2023</v>
      </c>
      <c r="D177">
        <v>2023</v>
      </c>
      <c r="E177" s="7">
        <v>45274</v>
      </c>
      <c r="F177" s="7">
        <v>45639</v>
      </c>
      <c r="G177" t="s">
        <v>99</v>
      </c>
      <c r="H177" t="s">
        <v>102</v>
      </c>
      <c r="I177" t="s">
        <v>101</v>
      </c>
      <c r="J177">
        <v>36845.99</v>
      </c>
      <c r="K177">
        <v>5000000</v>
      </c>
    </row>
    <row r="178" spans="1:11" ht="12.75" customHeight="1" x14ac:dyDescent="0.2">
      <c r="A178" t="s">
        <v>7579</v>
      </c>
      <c r="B178" t="s">
        <v>1152</v>
      </c>
      <c r="C178">
        <v>2023</v>
      </c>
      <c r="D178">
        <v>2023</v>
      </c>
      <c r="E178" s="7">
        <v>45274</v>
      </c>
      <c r="F178" s="7">
        <v>45639</v>
      </c>
      <c r="G178" t="s">
        <v>99</v>
      </c>
      <c r="H178" t="s">
        <v>102</v>
      </c>
      <c r="I178" t="s">
        <v>101</v>
      </c>
      <c r="J178">
        <v>10390.77</v>
      </c>
      <c r="K178">
        <v>1500000</v>
      </c>
    </row>
    <row r="179" spans="1:11" ht="12.75" customHeight="1" x14ac:dyDescent="0.2">
      <c r="A179" t="s">
        <v>7580</v>
      </c>
      <c r="B179" t="s">
        <v>7581</v>
      </c>
      <c r="C179">
        <v>2023</v>
      </c>
      <c r="D179">
        <v>2023</v>
      </c>
      <c r="E179" s="7">
        <v>45274</v>
      </c>
      <c r="F179" s="7">
        <v>45639</v>
      </c>
      <c r="G179" t="s">
        <v>135</v>
      </c>
      <c r="H179" t="s">
        <v>113</v>
      </c>
      <c r="I179" t="s">
        <v>101</v>
      </c>
      <c r="J179">
        <v>15273.53</v>
      </c>
      <c r="K179">
        <v>2000000</v>
      </c>
    </row>
    <row r="180" spans="1:11" ht="12.75" customHeight="1" x14ac:dyDescent="0.2">
      <c r="A180" t="s">
        <v>1181</v>
      </c>
      <c r="B180" t="s">
        <v>417</v>
      </c>
      <c r="C180">
        <v>2023</v>
      </c>
      <c r="D180">
        <v>2023</v>
      </c>
      <c r="E180" s="7">
        <v>45274</v>
      </c>
      <c r="F180" s="7">
        <v>45639</v>
      </c>
      <c r="G180" t="s">
        <v>135</v>
      </c>
      <c r="H180" t="s">
        <v>116</v>
      </c>
      <c r="I180" t="s">
        <v>104</v>
      </c>
      <c r="J180">
        <v>5388.13</v>
      </c>
      <c r="K180">
        <v>1000000</v>
      </c>
    </row>
    <row r="181" spans="1:11" ht="12.75" customHeight="1" x14ac:dyDescent="0.2">
      <c r="A181" t="s">
        <v>7582</v>
      </c>
      <c r="B181" t="s">
        <v>7583</v>
      </c>
      <c r="C181">
        <v>2023</v>
      </c>
      <c r="D181">
        <v>2023</v>
      </c>
      <c r="E181" s="7">
        <v>45274</v>
      </c>
      <c r="F181" s="7">
        <v>45639</v>
      </c>
      <c r="G181" t="s">
        <v>135</v>
      </c>
      <c r="H181" t="s">
        <v>105</v>
      </c>
      <c r="I181" t="s">
        <v>101</v>
      </c>
      <c r="J181">
        <v>6994.36</v>
      </c>
      <c r="K181">
        <v>1000000</v>
      </c>
    </row>
    <row r="182" spans="1:11" ht="12.75" customHeight="1" x14ac:dyDescent="0.2">
      <c r="A182" t="s">
        <v>7584</v>
      </c>
      <c r="B182" t="s">
        <v>7585</v>
      </c>
      <c r="C182">
        <v>2023</v>
      </c>
      <c r="D182">
        <v>2023</v>
      </c>
      <c r="E182" s="7">
        <v>45274</v>
      </c>
      <c r="F182" s="7">
        <v>45639</v>
      </c>
      <c r="G182" t="s">
        <v>135</v>
      </c>
      <c r="H182" t="s">
        <v>105</v>
      </c>
      <c r="I182" t="s">
        <v>104</v>
      </c>
      <c r="J182">
        <v>2754.29</v>
      </c>
      <c r="K182">
        <v>500000</v>
      </c>
    </row>
    <row r="183" spans="1:11" ht="12.75" customHeight="1" x14ac:dyDescent="0.2">
      <c r="A183" t="s">
        <v>7586</v>
      </c>
      <c r="B183" t="s">
        <v>416</v>
      </c>
      <c r="C183">
        <v>2023</v>
      </c>
      <c r="D183">
        <v>2023</v>
      </c>
      <c r="E183" s="7">
        <v>45274</v>
      </c>
      <c r="F183" s="7">
        <v>45639</v>
      </c>
      <c r="G183" t="s">
        <v>135</v>
      </c>
      <c r="H183" t="s">
        <v>6348</v>
      </c>
      <c r="I183" t="s">
        <v>104</v>
      </c>
      <c r="J183">
        <v>11801.03</v>
      </c>
      <c r="K183">
        <v>2000000</v>
      </c>
    </row>
    <row r="184" spans="1:11" ht="12.75" customHeight="1" x14ac:dyDescent="0.2">
      <c r="A184" t="s">
        <v>7587</v>
      </c>
      <c r="B184" t="s">
        <v>7317</v>
      </c>
      <c r="C184">
        <v>2023</v>
      </c>
      <c r="D184">
        <v>2023</v>
      </c>
      <c r="E184" s="7">
        <v>45274</v>
      </c>
      <c r="F184" s="7">
        <v>45639</v>
      </c>
      <c r="G184" t="s">
        <v>135</v>
      </c>
      <c r="H184" t="s">
        <v>102</v>
      </c>
      <c r="I184" t="s">
        <v>104</v>
      </c>
      <c r="J184">
        <v>7902.2</v>
      </c>
      <c r="K184">
        <v>1500000</v>
      </c>
    </row>
    <row r="185" spans="1:11" ht="12.75" customHeight="1" x14ac:dyDescent="0.2">
      <c r="A185" t="s">
        <v>7588</v>
      </c>
      <c r="B185" t="s">
        <v>7589</v>
      </c>
      <c r="C185">
        <v>2023</v>
      </c>
      <c r="D185">
        <v>2023</v>
      </c>
      <c r="E185" s="7">
        <v>45274</v>
      </c>
      <c r="F185" s="7">
        <v>45639</v>
      </c>
      <c r="G185" t="s">
        <v>135</v>
      </c>
      <c r="H185" t="s">
        <v>106</v>
      </c>
      <c r="I185" t="s">
        <v>101</v>
      </c>
      <c r="J185">
        <v>4475.59</v>
      </c>
      <c r="K185">
        <v>500000</v>
      </c>
    </row>
    <row r="186" spans="1:11" ht="12.75" customHeight="1" x14ac:dyDescent="0.2">
      <c r="A186" t="s">
        <v>7590</v>
      </c>
      <c r="B186" t="s">
        <v>415</v>
      </c>
      <c r="C186">
        <v>2023</v>
      </c>
      <c r="D186">
        <v>2023</v>
      </c>
      <c r="E186" s="7">
        <v>45274</v>
      </c>
      <c r="F186" s="7">
        <v>45639</v>
      </c>
      <c r="G186" t="s">
        <v>135</v>
      </c>
      <c r="H186" t="s">
        <v>113</v>
      </c>
      <c r="I186" t="s">
        <v>101</v>
      </c>
      <c r="J186">
        <v>7691.74</v>
      </c>
      <c r="K186">
        <v>1000000</v>
      </c>
    </row>
    <row r="187" spans="1:11" ht="12.75" customHeight="1" x14ac:dyDescent="0.2">
      <c r="A187" t="s">
        <v>1182</v>
      </c>
      <c r="B187" t="s">
        <v>414</v>
      </c>
      <c r="C187">
        <v>2023</v>
      </c>
      <c r="D187">
        <v>2023</v>
      </c>
      <c r="E187" s="7">
        <v>45274</v>
      </c>
      <c r="F187" s="7">
        <v>45639</v>
      </c>
      <c r="G187" t="s">
        <v>135</v>
      </c>
      <c r="H187" t="s">
        <v>110</v>
      </c>
      <c r="I187" t="s">
        <v>101</v>
      </c>
      <c r="J187">
        <v>41104.28</v>
      </c>
      <c r="K187">
        <v>5000000</v>
      </c>
    </row>
    <row r="188" spans="1:11" ht="12.75" customHeight="1" x14ac:dyDescent="0.2">
      <c r="A188" t="s">
        <v>7591</v>
      </c>
      <c r="B188" t="s">
        <v>7592</v>
      </c>
      <c r="C188">
        <v>2023</v>
      </c>
      <c r="D188">
        <v>2023</v>
      </c>
      <c r="E188" s="7">
        <v>45274</v>
      </c>
      <c r="F188" s="7">
        <v>45639</v>
      </c>
      <c r="G188" t="s">
        <v>135</v>
      </c>
      <c r="H188" t="s">
        <v>108</v>
      </c>
      <c r="I188" t="s">
        <v>101</v>
      </c>
      <c r="J188">
        <v>12396.43</v>
      </c>
      <c r="K188">
        <v>1500000</v>
      </c>
    </row>
    <row r="189" spans="1:11" ht="12.75" customHeight="1" x14ac:dyDescent="0.2">
      <c r="A189" t="s">
        <v>7593</v>
      </c>
      <c r="B189" t="s">
        <v>7128</v>
      </c>
      <c r="C189">
        <v>2023</v>
      </c>
      <c r="D189">
        <v>2023</v>
      </c>
      <c r="E189" s="7">
        <v>45274</v>
      </c>
      <c r="F189" s="7">
        <v>45639</v>
      </c>
      <c r="G189" t="s">
        <v>135</v>
      </c>
      <c r="H189" t="s">
        <v>108</v>
      </c>
      <c r="I189" t="s">
        <v>101</v>
      </c>
      <c r="J189">
        <v>97490.17</v>
      </c>
      <c r="K189">
        <v>10000000</v>
      </c>
    </row>
    <row r="190" spans="1:11" ht="12.75" customHeight="1" x14ac:dyDescent="0.2">
      <c r="A190" t="s">
        <v>7594</v>
      </c>
      <c r="B190" t="s">
        <v>7230</v>
      </c>
      <c r="C190">
        <v>2023</v>
      </c>
      <c r="D190">
        <v>2023</v>
      </c>
      <c r="E190" s="7">
        <v>45274</v>
      </c>
      <c r="F190" s="7">
        <v>45639</v>
      </c>
      <c r="G190" t="s">
        <v>135</v>
      </c>
      <c r="H190" t="s">
        <v>107</v>
      </c>
      <c r="I190" t="s">
        <v>104</v>
      </c>
      <c r="J190">
        <v>5318.25</v>
      </c>
      <c r="K190">
        <v>1000000</v>
      </c>
    </row>
    <row r="191" spans="1:11" ht="12.75" customHeight="1" x14ac:dyDescent="0.2">
      <c r="A191" t="s">
        <v>7595</v>
      </c>
      <c r="B191" t="s">
        <v>1153</v>
      </c>
      <c r="C191">
        <v>2023</v>
      </c>
      <c r="D191">
        <v>2023</v>
      </c>
      <c r="E191" s="7">
        <v>45275</v>
      </c>
      <c r="F191" s="7">
        <v>45640</v>
      </c>
      <c r="G191" t="s">
        <v>99</v>
      </c>
      <c r="H191" t="s">
        <v>116</v>
      </c>
      <c r="I191" t="s">
        <v>104</v>
      </c>
      <c r="J191">
        <v>8637.9599999999991</v>
      </c>
      <c r="K191">
        <v>1500000</v>
      </c>
    </row>
    <row r="192" spans="1:11" ht="12.75" customHeight="1" x14ac:dyDescent="0.2">
      <c r="A192" t="s">
        <v>7596</v>
      </c>
      <c r="B192" t="s">
        <v>7597</v>
      </c>
      <c r="C192">
        <v>2023</v>
      </c>
      <c r="D192">
        <v>2023</v>
      </c>
      <c r="E192" s="7">
        <v>45275</v>
      </c>
      <c r="F192" s="7">
        <v>45640</v>
      </c>
      <c r="G192" t="s">
        <v>99</v>
      </c>
      <c r="H192" t="s">
        <v>102</v>
      </c>
      <c r="I192" t="s">
        <v>101</v>
      </c>
      <c r="J192">
        <v>73997.25</v>
      </c>
      <c r="K192">
        <v>10000000</v>
      </c>
    </row>
    <row r="193" spans="1:11" ht="12.75" customHeight="1" x14ac:dyDescent="0.2">
      <c r="A193" t="s">
        <v>7598</v>
      </c>
      <c r="B193" t="s">
        <v>7201</v>
      </c>
      <c r="C193">
        <v>2023</v>
      </c>
      <c r="D193">
        <v>2023</v>
      </c>
      <c r="E193" s="7">
        <v>45275</v>
      </c>
      <c r="F193" s="7">
        <v>45640</v>
      </c>
      <c r="G193" t="s">
        <v>99</v>
      </c>
      <c r="H193" t="s">
        <v>102</v>
      </c>
      <c r="I193" t="s">
        <v>101</v>
      </c>
      <c r="J193">
        <v>70969.960000000006</v>
      </c>
      <c r="K193">
        <v>10000000</v>
      </c>
    </row>
    <row r="194" spans="1:11" ht="12.75" customHeight="1" x14ac:dyDescent="0.2">
      <c r="A194" t="s">
        <v>7599</v>
      </c>
      <c r="B194" t="s">
        <v>7600</v>
      </c>
      <c r="C194">
        <v>2023</v>
      </c>
      <c r="D194">
        <v>2023</v>
      </c>
      <c r="E194" s="7">
        <v>45275</v>
      </c>
      <c r="F194" s="7">
        <v>45640</v>
      </c>
      <c r="G194" t="s">
        <v>135</v>
      </c>
      <c r="H194" t="s">
        <v>102</v>
      </c>
      <c r="I194" t="s">
        <v>104</v>
      </c>
      <c r="J194">
        <v>5833.91</v>
      </c>
      <c r="K194">
        <v>1000000</v>
      </c>
    </row>
    <row r="195" spans="1:11" ht="12.75" customHeight="1" x14ac:dyDescent="0.2">
      <c r="A195" t="s">
        <v>7601</v>
      </c>
      <c r="B195" t="s">
        <v>7602</v>
      </c>
      <c r="C195">
        <v>2023</v>
      </c>
      <c r="D195">
        <v>2023</v>
      </c>
      <c r="E195" s="7">
        <v>45275</v>
      </c>
      <c r="F195" s="7">
        <v>45640</v>
      </c>
      <c r="G195" t="s">
        <v>135</v>
      </c>
      <c r="H195" t="s">
        <v>113</v>
      </c>
      <c r="I195" t="s">
        <v>101</v>
      </c>
      <c r="J195">
        <v>35388.1</v>
      </c>
      <c r="K195">
        <v>5000000</v>
      </c>
    </row>
    <row r="196" spans="1:11" ht="12.75" customHeight="1" x14ac:dyDescent="0.2">
      <c r="A196" t="s">
        <v>7603</v>
      </c>
      <c r="B196" t="s">
        <v>418</v>
      </c>
      <c r="C196">
        <v>2023</v>
      </c>
      <c r="D196">
        <v>2023</v>
      </c>
      <c r="E196" s="7">
        <v>45275</v>
      </c>
      <c r="F196" s="7">
        <v>45640</v>
      </c>
      <c r="G196" t="s">
        <v>135</v>
      </c>
      <c r="H196" t="s">
        <v>102</v>
      </c>
      <c r="I196" t="s">
        <v>101</v>
      </c>
      <c r="J196">
        <v>11024.65</v>
      </c>
      <c r="K196">
        <v>1500000</v>
      </c>
    </row>
    <row r="197" spans="1:11" ht="12.75" customHeight="1" x14ac:dyDescent="0.2">
      <c r="A197" t="s">
        <v>7604</v>
      </c>
      <c r="B197" t="s">
        <v>7605</v>
      </c>
      <c r="C197">
        <v>2023</v>
      </c>
      <c r="D197">
        <v>2023</v>
      </c>
      <c r="E197" s="7">
        <v>45275</v>
      </c>
      <c r="F197" s="7">
        <v>45640</v>
      </c>
      <c r="G197" t="s">
        <v>135</v>
      </c>
      <c r="H197" t="s">
        <v>102</v>
      </c>
      <c r="I197" t="s">
        <v>101</v>
      </c>
      <c r="J197">
        <v>3559.59</v>
      </c>
      <c r="K197">
        <v>500000</v>
      </c>
    </row>
    <row r="198" spans="1:11" ht="12.75" customHeight="1" x14ac:dyDescent="0.2">
      <c r="A198" t="s">
        <v>7606</v>
      </c>
      <c r="B198" t="s">
        <v>7607</v>
      </c>
      <c r="C198">
        <v>2023</v>
      </c>
      <c r="D198">
        <v>2023</v>
      </c>
      <c r="E198" s="7">
        <v>45275</v>
      </c>
      <c r="F198" s="7">
        <v>45640</v>
      </c>
      <c r="G198" t="s">
        <v>135</v>
      </c>
      <c r="H198" t="s">
        <v>107</v>
      </c>
      <c r="I198" t="s">
        <v>101</v>
      </c>
      <c r="J198">
        <v>6757.39</v>
      </c>
      <c r="K198">
        <v>1000000</v>
      </c>
    </row>
    <row r="199" spans="1:11" ht="12.75" customHeight="1" x14ac:dyDescent="0.2">
      <c r="A199" t="s">
        <v>7608</v>
      </c>
      <c r="B199" t="s">
        <v>7188</v>
      </c>
      <c r="C199">
        <v>2023</v>
      </c>
      <c r="D199">
        <v>2023</v>
      </c>
      <c r="E199" s="7">
        <v>45275</v>
      </c>
      <c r="F199" s="7">
        <v>45640</v>
      </c>
      <c r="G199" t="s">
        <v>135</v>
      </c>
      <c r="H199" t="s">
        <v>110</v>
      </c>
      <c r="I199" t="s">
        <v>104</v>
      </c>
      <c r="J199">
        <v>11138.38</v>
      </c>
      <c r="K199">
        <v>1500000</v>
      </c>
    </row>
    <row r="200" spans="1:11" ht="12.75" customHeight="1" x14ac:dyDescent="0.2">
      <c r="A200" t="s">
        <v>7609</v>
      </c>
      <c r="B200" t="s">
        <v>7610</v>
      </c>
      <c r="C200">
        <v>2023</v>
      </c>
      <c r="D200">
        <v>2023</v>
      </c>
      <c r="E200" s="7">
        <v>45275</v>
      </c>
      <c r="F200" s="7">
        <v>45640</v>
      </c>
      <c r="G200" t="s">
        <v>135</v>
      </c>
      <c r="H200" t="s">
        <v>106</v>
      </c>
      <c r="I200" t="s">
        <v>101</v>
      </c>
      <c r="J200">
        <v>17934.22</v>
      </c>
      <c r="K200">
        <v>2000000</v>
      </c>
    </row>
    <row r="201" spans="1:11" ht="12.75" customHeight="1" x14ac:dyDescent="0.2">
      <c r="A201" t="s">
        <v>7611</v>
      </c>
      <c r="B201" t="s">
        <v>7137</v>
      </c>
      <c r="C201">
        <v>2023</v>
      </c>
      <c r="D201">
        <v>2023</v>
      </c>
      <c r="E201" s="7">
        <v>45275</v>
      </c>
      <c r="F201" s="7">
        <v>45640</v>
      </c>
      <c r="G201" t="s">
        <v>135</v>
      </c>
      <c r="H201" t="s">
        <v>100</v>
      </c>
      <c r="I201" t="s">
        <v>104</v>
      </c>
      <c r="J201">
        <v>5559.43</v>
      </c>
      <c r="K201">
        <v>1000000</v>
      </c>
    </row>
    <row r="202" spans="1:11" ht="12.75" customHeight="1" x14ac:dyDescent="0.2">
      <c r="A202" t="s">
        <v>7612</v>
      </c>
      <c r="B202" t="s">
        <v>7613</v>
      </c>
      <c r="C202">
        <v>2023</v>
      </c>
      <c r="D202">
        <v>2023</v>
      </c>
      <c r="E202" s="7">
        <v>45275</v>
      </c>
      <c r="F202" s="7">
        <v>45640</v>
      </c>
      <c r="G202" t="s">
        <v>135</v>
      </c>
      <c r="H202" t="s">
        <v>109</v>
      </c>
      <c r="I202" t="s">
        <v>104</v>
      </c>
      <c r="J202">
        <v>3018.56</v>
      </c>
      <c r="K202">
        <v>500000</v>
      </c>
    </row>
    <row r="203" spans="1:11" ht="12.75" customHeight="1" x14ac:dyDescent="0.2">
      <c r="A203" t="s">
        <v>7614</v>
      </c>
      <c r="B203" t="s">
        <v>7615</v>
      </c>
      <c r="C203">
        <v>2023</v>
      </c>
      <c r="D203">
        <v>2023</v>
      </c>
      <c r="E203" s="7">
        <v>45275</v>
      </c>
      <c r="F203" s="7">
        <v>45640</v>
      </c>
      <c r="G203" t="s">
        <v>135</v>
      </c>
      <c r="H203" t="s">
        <v>116</v>
      </c>
      <c r="I203" t="s">
        <v>101</v>
      </c>
      <c r="J203">
        <v>7478.47</v>
      </c>
      <c r="K203">
        <v>1000000</v>
      </c>
    </row>
    <row r="204" spans="1:11" ht="12.75" customHeight="1" x14ac:dyDescent="0.2">
      <c r="A204" t="s">
        <v>7616</v>
      </c>
      <c r="B204" t="s">
        <v>7617</v>
      </c>
      <c r="C204">
        <v>2023</v>
      </c>
      <c r="D204">
        <v>2023</v>
      </c>
      <c r="E204" s="7">
        <v>45275</v>
      </c>
      <c r="F204" s="7">
        <v>45640</v>
      </c>
      <c r="G204" t="s">
        <v>135</v>
      </c>
      <c r="H204" t="s">
        <v>106</v>
      </c>
      <c r="I204" t="s">
        <v>101</v>
      </c>
      <c r="J204">
        <v>4214.6499999999996</v>
      </c>
      <c r="K204">
        <v>500000</v>
      </c>
    </row>
    <row r="205" spans="1:11" ht="12.75" customHeight="1" x14ac:dyDescent="0.2">
      <c r="A205" t="s">
        <v>7618</v>
      </c>
      <c r="B205" t="s">
        <v>1154</v>
      </c>
      <c r="C205">
        <v>2023</v>
      </c>
      <c r="D205">
        <v>2023</v>
      </c>
      <c r="E205" s="7">
        <v>45276</v>
      </c>
      <c r="F205" s="7">
        <v>45641</v>
      </c>
      <c r="G205" t="s">
        <v>99</v>
      </c>
      <c r="H205" t="s">
        <v>6332</v>
      </c>
      <c r="I205" t="s">
        <v>104</v>
      </c>
      <c r="J205">
        <v>8401.49</v>
      </c>
      <c r="K205">
        <v>1500000</v>
      </c>
    </row>
    <row r="206" spans="1:11" ht="12.75" customHeight="1" x14ac:dyDescent="0.2">
      <c r="A206" t="s">
        <v>7619</v>
      </c>
      <c r="B206" t="s">
        <v>1155</v>
      </c>
      <c r="C206">
        <v>2023</v>
      </c>
      <c r="D206">
        <v>2023</v>
      </c>
      <c r="E206" s="7">
        <v>45276</v>
      </c>
      <c r="F206" s="7">
        <v>45641</v>
      </c>
      <c r="G206" t="s">
        <v>99</v>
      </c>
      <c r="H206" t="s">
        <v>113</v>
      </c>
      <c r="I206" t="s">
        <v>101</v>
      </c>
      <c r="J206">
        <v>6624.27</v>
      </c>
      <c r="K206">
        <v>1000000</v>
      </c>
    </row>
    <row r="207" spans="1:11" ht="12.75" customHeight="1" x14ac:dyDescent="0.2">
      <c r="A207" t="s">
        <v>7620</v>
      </c>
      <c r="B207" t="s">
        <v>7621</v>
      </c>
      <c r="C207">
        <v>2023</v>
      </c>
      <c r="D207">
        <v>2023</v>
      </c>
      <c r="E207" s="7">
        <v>45276</v>
      </c>
      <c r="F207" s="7">
        <v>45641</v>
      </c>
      <c r="G207" t="s">
        <v>135</v>
      </c>
      <c r="H207" t="s">
        <v>110</v>
      </c>
      <c r="I207" t="s">
        <v>104</v>
      </c>
      <c r="J207">
        <v>6658.34</v>
      </c>
      <c r="K207">
        <v>1000000</v>
      </c>
    </row>
    <row r="208" spans="1:11" ht="12.75" customHeight="1" x14ac:dyDescent="0.2">
      <c r="A208" t="s">
        <v>7622</v>
      </c>
      <c r="B208" t="s">
        <v>7623</v>
      </c>
      <c r="C208">
        <v>2023</v>
      </c>
      <c r="D208">
        <v>2023</v>
      </c>
      <c r="E208" s="7">
        <v>45276</v>
      </c>
      <c r="F208" s="7">
        <v>45641</v>
      </c>
      <c r="G208" t="s">
        <v>135</v>
      </c>
      <c r="H208" t="s">
        <v>102</v>
      </c>
      <c r="I208" t="s">
        <v>101</v>
      </c>
      <c r="J208">
        <v>69029.789999999994</v>
      </c>
      <c r="K208">
        <v>10000000</v>
      </c>
    </row>
    <row r="209" spans="1:11" ht="12.75" customHeight="1" x14ac:dyDescent="0.2">
      <c r="A209" t="s">
        <v>7624</v>
      </c>
      <c r="B209" t="s">
        <v>7625</v>
      </c>
      <c r="C209">
        <v>2023</v>
      </c>
      <c r="D209">
        <v>2023</v>
      </c>
      <c r="E209" s="7">
        <v>45276</v>
      </c>
      <c r="F209" s="7">
        <v>45641</v>
      </c>
      <c r="G209" t="s">
        <v>135</v>
      </c>
      <c r="H209" t="s">
        <v>113</v>
      </c>
      <c r="I209" t="s">
        <v>101</v>
      </c>
      <c r="J209">
        <v>3657.32</v>
      </c>
      <c r="K209">
        <v>500000</v>
      </c>
    </row>
    <row r="210" spans="1:11" ht="12.75" customHeight="1" x14ac:dyDescent="0.2">
      <c r="A210" t="s">
        <v>7626</v>
      </c>
      <c r="B210" t="s">
        <v>7627</v>
      </c>
      <c r="C210">
        <v>2023</v>
      </c>
      <c r="D210">
        <v>2023</v>
      </c>
      <c r="E210" s="7">
        <v>45276</v>
      </c>
      <c r="F210" s="7">
        <v>45641</v>
      </c>
      <c r="G210" t="s">
        <v>135</v>
      </c>
      <c r="H210" t="s">
        <v>109</v>
      </c>
      <c r="I210" t="s">
        <v>101</v>
      </c>
      <c r="J210">
        <v>15481.32</v>
      </c>
      <c r="K210">
        <v>2000000</v>
      </c>
    </row>
    <row r="211" spans="1:11" ht="12.75" customHeight="1" x14ac:dyDescent="0.2">
      <c r="A211" t="s">
        <v>7628</v>
      </c>
      <c r="B211" t="s">
        <v>1156</v>
      </c>
      <c r="C211">
        <v>2023</v>
      </c>
      <c r="D211">
        <v>2023</v>
      </c>
      <c r="E211" s="7">
        <v>45277</v>
      </c>
      <c r="F211" s="7">
        <v>45642</v>
      </c>
      <c r="G211" t="s">
        <v>99</v>
      </c>
      <c r="H211" t="s">
        <v>110</v>
      </c>
      <c r="I211" t="s">
        <v>101</v>
      </c>
      <c r="J211">
        <v>8202.31</v>
      </c>
      <c r="K211">
        <v>1000000</v>
      </c>
    </row>
    <row r="212" spans="1:11" ht="12.75" customHeight="1" x14ac:dyDescent="0.2">
      <c r="A212" t="s">
        <v>7629</v>
      </c>
      <c r="B212" t="s">
        <v>1157</v>
      </c>
      <c r="C212">
        <v>2023</v>
      </c>
      <c r="D212">
        <v>2023</v>
      </c>
      <c r="E212" s="7">
        <v>45277</v>
      </c>
      <c r="F212" s="7">
        <v>45642</v>
      </c>
      <c r="G212" t="s">
        <v>99</v>
      </c>
      <c r="H212" t="s">
        <v>102</v>
      </c>
      <c r="I212" t="s">
        <v>104</v>
      </c>
      <c r="J212">
        <v>5316.63</v>
      </c>
      <c r="K212">
        <v>1000000</v>
      </c>
    </row>
    <row r="213" spans="1:11" ht="12.75" customHeight="1" x14ac:dyDescent="0.2">
      <c r="A213" t="s">
        <v>7630</v>
      </c>
      <c r="B213" t="s">
        <v>1158</v>
      </c>
      <c r="C213">
        <v>2023</v>
      </c>
      <c r="D213">
        <v>2023</v>
      </c>
      <c r="E213" s="7">
        <v>45277</v>
      </c>
      <c r="F213" s="7">
        <v>45642</v>
      </c>
      <c r="G213" t="s">
        <v>99</v>
      </c>
      <c r="H213" t="s">
        <v>106</v>
      </c>
      <c r="I213" t="s">
        <v>101</v>
      </c>
      <c r="J213">
        <v>18277.75</v>
      </c>
      <c r="K213">
        <v>2000000</v>
      </c>
    </row>
    <row r="214" spans="1:11" ht="12.75" customHeight="1" x14ac:dyDescent="0.2">
      <c r="A214" t="s">
        <v>7631</v>
      </c>
      <c r="B214" t="s">
        <v>7632</v>
      </c>
      <c r="C214">
        <v>2023</v>
      </c>
      <c r="D214">
        <v>2023</v>
      </c>
      <c r="E214" s="7">
        <v>45277</v>
      </c>
      <c r="F214" s="7">
        <v>45642</v>
      </c>
      <c r="G214" t="s">
        <v>135</v>
      </c>
      <c r="H214" t="s">
        <v>105</v>
      </c>
      <c r="I214" t="s">
        <v>101</v>
      </c>
      <c r="J214">
        <v>7174.33</v>
      </c>
      <c r="K214">
        <v>1000000</v>
      </c>
    </row>
    <row r="215" spans="1:11" ht="12.75" customHeight="1" x14ac:dyDescent="0.2">
      <c r="A215" t="s">
        <v>7633</v>
      </c>
      <c r="B215" t="s">
        <v>7142</v>
      </c>
      <c r="C215">
        <v>2023</v>
      </c>
      <c r="D215">
        <v>2023</v>
      </c>
      <c r="E215" s="7">
        <v>45277</v>
      </c>
      <c r="F215" s="7">
        <v>45642</v>
      </c>
      <c r="G215" t="s">
        <v>135</v>
      </c>
      <c r="H215" t="s">
        <v>102</v>
      </c>
      <c r="I215" t="s">
        <v>104</v>
      </c>
      <c r="J215">
        <v>9361.39</v>
      </c>
      <c r="K215">
        <v>1500000</v>
      </c>
    </row>
    <row r="216" spans="1:11" ht="12.75" customHeight="1" x14ac:dyDescent="0.2">
      <c r="A216" t="s">
        <v>7634</v>
      </c>
      <c r="B216" t="s">
        <v>7139</v>
      </c>
      <c r="C216">
        <v>2023</v>
      </c>
      <c r="D216">
        <v>2023</v>
      </c>
      <c r="E216" s="7">
        <v>45277</v>
      </c>
      <c r="F216" s="7">
        <v>45642</v>
      </c>
      <c r="G216" t="s">
        <v>135</v>
      </c>
      <c r="H216" t="s">
        <v>108</v>
      </c>
      <c r="I216" t="s">
        <v>104</v>
      </c>
      <c r="J216">
        <v>14800.86</v>
      </c>
      <c r="K216">
        <v>2000000</v>
      </c>
    </row>
    <row r="217" spans="1:11" ht="12.75" customHeight="1" x14ac:dyDescent="0.2">
      <c r="A217" t="s">
        <v>7635</v>
      </c>
      <c r="B217" t="s">
        <v>7636</v>
      </c>
      <c r="C217">
        <v>2023</v>
      </c>
      <c r="D217">
        <v>2023</v>
      </c>
      <c r="E217" s="7">
        <v>45277</v>
      </c>
      <c r="F217" s="7">
        <v>45642</v>
      </c>
      <c r="G217" t="s">
        <v>135</v>
      </c>
      <c r="H217" t="s">
        <v>108</v>
      </c>
      <c r="I217" t="s">
        <v>104</v>
      </c>
      <c r="J217">
        <v>3533.55</v>
      </c>
      <c r="K217">
        <v>500000</v>
      </c>
    </row>
    <row r="218" spans="1:11" ht="12.75" customHeight="1" x14ac:dyDescent="0.2">
      <c r="A218" t="s">
        <v>7637</v>
      </c>
      <c r="B218" t="s">
        <v>7638</v>
      </c>
      <c r="C218">
        <v>2023</v>
      </c>
      <c r="D218">
        <v>2023</v>
      </c>
      <c r="E218" s="7">
        <v>45277</v>
      </c>
      <c r="F218" s="7">
        <v>45642</v>
      </c>
      <c r="G218" t="s">
        <v>135</v>
      </c>
      <c r="H218" t="s">
        <v>110</v>
      </c>
      <c r="I218" t="s">
        <v>104</v>
      </c>
      <c r="J218">
        <v>7573.39</v>
      </c>
      <c r="K218">
        <v>1000000</v>
      </c>
    </row>
    <row r="219" spans="1:11" ht="12.75" customHeight="1" x14ac:dyDescent="0.2">
      <c r="A219" t="s">
        <v>7639</v>
      </c>
      <c r="B219" t="s">
        <v>7138</v>
      </c>
      <c r="C219">
        <v>2023</v>
      </c>
      <c r="D219">
        <v>2023</v>
      </c>
      <c r="E219" s="7">
        <v>45277</v>
      </c>
      <c r="F219" s="7">
        <v>45642</v>
      </c>
      <c r="G219" t="s">
        <v>135</v>
      </c>
      <c r="H219" t="s">
        <v>110</v>
      </c>
      <c r="I219" t="s">
        <v>104</v>
      </c>
      <c r="J219">
        <v>14195.96</v>
      </c>
      <c r="K219">
        <v>2000000</v>
      </c>
    </row>
    <row r="220" spans="1:11" ht="12.75" customHeight="1" x14ac:dyDescent="0.2">
      <c r="A220" t="s">
        <v>7640</v>
      </c>
      <c r="B220" t="s">
        <v>7140</v>
      </c>
      <c r="C220">
        <v>2023</v>
      </c>
      <c r="D220">
        <v>2023</v>
      </c>
      <c r="E220" s="7">
        <v>45277</v>
      </c>
      <c r="F220" s="7">
        <v>45642</v>
      </c>
      <c r="G220" t="s">
        <v>135</v>
      </c>
      <c r="H220" t="s">
        <v>115</v>
      </c>
      <c r="I220" t="s">
        <v>101</v>
      </c>
      <c r="J220">
        <v>36421.550000000003</v>
      </c>
      <c r="K220">
        <v>5000000</v>
      </c>
    </row>
    <row r="221" spans="1:11" ht="12.75" customHeight="1" x14ac:dyDescent="0.2">
      <c r="A221" t="s">
        <v>7641</v>
      </c>
      <c r="B221" t="s">
        <v>7211</v>
      </c>
      <c r="C221">
        <v>2023</v>
      </c>
      <c r="D221">
        <v>2023</v>
      </c>
      <c r="E221" s="7">
        <v>45277</v>
      </c>
      <c r="F221" s="7">
        <v>45642</v>
      </c>
      <c r="G221" t="s">
        <v>135</v>
      </c>
      <c r="H221" t="s">
        <v>6337</v>
      </c>
      <c r="I221" t="s">
        <v>104</v>
      </c>
      <c r="J221">
        <v>6053.32</v>
      </c>
      <c r="K221">
        <v>1000000</v>
      </c>
    </row>
    <row r="222" spans="1:11" ht="12.75" customHeight="1" x14ac:dyDescent="0.2">
      <c r="A222" t="s">
        <v>7642</v>
      </c>
      <c r="B222" t="s">
        <v>419</v>
      </c>
      <c r="C222">
        <v>2023</v>
      </c>
      <c r="D222">
        <v>2023</v>
      </c>
      <c r="E222" s="7">
        <v>45277</v>
      </c>
      <c r="F222" s="7">
        <v>45642</v>
      </c>
      <c r="G222" t="s">
        <v>135</v>
      </c>
      <c r="H222" t="s">
        <v>110</v>
      </c>
      <c r="I222" t="s">
        <v>101</v>
      </c>
      <c r="J222">
        <v>85863.79</v>
      </c>
      <c r="K222">
        <v>10000000</v>
      </c>
    </row>
    <row r="223" spans="1:11" ht="12.75" customHeight="1" x14ac:dyDescent="0.2">
      <c r="A223" t="s">
        <v>7643</v>
      </c>
      <c r="B223" t="s">
        <v>1159</v>
      </c>
      <c r="C223">
        <v>2023</v>
      </c>
      <c r="D223">
        <v>2023</v>
      </c>
      <c r="E223" s="7">
        <v>45278</v>
      </c>
      <c r="F223" s="7">
        <v>45643</v>
      </c>
      <c r="G223" t="s">
        <v>99</v>
      </c>
      <c r="H223" t="s">
        <v>102</v>
      </c>
      <c r="I223" t="s">
        <v>104</v>
      </c>
      <c r="J223">
        <v>29943.01</v>
      </c>
      <c r="K223">
        <v>5000000</v>
      </c>
    </row>
    <row r="224" spans="1:11" ht="12.75" customHeight="1" x14ac:dyDescent="0.2">
      <c r="A224" t="s">
        <v>7644</v>
      </c>
      <c r="B224" t="s">
        <v>1160</v>
      </c>
      <c r="C224">
        <v>2023</v>
      </c>
      <c r="D224">
        <v>2023</v>
      </c>
      <c r="E224" s="7">
        <v>45278</v>
      </c>
      <c r="F224" s="7">
        <v>45643</v>
      </c>
      <c r="G224" t="s">
        <v>99</v>
      </c>
      <c r="H224" t="s">
        <v>108</v>
      </c>
      <c r="I224" t="s">
        <v>101</v>
      </c>
      <c r="J224">
        <v>9098.82</v>
      </c>
      <c r="K224">
        <v>1000000</v>
      </c>
    </row>
    <row r="225" spans="1:11" ht="12.75" customHeight="1" x14ac:dyDescent="0.2">
      <c r="A225" t="s">
        <v>7645</v>
      </c>
      <c r="B225" t="s">
        <v>1161</v>
      </c>
      <c r="C225">
        <v>2023</v>
      </c>
      <c r="D225">
        <v>2023</v>
      </c>
      <c r="E225" s="7">
        <v>45278</v>
      </c>
      <c r="F225" s="7">
        <v>45643</v>
      </c>
      <c r="G225" t="s">
        <v>99</v>
      </c>
      <c r="H225" t="s">
        <v>102</v>
      </c>
      <c r="I225" t="s">
        <v>104</v>
      </c>
      <c r="J225">
        <v>8518.56</v>
      </c>
      <c r="K225">
        <v>1500000</v>
      </c>
    </row>
    <row r="226" spans="1:11" ht="12.75" customHeight="1" x14ac:dyDescent="0.2">
      <c r="A226" t="s">
        <v>7646</v>
      </c>
      <c r="B226" t="s">
        <v>7647</v>
      </c>
      <c r="C226">
        <v>2023</v>
      </c>
      <c r="D226">
        <v>2023</v>
      </c>
      <c r="E226" s="7">
        <v>45278</v>
      </c>
      <c r="F226" s="7">
        <v>45643</v>
      </c>
      <c r="G226" t="s">
        <v>99</v>
      </c>
      <c r="H226" t="s">
        <v>102</v>
      </c>
      <c r="I226" t="s">
        <v>101</v>
      </c>
      <c r="J226">
        <v>35678.54</v>
      </c>
      <c r="K226">
        <v>5000000</v>
      </c>
    </row>
    <row r="227" spans="1:11" ht="12.75" customHeight="1" x14ac:dyDescent="0.2">
      <c r="A227" t="s">
        <v>7648</v>
      </c>
      <c r="B227" t="s">
        <v>7649</v>
      </c>
      <c r="C227">
        <v>2023</v>
      </c>
      <c r="D227">
        <v>2023</v>
      </c>
      <c r="E227" s="7">
        <v>45278</v>
      </c>
      <c r="F227" s="7">
        <v>45643</v>
      </c>
      <c r="G227" t="s">
        <v>135</v>
      </c>
      <c r="H227" t="s">
        <v>115</v>
      </c>
      <c r="I227" t="s">
        <v>101</v>
      </c>
      <c r="J227">
        <v>10738.1</v>
      </c>
      <c r="K227">
        <v>1500000</v>
      </c>
    </row>
    <row r="228" spans="1:11" ht="12.75" customHeight="1" x14ac:dyDescent="0.2">
      <c r="A228" t="s">
        <v>7650</v>
      </c>
      <c r="B228" t="s">
        <v>7266</v>
      </c>
      <c r="C228">
        <v>2023</v>
      </c>
      <c r="D228">
        <v>2023</v>
      </c>
      <c r="E228" s="7">
        <v>45278</v>
      </c>
      <c r="F228" s="7">
        <v>45643</v>
      </c>
      <c r="G228" t="s">
        <v>135</v>
      </c>
      <c r="H228" t="s">
        <v>102</v>
      </c>
      <c r="I228" t="s">
        <v>104</v>
      </c>
      <c r="J228">
        <v>51879.37</v>
      </c>
      <c r="K228">
        <v>10000000</v>
      </c>
    </row>
    <row r="229" spans="1:11" ht="12.75" customHeight="1" x14ac:dyDescent="0.2">
      <c r="A229" t="s">
        <v>7651</v>
      </c>
      <c r="B229" t="s">
        <v>7652</v>
      </c>
      <c r="C229">
        <v>2023</v>
      </c>
      <c r="D229">
        <v>2023</v>
      </c>
      <c r="E229" s="7">
        <v>45278</v>
      </c>
      <c r="F229" s="7">
        <v>45643</v>
      </c>
      <c r="G229" t="s">
        <v>135</v>
      </c>
      <c r="H229" t="s">
        <v>102</v>
      </c>
      <c r="I229" t="s">
        <v>104</v>
      </c>
      <c r="J229">
        <v>11146.67</v>
      </c>
      <c r="K229">
        <v>2000000</v>
      </c>
    </row>
    <row r="230" spans="1:11" ht="12.75" customHeight="1" x14ac:dyDescent="0.2">
      <c r="A230" t="s">
        <v>7653</v>
      </c>
      <c r="B230" t="s">
        <v>7654</v>
      </c>
      <c r="C230">
        <v>2023</v>
      </c>
      <c r="D230">
        <v>2023</v>
      </c>
      <c r="E230" s="7">
        <v>45278</v>
      </c>
      <c r="F230" s="7">
        <v>45643</v>
      </c>
      <c r="G230" t="s">
        <v>135</v>
      </c>
      <c r="H230" t="s">
        <v>109</v>
      </c>
      <c r="I230" t="s">
        <v>104</v>
      </c>
      <c r="J230">
        <v>5582.41</v>
      </c>
      <c r="K230">
        <v>1000000</v>
      </c>
    </row>
    <row r="231" spans="1:11" ht="12.75" customHeight="1" x14ac:dyDescent="0.2">
      <c r="A231" t="s">
        <v>7655</v>
      </c>
      <c r="B231" t="s">
        <v>7656</v>
      </c>
      <c r="C231">
        <v>2023</v>
      </c>
      <c r="D231">
        <v>2023</v>
      </c>
      <c r="E231" s="7">
        <v>45278</v>
      </c>
      <c r="F231" s="7">
        <v>45643</v>
      </c>
      <c r="G231" t="s">
        <v>135</v>
      </c>
      <c r="H231" t="s">
        <v>110</v>
      </c>
      <c r="I231" t="s">
        <v>101</v>
      </c>
      <c r="J231">
        <v>14235.29</v>
      </c>
      <c r="K231">
        <v>1500000</v>
      </c>
    </row>
    <row r="232" spans="1:11" ht="12.75" customHeight="1" x14ac:dyDescent="0.2">
      <c r="A232" t="s">
        <v>7657</v>
      </c>
      <c r="B232" t="s">
        <v>7658</v>
      </c>
      <c r="C232">
        <v>2023</v>
      </c>
      <c r="D232">
        <v>2023</v>
      </c>
      <c r="E232" s="7">
        <v>45278</v>
      </c>
      <c r="F232" s="7">
        <v>45643</v>
      </c>
      <c r="G232" t="s">
        <v>135</v>
      </c>
      <c r="H232" t="s">
        <v>108</v>
      </c>
      <c r="I232" t="s">
        <v>101</v>
      </c>
      <c r="J232">
        <v>8885.91</v>
      </c>
      <c r="K232">
        <v>1000000</v>
      </c>
    </row>
    <row r="233" spans="1:11" ht="12.75" customHeight="1" x14ac:dyDescent="0.2">
      <c r="A233" t="s">
        <v>7659</v>
      </c>
      <c r="B233" t="s">
        <v>7660</v>
      </c>
      <c r="C233">
        <v>2023</v>
      </c>
      <c r="D233">
        <v>2023</v>
      </c>
      <c r="E233" s="7">
        <v>45278</v>
      </c>
      <c r="F233" s="7">
        <v>45643</v>
      </c>
      <c r="G233" t="s">
        <v>135</v>
      </c>
      <c r="H233" t="s">
        <v>102</v>
      </c>
      <c r="I233" t="s">
        <v>101</v>
      </c>
      <c r="J233">
        <v>9804.01</v>
      </c>
      <c r="K233">
        <v>1500000</v>
      </c>
    </row>
    <row r="234" spans="1:11" ht="12.75" customHeight="1" x14ac:dyDescent="0.2">
      <c r="A234" t="s">
        <v>7661</v>
      </c>
      <c r="B234" t="s">
        <v>1162</v>
      </c>
      <c r="C234">
        <v>2023</v>
      </c>
      <c r="D234">
        <v>2023</v>
      </c>
      <c r="E234" s="7">
        <v>45279</v>
      </c>
      <c r="F234" s="7">
        <v>45644</v>
      </c>
      <c r="G234" t="s">
        <v>99</v>
      </c>
      <c r="H234" t="s">
        <v>108</v>
      </c>
      <c r="I234" t="s">
        <v>104</v>
      </c>
      <c r="J234">
        <v>68218.31</v>
      </c>
      <c r="K234">
        <v>10000000</v>
      </c>
    </row>
    <row r="235" spans="1:11" ht="12.75" customHeight="1" x14ac:dyDescent="0.2">
      <c r="A235" t="s">
        <v>7662</v>
      </c>
      <c r="B235" t="s">
        <v>1163</v>
      </c>
      <c r="C235">
        <v>2023</v>
      </c>
      <c r="D235">
        <v>2023</v>
      </c>
      <c r="E235" s="7">
        <v>45279</v>
      </c>
      <c r="F235" s="7">
        <v>45644</v>
      </c>
      <c r="G235" t="s">
        <v>99</v>
      </c>
      <c r="H235" t="s">
        <v>113</v>
      </c>
      <c r="I235" t="s">
        <v>101</v>
      </c>
      <c r="J235">
        <v>9666.49</v>
      </c>
      <c r="K235">
        <v>1500000</v>
      </c>
    </row>
    <row r="236" spans="1:11" ht="12.75" customHeight="1" x14ac:dyDescent="0.2">
      <c r="A236" t="s">
        <v>7663</v>
      </c>
      <c r="B236" t="s">
        <v>1164</v>
      </c>
      <c r="C236">
        <v>2023</v>
      </c>
      <c r="D236">
        <v>2023</v>
      </c>
      <c r="E236" s="7">
        <v>45279</v>
      </c>
      <c r="F236" s="7">
        <v>45644</v>
      </c>
      <c r="G236" t="s">
        <v>99</v>
      </c>
      <c r="H236" t="s">
        <v>105</v>
      </c>
      <c r="I236" t="s">
        <v>101</v>
      </c>
      <c r="J236">
        <v>10873.16</v>
      </c>
      <c r="K236">
        <v>1500000</v>
      </c>
    </row>
    <row r="237" spans="1:11" ht="12.75" customHeight="1" x14ac:dyDescent="0.2">
      <c r="A237" t="s">
        <v>7664</v>
      </c>
      <c r="B237" t="s">
        <v>7665</v>
      </c>
      <c r="C237">
        <v>2023</v>
      </c>
      <c r="D237">
        <v>2023</v>
      </c>
      <c r="E237" s="7">
        <v>45279</v>
      </c>
      <c r="F237" s="7">
        <v>45644</v>
      </c>
      <c r="G237" t="s">
        <v>135</v>
      </c>
      <c r="H237" t="s">
        <v>103</v>
      </c>
      <c r="I237" t="s">
        <v>101</v>
      </c>
      <c r="J237">
        <v>7745.44</v>
      </c>
      <c r="K237">
        <v>1000000</v>
      </c>
    </row>
    <row r="238" spans="1:11" ht="12.75" customHeight="1" x14ac:dyDescent="0.2">
      <c r="A238" t="s">
        <v>7666</v>
      </c>
      <c r="B238" t="s">
        <v>7238</v>
      </c>
      <c r="C238">
        <v>2023</v>
      </c>
      <c r="D238">
        <v>2023</v>
      </c>
      <c r="E238" s="7">
        <v>45279</v>
      </c>
      <c r="F238" s="7">
        <v>45644</v>
      </c>
      <c r="G238" t="s">
        <v>135</v>
      </c>
      <c r="H238" t="s">
        <v>108</v>
      </c>
      <c r="I238" t="s">
        <v>101</v>
      </c>
      <c r="J238">
        <v>80071.240000000005</v>
      </c>
      <c r="K238">
        <v>10000000</v>
      </c>
    </row>
    <row r="239" spans="1:11" ht="12.75" customHeight="1" x14ac:dyDescent="0.2">
      <c r="A239" t="s">
        <v>7667</v>
      </c>
      <c r="B239" t="s">
        <v>7668</v>
      </c>
      <c r="C239">
        <v>2023</v>
      </c>
      <c r="D239">
        <v>2023</v>
      </c>
      <c r="E239" s="7">
        <v>45279</v>
      </c>
      <c r="F239" s="7">
        <v>45644</v>
      </c>
      <c r="G239" t="s">
        <v>135</v>
      </c>
      <c r="H239" t="s">
        <v>112</v>
      </c>
      <c r="I239" t="s">
        <v>104</v>
      </c>
      <c r="J239">
        <v>9730.7199999999993</v>
      </c>
      <c r="K239">
        <v>1500000</v>
      </c>
    </row>
    <row r="240" spans="1:11" ht="12.75" customHeight="1" x14ac:dyDescent="0.2">
      <c r="A240" t="s">
        <v>7669</v>
      </c>
      <c r="B240" t="s">
        <v>661</v>
      </c>
      <c r="C240">
        <v>2023</v>
      </c>
      <c r="D240">
        <v>2023</v>
      </c>
      <c r="E240" s="7">
        <v>45279</v>
      </c>
      <c r="F240" s="7">
        <v>45644</v>
      </c>
      <c r="G240" t="s">
        <v>135</v>
      </c>
      <c r="H240" t="s">
        <v>106</v>
      </c>
      <c r="I240" t="s">
        <v>104</v>
      </c>
      <c r="J240">
        <v>33546.75</v>
      </c>
      <c r="K240">
        <v>5000000</v>
      </c>
    </row>
    <row r="241" spans="1:11" ht="12.75" customHeight="1" x14ac:dyDescent="0.2">
      <c r="A241" t="s">
        <v>7670</v>
      </c>
      <c r="B241" t="s">
        <v>7671</v>
      </c>
      <c r="C241">
        <v>2023</v>
      </c>
      <c r="D241">
        <v>2023</v>
      </c>
      <c r="E241" s="7">
        <v>45279</v>
      </c>
      <c r="F241" s="7">
        <v>45644</v>
      </c>
      <c r="G241" t="s">
        <v>135</v>
      </c>
      <c r="H241" t="s">
        <v>106</v>
      </c>
      <c r="I241" t="s">
        <v>104</v>
      </c>
      <c r="J241">
        <v>7332.17</v>
      </c>
      <c r="K241">
        <v>1000000</v>
      </c>
    </row>
    <row r="242" spans="1:11" ht="12.75" customHeight="1" x14ac:dyDescent="0.2">
      <c r="A242" t="s">
        <v>7672</v>
      </c>
      <c r="B242" t="s">
        <v>7673</v>
      </c>
      <c r="C242">
        <v>2023</v>
      </c>
      <c r="D242">
        <v>2023</v>
      </c>
      <c r="E242" s="7">
        <v>45279</v>
      </c>
      <c r="F242" s="7">
        <v>45644</v>
      </c>
      <c r="G242" t="s">
        <v>135</v>
      </c>
      <c r="H242" t="s">
        <v>102</v>
      </c>
      <c r="I242" t="s">
        <v>101</v>
      </c>
      <c r="J242">
        <v>15479.12</v>
      </c>
      <c r="K242">
        <v>2000000</v>
      </c>
    </row>
    <row r="243" spans="1:11" ht="12.75" customHeight="1" x14ac:dyDescent="0.2">
      <c r="A243" t="s">
        <v>7674</v>
      </c>
      <c r="B243" t="s">
        <v>7675</v>
      </c>
      <c r="C243">
        <v>2023</v>
      </c>
      <c r="D243">
        <v>2023</v>
      </c>
      <c r="E243" s="7">
        <v>45280</v>
      </c>
      <c r="F243" s="7">
        <v>45645</v>
      </c>
      <c r="G243" t="s">
        <v>135</v>
      </c>
      <c r="H243" t="s">
        <v>100</v>
      </c>
      <c r="I243" t="s">
        <v>101</v>
      </c>
      <c r="J243">
        <v>10546.46</v>
      </c>
      <c r="K243">
        <v>1500000</v>
      </c>
    </row>
    <row r="244" spans="1:11" ht="12.75" customHeight="1" x14ac:dyDescent="0.2">
      <c r="A244" t="s">
        <v>7676</v>
      </c>
      <c r="B244" t="s">
        <v>663</v>
      </c>
      <c r="C244">
        <v>2023</v>
      </c>
      <c r="D244">
        <v>2023</v>
      </c>
      <c r="E244" s="7">
        <v>45280</v>
      </c>
      <c r="F244" s="7">
        <v>45645</v>
      </c>
      <c r="G244" t="s">
        <v>135</v>
      </c>
      <c r="H244" t="s">
        <v>110</v>
      </c>
      <c r="I244" t="s">
        <v>104</v>
      </c>
      <c r="J244">
        <v>10306.35</v>
      </c>
      <c r="K244">
        <v>1500000</v>
      </c>
    </row>
    <row r="245" spans="1:11" ht="12.75" customHeight="1" x14ac:dyDescent="0.2">
      <c r="A245" t="s">
        <v>7677</v>
      </c>
      <c r="B245" t="s">
        <v>7214</v>
      </c>
      <c r="C245">
        <v>2023</v>
      </c>
      <c r="D245">
        <v>2023</v>
      </c>
      <c r="E245" s="7">
        <v>45280</v>
      </c>
      <c r="F245" s="7">
        <v>45645</v>
      </c>
      <c r="G245" t="s">
        <v>135</v>
      </c>
      <c r="H245" t="s">
        <v>6334</v>
      </c>
      <c r="I245" t="s">
        <v>101</v>
      </c>
      <c r="J245">
        <v>7451.27</v>
      </c>
      <c r="K245">
        <v>1000000</v>
      </c>
    </row>
    <row r="246" spans="1:11" ht="12.75" customHeight="1" x14ac:dyDescent="0.2">
      <c r="A246" t="s">
        <v>7678</v>
      </c>
      <c r="B246" t="s">
        <v>421</v>
      </c>
      <c r="C246">
        <v>2023</v>
      </c>
      <c r="D246">
        <v>2023</v>
      </c>
      <c r="E246" s="7">
        <v>45280</v>
      </c>
      <c r="F246" s="7">
        <v>45645</v>
      </c>
      <c r="G246" t="s">
        <v>135</v>
      </c>
      <c r="H246" t="s">
        <v>102</v>
      </c>
      <c r="I246" t="s">
        <v>101</v>
      </c>
      <c r="J246">
        <v>75169</v>
      </c>
      <c r="K246">
        <v>10000000</v>
      </c>
    </row>
    <row r="247" spans="1:11" ht="12.75" customHeight="1" x14ac:dyDescent="0.2">
      <c r="A247" t="s">
        <v>7679</v>
      </c>
      <c r="B247" t="s">
        <v>420</v>
      </c>
      <c r="C247">
        <v>2023</v>
      </c>
      <c r="D247">
        <v>2023</v>
      </c>
      <c r="E247" s="7">
        <v>45280</v>
      </c>
      <c r="F247" s="7">
        <v>45645</v>
      </c>
      <c r="G247" t="s">
        <v>135</v>
      </c>
      <c r="H247" t="s">
        <v>6337</v>
      </c>
      <c r="I247" t="s">
        <v>104</v>
      </c>
      <c r="J247">
        <v>6016.13</v>
      </c>
      <c r="K247">
        <v>1000000</v>
      </c>
    </row>
    <row r="248" spans="1:11" ht="12.75" customHeight="1" x14ac:dyDescent="0.2">
      <c r="A248" t="s">
        <v>7680</v>
      </c>
      <c r="B248" t="s">
        <v>422</v>
      </c>
      <c r="C248">
        <v>2023</v>
      </c>
      <c r="D248">
        <v>2023</v>
      </c>
      <c r="E248" s="7">
        <v>45280</v>
      </c>
      <c r="F248" s="7">
        <v>45645</v>
      </c>
      <c r="G248" t="s">
        <v>135</v>
      </c>
      <c r="H248" t="s">
        <v>107</v>
      </c>
      <c r="I248" t="s">
        <v>104</v>
      </c>
      <c r="J248">
        <v>6143.04</v>
      </c>
      <c r="K248">
        <v>1000000</v>
      </c>
    </row>
    <row r="249" spans="1:11" ht="12.75" customHeight="1" x14ac:dyDescent="0.2">
      <c r="A249" t="s">
        <v>7681</v>
      </c>
      <c r="B249" t="s">
        <v>662</v>
      </c>
      <c r="C249">
        <v>2023</v>
      </c>
      <c r="D249">
        <v>2023</v>
      </c>
      <c r="E249" s="7">
        <v>45280</v>
      </c>
      <c r="F249" s="7">
        <v>45645</v>
      </c>
      <c r="G249" t="s">
        <v>135</v>
      </c>
      <c r="H249" t="s">
        <v>102</v>
      </c>
      <c r="I249" t="s">
        <v>101</v>
      </c>
      <c r="J249">
        <v>14878.98</v>
      </c>
      <c r="K249">
        <v>2000000</v>
      </c>
    </row>
    <row r="250" spans="1:11" ht="12.75" customHeight="1" x14ac:dyDescent="0.2">
      <c r="A250" t="s">
        <v>7682</v>
      </c>
      <c r="B250" t="s">
        <v>7683</v>
      </c>
      <c r="C250">
        <v>2023</v>
      </c>
      <c r="D250">
        <v>2023</v>
      </c>
      <c r="E250" s="7">
        <v>45280</v>
      </c>
      <c r="F250" s="7">
        <v>45645</v>
      </c>
      <c r="G250" t="s">
        <v>135</v>
      </c>
      <c r="H250" t="s">
        <v>105</v>
      </c>
      <c r="I250" t="s">
        <v>104</v>
      </c>
      <c r="J250">
        <v>5714.01</v>
      </c>
      <c r="K250">
        <v>1000000</v>
      </c>
    </row>
    <row r="251" spans="1:11" ht="12.75" customHeight="1" x14ac:dyDescent="0.2">
      <c r="A251" t="s">
        <v>7684</v>
      </c>
      <c r="B251" t="s">
        <v>7685</v>
      </c>
      <c r="C251">
        <v>2023</v>
      </c>
      <c r="D251">
        <v>2023</v>
      </c>
      <c r="E251" s="7">
        <v>45280</v>
      </c>
      <c r="F251" s="7">
        <v>45645</v>
      </c>
      <c r="G251" t="s">
        <v>135</v>
      </c>
      <c r="H251" t="s">
        <v>110</v>
      </c>
      <c r="I251" t="s">
        <v>104</v>
      </c>
      <c r="J251">
        <v>7548.09</v>
      </c>
      <c r="K251">
        <v>1000000</v>
      </c>
    </row>
    <row r="252" spans="1:11" ht="12.75" customHeight="1" x14ac:dyDescent="0.2">
      <c r="A252" t="s">
        <v>7686</v>
      </c>
      <c r="B252" t="s">
        <v>7687</v>
      </c>
      <c r="C252">
        <v>2023</v>
      </c>
      <c r="D252">
        <v>2023</v>
      </c>
      <c r="E252" s="7">
        <v>45280</v>
      </c>
      <c r="F252" s="7">
        <v>45645</v>
      </c>
      <c r="G252" t="s">
        <v>135</v>
      </c>
      <c r="H252" t="s">
        <v>115</v>
      </c>
      <c r="I252" t="s">
        <v>101</v>
      </c>
      <c r="J252">
        <v>3740.24</v>
      </c>
      <c r="K252">
        <v>500000</v>
      </c>
    </row>
    <row r="253" spans="1:11" ht="12.75" customHeight="1" x14ac:dyDescent="0.2">
      <c r="A253" t="s">
        <v>7688</v>
      </c>
      <c r="B253" t="s">
        <v>7689</v>
      </c>
      <c r="C253">
        <v>2023</v>
      </c>
      <c r="D253">
        <v>2023</v>
      </c>
      <c r="E253" s="7">
        <v>45280</v>
      </c>
      <c r="F253" s="7">
        <v>45645</v>
      </c>
      <c r="G253" t="s">
        <v>135</v>
      </c>
      <c r="H253" t="s">
        <v>106</v>
      </c>
      <c r="I253" t="s">
        <v>101</v>
      </c>
      <c r="J253">
        <v>8485.7800000000007</v>
      </c>
      <c r="K253">
        <v>1000000</v>
      </c>
    </row>
    <row r="254" spans="1:11" ht="12.75" customHeight="1" x14ac:dyDescent="0.2">
      <c r="A254" t="s">
        <v>7690</v>
      </c>
      <c r="B254" t="s">
        <v>1165</v>
      </c>
      <c r="C254">
        <v>2023</v>
      </c>
      <c r="D254">
        <v>2023</v>
      </c>
      <c r="E254" s="7">
        <v>45281</v>
      </c>
      <c r="F254" s="7">
        <v>45646</v>
      </c>
      <c r="G254" t="s">
        <v>99</v>
      </c>
      <c r="H254" t="s">
        <v>6337</v>
      </c>
      <c r="I254" t="s">
        <v>101</v>
      </c>
      <c r="J254">
        <v>6564.24</v>
      </c>
      <c r="K254">
        <v>1000000</v>
      </c>
    </row>
    <row r="255" spans="1:11" ht="12.75" customHeight="1" x14ac:dyDescent="0.2">
      <c r="A255" t="s">
        <v>7691</v>
      </c>
      <c r="B255" t="s">
        <v>7212</v>
      </c>
      <c r="C255">
        <v>2023</v>
      </c>
      <c r="D255">
        <v>2023</v>
      </c>
      <c r="E255" s="7">
        <v>45281</v>
      </c>
      <c r="F255" s="7">
        <v>45646</v>
      </c>
      <c r="G255" t="s">
        <v>99</v>
      </c>
      <c r="H255" t="s">
        <v>115</v>
      </c>
      <c r="I255" t="s">
        <v>101</v>
      </c>
      <c r="J255">
        <v>9712.02</v>
      </c>
      <c r="K255">
        <v>1500000</v>
      </c>
    </row>
    <row r="256" spans="1:11" ht="12.75" customHeight="1" x14ac:dyDescent="0.2">
      <c r="A256" t="s">
        <v>7692</v>
      </c>
      <c r="B256" t="s">
        <v>7693</v>
      </c>
      <c r="C256">
        <v>2023</v>
      </c>
      <c r="D256">
        <v>2023</v>
      </c>
      <c r="E256" s="7">
        <v>45281</v>
      </c>
      <c r="F256" s="7">
        <v>45646</v>
      </c>
      <c r="G256" t="s">
        <v>99</v>
      </c>
      <c r="H256" t="s">
        <v>112</v>
      </c>
      <c r="I256" t="s">
        <v>104</v>
      </c>
      <c r="J256">
        <v>68763.789999999994</v>
      </c>
      <c r="K256">
        <v>10000000</v>
      </c>
    </row>
    <row r="257" spans="1:11" ht="12.75" customHeight="1" x14ac:dyDescent="0.2">
      <c r="A257" t="s">
        <v>7694</v>
      </c>
      <c r="B257" t="s">
        <v>7695</v>
      </c>
      <c r="C257">
        <v>2023</v>
      </c>
      <c r="D257">
        <v>2023</v>
      </c>
      <c r="E257" s="7">
        <v>45281</v>
      </c>
      <c r="F257" s="7">
        <v>45646</v>
      </c>
      <c r="G257" t="s">
        <v>135</v>
      </c>
      <c r="H257" t="s">
        <v>108</v>
      </c>
      <c r="I257" t="s">
        <v>101</v>
      </c>
      <c r="J257">
        <v>8305.18</v>
      </c>
      <c r="K257">
        <v>1000000</v>
      </c>
    </row>
    <row r="258" spans="1:11" ht="12.75" customHeight="1" x14ac:dyDescent="0.2">
      <c r="A258" t="s">
        <v>7696</v>
      </c>
      <c r="B258" t="s">
        <v>7697</v>
      </c>
      <c r="C258">
        <v>2023</v>
      </c>
      <c r="D258">
        <v>2023</v>
      </c>
      <c r="E258" s="7">
        <v>45281</v>
      </c>
      <c r="F258" s="7">
        <v>45646</v>
      </c>
      <c r="G258" t="s">
        <v>135</v>
      </c>
      <c r="H258" t="s">
        <v>106</v>
      </c>
      <c r="I258" t="s">
        <v>104</v>
      </c>
      <c r="J258">
        <v>6843.97</v>
      </c>
      <c r="K258">
        <v>1000000</v>
      </c>
    </row>
    <row r="259" spans="1:11" ht="12.75" customHeight="1" x14ac:dyDescent="0.2">
      <c r="A259" t="s">
        <v>7698</v>
      </c>
      <c r="B259" t="s">
        <v>7699</v>
      </c>
      <c r="C259">
        <v>2023</v>
      </c>
      <c r="D259">
        <v>2023</v>
      </c>
      <c r="E259" s="7">
        <v>45281</v>
      </c>
      <c r="F259" s="7">
        <v>45646</v>
      </c>
      <c r="G259" t="s">
        <v>135</v>
      </c>
      <c r="H259" t="s">
        <v>6332</v>
      </c>
      <c r="I259" t="s">
        <v>104</v>
      </c>
      <c r="J259">
        <v>2918.76</v>
      </c>
      <c r="K259">
        <v>500000</v>
      </c>
    </row>
    <row r="260" spans="1:11" ht="12.75" customHeight="1" x14ac:dyDescent="0.2">
      <c r="A260" t="s">
        <v>7700</v>
      </c>
      <c r="B260" t="s">
        <v>7228</v>
      </c>
      <c r="C260">
        <v>2023</v>
      </c>
      <c r="D260">
        <v>2023</v>
      </c>
      <c r="E260" s="7">
        <v>45281</v>
      </c>
      <c r="F260" s="7">
        <v>45646</v>
      </c>
      <c r="G260" t="s">
        <v>135</v>
      </c>
      <c r="H260" t="s">
        <v>111</v>
      </c>
      <c r="I260" t="s">
        <v>104</v>
      </c>
      <c r="J260">
        <v>5290.53</v>
      </c>
      <c r="K260">
        <v>1000000</v>
      </c>
    </row>
    <row r="261" spans="1:11" ht="12.75" customHeight="1" x14ac:dyDescent="0.2">
      <c r="A261" t="s">
        <v>1183</v>
      </c>
      <c r="B261" t="s">
        <v>7701</v>
      </c>
      <c r="C261">
        <v>2023</v>
      </c>
      <c r="D261">
        <v>2023</v>
      </c>
      <c r="E261" s="7">
        <v>45281</v>
      </c>
      <c r="F261" s="7">
        <v>45646</v>
      </c>
      <c r="G261" t="s">
        <v>135</v>
      </c>
      <c r="H261" t="s">
        <v>106</v>
      </c>
      <c r="I261" t="s">
        <v>104</v>
      </c>
      <c r="J261">
        <v>3674.09</v>
      </c>
      <c r="K261">
        <v>500000</v>
      </c>
    </row>
    <row r="262" spans="1:11" ht="12.75" customHeight="1" x14ac:dyDescent="0.2">
      <c r="A262" t="s">
        <v>7702</v>
      </c>
      <c r="B262" t="s">
        <v>7703</v>
      </c>
      <c r="C262">
        <v>2023</v>
      </c>
      <c r="D262">
        <v>2023</v>
      </c>
      <c r="E262" s="7">
        <v>45281</v>
      </c>
      <c r="F262" s="7">
        <v>45646</v>
      </c>
      <c r="G262" t="s">
        <v>135</v>
      </c>
      <c r="H262" t="s">
        <v>106</v>
      </c>
      <c r="I262" t="s">
        <v>104</v>
      </c>
      <c r="J262">
        <v>6408.77</v>
      </c>
      <c r="K262">
        <v>1000000</v>
      </c>
    </row>
    <row r="263" spans="1:11" ht="12.75" customHeight="1" x14ac:dyDescent="0.2">
      <c r="A263" t="s">
        <v>7704</v>
      </c>
      <c r="B263" t="s">
        <v>7705</v>
      </c>
      <c r="C263">
        <v>2023</v>
      </c>
      <c r="D263">
        <v>2023</v>
      </c>
      <c r="E263" s="7">
        <v>45281</v>
      </c>
      <c r="F263" s="7">
        <v>45646</v>
      </c>
      <c r="G263" t="s">
        <v>135</v>
      </c>
      <c r="H263" t="s">
        <v>108</v>
      </c>
      <c r="I263" t="s">
        <v>104</v>
      </c>
      <c r="J263">
        <v>11689.45</v>
      </c>
      <c r="K263">
        <v>1500000</v>
      </c>
    </row>
    <row r="264" spans="1:11" ht="12.75" customHeight="1" x14ac:dyDescent="0.2">
      <c r="A264" t="s">
        <v>7706</v>
      </c>
      <c r="B264" t="s">
        <v>7707</v>
      </c>
      <c r="C264">
        <v>2023</v>
      </c>
      <c r="D264">
        <v>2023</v>
      </c>
      <c r="E264" s="7">
        <v>45281</v>
      </c>
      <c r="F264" s="7">
        <v>45646</v>
      </c>
      <c r="G264" t="s">
        <v>135</v>
      </c>
      <c r="H264" t="s">
        <v>115</v>
      </c>
      <c r="I264" t="s">
        <v>104</v>
      </c>
      <c r="J264">
        <v>5725.81</v>
      </c>
      <c r="K264">
        <v>1000000</v>
      </c>
    </row>
    <row r="265" spans="1:11" ht="12.75" customHeight="1" x14ac:dyDescent="0.2">
      <c r="A265" t="s">
        <v>7708</v>
      </c>
      <c r="B265" t="s">
        <v>7709</v>
      </c>
      <c r="C265">
        <v>2023</v>
      </c>
      <c r="D265">
        <v>2023</v>
      </c>
      <c r="E265" s="7">
        <v>45281</v>
      </c>
      <c r="F265" s="7">
        <v>45646</v>
      </c>
      <c r="G265" t="s">
        <v>135</v>
      </c>
      <c r="H265" t="s">
        <v>105</v>
      </c>
      <c r="I265" t="s">
        <v>101</v>
      </c>
      <c r="J265">
        <v>10370.620000000001</v>
      </c>
      <c r="K265">
        <v>1500000</v>
      </c>
    </row>
    <row r="266" spans="1:11" ht="12.75" customHeight="1" x14ac:dyDescent="0.2">
      <c r="A266" t="s">
        <v>7710</v>
      </c>
      <c r="B266" t="s">
        <v>7711</v>
      </c>
      <c r="C266">
        <v>2023</v>
      </c>
      <c r="D266">
        <v>2023</v>
      </c>
      <c r="E266" s="7">
        <v>45281</v>
      </c>
      <c r="F266" s="7">
        <v>45646</v>
      </c>
      <c r="G266" t="s">
        <v>135</v>
      </c>
      <c r="H266" t="s">
        <v>115</v>
      </c>
      <c r="I266" t="s">
        <v>101</v>
      </c>
      <c r="J266">
        <v>15412.52</v>
      </c>
      <c r="K266">
        <v>2000000</v>
      </c>
    </row>
    <row r="267" spans="1:11" ht="12.75" customHeight="1" x14ac:dyDescent="0.2">
      <c r="A267" t="s">
        <v>7712</v>
      </c>
      <c r="B267" t="s">
        <v>7713</v>
      </c>
      <c r="C267">
        <v>2023</v>
      </c>
      <c r="D267">
        <v>2023</v>
      </c>
      <c r="E267" s="7">
        <v>45281</v>
      </c>
      <c r="F267" s="7">
        <v>45646</v>
      </c>
      <c r="G267" t="s">
        <v>135</v>
      </c>
      <c r="H267" t="s">
        <v>115</v>
      </c>
      <c r="I267" t="s">
        <v>104</v>
      </c>
      <c r="J267">
        <v>5751.91</v>
      </c>
      <c r="K267">
        <v>1000000</v>
      </c>
    </row>
    <row r="268" spans="1:11" ht="12.75" customHeight="1" x14ac:dyDescent="0.2">
      <c r="A268" t="s">
        <v>7714</v>
      </c>
      <c r="B268" t="s">
        <v>1166</v>
      </c>
      <c r="C268">
        <v>2023</v>
      </c>
      <c r="D268">
        <v>2023</v>
      </c>
      <c r="E268" s="7">
        <v>45282</v>
      </c>
      <c r="F268" s="7">
        <v>45647</v>
      </c>
      <c r="G268" t="s">
        <v>99</v>
      </c>
      <c r="H268" t="s">
        <v>108</v>
      </c>
      <c r="I268" t="s">
        <v>104</v>
      </c>
      <c r="J268">
        <v>11373.41</v>
      </c>
      <c r="K268">
        <v>1500000</v>
      </c>
    </row>
    <row r="269" spans="1:11" ht="12.75" customHeight="1" x14ac:dyDescent="0.2">
      <c r="A269" t="s">
        <v>7715</v>
      </c>
      <c r="B269" t="s">
        <v>7210</v>
      </c>
      <c r="C269">
        <v>2023</v>
      </c>
      <c r="D269">
        <v>2023</v>
      </c>
      <c r="E269" s="7">
        <v>45282</v>
      </c>
      <c r="F269" s="7">
        <v>45647</v>
      </c>
      <c r="G269" t="s">
        <v>99</v>
      </c>
      <c r="H269" t="s">
        <v>102</v>
      </c>
      <c r="I269" t="s">
        <v>101</v>
      </c>
      <c r="J269">
        <v>7484.5</v>
      </c>
      <c r="K269">
        <v>1000000</v>
      </c>
    </row>
    <row r="270" spans="1:11" ht="12.75" customHeight="1" x14ac:dyDescent="0.2">
      <c r="A270" t="s">
        <v>7716</v>
      </c>
      <c r="B270" t="s">
        <v>1167</v>
      </c>
      <c r="C270">
        <v>2023</v>
      </c>
      <c r="D270">
        <v>2023</v>
      </c>
      <c r="E270" s="7">
        <v>45282</v>
      </c>
      <c r="F270" s="7">
        <v>45647</v>
      </c>
      <c r="G270" t="s">
        <v>99</v>
      </c>
      <c r="H270" t="s">
        <v>106</v>
      </c>
      <c r="I270" t="s">
        <v>104</v>
      </c>
      <c r="J270">
        <v>11012.79</v>
      </c>
      <c r="K270">
        <v>1500000</v>
      </c>
    </row>
    <row r="271" spans="1:11" ht="12.75" customHeight="1" x14ac:dyDescent="0.2">
      <c r="A271" t="s">
        <v>7717</v>
      </c>
      <c r="B271" t="s">
        <v>7718</v>
      </c>
      <c r="C271">
        <v>2023</v>
      </c>
      <c r="D271">
        <v>2023</v>
      </c>
      <c r="E271" s="7">
        <v>45282</v>
      </c>
      <c r="F271" s="7">
        <v>45647</v>
      </c>
      <c r="G271" t="s">
        <v>135</v>
      </c>
      <c r="H271" t="s">
        <v>102</v>
      </c>
      <c r="I271" t="s">
        <v>104</v>
      </c>
      <c r="J271">
        <v>8353.07</v>
      </c>
      <c r="K271">
        <v>1500000</v>
      </c>
    </row>
    <row r="272" spans="1:11" ht="12.75" customHeight="1" x14ac:dyDescent="0.2">
      <c r="A272" t="s">
        <v>7719</v>
      </c>
      <c r="B272" t="s">
        <v>7720</v>
      </c>
      <c r="C272">
        <v>2023</v>
      </c>
      <c r="D272">
        <v>2023</v>
      </c>
      <c r="E272" s="7">
        <v>45282</v>
      </c>
      <c r="F272" s="7">
        <v>45647</v>
      </c>
      <c r="G272" t="s">
        <v>135</v>
      </c>
      <c r="H272" t="s">
        <v>106</v>
      </c>
      <c r="I272" t="s">
        <v>101</v>
      </c>
      <c r="J272">
        <v>4085.79</v>
      </c>
      <c r="K272">
        <v>500000</v>
      </c>
    </row>
    <row r="273" spans="1:11" ht="12.75" customHeight="1" x14ac:dyDescent="0.2">
      <c r="A273" t="s">
        <v>1184</v>
      </c>
      <c r="B273" t="s">
        <v>7721</v>
      </c>
      <c r="C273">
        <v>2023</v>
      </c>
      <c r="D273">
        <v>2023</v>
      </c>
      <c r="E273" s="7">
        <v>45282</v>
      </c>
      <c r="F273" s="7">
        <v>45647</v>
      </c>
      <c r="G273" t="s">
        <v>135</v>
      </c>
      <c r="H273" t="s">
        <v>103</v>
      </c>
      <c r="I273" t="s">
        <v>101</v>
      </c>
      <c r="J273">
        <v>67481.350000000006</v>
      </c>
      <c r="K273">
        <v>10000000</v>
      </c>
    </row>
    <row r="274" spans="1:11" ht="12.75" customHeight="1" x14ac:dyDescent="0.2">
      <c r="A274" t="s">
        <v>7722</v>
      </c>
      <c r="B274" t="s">
        <v>7723</v>
      </c>
      <c r="C274">
        <v>2023</v>
      </c>
      <c r="D274">
        <v>2023</v>
      </c>
      <c r="E274" s="7">
        <v>45282</v>
      </c>
      <c r="F274" s="7">
        <v>45647</v>
      </c>
      <c r="G274" t="s">
        <v>135</v>
      </c>
      <c r="H274" t="s">
        <v>103</v>
      </c>
      <c r="I274" t="s">
        <v>101</v>
      </c>
      <c r="J274">
        <v>6937.37</v>
      </c>
      <c r="K274">
        <v>1000000</v>
      </c>
    </row>
    <row r="275" spans="1:11" ht="12.75" customHeight="1" x14ac:dyDescent="0.2">
      <c r="A275" t="s">
        <v>7724</v>
      </c>
      <c r="B275" t="s">
        <v>7725</v>
      </c>
      <c r="C275">
        <v>2023</v>
      </c>
      <c r="D275">
        <v>2023</v>
      </c>
      <c r="E275" s="7">
        <v>45282</v>
      </c>
      <c r="F275" s="7">
        <v>45647</v>
      </c>
      <c r="G275" t="s">
        <v>135</v>
      </c>
      <c r="H275" t="s">
        <v>102</v>
      </c>
      <c r="I275" t="s">
        <v>101</v>
      </c>
      <c r="J275">
        <v>74972.08</v>
      </c>
      <c r="K275">
        <v>10000000</v>
      </c>
    </row>
    <row r="276" spans="1:11" ht="12.75" customHeight="1" x14ac:dyDescent="0.2">
      <c r="A276" t="s">
        <v>7726</v>
      </c>
      <c r="B276" t="s">
        <v>7727</v>
      </c>
      <c r="C276">
        <v>2023</v>
      </c>
      <c r="D276">
        <v>2023</v>
      </c>
      <c r="E276" s="7">
        <v>45282</v>
      </c>
      <c r="F276" s="7">
        <v>45647</v>
      </c>
      <c r="G276" t="s">
        <v>135</v>
      </c>
      <c r="H276" t="s">
        <v>109</v>
      </c>
      <c r="I276" t="s">
        <v>101</v>
      </c>
      <c r="J276">
        <v>6649.15</v>
      </c>
      <c r="K276">
        <v>1000000</v>
      </c>
    </row>
    <row r="277" spans="1:11" ht="12.75" customHeight="1" x14ac:dyDescent="0.2">
      <c r="A277" t="s">
        <v>7728</v>
      </c>
      <c r="B277" t="s">
        <v>7729</v>
      </c>
      <c r="C277">
        <v>2023</v>
      </c>
      <c r="D277">
        <v>2023</v>
      </c>
      <c r="E277" s="7">
        <v>45282</v>
      </c>
      <c r="F277" s="7">
        <v>45647</v>
      </c>
      <c r="G277" t="s">
        <v>135</v>
      </c>
      <c r="H277" t="s">
        <v>106</v>
      </c>
      <c r="I277" t="s">
        <v>101</v>
      </c>
      <c r="J277">
        <v>9048.25</v>
      </c>
      <c r="K277">
        <v>1000000</v>
      </c>
    </row>
    <row r="278" spans="1:11" ht="12.75" customHeight="1" x14ac:dyDescent="0.2">
      <c r="A278" t="s">
        <v>7730</v>
      </c>
      <c r="B278" t="s">
        <v>7731</v>
      </c>
      <c r="C278">
        <v>2023</v>
      </c>
      <c r="D278">
        <v>2023</v>
      </c>
      <c r="E278" s="7">
        <v>45282</v>
      </c>
      <c r="F278" s="7">
        <v>45647</v>
      </c>
      <c r="G278" t="s">
        <v>135</v>
      </c>
      <c r="H278" t="s">
        <v>116</v>
      </c>
      <c r="I278" t="s">
        <v>104</v>
      </c>
      <c r="J278">
        <v>30395.43</v>
      </c>
      <c r="K278">
        <v>5000000</v>
      </c>
    </row>
    <row r="279" spans="1:11" ht="12.75" customHeight="1" x14ac:dyDescent="0.2">
      <c r="A279" t="s">
        <v>7732</v>
      </c>
      <c r="B279" t="s">
        <v>423</v>
      </c>
      <c r="C279">
        <v>2023</v>
      </c>
      <c r="D279">
        <v>2023</v>
      </c>
      <c r="E279" s="7">
        <v>45282</v>
      </c>
      <c r="F279" s="7">
        <v>45647</v>
      </c>
      <c r="G279" t="s">
        <v>135</v>
      </c>
      <c r="H279" t="s">
        <v>106</v>
      </c>
      <c r="I279" t="s">
        <v>101</v>
      </c>
      <c r="J279">
        <v>17429.48</v>
      </c>
      <c r="K279">
        <v>2000000</v>
      </c>
    </row>
    <row r="280" spans="1:11" ht="12.75" customHeight="1" x14ac:dyDescent="0.2">
      <c r="A280" t="s">
        <v>7733</v>
      </c>
      <c r="B280" t="s">
        <v>7145</v>
      </c>
      <c r="C280">
        <v>2023</v>
      </c>
      <c r="D280">
        <v>2023</v>
      </c>
      <c r="E280" s="7">
        <v>45282</v>
      </c>
      <c r="F280" s="7">
        <v>45647</v>
      </c>
      <c r="G280" t="s">
        <v>135</v>
      </c>
      <c r="H280" t="s">
        <v>102</v>
      </c>
      <c r="I280" t="s">
        <v>104</v>
      </c>
      <c r="J280">
        <v>12505.55</v>
      </c>
      <c r="K280">
        <v>2000000</v>
      </c>
    </row>
    <row r="281" spans="1:11" ht="12.75" customHeight="1" x14ac:dyDescent="0.2">
      <c r="A281" t="s">
        <v>7734</v>
      </c>
      <c r="B281" t="s">
        <v>7735</v>
      </c>
      <c r="C281">
        <v>2023</v>
      </c>
      <c r="D281">
        <v>2023</v>
      </c>
      <c r="E281" s="7">
        <v>45282</v>
      </c>
      <c r="F281" s="7">
        <v>45647</v>
      </c>
      <c r="G281" t="s">
        <v>135</v>
      </c>
      <c r="H281" t="s">
        <v>106</v>
      </c>
      <c r="I281" t="s">
        <v>101</v>
      </c>
      <c r="J281">
        <v>91133.67</v>
      </c>
      <c r="K281">
        <v>10000000</v>
      </c>
    </row>
    <row r="282" spans="1:11" ht="12.75" customHeight="1" x14ac:dyDescent="0.2">
      <c r="A282" t="s">
        <v>7736</v>
      </c>
      <c r="B282" t="s">
        <v>7737</v>
      </c>
      <c r="C282">
        <v>2023</v>
      </c>
      <c r="D282">
        <v>2023</v>
      </c>
      <c r="E282" s="7">
        <v>45283</v>
      </c>
      <c r="F282" s="7">
        <v>45648</v>
      </c>
      <c r="G282" t="s">
        <v>99</v>
      </c>
      <c r="H282" t="s">
        <v>102</v>
      </c>
      <c r="I282" t="s">
        <v>101</v>
      </c>
      <c r="J282">
        <v>7780.54</v>
      </c>
      <c r="K282">
        <v>1000000</v>
      </c>
    </row>
    <row r="283" spans="1:11" ht="12.75" customHeight="1" x14ac:dyDescent="0.2">
      <c r="A283" t="s">
        <v>7738</v>
      </c>
      <c r="B283" t="s">
        <v>7216</v>
      </c>
      <c r="C283">
        <v>2023</v>
      </c>
      <c r="D283">
        <v>2023</v>
      </c>
      <c r="E283" s="7">
        <v>45283</v>
      </c>
      <c r="F283" s="7">
        <v>45648</v>
      </c>
      <c r="G283" t="s">
        <v>99</v>
      </c>
      <c r="H283" t="s">
        <v>6348</v>
      </c>
      <c r="I283" t="s">
        <v>101</v>
      </c>
      <c r="J283">
        <v>34045.47</v>
      </c>
      <c r="K283">
        <v>5000000</v>
      </c>
    </row>
    <row r="284" spans="1:11" ht="12.75" customHeight="1" x14ac:dyDescent="0.2">
      <c r="A284" t="s">
        <v>7739</v>
      </c>
      <c r="B284" t="s">
        <v>1168</v>
      </c>
      <c r="C284">
        <v>2023</v>
      </c>
      <c r="D284">
        <v>2023</v>
      </c>
      <c r="E284" s="7">
        <v>45283</v>
      </c>
      <c r="F284" s="7">
        <v>45648</v>
      </c>
      <c r="G284" t="s">
        <v>99</v>
      </c>
      <c r="H284" t="s">
        <v>107</v>
      </c>
      <c r="I284" t="s">
        <v>101</v>
      </c>
      <c r="J284">
        <v>32966.19</v>
      </c>
      <c r="K284">
        <v>5000000</v>
      </c>
    </row>
    <row r="285" spans="1:11" ht="12.75" customHeight="1" x14ac:dyDescent="0.2">
      <c r="A285" t="s">
        <v>7740</v>
      </c>
      <c r="B285" t="s">
        <v>7741</v>
      </c>
      <c r="C285">
        <v>2023</v>
      </c>
      <c r="D285">
        <v>2023</v>
      </c>
      <c r="E285" s="7">
        <v>45283</v>
      </c>
      <c r="F285" s="7">
        <v>45648</v>
      </c>
      <c r="G285" t="s">
        <v>135</v>
      </c>
      <c r="H285" t="s">
        <v>109</v>
      </c>
      <c r="I285" t="s">
        <v>101</v>
      </c>
      <c r="J285">
        <v>15421.12</v>
      </c>
      <c r="K285">
        <v>2000000</v>
      </c>
    </row>
    <row r="286" spans="1:11" ht="12.75" customHeight="1" x14ac:dyDescent="0.2">
      <c r="A286" t="s">
        <v>7742</v>
      </c>
      <c r="B286" t="s">
        <v>7150</v>
      </c>
      <c r="C286">
        <v>2023</v>
      </c>
      <c r="D286">
        <v>2023</v>
      </c>
      <c r="E286" s="7">
        <v>45283</v>
      </c>
      <c r="F286" s="7">
        <v>45648</v>
      </c>
      <c r="G286" t="s">
        <v>135</v>
      </c>
      <c r="H286" t="s">
        <v>105</v>
      </c>
      <c r="I286" t="s">
        <v>101</v>
      </c>
      <c r="J286">
        <v>7607.86</v>
      </c>
      <c r="K286">
        <v>1000000</v>
      </c>
    </row>
    <row r="287" spans="1:11" ht="12.75" customHeight="1" x14ac:dyDescent="0.2">
      <c r="A287" t="s">
        <v>7743</v>
      </c>
      <c r="B287" t="s">
        <v>664</v>
      </c>
      <c r="C287">
        <v>2023</v>
      </c>
      <c r="D287">
        <v>2023</v>
      </c>
      <c r="E287" s="7">
        <v>45283</v>
      </c>
      <c r="F287" s="7">
        <v>45648</v>
      </c>
      <c r="G287" t="s">
        <v>135</v>
      </c>
      <c r="H287" t="s">
        <v>110</v>
      </c>
      <c r="I287" t="s">
        <v>101</v>
      </c>
      <c r="J287">
        <v>14532.67</v>
      </c>
      <c r="K287">
        <v>1500000</v>
      </c>
    </row>
    <row r="288" spans="1:11" ht="12.75" customHeight="1" x14ac:dyDescent="0.2">
      <c r="A288" t="s">
        <v>7744</v>
      </c>
      <c r="B288" t="s">
        <v>7745</v>
      </c>
      <c r="C288">
        <v>2023</v>
      </c>
      <c r="D288">
        <v>2023</v>
      </c>
      <c r="E288" s="7">
        <v>45283</v>
      </c>
      <c r="F288" s="7">
        <v>45648</v>
      </c>
      <c r="G288" t="s">
        <v>135</v>
      </c>
      <c r="H288" t="s">
        <v>112</v>
      </c>
      <c r="I288" t="s">
        <v>104</v>
      </c>
      <c r="J288">
        <v>14858.84</v>
      </c>
      <c r="K288">
        <v>2000000</v>
      </c>
    </row>
    <row r="289" spans="1:11" ht="12.75" customHeight="1" x14ac:dyDescent="0.2">
      <c r="A289" t="s">
        <v>7746</v>
      </c>
      <c r="B289" t="s">
        <v>7747</v>
      </c>
      <c r="C289">
        <v>2023</v>
      </c>
      <c r="D289">
        <v>2023</v>
      </c>
      <c r="E289" s="7">
        <v>45283</v>
      </c>
      <c r="F289" s="7">
        <v>45648</v>
      </c>
      <c r="G289" t="s">
        <v>135</v>
      </c>
      <c r="H289" t="s">
        <v>102</v>
      </c>
      <c r="I289" t="s">
        <v>101</v>
      </c>
      <c r="J289">
        <v>13169.57</v>
      </c>
      <c r="K289">
        <v>2000000</v>
      </c>
    </row>
    <row r="290" spans="1:11" ht="12.75" customHeight="1" x14ac:dyDescent="0.2">
      <c r="A290" t="s">
        <v>7748</v>
      </c>
      <c r="B290" t="s">
        <v>1169</v>
      </c>
      <c r="C290">
        <v>2023</v>
      </c>
      <c r="D290">
        <v>2023</v>
      </c>
      <c r="E290" s="7">
        <v>45284</v>
      </c>
      <c r="F290" s="7">
        <v>45649</v>
      </c>
      <c r="G290" t="s">
        <v>99</v>
      </c>
      <c r="H290" t="s">
        <v>102</v>
      </c>
      <c r="I290" t="s">
        <v>101</v>
      </c>
      <c r="J290">
        <v>15005.2</v>
      </c>
      <c r="K290">
        <v>2000000</v>
      </c>
    </row>
    <row r="291" spans="1:11" ht="12.75" customHeight="1" x14ac:dyDescent="0.2">
      <c r="A291" t="s">
        <v>7749</v>
      </c>
      <c r="B291" t="s">
        <v>1170</v>
      </c>
      <c r="C291">
        <v>2023</v>
      </c>
      <c r="D291">
        <v>2023</v>
      </c>
      <c r="E291" s="7">
        <v>45284</v>
      </c>
      <c r="F291" s="7">
        <v>45649</v>
      </c>
      <c r="G291" t="s">
        <v>99</v>
      </c>
      <c r="H291" t="s">
        <v>106</v>
      </c>
      <c r="I291" t="s">
        <v>104</v>
      </c>
      <c r="J291">
        <v>15355.94</v>
      </c>
      <c r="K291">
        <v>2000000</v>
      </c>
    </row>
    <row r="292" spans="1:11" ht="12.75" customHeight="1" x14ac:dyDescent="0.2">
      <c r="A292" t="s">
        <v>7750</v>
      </c>
      <c r="B292" t="s">
        <v>7751</v>
      </c>
      <c r="C292">
        <v>2023</v>
      </c>
      <c r="D292">
        <v>2023</v>
      </c>
      <c r="E292" s="7">
        <v>45284</v>
      </c>
      <c r="F292" s="7">
        <v>45649</v>
      </c>
      <c r="G292" t="s">
        <v>135</v>
      </c>
      <c r="H292" t="s">
        <v>102</v>
      </c>
      <c r="I292" t="s">
        <v>104</v>
      </c>
      <c r="J292">
        <v>5838.01</v>
      </c>
      <c r="K292">
        <v>1000000</v>
      </c>
    </row>
    <row r="293" spans="1:11" ht="12.75" customHeight="1" x14ac:dyDescent="0.2">
      <c r="A293" t="s">
        <v>7752</v>
      </c>
      <c r="B293" t="s">
        <v>7753</v>
      </c>
      <c r="C293">
        <v>2023</v>
      </c>
      <c r="D293">
        <v>2023</v>
      </c>
      <c r="E293" s="7">
        <v>45284</v>
      </c>
      <c r="F293" s="7">
        <v>45649</v>
      </c>
      <c r="G293" t="s">
        <v>135</v>
      </c>
      <c r="H293" t="s">
        <v>106</v>
      </c>
      <c r="I293" t="s">
        <v>101</v>
      </c>
      <c r="J293">
        <v>16675.990000000002</v>
      </c>
      <c r="K293">
        <v>2000000</v>
      </c>
    </row>
    <row r="294" spans="1:11" ht="12.75" customHeight="1" x14ac:dyDescent="0.2">
      <c r="A294" t="s">
        <v>7754</v>
      </c>
      <c r="B294" t="s">
        <v>7755</v>
      </c>
      <c r="C294">
        <v>2023</v>
      </c>
      <c r="D294">
        <v>2023</v>
      </c>
      <c r="E294" s="7">
        <v>45284</v>
      </c>
      <c r="F294" s="7">
        <v>45649</v>
      </c>
      <c r="G294" t="s">
        <v>135</v>
      </c>
      <c r="H294" t="s">
        <v>103</v>
      </c>
      <c r="I294" t="s">
        <v>101</v>
      </c>
      <c r="J294">
        <v>35589.440000000002</v>
      </c>
      <c r="K294">
        <v>5000000</v>
      </c>
    </row>
    <row r="295" spans="1:11" ht="12.75" customHeight="1" x14ac:dyDescent="0.2">
      <c r="A295" t="s">
        <v>7756</v>
      </c>
      <c r="B295" t="s">
        <v>7757</v>
      </c>
      <c r="C295">
        <v>2023</v>
      </c>
      <c r="D295">
        <v>2023</v>
      </c>
      <c r="E295" s="7">
        <v>45284</v>
      </c>
      <c r="F295" s="7">
        <v>45649</v>
      </c>
      <c r="G295" t="s">
        <v>135</v>
      </c>
      <c r="H295" t="s">
        <v>113</v>
      </c>
      <c r="I295" t="s">
        <v>104</v>
      </c>
      <c r="J295">
        <v>7772.36</v>
      </c>
      <c r="K295">
        <v>1500000</v>
      </c>
    </row>
    <row r="296" spans="1:11" ht="12.75" customHeight="1" x14ac:dyDescent="0.2">
      <c r="A296" t="s">
        <v>7758</v>
      </c>
      <c r="B296" t="s">
        <v>1171</v>
      </c>
      <c r="C296">
        <v>2023</v>
      </c>
      <c r="D296">
        <v>2023</v>
      </c>
      <c r="E296" s="7">
        <v>45285</v>
      </c>
      <c r="F296" s="7">
        <v>45650</v>
      </c>
      <c r="G296" t="s">
        <v>99</v>
      </c>
      <c r="H296" t="s">
        <v>103</v>
      </c>
      <c r="I296" t="s">
        <v>104</v>
      </c>
      <c r="J296">
        <v>3075.98</v>
      </c>
      <c r="K296">
        <v>500000</v>
      </c>
    </row>
    <row r="297" spans="1:11" ht="12.75" customHeight="1" x14ac:dyDescent="0.2">
      <c r="A297" t="s">
        <v>7759</v>
      </c>
      <c r="B297" t="s">
        <v>7222</v>
      </c>
      <c r="C297">
        <v>2023</v>
      </c>
      <c r="D297">
        <v>2023</v>
      </c>
      <c r="E297" s="7">
        <v>45285</v>
      </c>
      <c r="F297" s="7">
        <v>45650</v>
      </c>
      <c r="G297" t="s">
        <v>99</v>
      </c>
      <c r="H297" t="s">
        <v>102</v>
      </c>
      <c r="I297" t="s">
        <v>104</v>
      </c>
      <c r="J297">
        <v>6154.07</v>
      </c>
      <c r="K297">
        <v>1000000</v>
      </c>
    </row>
    <row r="298" spans="1:11" ht="12.75" customHeight="1" x14ac:dyDescent="0.2">
      <c r="A298" t="s">
        <v>7760</v>
      </c>
      <c r="B298" t="s">
        <v>7221</v>
      </c>
      <c r="C298">
        <v>2023</v>
      </c>
      <c r="D298">
        <v>2023</v>
      </c>
      <c r="E298" s="7">
        <v>45285</v>
      </c>
      <c r="F298" s="7">
        <v>45650</v>
      </c>
      <c r="G298" t="s">
        <v>99</v>
      </c>
      <c r="H298" t="s">
        <v>106</v>
      </c>
      <c r="I298" t="s">
        <v>101</v>
      </c>
      <c r="J298">
        <v>17112.810000000001</v>
      </c>
      <c r="K298">
        <v>2000000</v>
      </c>
    </row>
    <row r="299" spans="1:11" ht="12.75" customHeight="1" x14ac:dyDescent="0.2">
      <c r="A299" t="s">
        <v>7761</v>
      </c>
      <c r="B299" t="s">
        <v>7762</v>
      </c>
      <c r="C299">
        <v>2023</v>
      </c>
      <c r="D299">
        <v>2023</v>
      </c>
      <c r="E299" s="7">
        <v>45285</v>
      </c>
      <c r="F299" s="7">
        <v>45650</v>
      </c>
      <c r="G299" t="s">
        <v>135</v>
      </c>
      <c r="H299" t="s">
        <v>106</v>
      </c>
      <c r="I299" t="s">
        <v>101</v>
      </c>
      <c r="J299">
        <v>17480.169999999998</v>
      </c>
      <c r="K299">
        <v>2000000</v>
      </c>
    </row>
    <row r="300" spans="1:11" ht="12.75" customHeight="1" x14ac:dyDescent="0.2">
      <c r="A300" t="s">
        <v>7763</v>
      </c>
      <c r="B300" t="s">
        <v>7764</v>
      </c>
      <c r="C300">
        <v>2023</v>
      </c>
      <c r="D300">
        <v>2023</v>
      </c>
      <c r="E300" s="7">
        <v>45285</v>
      </c>
      <c r="F300" s="7">
        <v>45650</v>
      </c>
      <c r="G300" t="s">
        <v>135</v>
      </c>
      <c r="H300" t="s">
        <v>102</v>
      </c>
      <c r="I300" t="s">
        <v>101</v>
      </c>
      <c r="J300">
        <v>15026.17</v>
      </c>
      <c r="K300">
        <v>2000000</v>
      </c>
    </row>
    <row r="301" spans="1:11" ht="12.75" customHeight="1" x14ac:dyDescent="0.2">
      <c r="A301" t="s">
        <v>7765</v>
      </c>
      <c r="B301" t="s">
        <v>7766</v>
      </c>
      <c r="C301">
        <v>2023</v>
      </c>
      <c r="D301">
        <v>2023</v>
      </c>
      <c r="E301" s="7">
        <v>45285</v>
      </c>
      <c r="F301" s="7">
        <v>45650</v>
      </c>
      <c r="G301" t="s">
        <v>135</v>
      </c>
      <c r="H301" t="s">
        <v>6337</v>
      </c>
      <c r="I301" t="s">
        <v>101</v>
      </c>
      <c r="J301">
        <v>7095.01</v>
      </c>
      <c r="K301">
        <v>1000000</v>
      </c>
    </row>
    <row r="302" spans="1:11" ht="12.75" customHeight="1" x14ac:dyDescent="0.2">
      <c r="A302" t="s">
        <v>7767</v>
      </c>
      <c r="B302" t="s">
        <v>665</v>
      </c>
      <c r="C302">
        <v>2023</v>
      </c>
      <c r="D302">
        <v>2023</v>
      </c>
      <c r="E302" s="7">
        <v>45285</v>
      </c>
      <c r="F302" s="7">
        <v>45650</v>
      </c>
      <c r="G302" t="s">
        <v>135</v>
      </c>
      <c r="H302" t="s">
        <v>109</v>
      </c>
      <c r="I302" t="s">
        <v>104</v>
      </c>
      <c r="J302">
        <v>11765.02</v>
      </c>
      <c r="K302">
        <v>2000000</v>
      </c>
    </row>
    <row r="303" spans="1:11" ht="12.75" customHeight="1" x14ac:dyDescent="0.2">
      <c r="A303" t="s">
        <v>7768</v>
      </c>
      <c r="B303" t="s">
        <v>7769</v>
      </c>
      <c r="C303">
        <v>2023</v>
      </c>
      <c r="D303">
        <v>2023</v>
      </c>
      <c r="E303" s="7">
        <v>45285</v>
      </c>
      <c r="F303" s="7">
        <v>45650</v>
      </c>
      <c r="G303" t="s">
        <v>135</v>
      </c>
      <c r="H303" t="s">
        <v>110</v>
      </c>
      <c r="I303" t="s">
        <v>101</v>
      </c>
      <c r="J303">
        <v>4061.98</v>
      </c>
      <c r="K303">
        <v>500000</v>
      </c>
    </row>
    <row r="304" spans="1:11" ht="12.75" customHeight="1" x14ac:dyDescent="0.2">
      <c r="A304" t="s">
        <v>7770</v>
      </c>
      <c r="B304" t="s">
        <v>424</v>
      </c>
      <c r="C304">
        <v>2023</v>
      </c>
      <c r="D304">
        <v>2023</v>
      </c>
      <c r="E304" s="7">
        <v>45285</v>
      </c>
      <c r="F304" s="7">
        <v>45650</v>
      </c>
      <c r="G304" t="s">
        <v>135</v>
      </c>
      <c r="H304" t="s">
        <v>115</v>
      </c>
      <c r="I304" t="s">
        <v>101</v>
      </c>
      <c r="J304">
        <v>3725.21</v>
      </c>
      <c r="K304">
        <v>500000</v>
      </c>
    </row>
    <row r="305" spans="1:11" ht="12.75" customHeight="1" x14ac:dyDescent="0.2">
      <c r="A305" t="s">
        <v>7771</v>
      </c>
      <c r="B305" t="s">
        <v>7772</v>
      </c>
      <c r="C305">
        <v>2023</v>
      </c>
      <c r="D305">
        <v>2023</v>
      </c>
      <c r="E305" s="7">
        <v>45285</v>
      </c>
      <c r="F305" s="7">
        <v>45650</v>
      </c>
      <c r="G305" t="s">
        <v>135</v>
      </c>
      <c r="H305" t="s">
        <v>108</v>
      </c>
      <c r="I305" t="s">
        <v>104</v>
      </c>
      <c r="J305">
        <v>13983.51</v>
      </c>
      <c r="K305">
        <v>2000000</v>
      </c>
    </row>
    <row r="306" spans="1:11" ht="12.75" customHeight="1" x14ac:dyDescent="0.2">
      <c r="A306" t="s">
        <v>7773</v>
      </c>
      <c r="B306" t="s">
        <v>425</v>
      </c>
      <c r="C306">
        <v>2023</v>
      </c>
      <c r="D306">
        <v>2023</v>
      </c>
      <c r="E306" s="7">
        <v>45285</v>
      </c>
      <c r="F306" s="7">
        <v>45650</v>
      </c>
      <c r="G306" t="s">
        <v>135</v>
      </c>
      <c r="H306" t="s">
        <v>115</v>
      </c>
      <c r="I306" t="s">
        <v>101</v>
      </c>
      <c r="J306">
        <v>7014.64</v>
      </c>
      <c r="K306">
        <v>1000000</v>
      </c>
    </row>
    <row r="307" spans="1:11" ht="12.75" customHeight="1" x14ac:dyDescent="0.2">
      <c r="A307" t="s">
        <v>7774</v>
      </c>
      <c r="B307" t="s">
        <v>1172</v>
      </c>
      <c r="C307">
        <v>2023</v>
      </c>
      <c r="D307">
        <v>2023</v>
      </c>
      <c r="E307" s="7">
        <v>45286</v>
      </c>
      <c r="F307" s="7">
        <v>45651</v>
      </c>
      <c r="G307" t="s">
        <v>99</v>
      </c>
      <c r="H307" t="s">
        <v>108</v>
      </c>
      <c r="I307" t="s">
        <v>104</v>
      </c>
      <c r="J307">
        <v>7504.54</v>
      </c>
      <c r="K307">
        <v>1000000</v>
      </c>
    </row>
    <row r="308" spans="1:11" ht="12.75" customHeight="1" x14ac:dyDescent="0.2">
      <c r="A308" t="s">
        <v>7775</v>
      </c>
      <c r="B308" t="s">
        <v>1173</v>
      </c>
      <c r="C308">
        <v>2023</v>
      </c>
      <c r="D308">
        <v>2023</v>
      </c>
      <c r="E308" s="7">
        <v>45286</v>
      </c>
      <c r="F308" s="7">
        <v>45651</v>
      </c>
      <c r="G308" t="s">
        <v>99</v>
      </c>
      <c r="H308" t="s">
        <v>107</v>
      </c>
      <c r="I308" t="s">
        <v>104</v>
      </c>
      <c r="J308">
        <v>12500.82</v>
      </c>
      <c r="K308">
        <v>2000000</v>
      </c>
    </row>
    <row r="309" spans="1:11" ht="12.75" customHeight="1" x14ac:dyDescent="0.2">
      <c r="A309" t="s">
        <v>7776</v>
      </c>
      <c r="B309" t="s">
        <v>7777</v>
      </c>
      <c r="C309">
        <v>2023</v>
      </c>
      <c r="D309">
        <v>2023</v>
      </c>
      <c r="E309" s="7">
        <v>45286</v>
      </c>
      <c r="F309" s="7">
        <v>45651</v>
      </c>
      <c r="G309" t="s">
        <v>99</v>
      </c>
      <c r="H309" t="s">
        <v>107</v>
      </c>
      <c r="I309" t="s">
        <v>104</v>
      </c>
      <c r="J309">
        <v>8260.08</v>
      </c>
      <c r="K309">
        <v>1500000</v>
      </c>
    </row>
    <row r="310" spans="1:11" ht="12.75" customHeight="1" x14ac:dyDescent="0.2">
      <c r="A310" t="s">
        <v>7778</v>
      </c>
      <c r="B310" t="s">
        <v>666</v>
      </c>
      <c r="C310">
        <v>2023</v>
      </c>
      <c r="D310">
        <v>2023</v>
      </c>
      <c r="E310" s="7">
        <v>45286</v>
      </c>
      <c r="F310" s="7">
        <v>45651</v>
      </c>
      <c r="G310" t="s">
        <v>135</v>
      </c>
      <c r="H310" t="s">
        <v>112</v>
      </c>
      <c r="I310" t="s">
        <v>101</v>
      </c>
      <c r="J310">
        <v>4087.67</v>
      </c>
      <c r="K310">
        <v>500000</v>
      </c>
    </row>
    <row r="311" spans="1:11" ht="12.75" customHeight="1" x14ac:dyDescent="0.2">
      <c r="A311" t="s">
        <v>7779</v>
      </c>
      <c r="B311" t="s">
        <v>426</v>
      </c>
      <c r="C311">
        <v>2023</v>
      </c>
      <c r="D311">
        <v>2023</v>
      </c>
      <c r="E311" s="7">
        <v>45286</v>
      </c>
      <c r="F311" s="7">
        <v>45651</v>
      </c>
      <c r="G311" t="s">
        <v>135</v>
      </c>
      <c r="H311" t="s">
        <v>108</v>
      </c>
      <c r="I311" t="s">
        <v>104</v>
      </c>
      <c r="J311">
        <v>14631.22</v>
      </c>
      <c r="K311">
        <v>2000000</v>
      </c>
    </row>
    <row r="312" spans="1:11" ht="12.75" customHeight="1" x14ac:dyDescent="0.2">
      <c r="A312" t="s">
        <v>7780</v>
      </c>
      <c r="B312" t="s">
        <v>428</v>
      </c>
      <c r="C312">
        <v>2023</v>
      </c>
      <c r="D312">
        <v>2023</v>
      </c>
      <c r="E312" s="7">
        <v>45286</v>
      </c>
      <c r="F312" s="7">
        <v>45651</v>
      </c>
      <c r="G312" t="s">
        <v>135</v>
      </c>
      <c r="H312" t="s">
        <v>102</v>
      </c>
      <c r="I312" t="s">
        <v>101</v>
      </c>
      <c r="J312">
        <v>6922.98</v>
      </c>
      <c r="K312">
        <v>1000000</v>
      </c>
    </row>
    <row r="313" spans="1:11" ht="12.75" customHeight="1" x14ac:dyDescent="0.2">
      <c r="A313" t="s">
        <v>7781</v>
      </c>
      <c r="B313" t="s">
        <v>7782</v>
      </c>
      <c r="C313">
        <v>2023</v>
      </c>
      <c r="D313">
        <v>2023</v>
      </c>
      <c r="E313" s="7">
        <v>45286</v>
      </c>
      <c r="F313" s="7">
        <v>45651</v>
      </c>
      <c r="G313" t="s">
        <v>135</v>
      </c>
      <c r="H313" t="s">
        <v>102</v>
      </c>
      <c r="I313" t="s">
        <v>104</v>
      </c>
      <c r="J313">
        <v>5524.94</v>
      </c>
      <c r="K313">
        <v>1000000</v>
      </c>
    </row>
    <row r="314" spans="1:11" ht="12.75" customHeight="1" x14ac:dyDescent="0.2">
      <c r="A314" t="s">
        <v>7783</v>
      </c>
      <c r="B314" t="s">
        <v>7784</v>
      </c>
      <c r="C314">
        <v>2023</v>
      </c>
      <c r="D314">
        <v>2023</v>
      </c>
      <c r="E314" s="7">
        <v>45286</v>
      </c>
      <c r="F314" s="7">
        <v>45651</v>
      </c>
      <c r="G314" t="s">
        <v>135</v>
      </c>
      <c r="H314" t="s">
        <v>116</v>
      </c>
      <c r="I314" t="s">
        <v>101</v>
      </c>
      <c r="J314">
        <v>3848.41</v>
      </c>
      <c r="K314">
        <v>500000</v>
      </c>
    </row>
    <row r="315" spans="1:11" ht="12.75" customHeight="1" x14ac:dyDescent="0.2">
      <c r="A315" t="s">
        <v>1185</v>
      </c>
      <c r="B315" t="s">
        <v>7785</v>
      </c>
      <c r="C315">
        <v>2023</v>
      </c>
      <c r="D315">
        <v>2023</v>
      </c>
      <c r="E315" s="7">
        <v>45286</v>
      </c>
      <c r="F315" s="7">
        <v>45651</v>
      </c>
      <c r="G315" t="s">
        <v>135</v>
      </c>
      <c r="H315" t="s">
        <v>102</v>
      </c>
      <c r="I315" t="s">
        <v>101</v>
      </c>
      <c r="J315">
        <v>12903.87</v>
      </c>
      <c r="K315">
        <v>2000000</v>
      </c>
    </row>
    <row r="316" spans="1:11" ht="12.75" customHeight="1" x14ac:dyDescent="0.2">
      <c r="A316" t="s">
        <v>7786</v>
      </c>
      <c r="B316" t="s">
        <v>7787</v>
      </c>
      <c r="C316">
        <v>2023</v>
      </c>
      <c r="D316">
        <v>2023</v>
      </c>
      <c r="E316" s="7">
        <v>45286</v>
      </c>
      <c r="F316" s="7">
        <v>45651</v>
      </c>
      <c r="G316" t="s">
        <v>135</v>
      </c>
      <c r="H316" t="s">
        <v>105</v>
      </c>
      <c r="I316" t="s">
        <v>104</v>
      </c>
      <c r="J316">
        <v>8624.32</v>
      </c>
      <c r="K316">
        <v>1500000</v>
      </c>
    </row>
    <row r="317" spans="1:11" ht="12.75" customHeight="1" x14ac:dyDescent="0.2">
      <c r="A317" t="s">
        <v>7788</v>
      </c>
      <c r="B317" t="s">
        <v>7789</v>
      </c>
      <c r="C317">
        <v>2023</v>
      </c>
      <c r="D317">
        <v>2023</v>
      </c>
      <c r="E317" s="7">
        <v>45286</v>
      </c>
      <c r="F317" s="7">
        <v>45651</v>
      </c>
      <c r="G317" t="s">
        <v>135</v>
      </c>
      <c r="H317" t="s">
        <v>6348</v>
      </c>
      <c r="I317" t="s">
        <v>104</v>
      </c>
      <c r="J317">
        <v>5787.11</v>
      </c>
      <c r="K317">
        <v>1000000</v>
      </c>
    </row>
    <row r="318" spans="1:11" ht="12.75" customHeight="1" x14ac:dyDescent="0.2">
      <c r="A318" t="s">
        <v>7790</v>
      </c>
      <c r="B318" t="s">
        <v>427</v>
      </c>
      <c r="C318">
        <v>2023</v>
      </c>
      <c r="D318">
        <v>2023</v>
      </c>
      <c r="E318" s="7">
        <v>45286</v>
      </c>
      <c r="F318" s="7">
        <v>45651</v>
      </c>
      <c r="G318" t="s">
        <v>135</v>
      </c>
      <c r="H318" t="s">
        <v>108</v>
      </c>
      <c r="I318" t="s">
        <v>101</v>
      </c>
      <c r="J318">
        <v>19417.63</v>
      </c>
      <c r="K318">
        <v>2000000</v>
      </c>
    </row>
    <row r="319" spans="1:11" ht="12.75" customHeight="1" x14ac:dyDescent="0.2">
      <c r="A319" t="s">
        <v>7791</v>
      </c>
      <c r="B319" t="s">
        <v>1174</v>
      </c>
      <c r="C319">
        <v>2023</v>
      </c>
      <c r="D319">
        <v>2023</v>
      </c>
      <c r="E319" s="7">
        <v>45287</v>
      </c>
      <c r="F319" s="7">
        <v>45652</v>
      </c>
      <c r="G319" t="s">
        <v>99</v>
      </c>
      <c r="H319" t="s">
        <v>105</v>
      </c>
      <c r="I319" t="s">
        <v>101</v>
      </c>
      <c r="J319">
        <v>6640.02</v>
      </c>
      <c r="K319">
        <v>1000000</v>
      </c>
    </row>
    <row r="320" spans="1:11" ht="12.75" customHeight="1" x14ac:dyDescent="0.2">
      <c r="A320" t="s">
        <v>7792</v>
      </c>
      <c r="B320" t="s">
        <v>7793</v>
      </c>
      <c r="C320">
        <v>2023</v>
      </c>
      <c r="D320">
        <v>2023</v>
      </c>
      <c r="E320" s="7">
        <v>45287</v>
      </c>
      <c r="F320" s="7">
        <v>45652</v>
      </c>
      <c r="G320" t="s">
        <v>99</v>
      </c>
      <c r="H320" t="s">
        <v>105</v>
      </c>
      <c r="I320" t="s">
        <v>104</v>
      </c>
      <c r="J320">
        <v>5709.7</v>
      </c>
      <c r="K320">
        <v>1000000</v>
      </c>
    </row>
    <row r="321" spans="1:11" ht="12.75" customHeight="1" x14ac:dyDescent="0.2">
      <c r="A321" t="s">
        <v>7794</v>
      </c>
      <c r="B321" t="s">
        <v>7225</v>
      </c>
      <c r="C321">
        <v>2023</v>
      </c>
      <c r="D321">
        <v>2023</v>
      </c>
      <c r="E321" s="7">
        <v>45287</v>
      </c>
      <c r="F321" s="7">
        <v>45652</v>
      </c>
      <c r="G321" t="s">
        <v>99</v>
      </c>
      <c r="H321" t="s">
        <v>108</v>
      </c>
      <c r="I321" t="s">
        <v>101</v>
      </c>
      <c r="J321">
        <v>96066.65</v>
      </c>
      <c r="K321">
        <v>10000000</v>
      </c>
    </row>
    <row r="322" spans="1:11" ht="12.75" customHeight="1" x14ac:dyDescent="0.2">
      <c r="A322" t="s">
        <v>7795</v>
      </c>
      <c r="B322" t="s">
        <v>7237</v>
      </c>
      <c r="C322">
        <v>2023</v>
      </c>
      <c r="D322">
        <v>2023</v>
      </c>
      <c r="E322" s="7">
        <v>45287</v>
      </c>
      <c r="F322" s="7">
        <v>45652</v>
      </c>
      <c r="G322" t="s">
        <v>135</v>
      </c>
      <c r="H322" t="s">
        <v>105</v>
      </c>
      <c r="I322" t="s">
        <v>101</v>
      </c>
      <c r="J322">
        <v>6896.73</v>
      </c>
      <c r="K322">
        <v>1000000</v>
      </c>
    </row>
    <row r="323" spans="1:11" ht="12.75" customHeight="1" x14ac:dyDescent="0.2">
      <c r="A323" t="s">
        <v>7796</v>
      </c>
      <c r="B323" t="s">
        <v>7235</v>
      </c>
      <c r="C323">
        <v>2023</v>
      </c>
      <c r="D323">
        <v>2023</v>
      </c>
      <c r="E323" s="7">
        <v>45287</v>
      </c>
      <c r="F323" s="7">
        <v>45652</v>
      </c>
      <c r="G323" t="s">
        <v>135</v>
      </c>
      <c r="H323" t="s">
        <v>100</v>
      </c>
      <c r="I323" t="s">
        <v>101</v>
      </c>
      <c r="J323">
        <v>33654.410000000003</v>
      </c>
      <c r="K323">
        <v>5000000</v>
      </c>
    </row>
    <row r="324" spans="1:11" ht="12.75" customHeight="1" x14ac:dyDescent="0.2">
      <c r="A324" t="s">
        <v>7797</v>
      </c>
      <c r="B324" t="s">
        <v>7798</v>
      </c>
      <c r="C324">
        <v>2023</v>
      </c>
      <c r="D324">
        <v>2023</v>
      </c>
      <c r="E324" s="7">
        <v>45287</v>
      </c>
      <c r="F324" s="7">
        <v>45652</v>
      </c>
      <c r="G324" t="s">
        <v>135</v>
      </c>
      <c r="H324" t="s">
        <v>105</v>
      </c>
      <c r="I324" t="s">
        <v>101</v>
      </c>
      <c r="J324">
        <v>3864.51</v>
      </c>
      <c r="K324">
        <v>500000</v>
      </c>
    </row>
    <row r="325" spans="1:11" ht="12.75" customHeight="1" x14ac:dyDescent="0.2">
      <c r="A325" t="s">
        <v>7799</v>
      </c>
      <c r="B325" t="s">
        <v>7800</v>
      </c>
      <c r="C325">
        <v>2023</v>
      </c>
      <c r="D325">
        <v>2023</v>
      </c>
      <c r="E325" s="7">
        <v>45287</v>
      </c>
      <c r="F325" s="7">
        <v>45652</v>
      </c>
      <c r="G325" t="s">
        <v>135</v>
      </c>
      <c r="H325" t="s">
        <v>109</v>
      </c>
      <c r="I325" t="s">
        <v>101</v>
      </c>
      <c r="J325">
        <v>72102.009999999995</v>
      </c>
      <c r="K325">
        <v>10000000</v>
      </c>
    </row>
    <row r="326" spans="1:11" ht="12.75" customHeight="1" x14ac:dyDescent="0.2">
      <c r="A326" t="s">
        <v>7801</v>
      </c>
      <c r="B326" t="s">
        <v>7802</v>
      </c>
      <c r="C326">
        <v>2023</v>
      </c>
      <c r="D326">
        <v>2023</v>
      </c>
      <c r="E326" s="7">
        <v>45287</v>
      </c>
      <c r="F326" s="7">
        <v>45652</v>
      </c>
      <c r="G326" t="s">
        <v>135</v>
      </c>
      <c r="H326" t="s">
        <v>102</v>
      </c>
      <c r="I326" t="s">
        <v>101</v>
      </c>
      <c r="J326">
        <v>14322.53</v>
      </c>
      <c r="K326">
        <v>2000000</v>
      </c>
    </row>
    <row r="327" spans="1:11" ht="12.75" customHeight="1" x14ac:dyDescent="0.2">
      <c r="A327" t="s">
        <v>7803</v>
      </c>
      <c r="B327" t="s">
        <v>667</v>
      </c>
      <c r="C327">
        <v>2023</v>
      </c>
      <c r="D327">
        <v>2023</v>
      </c>
      <c r="E327" s="7">
        <v>45287</v>
      </c>
      <c r="F327" s="7">
        <v>45652</v>
      </c>
      <c r="G327" t="s">
        <v>135</v>
      </c>
      <c r="H327" t="s">
        <v>6334</v>
      </c>
      <c r="I327" t="s">
        <v>101</v>
      </c>
      <c r="J327">
        <v>10739.55</v>
      </c>
      <c r="K327">
        <v>1500000</v>
      </c>
    </row>
    <row r="328" spans="1:11" ht="12.75" customHeight="1" x14ac:dyDescent="0.2">
      <c r="A328" t="s">
        <v>7804</v>
      </c>
      <c r="B328" t="s">
        <v>7154</v>
      </c>
      <c r="C328">
        <v>2023</v>
      </c>
      <c r="D328">
        <v>2023</v>
      </c>
      <c r="E328" s="7">
        <v>45287</v>
      </c>
      <c r="F328" s="7">
        <v>45652</v>
      </c>
      <c r="G328" t="s">
        <v>135</v>
      </c>
      <c r="H328" t="s">
        <v>110</v>
      </c>
      <c r="I328" t="s">
        <v>101</v>
      </c>
      <c r="J328">
        <v>4393.82</v>
      </c>
      <c r="K328">
        <v>500000</v>
      </c>
    </row>
    <row r="329" spans="1:11" ht="12.75" customHeight="1" x14ac:dyDescent="0.2">
      <c r="A329" t="s">
        <v>7805</v>
      </c>
      <c r="B329" t="s">
        <v>7806</v>
      </c>
      <c r="C329">
        <v>2023</v>
      </c>
      <c r="D329">
        <v>2023</v>
      </c>
      <c r="E329" s="7">
        <v>45287</v>
      </c>
      <c r="F329" s="7">
        <v>45652</v>
      </c>
      <c r="G329" t="s">
        <v>135</v>
      </c>
      <c r="H329" t="s">
        <v>113</v>
      </c>
      <c r="I329" t="s">
        <v>104</v>
      </c>
      <c r="J329">
        <v>3008.99</v>
      </c>
      <c r="K329">
        <v>500000</v>
      </c>
    </row>
    <row r="330" spans="1:11" ht="12.75" customHeight="1" x14ac:dyDescent="0.2">
      <c r="A330" t="s">
        <v>7807</v>
      </c>
      <c r="B330" t="s">
        <v>429</v>
      </c>
      <c r="C330">
        <v>2023</v>
      </c>
      <c r="D330">
        <v>2023</v>
      </c>
      <c r="E330" s="7">
        <v>45287</v>
      </c>
      <c r="F330" s="7">
        <v>45652</v>
      </c>
      <c r="G330" t="s">
        <v>135</v>
      </c>
      <c r="H330" t="s">
        <v>115</v>
      </c>
      <c r="I330" t="s">
        <v>104</v>
      </c>
      <c r="J330">
        <v>5619.01</v>
      </c>
      <c r="K330">
        <v>1000000</v>
      </c>
    </row>
    <row r="331" spans="1:11" ht="12.75" customHeight="1" x14ac:dyDescent="0.2">
      <c r="A331" t="s">
        <v>7808</v>
      </c>
      <c r="B331" t="s">
        <v>7236</v>
      </c>
      <c r="C331">
        <v>2023</v>
      </c>
      <c r="D331">
        <v>2023</v>
      </c>
      <c r="E331" s="7">
        <v>45287</v>
      </c>
      <c r="F331" s="7">
        <v>45652</v>
      </c>
      <c r="G331" t="s">
        <v>135</v>
      </c>
      <c r="H331" t="s">
        <v>108</v>
      </c>
      <c r="I331" t="s">
        <v>104</v>
      </c>
      <c r="J331">
        <v>10702.25</v>
      </c>
      <c r="K331">
        <v>1500000</v>
      </c>
    </row>
    <row r="332" spans="1:11" ht="12.75" customHeight="1" x14ac:dyDescent="0.2">
      <c r="A332" t="s">
        <v>7809</v>
      </c>
      <c r="B332" t="s">
        <v>1175</v>
      </c>
      <c r="C332">
        <v>2023</v>
      </c>
      <c r="D332">
        <v>2023</v>
      </c>
      <c r="E332" s="7">
        <v>45288</v>
      </c>
      <c r="F332" s="7">
        <v>45653</v>
      </c>
      <c r="G332" t="s">
        <v>99</v>
      </c>
      <c r="H332" t="s">
        <v>111</v>
      </c>
      <c r="I332" t="s">
        <v>101</v>
      </c>
      <c r="J332">
        <v>77766.679999999993</v>
      </c>
      <c r="K332">
        <v>10000000</v>
      </c>
    </row>
    <row r="333" spans="1:11" ht="12.75" customHeight="1" x14ac:dyDescent="0.2">
      <c r="A333" t="s">
        <v>7810</v>
      </c>
      <c r="B333" t="s">
        <v>232</v>
      </c>
      <c r="C333">
        <v>2023</v>
      </c>
      <c r="D333">
        <v>2023</v>
      </c>
      <c r="E333" s="7">
        <v>45288</v>
      </c>
      <c r="F333" s="7">
        <v>45653</v>
      </c>
      <c r="G333" t="s">
        <v>135</v>
      </c>
      <c r="H333" t="s">
        <v>108</v>
      </c>
      <c r="I333" t="s">
        <v>101</v>
      </c>
      <c r="J333">
        <v>9195.84</v>
      </c>
      <c r="K333">
        <v>1000000</v>
      </c>
    </row>
    <row r="334" spans="1:11" ht="12.75" customHeight="1" x14ac:dyDescent="0.2">
      <c r="A334" t="s">
        <v>7811</v>
      </c>
      <c r="B334" t="s">
        <v>7812</v>
      </c>
      <c r="C334">
        <v>2023</v>
      </c>
      <c r="D334">
        <v>2023</v>
      </c>
      <c r="E334" s="7">
        <v>45288</v>
      </c>
      <c r="F334" s="7">
        <v>45653</v>
      </c>
      <c r="G334" t="s">
        <v>135</v>
      </c>
      <c r="H334" t="s">
        <v>106</v>
      </c>
      <c r="I334" t="s">
        <v>104</v>
      </c>
      <c r="J334">
        <v>6779.21</v>
      </c>
      <c r="K334">
        <v>1000000</v>
      </c>
    </row>
    <row r="335" spans="1:11" ht="12.75" customHeight="1" x14ac:dyDescent="0.2">
      <c r="A335" t="s">
        <v>7813</v>
      </c>
      <c r="B335" t="s">
        <v>7814</v>
      </c>
      <c r="C335">
        <v>2023</v>
      </c>
      <c r="D335">
        <v>2023</v>
      </c>
      <c r="E335" s="7">
        <v>45288</v>
      </c>
      <c r="F335" s="7">
        <v>45653</v>
      </c>
      <c r="G335" t="s">
        <v>135</v>
      </c>
      <c r="H335" t="s">
        <v>102</v>
      </c>
      <c r="I335" t="s">
        <v>101</v>
      </c>
      <c r="J335">
        <v>3246.66</v>
      </c>
      <c r="K335">
        <v>500000</v>
      </c>
    </row>
    <row r="336" spans="1:11" ht="12.75" customHeight="1" x14ac:dyDescent="0.2">
      <c r="A336" t="s">
        <v>7815</v>
      </c>
      <c r="B336" t="s">
        <v>7816</v>
      </c>
      <c r="C336">
        <v>2023</v>
      </c>
      <c r="D336">
        <v>2023</v>
      </c>
      <c r="E336" s="7">
        <v>45288</v>
      </c>
      <c r="F336" s="7">
        <v>45653</v>
      </c>
      <c r="G336" t="s">
        <v>135</v>
      </c>
      <c r="H336" t="s">
        <v>100</v>
      </c>
      <c r="I336" t="s">
        <v>101</v>
      </c>
      <c r="J336">
        <v>11395.64</v>
      </c>
      <c r="K336">
        <v>1500000</v>
      </c>
    </row>
    <row r="337" spans="1:11" ht="12.75" customHeight="1" x14ac:dyDescent="0.2">
      <c r="A337" t="s">
        <v>7817</v>
      </c>
      <c r="B337" t="s">
        <v>7818</v>
      </c>
      <c r="C337">
        <v>2023</v>
      </c>
      <c r="D337">
        <v>2023</v>
      </c>
      <c r="E337" s="7">
        <v>45288</v>
      </c>
      <c r="F337" s="7">
        <v>45653</v>
      </c>
      <c r="G337" t="s">
        <v>135</v>
      </c>
      <c r="H337" t="s">
        <v>115</v>
      </c>
      <c r="I337" t="s">
        <v>101</v>
      </c>
      <c r="J337">
        <v>7730.94</v>
      </c>
      <c r="K337">
        <v>1000000</v>
      </c>
    </row>
    <row r="338" spans="1:11" ht="12.75" customHeight="1" x14ac:dyDescent="0.2">
      <c r="A338" t="s">
        <v>7819</v>
      </c>
      <c r="B338" t="s">
        <v>7820</v>
      </c>
      <c r="C338">
        <v>2023</v>
      </c>
      <c r="D338">
        <v>2023</v>
      </c>
      <c r="E338" s="7">
        <v>45288</v>
      </c>
      <c r="F338" s="7">
        <v>45653</v>
      </c>
      <c r="G338" t="s">
        <v>135</v>
      </c>
      <c r="H338" t="s">
        <v>6332</v>
      </c>
      <c r="I338" t="s">
        <v>101</v>
      </c>
      <c r="J338">
        <v>10283.27</v>
      </c>
      <c r="K338">
        <v>1500000</v>
      </c>
    </row>
    <row r="339" spans="1:11" ht="12.75" customHeight="1" x14ac:dyDescent="0.2">
      <c r="A339" t="s">
        <v>7821</v>
      </c>
      <c r="B339" t="s">
        <v>669</v>
      </c>
      <c r="C339">
        <v>2023</v>
      </c>
      <c r="D339">
        <v>2023</v>
      </c>
      <c r="E339" s="7">
        <v>45288</v>
      </c>
      <c r="F339" s="7">
        <v>45653</v>
      </c>
      <c r="G339" t="s">
        <v>135</v>
      </c>
      <c r="H339" t="s">
        <v>107</v>
      </c>
      <c r="I339" t="s">
        <v>104</v>
      </c>
      <c r="J339">
        <v>5227.3500000000004</v>
      </c>
      <c r="K339">
        <v>1000000</v>
      </c>
    </row>
    <row r="340" spans="1:11" ht="12.75" customHeight="1" x14ac:dyDescent="0.2">
      <c r="A340" t="s">
        <v>7822</v>
      </c>
      <c r="B340" t="s">
        <v>668</v>
      </c>
      <c r="C340">
        <v>2023</v>
      </c>
      <c r="D340">
        <v>2023</v>
      </c>
      <c r="E340" s="7">
        <v>45288</v>
      </c>
      <c r="F340" s="7">
        <v>45653</v>
      </c>
      <c r="G340" t="s">
        <v>135</v>
      </c>
      <c r="H340" t="s">
        <v>110</v>
      </c>
      <c r="I340" t="s">
        <v>101</v>
      </c>
      <c r="J340">
        <v>9669.59</v>
      </c>
      <c r="K340">
        <v>1000000</v>
      </c>
    </row>
    <row r="341" spans="1:11" ht="12.75" customHeight="1" x14ac:dyDescent="0.2">
      <c r="A341" t="s">
        <v>7823</v>
      </c>
      <c r="B341" t="s">
        <v>7824</v>
      </c>
      <c r="C341">
        <v>2023</v>
      </c>
      <c r="D341">
        <v>2023</v>
      </c>
      <c r="E341" s="7">
        <v>45288</v>
      </c>
      <c r="F341" s="7">
        <v>45653</v>
      </c>
      <c r="G341" t="s">
        <v>135</v>
      </c>
      <c r="H341" t="s">
        <v>107</v>
      </c>
      <c r="I341" t="s">
        <v>101</v>
      </c>
      <c r="J341">
        <v>3318.75</v>
      </c>
      <c r="K341">
        <v>500000</v>
      </c>
    </row>
    <row r="342" spans="1:11" ht="12.75" customHeight="1" x14ac:dyDescent="0.2">
      <c r="A342" t="s">
        <v>7825</v>
      </c>
      <c r="B342" t="s">
        <v>430</v>
      </c>
      <c r="C342">
        <v>2023</v>
      </c>
      <c r="D342">
        <v>2023</v>
      </c>
      <c r="E342" s="7">
        <v>45288</v>
      </c>
      <c r="F342" s="7">
        <v>45653</v>
      </c>
      <c r="G342" t="s">
        <v>135</v>
      </c>
      <c r="H342" t="s">
        <v>114</v>
      </c>
      <c r="I342" t="s">
        <v>101</v>
      </c>
      <c r="J342">
        <v>13304.39</v>
      </c>
      <c r="K342">
        <v>2000000</v>
      </c>
    </row>
    <row r="343" spans="1:11" ht="12.75" customHeight="1" x14ac:dyDescent="0.2">
      <c r="A343" t="s">
        <v>7826</v>
      </c>
      <c r="B343" t="s">
        <v>7227</v>
      </c>
      <c r="C343">
        <v>2023</v>
      </c>
      <c r="D343">
        <v>2023</v>
      </c>
      <c r="E343" s="7">
        <v>45289</v>
      </c>
      <c r="F343" s="7">
        <v>45654</v>
      </c>
      <c r="G343" t="s">
        <v>99</v>
      </c>
      <c r="H343" t="s">
        <v>6334</v>
      </c>
      <c r="I343" t="s">
        <v>101</v>
      </c>
      <c r="J343">
        <v>10684.32</v>
      </c>
      <c r="K343">
        <v>1500000</v>
      </c>
    </row>
    <row r="344" spans="1:11" ht="12.75" customHeight="1" x14ac:dyDescent="0.2">
      <c r="A344" t="s">
        <v>7827</v>
      </c>
      <c r="B344" t="s">
        <v>7157</v>
      </c>
      <c r="C344">
        <v>2023</v>
      </c>
      <c r="D344">
        <v>2023</v>
      </c>
      <c r="E344" s="7">
        <v>45289</v>
      </c>
      <c r="F344" s="7">
        <v>45654</v>
      </c>
      <c r="G344" t="s">
        <v>135</v>
      </c>
      <c r="H344" t="s">
        <v>103</v>
      </c>
      <c r="I344" t="s">
        <v>101</v>
      </c>
      <c r="J344">
        <v>10766.27</v>
      </c>
      <c r="K344">
        <v>1500000</v>
      </c>
    </row>
    <row r="345" spans="1:11" ht="12.75" customHeight="1" x14ac:dyDescent="0.2">
      <c r="A345" t="s">
        <v>7828</v>
      </c>
      <c r="B345" t="s">
        <v>7829</v>
      </c>
      <c r="C345">
        <v>2023</v>
      </c>
      <c r="D345">
        <v>2023</v>
      </c>
      <c r="E345" s="7">
        <v>45289</v>
      </c>
      <c r="F345" s="7">
        <v>45654</v>
      </c>
      <c r="G345" t="s">
        <v>135</v>
      </c>
      <c r="H345" t="s">
        <v>102</v>
      </c>
      <c r="I345" t="s">
        <v>101</v>
      </c>
      <c r="J345">
        <v>6771.98</v>
      </c>
      <c r="K345">
        <v>1000000</v>
      </c>
    </row>
    <row r="346" spans="1:11" ht="12.75" customHeight="1" x14ac:dyDescent="0.2">
      <c r="A346" t="s">
        <v>7830</v>
      </c>
      <c r="B346" t="s">
        <v>7831</v>
      </c>
      <c r="C346">
        <v>2023</v>
      </c>
      <c r="D346">
        <v>2023</v>
      </c>
      <c r="E346" s="7">
        <v>45289</v>
      </c>
      <c r="F346" s="7">
        <v>45654</v>
      </c>
      <c r="G346" t="s">
        <v>135</v>
      </c>
      <c r="H346" t="s">
        <v>6334</v>
      </c>
      <c r="I346" t="s">
        <v>104</v>
      </c>
      <c r="J346">
        <v>5761.78</v>
      </c>
      <c r="K346">
        <v>1000000</v>
      </c>
    </row>
    <row r="347" spans="1:11" ht="12.75" customHeight="1" x14ac:dyDescent="0.2">
      <c r="A347" t="s">
        <v>1186</v>
      </c>
      <c r="B347" t="s">
        <v>7832</v>
      </c>
      <c r="C347">
        <v>2023</v>
      </c>
      <c r="D347">
        <v>2023</v>
      </c>
      <c r="E347" s="7">
        <v>45289</v>
      </c>
      <c r="F347" s="7">
        <v>45654</v>
      </c>
      <c r="G347" t="s">
        <v>135</v>
      </c>
      <c r="H347" t="s">
        <v>106</v>
      </c>
      <c r="I347" t="s">
        <v>101</v>
      </c>
      <c r="J347">
        <v>8085.64</v>
      </c>
      <c r="K347">
        <v>1000000</v>
      </c>
    </row>
    <row r="348" spans="1:11" ht="12.75" customHeight="1" x14ac:dyDescent="0.2">
      <c r="A348" t="s">
        <v>1187</v>
      </c>
      <c r="B348" t="s">
        <v>7833</v>
      </c>
      <c r="C348">
        <v>2023</v>
      </c>
      <c r="D348">
        <v>2023</v>
      </c>
      <c r="E348" s="7">
        <v>45289</v>
      </c>
      <c r="F348" s="7">
        <v>45654</v>
      </c>
      <c r="G348" t="s">
        <v>135</v>
      </c>
      <c r="H348" t="s">
        <v>108</v>
      </c>
      <c r="I348" t="s">
        <v>101</v>
      </c>
      <c r="J348">
        <v>18856.64</v>
      </c>
      <c r="K348">
        <v>2000000</v>
      </c>
    </row>
    <row r="349" spans="1:11" ht="12.75" customHeight="1" x14ac:dyDescent="0.2">
      <c r="A349" t="s">
        <v>7834</v>
      </c>
      <c r="B349" t="s">
        <v>7160</v>
      </c>
      <c r="C349">
        <v>2023</v>
      </c>
      <c r="D349">
        <v>2023</v>
      </c>
      <c r="E349" s="7">
        <v>45290</v>
      </c>
      <c r="F349" s="7">
        <v>45655</v>
      </c>
      <c r="G349" t="s">
        <v>135</v>
      </c>
      <c r="H349" t="s">
        <v>105</v>
      </c>
      <c r="I349" t="s">
        <v>101</v>
      </c>
      <c r="J349">
        <v>11565.86</v>
      </c>
      <c r="K349">
        <v>1500000</v>
      </c>
    </row>
    <row r="350" spans="1:11" ht="12.75" customHeight="1" x14ac:dyDescent="0.2">
      <c r="A350" t="s">
        <v>7835</v>
      </c>
      <c r="B350" t="s">
        <v>7836</v>
      </c>
      <c r="C350">
        <v>2023</v>
      </c>
      <c r="D350">
        <v>2023</v>
      </c>
      <c r="E350" s="7">
        <v>45290</v>
      </c>
      <c r="F350" s="7">
        <v>45655</v>
      </c>
      <c r="G350" t="s">
        <v>135</v>
      </c>
      <c r="H350" t="s">
        <v>106</v>
      </c>
      <c r="I350" t="s">
        <v>101</v>
      </c>
      <c r="J350">
        <v>9527.42</v>
      </c>
      <c r="K350">
        <v>1000000</v>
      </c>
    </row>
    <row r="351" spans="1:11" ht="12.75" customHeight="1" x14ac:dyDescent="0.2">
      <c r="A351" t="s">
        <v>7837</v>
      </c>
      <c r="B351" t="s">
        <v>7838</v>
      </c>
      <c r="C351">
        <v>2023</v>
      </c>
      <c r="D351">
        <v>2023</v>
      </c>
      <c r="E351" s="7">
        <v>45290</v>
      </c>
      <c r="F351" s="7">
        <v>45655</v>
      </c>
      <c r="G351" t="s">
        <v>135</v>
      </c>
      <c r="H351" t="s">
        <v>113</v>
      </c>
      <c r="I351" t="s">
        <v>101</v>
      </c>
      <c r="J351">
        <v>13499.49</v>
      </c>
      <c r="K351">
        <v>2000000</v>
      </c>
    </row>
    <row r="352" spans="1:11" ht="12.75" customHeight="1" x14ac:dyDescent="0.2">
      <c r="A352" t="s">
        <v>7839</v>
      </c>
      <c r="B352" t="s">
        <v>7162</v>
      </c>
      <c r="C352">
        <v>2023</v>
      </c>
      <c r="D352">
        <v>2023</v>
      </c>
      <c r="E352" s="7">
        <v>45290</v>
      </c>
      <c r="F352" s="7">
        <v>45655</v>
      </c>
      <c r="G352" t="s">
        <v>135</v>
      </c>
      <c r="H352" t="s">
        <v>108</v>
      </c>
      <c r="I352" t="s">
        <v>101</v>
      </c>
      <c r="J352">
        <v>8902.16</v>
      </c>
      <c r="K352">
        <v>1000000</v>
      </c>
    </row>
    <row r="353" spans="1:11" ht="12.75" customHeight="1" x14ac:dyDescent="0.2">
      <c r="A353" t="s">
        <v>7840</v>
      </c>
      <c r="B353" t="s">
        <v>1176</v>
      </c>
      <c r="C353">
        <v>2023</v>
      </c>
      <c r="D353">
        <v>2023</v>
      </c>
      <c r="E353" s="7">
        <v>45291</v>
      </c>
      <c r="F353" s="7">
        <v>45656</v>
      </c>
      <c r="G353" t="s">
        <v>99</v>
      </c>
      <c r="H353" t="s">
        <v>102</v>
      </c>
      <c r="I353" t="s">
        <v>101</v>
      </c>
      <c r="J353">
        <v>36857.31</v>
      </c>
      <c r="K353">
        <v>5000000</v>
      </c>
    </row>
    <row r="354" spans="1:11" ht="12.75" customHeight="1" x14ac:dyDescent="0.2">
      <c r="A354" t="s">
        <v>7841</v>
      </c>
      <c r="B354" t="s">
        <v>1177</v>
      </c>
      <c r="C354">
        <v>2023</v>
      </c>
      <c r="D354">
        <v>2023</v>
      </c>
      <c r="E354" s="7">
        <v>45291</v>
      </c>
      <c r="F354" s="7">
        <v>45656</v>
      </c>
      <c r="G354" t="s">
        <v>99</v>
      </c>
      <c r="H354" t="s">
        <v>106</v>
      </c>
      <c r="I354" t="s">
        <v>101</v>
      </c>
      <c r="J354">
        <v>8309.66</v>
      </c>
      <c r="K354">
        <v>1000000</v>
      </c>
    </row>
    <row r="355" spans="1:11" ht="12.75" customHeight="1" x14ac:dyDescent="0.2">
      <c r="A355" t="s">
        <v>7842</v>
      </c>
      <c r="B355" t="s">
        <v>7843</v>
      </c>
      <c r="C355">
        <v>2023</v>
      </c>
      <c r="D355">
        <v>2023</v>
      </c>
      <c r="E355" s="7">
        <v>45291</v>
      </c>
      <c r="F355" s="7">
        <v>45656</v>
      </c>
      <c r="G355" t="s">
        <v>135</v>
      </c>
      <c r="H355" t="s">
        <v>106</v>
      </c>
      <c r="I355" t="s">
        <v>101</v>
      </c>
      <c r="J355">
        <v>16306.31</v>
      </c>
      <c r="K355">
        <v>2000000</v>
      </c>
    </row>
    <row r="356" spans="1:11" ht="12.75" customHeight="1" x14ac:dyDescent="0.2">
      <c r="A356" t="s">
        <v>7844</v>
      </c>
      <c r="B356" t="s">
        <v>7845</v>
      </c>
      <c r="C356">
        <v>2023</v>
      </c>
      <c r="D356">
        <v>2023</v>
      </c>
      <c r="E356" s="7">
        <v>45291</v>
      </c>
      <c r="F356" s="7">
        <v>45656</v>
      </c>
      <c r="G356" t="s">
        <v>135</v>
      </c>
      <c r="H356" t="s">
        <v>106</v>
      </c>
      <c r="I356" t="s">
        <v>104</v>
      </c>
      <c r="J356">
        <v>70421.399999999994</v>
      </c>
      <c r="K356">
        <v>10000000</v>
      </c>
    </row>
    <row r="357" spans="1:11" ht="12.75" customHeight="1" x14ac:dyDescent="0.2">
      <c r="A357" t="s">
        <v>7846</v>
      </c>
      <c r="B357" t="s">
        <v>7847</v>
      </c>
      <c r="C357">
        <v>2023</v>
      </c>
      <c r="D357">
        <v>2023</v>
      </c>
      <c r="E357" s="7">
        <v>45291</v>
      </c>
      <c r="F357" s="7">
        <v>45656</v>
      </c>
      <c r="G357" t="s">
        <v>135</v>
      </c>
      <c r="H357" t="s">
        <v>102</v>
      </c>
      <c r="I357" t="s">
        <v>104</v>
      </c>
      <c r="J357">
        <v>10608.68</v>
      </c>
      <c r="K357">
        <v>2000000</v>
      </c>
    </row>
    <row r="358" spans="1:11" ht="12.75" customHeight="1" x14ac:dyDescent="0.2">
      <c r="A358" t="s">
        <v>7848</v>
      </c>
      <c r="B358" t="s">
        <v>670</v>
      </c>
      <c r="C358">
        <v>2023</v>
      </c>
      <c r="D358">
        <v>2023</v>
      </c>
      <c r="E358" s="7">
        <v>45291</v>
      </c>
      <c r="F358" s="7">
        <v>45656</v>
      </c>
      <c r="G358" t="s">
        <v>135</v>
      </c>
      <c r="H358" t="s">
        <v>108</v>
      </c>
      <c r="I358" t="s">
        <v>104</v>
      </c>
      <c r="J358">
        <v>14962.27</v>
      </c>
      <c r="K358">
        <v>2000000</v>
      </c>
    </row>
    <row r="359" spans="1:11" ht="12.75" customHeight="1" x14ac:dyDescent="0.2">
      <c r="A359" t="s">
        <v>7849</v>
      </c>
      <c r="B359" t="s">
        <v>7850</v>
      </c>
      <c r="C359">
        <v>2023</v>
      </c>
      <c r="D359">
        <v>2023</v>
      </c>
      <c r="E359" s="7">
        <v>45291</v>
      </c>
      <c r="F359" s="7">
        <v>45656</v>
      </c>
      <c r="G359" t="s">
        <v>135</v>
      </c>
      <c r="H359" t="s">
        <v>108</v>
      </c>
      <c r="I359" t="s">
        <v>101</v>
      </c>
      <c r="J359">
        <v>8808.98</v>
      </c>
      <c r="K359">
        <v>1000000</v>
      </c>
    </row>
    <row r="360" spans="1:11" ht="12.75" customHeight="1" x14ac:dyDescent="0.2">
      <c r="A360" t="s">
        <v>7851</v>
      </c>
      <c r="B360" t="s">
        <v>7852</v>
      </c>
      <c r="C360">
        <v>2023</v>
      </c>
      <c r="D360">
        <v>2023</v>
      </c>
      <c r="E360" s="7">
        <v>45291</v>
      </c>
      <c r="F360" s="7">
        <v>45656</v>
      </c>
      <c r="G360" t="s">
        <v>135</v>
      </c>
      <c r="H360" t="s">
        <v>102</v>
      </c>
      <c r="I360" t="s">
        <v>101</v>
      </c>
      <c r="J360">
        <v>3491.26</v>
      </c>
      <c r="K360">
        <v>500000</v>
      </c>
    </row>
    <row r="361" spans="1:11" ht="12.75" customHeight="1" x14ac:dyDescent="0.2">
      <c r="A361" t="s">
        <v>7853</v>
      </c>
      <c r="B361" t="s">
        <v>7854</v>
      </c>
      <c r="C361">
        <v>2023</v>
      </c>
      <c r="D361">
        <v>2023</v>
      </c>
      <c r="E361" s="7">
        <v>45291</v>
      </c>
      <c r="F361" s="7">
        <v>45656</v>
      </c>
      <c r="G361" t="s">
        <v>135</v>
      </c>
      <c r="H361" t="s">
        <v>106</v>
      </c>
      <c r="I361" t="s">
        <v>101</v>
      </c>
      <c r="J361">
        <v>89402.13</v>
      </c>
      <c r="K361">
        <v>10000000</v>
      </c>
    </row>
    <row r="362" spans="1:11" ht="12.75" customHeight="1" x14ac:dyDescent="0.2">
      <c r="A362" t="s">
        <v>7855</v>
      </c>
      <c r="B362" t="s">
        <v>7856</v>
      </c>
      <c r="C362">
        <v>2023</v>
      </c>
      <c r="D362">
        <v>2023</v>
      </c>
      <c r="E362" s="7">
        <v>45291</v>
      </c>
      <c r="F362" s="7">
        <v>45656</v>
      </c>
      <c r="G362" t="s">
        <v>135</v>
      </c>
      <c r="H362" t="s">
        <v>106</v>
      </c>
      <c r="I362" t="s">
        <v>101</v>
      </c>
      <c r="J362">
        <v>18868.849999999999</v>
      </c>
      <c r="K362">
        <v>2000000</v>
      </c>
    </row>
    <row r="363" spans="1:11" ht="12.75" customHeight="1" x14ac:dyDescent="0.2">
      <c r="A363" t="s">
        <v>1188</v>
      </c>
      <c r="B363" t="s">
        <v>1189</v>
      </c>
      <c r="C363">
        <v>2024</v>
      </c>
      <c r="D363">
        <v>2023</v>
      </c>
      <c r="E363" s="7">
        <v>45292</v>
      </c>
      <c r="F363" s="7">
        <v>45657</v>
      </c>
      <c r="G363" t="s">
        <v>99</v>
      </c>
      <c r="H363" t="s">
        <v>6334</v>
      </c>
      <c r="I363" t="s">
        <v>104</v>
      </c>
      <c r="J363">
        <v>7922.78</v>
      </c>
      <c r="K363">
        <v>1500000</v>
      </c>
    </row>
    <row r="364" spans="1:11" ht="12.75" customHeight="1" x14ac:dyDescent="0.2">
      <c r="A364" t="s">
        <v>1190</v>
      </c>
      <c r="B364" t="s">
        <v>6339</v>
      </c>
      <c r="C364">
        <v>2024</v>
      </c>
      <c r="D364">
        <v>2023</v>
      </c>
      <c r="E364" s="7">
        <v>45292</v>
      </c>
      <c r="F364" s="7">
        <v>45657</v>
      </c>
      <c r="G364" t="s">
        <v>135</v>
      </c>
      <c r="H364" t="s">
        <v>108</v>
      </c>
      <c r="I364" t="s">
        <v>101</v>
      </c>
      <c r="J364">
        <v>8493.33</v>
      </c>
      <c r="K364">
        <v>1000000</v>
      </c>
    </row>
    <row r="365" spans="1:11" ht="12.75" customHeight="1" x14ac:dyDescent="0.2">
      <c r="A365" t="s">
        <v>1192</v>
      </c>
      <c r="B365" t="s">
        <v>6333</v>
      </c>
      <c r="C365">
        <v>2024</v>
      </c>
      <c r="D365">
        <v>2023</v>
      </c>
      <c r="E365" s="7">
        <v>45292</v>
      </c>
      <c r="F365" s="7">
        <v>45657</v>
      </c>
      <c r="G365" t="s">
        <v>135</v>
      </c>
      <c r="H365" t="s">
        <v>105</v>
      </c>
      <c r="I365" t="s">
        <v>101</v>
      </c>
      <c r="J365">
        <v>13631.74</v>
      </c>
      <c r="K365">
        <v>2000000</v>
      </c>
    </row>
    <row r="366" spans="1:11" ht="12.75" customHeight="1" x14ac:dyDescent="0.2">
      <c r="A366" t="s">
        <v>1194</v>
      </c>
      <c r="B366" t="s">
        <v>7857</v>
      </c>
      <c r="C366">
        <v>2024</v>
      </c>
      <c r="D366">
        <v>2023</v>
      </c>
      <c r="E366" s="7">
        <v>45292</v>
      </c>
      <c r="F366" s="7">
        <v>45657</v>
      </c>
      <c r="G366" t="s">
        <v>135</v>
      </c>
      <c r="H366" t="s">
        <v>105</v>
      </c>
      <c r="I366" t="s">
        <v>101</v>
      </c>
      <c r="J366">
        <v>11482.31</v>
      </c>
      <c r="K366">
        <v>1500000</v>
      </c>
    </row>
    <row r="367" spans="1:11" ht="12.75" customHeight="1" x14ac:dyDescent="0.2">
      <c r="A367" t="s">
        <v>1196</v>
      </c>
      <c r="B367" t="s">
        <v>7858</v>
      </c>
      <c r="C367">
        <v>2024</v>
      </c>
      <c r="D367">
        <v>2023</v>
      </c>
      <c r="E367" s="7">
        <v>45292</v>
      </c>
      <c r="F367" s="7">
        <v>45657</v>
      </c>
      <c r="G367" t="s">
        <v>135</v>
      </c>
      <c r="H367" t="s">
        <v>113</v>
      </c>
      <c r="I367" t="s">
        <v>101</v>
      </c>
      <c r="J367">
        <v>14139.82</v>
      </c>
      <c r="K367">
        <v>2000000</v>
      </c>
    </row>
    <row r="368" spans="1:11" ht="12.75" customHeight="1" x14ac:dyDescent="0.2">
      <c r="A368" t="s">
        <v>1197</v>
      </c>
      <c r="B368" t="s">
        <v>6335</v>
      </c>
      <c r="C368">
        <v>2024</v>
      </c>
      <c r="D368">
        <v>2023</v>
      </c>
      <c r="E368" s="7">
        <v>45292</v>
      </c>
      <c r="F368" s="7">
        <v>45657</v>
      </c>
      <c r="G368" t="s">
        <v>135</v>
      </c>
      <c r="H368" t="s">
        <v>106</v>
      </c>
      <c r="I368" t="s">
        <v>101</v>
      </c>
      <c r="J368">
        <v>8190.94</v>
      </c>
      <c r="K368">
        <v>1000000</v>
      </c>
    </row>
    <row r="369" spans="1:11" ht="12.75" customHeight="1" x14ac:dyDescent="0.2">
      <c r="A369" t="s">
        <v>1198</v>
      </c>
      <c r="B369" t="s">
        <v>6336</v>
      </c>
      <c r="C369">
        <v>2024</v>
      </c>
      <c r="D369">
        <v>2023</v>
      </c>
      <c r="E369" s="7">
        <v>45292</v>
      </c>
      <c r="F369" s="7">
        <v>45657</v>
      </c>
      <c r="G369" t="s">
        <v>135</v>
      </c>
      <c r="H369" t="s">
        <v>108</v>
      </c>
      <c r="I369" t="s">
        <v>101</v>
      </c>
      <c r="J369">
        <v>17829.240000000002</v>
      </c>
      <c r="K369">
        <v>2000000</v>
      </c>
    </row>
    <row r="370" spans="1:11" ht="12.75" customHeight="1" x14ac:dyDescent="0.2">
      <c r="A370" t="s">
        <v>1199</v>
      </c>
      <c r="B370" t="s">
        <v>7859</v>
      </c>
      <c r="C370">
        <v>2024</v>
      </c>
      <c r="D370">
        <v>2023</v>
      </c>
      <c r="E370" s="7">
        <v>45292</v>
      </c>
      <c r="F370" s="7">
        <v>45657</v>
      </c>
      <c r="G370" t="s">
        <v>135</v>
      </c>
      <c r="H370" t="s">
        <v>102</v>
      </c>
      <c r="I370" t="s">
        <v>101</v>
      </c>
      <c r="J370">
        <v>11789.12</v>
      </c>
      <c r="K370">
        <v>1500000</v>
      </c>
    </row>
    <row r="371" spans="1:11" ht="12.75" customHeight="1" x14ac:dyDescent="0.2">
      <c r="A371" t="s">
        <v>1200</v>
      </c>
      <c r="B371" t="s">
        <v>7860</v>
      </c>
      <c r="C371">
        <v>2024</v>
      </c>
      <c r="D371">
        <v>2023</v>
      </c>
      <c r="E371" s="7">
        <v>45292</v>
      </c>
      <c r="F371" s="7">
        <v>45657</v>
      </c>
      <c r="G371" t="s">
        <v>135</v>
      </c>
      <c r="H371" t="s">
        <v>102</v>
      </c>
      <c r="I371" t="s">
        <v>101</v>
      </c>
      <c r="J371">
        <v>7020.48</v>
      </c>
      <c r="K371">
        <v>1000000</v>
      </c>
    </row>
    <row r="372" spans="1:11" ht="12.75" customHeight="1" x14ac:dyDescent="0.2">
      <c r="A372" t="s">
        <v>1201</v>
      </c>
      <c r="B372" t="s">
        <v>7861</v>
      </c>
      <c r="C372">
        <v>2024</v>
      </c>
      <c r="D372">
        <v>2023</v>
      </c>
      <c r="E372" s="7">
        <v>45292</v>
      </c>
      <c r="F372" s="7">
        <v>45657</v>
      </c>
      <c r="G372" t="s">
        <v>135</v>
      </c>
      <c r="H372" t="s">
        <v>108</v>
      </c>
      <c r="I372" t="s">
        <v>104</v>
      </c>
      <c r="J372">
        <v>6712.01</v>
      </c>
      <c r="K372">
        <v>1000000</v>
      </c>
    </row>
    <row r="373" spans="1:11" ht="12.75" customHeight="1" x14ac:dyDescent="0.2">
      <c r="A373" t="s">
        <v>1202</v>
      </c>
      <c r="B373" t="s">
        <v>1191</v>
      </c>
      <c r="C373">
        <v>2024</v>
      </c>
      <c r="D373">
        <v>2023</v>
      </c>
      <c r="E373" s="7">
        <v>45293</v>
      </c>
      <c r="F373" s="7">
        <v>45658</v>
      </c>
      <c r="G373" t="s">
        <v>99</v>
      </c>
      <c r="H373" t="s">
        <v>102</v>
      </c>
      <c r="I373" t="s">
        <v>104</v>
      </c>
      <c r="J373">
        <v>5861.51</v>
      </c>
      <c r="K373">
        <v>1000000</v>
      </c>
    </row>
    <row r="374" spans="1:11" ht="12.75" customHeight="1" x14ac:dyDescent="0.2">
      <c r="A374" t="s">
        <v>1203</v>
      </c>
      <c r="B374" t="s">
        <v>1193</v>
      </c>
      <c r="C374">
        <v>2024</v>
      </c>
      <c r="D374">
        <v>2023</v>
      </c>
      <c r="E374" s="7">
        <v>45293</v>
      </c>
      <c r="F374" s="7">
        <v>45658</v>
      </c>
      <c r="G374" t="s">
        <v>99</v>
      </c>
      <c r="H374" t="s">
        <v>102</v>
      </c>
      <c r="I374" t="s">
        <v>101</v>
      </c>
      <c r="J374">
        <v>7688.6</v>
      </c>
      <c r="K374">
        <v>1000000</v>
      </c>
    </row>
    <row r="375" spans="1:11" ht="12.75" customHeight="1" x14ac:dyDescent="0.2">
      <c r="A375" t="s">
        <v>1204</v>
      </c>
      <c r="B375" t="s">
        <v>7862</v>
      </c>
      <c r="C375">
        <v>2024</v>
      </c>
      <c r="D375">
        <v>2023</v>
      </c>
      <c r="E375" s="7">
        <v>45293</v>
      </c>
      <c r="F375" s="7">
        <v>45658</v>
      </c>
      <c r="G375" t="s">
        <v>135</v>
      </c>
      <c r="H375" t="s">
        <v>113</v>
      </c>
      <c r="I375" t="s">
        <v>101</v>
      </c>
      <c r="J375">
        <v>10446.58</v>
      </c>
      <c r="K375">
        <v>1500000</v>
      </c>
    </row>
    <row r="376" spans="1:11" ht="12.75" customHeight="1" x14ac:dyDescent="0.2">
      <c r="A376" t="s">
        <v>1205</v>
      </c>
      <c r="B376" t="s">
        <v>7863</v>
      </c>
      <c r="C376">
        <v>2024</v>
      </c>
      <c r="D376">
        <v>2023</v>
      </c>
      <c r="E376" s="7">
        <v>45293</v>
      </c>
      <c r="F376" s="7">
        <v>45658</v>
      </c>
      <c r="G376" t="s">
        <v>135</v>
      </c>
      <c r="H376" t="s">
        <v>102</v>
      </c>
      <c r="I376" t="s">
        <v>104</v>
      </c>
      <c r="J376">
        <v>3155.69</v>
      </c>
      <c r="K376">
        <v>500000</v>
      </c>
    </row>
    <row r="377" spans="1:11" ht="12.75" customHeight="1" x14ac:dyDescent="0.2">
      <c r="A377" t="s">
        <v>1206</v>
      </c>
      <c r="B377" t="s">
        <v>6341</v>
      </c>
      <c r="C377">
        <v>2024</v>
      </c>
      <c r="D377">
        <v>2023</v>
      </c>
      <c r="E377" s="7">
        <v>45293</v>
      </c>
      <c r="F377" s="7">
        <v>45658</v>
      </c>
      <c r="G377" t="s">
        <v>135</v>
      </c>
      <c r="H377" t="s">
        <v>108</v>
      </c>
      <c r="I377" t="s">
        <v>101</v>
      </c>
      <c r="J377">
        <v>16827.48</v>
      </c>
      <c r="K377">
        <v>2000000</v>
      </c>
    </row>
    <row r="378" spans="1:11" ht="12.75" customHeight="1" x14ac:dyDescent="0.2">
      <c r="A378" t="s">
        <v>1208</v>
      </c>
      <c r="B378" t="s">
        <v>7864</v>
      </c>
      <c r="C378">
        <v>2024</v>
      </c>
      <c r="D378">
        <v>2023</v>
      </c>
      <c r="E378" s="7">
        <v>45293</v>
      </c>
      <c r="F378" s="7">
        <v>45658</v>
      </c>
      <c r="G378" t="s">
        <v>135</v>
      </c>
      <c r="H378" t="s">
        <v>102</v>
      </c>
      <c r="I378" t="s">
        <v>104</v>
      </c>
      <c r="J378">
        <v>9450.44</v>
      </c>
      <c r="K378">
        <v>1500000</v>
      </c>
    </row>
    <row r="379" spans="1:11" ht="12.75" customHeight="1" x14ac:dyDescent="0.2">
      <c r="A379" t="s">
        <v>1210</v>
      </c>
      <c r="B379" t="s">
        <v>7865</v>
      </c>
      <c r="C379">
        <v>2024</v>
      </c>
      <c r="D379">
        <v>2023</v>
      </c>
      <c r="E379" s="7">
        <v>45293</v>
      </c>
      <c r="F379" s="7">
        <v>45658</v>
      </c>
      <c r="G379" t="s">
        <v>135</v>
      </c>
      <c r="H379" t="s">
        <v>102</v>
      </c>
      <c r="I379" t="s">
        <v>104</v>
      </c>
      <c r="J379">
        <v>26342.79</v>
      </c>
      <c r="K379">
        <v>5000000</v>
      </c>
    </row>
    <row r="380" spans="1:11" ht="12.75" customHeight="1" x14ac:dyDescent="0.2">
      <c r="A380" t="s">
        <v>1212</v>
      </c>
      <c r="B380" t="s">
        <v>7866</v>
      </c>
      <c r="C380">
        <v>2024</v>
      </c>
      <c r="D380">
        <v>2023</v>
      </c>
      <c r="E380" s="7">
        <v>45293</v>
      </c>
      <c r="F380" s="7">
        <v>45658</v>
      </c>
      <c r="G380" t="s">
        <v>135</v>
      </c>
      <c r="H380" t="s">
        <v>106</v>
      </c>
      <c r="I380" t="s">
        <v>104</v>
      </c>
      <c r="J380">
        <v>7685.53</v>
      </c>
      <c r="K380">
        <v>1000000</v>
      </c>
    </row>
    <row r="381" spans="1:11" ht="12.75" customHeight="1" x14ac:dyDescent="0.2">
      <c r="A381" t="s">
        <v>1214</v>
      </c>
      <c r="B381" t="s">
        <v>7867</v>
      </c>
      <c r="C381">
        <v>2024</v>
      </c>
      <c r="D381">
        <v>2023</v>
      </c>
      <c r="E381" s="7">
        <v>45293</v>
      </c>
      <c r="F381" s="7">
        <v>45658</v>
      </c>
      <c r="G381" t="s">
        <v>135</v>
      </c>
      <c r="H381" t="s">
        <v>108</v>
      </c>
      <c r="I381" t="s">
        <v>101</v>
      </c>
      <c r="J381">
        <v>83684.320000000007</v>
      </c>
      <c r="K381">
        <v>10000000</v>
      </c>
    </row>
    <row r="382" spans="1:11" ht="12.75" customHeight="1" x14ac:dyDescent="0.2">
      <c r="A382" t="s">
        <v>1216</v>
      </c>
      <c r="B382" t="s">
        <v>136</v>
      </c>
      <c r="C382">
        <v>2024</v>
      </c>
      <c r="D382">
        <v>2023</v>
      </c>
      <c r="E382" s="7">
        <v>45293</v>
      </c>
      <c r="F382" s="7">
        <v>45658</v>
      </c>
      <c r="G382" t="s">
        <v>135</v>
      </c>
      <c r="H382" t="s">
        <v>105</v>
      </c>
      <c r="I382" t="s">
        <v>101</v>
      </c>
      <c r="J382">
        <v>7341.95</v>
      </c>
      <c r="K382">
        <v>1000000</v>
      </c>
    </row>
    <row r="383" spans="1:11" ht="12.75" customHeight="1" x14ac:dyDescent="0.2">
      <c r="A383" t="s">
        <v>1218</v>
      </c>
      <c r="B383" t="s">
        <v>181</v>
      </c>
      <c r="C383">
        <v>2024</v>
      </c>
      <c r="D383">
        <v>2023</v>
      </c>
      <c r="E383" s="7">
        <v>45293</v>
      </c>
      <c r="F383" s="7">
        <v>45658</v>
      </c>
      <c r="G383" t="s">
        <v>135</v>
      </c>
      <c r="H383" t="s">
        <v>102</v>
      </c>
      <c r="I383" t="s">
        <v>101</v>
      </c>
      <c r="J383">
        <v>33002.35</v>
      </c>
      <c r="K383">
        <v>5000000</v>
      </c>
    </row>
    <row r="384" spans="1:11" ht="12.75" customHeight="1" x14ac:dyDescent="0.2">
      <c r="A384" t="s">
        <v>1220</v>
      </c>
      <c r="B384" t="s">
        <v>671</v>
      </c>
      <c r="C384">
        <v>2024</v>
      </c>
      <c r="D384">
        <v>2023</v>
      </c>
      <c r="E384" s="7">
        <v>45293</v>
      </c>
      <c r="F384" s="7">
        <v>45658</v>
      </c>
      <c r="G384" t="s">
        <v>135</v>
      </c>
      <c r="H384" t="s">
        <v>102</v>
      </c>
      <c r="I384" t="s">
        <v>104</v>
      </c>
      <c r="J384">
        <v>8721.3700000000008</v>
      </c>
      <c r="K384">
        <v>1500000</v>
      </c>
    </row>
    <row r="385" spans="1:11" ht="12.75" customHeight="1" x14ac:dyDescent="0.2">
      <c r="A385" t="s">
        <v>1221</v>
      </c>
      <c r="B385" t="s">
        <v>7868</v>
      </c>
      <c r="C385">
        <v>2024</v>
      </c>
      <c r="D385">
        <v>2023</v>
      </c>
      <c r="E385" s="7">
        <v>45293</v>
      </c>
      <c r="F385" s="7">
        <v>45658</v>
      </c>
      <c r="G385" t="s">
        <v>135</v>
      </c>
      <c r="H385" t="s">
        <v>107</v>
      </c>
      <c r="I385" t="s">
        <v>104</v>
      </c>
      <c r="J385">
        <v>6123.68</v>
      </c>
      <c r="K385">
        <v>1000000</v>
      </c>
    </row>
    <row r="386" spans="1:11" ht="12.75" customHeight="1" x14ac:dyDescent="0.2">
      <c r="A386" t="s">
        <v>1222</v>
      </c>
      <c r="B386" t="s">
        <v>1195</v>
      </c>
      <c r="C386">
        <v>2024</v>
      </c>
      <c r="D386">
        <v>2023</v>
      </c>
      <c r="E386" s="7">
        <v>45294</v>
      </c>
      <c r="F386" s="7">
        <v>45659</v>
      </c>
      <c r="G386" t="s">
        <v>99</v>
      </c>
      <c r="H386" t="s">
        <v>102</v>
      </c>
      <c r="I386" t="s">
        <v>101</v>
      </c>
      <c r="J386">
        <v>6724.46</v>
      </c>
      <c r="K386">
        <v>1000000</v>
      </c>
    </row>
    <row r="387" spans="1:11" ht="12.75" customHeight="1" x14ac:dyDescent="0.2">
      <c r="A387" t="s">
        <v>1223</v>
      </c>
      <c r="B387" t="s">
        <v>1207</v>
      </c>
      <c r="C387">
        <v>2024</v>
      </c>
      <c r="D387">
        <v>2023</v>
      </c>
      <c r="E387" s="7">
        <v>45294</v>
      </c>
      <c r="F387" s="7">
        <v>45659</v>
      </c>
      <c r="G387" t="s">
        <v>99</v>
      </c>
      <c r="H387" t="s">
        <v>102</v>
      </c>
      <c r="I387" t="s">
        <v>101</v>
      </c>
      <c r="J387">
        <v>15489.47</v>
      </c>
      <c r="K387">
        <v>2000000</v>
      </c>
    </row>
    <row r="388" spans="1:11" ht="12.75" customHeight="1" x14ac:dyDescent="0.2">
      <c r="A388" t="s">
        <v>1224</v>
      </c>
      <c r="B388" t="s">
        <v>7869</v>
      </c>
      <c r="C388">
        <v>2024</v>
      </c>
      <c r="D388">
        <v>2023</v>
      </c>
      <c r="E388" s="7">
        <v>45294</v>
      </c>
      <c r="F388" s="7">
        <v>45659</v>
      </c>
      <c r="G388" t="s">
        <v>135</v>
      </c>
      <c r="H388" t="s">
        <v>112</v>
      </c>
      <c r="I388" t="s">
        <v>101</v>
      </c>
      <c r="J388">
        <v>19315.36</v>
      </c>
      <c r="K388">
        <v>2000000</v>
      </c>
    </row>
    <row r="389" spans="1:11" ht="12.75" customHeight="1" x14ac:dyDescent="0.2">
      <c r="A389" t="s">
        <v>1225</v>
      </c>
      <c r="B389" t="s">
        <v>6340</v>
      </c>
      <c r="C389">
        <v>2024</v>
      </c>
      <c r="D389">
        <v>2023</v>
      </c>
      <c r="E389" s="7">
        <v>45294</v>
      </c>
      <c r="F389" s="7">
        <v>45659</v>
      </c>
      <c r="G389" t="s">
        <v>135</v>
      </c>
      <c r="H389" t="s">
        <v>107</v>
      </c>
      <c r="I389" t="s">
        <v>101</v>
      </c>
      <c r="J389">
        <v>13226.39</v>
      </c>
      <c r="K389">
        <v>2000000</v>
      </c>
    </row>
    <row r="390" spans="1:11" ht="12.75" customHeight="1" x14ac:dyDescent="0.2">
      <c r="A390" t="s">
        <v>1226</v>
      </c>
      <c r="B390" t="s">
        <v>431</v>
      </c>
      <c r="C390">
        <v>2024</v>
      </c>
      <c r="D390">
        <v>2023</v>
      </c>
      <c r="E390" s="7">
        <v>45294</v>
      </c>
      <c r="F390" s="7">
        <v>45659</v>
      </c>
      <c r="G390" t="s">
        <v>135</v>
      </c>
      <c r="H390" t="s">
        <v>109</v>
      </c>
      <c r="I390" t="s">
        <v>101</v>
      </c>
      <c r="J390">
        <v>3365.61</v>
      </c>
      <c r="K390">
        <v>500000</v>
      </c>
    </row>
    <row r="391" spans="1:11" ht="12.75" customHeight="1" x14ac:dyDescent="0.2">
      <c r="A391" t="s">
        <v>1227</v>
      </c>
      <c r="B391" t="s">
        <v>7870</v>
      </c>
      <c r="C391">
        <v>2024</v>
      </c>
      <c r="D391">
        <v>2023</v>
      </c>
      <c r="E391" s="7">
        <v>45294</v>
      </c>
      <c r="F391" s="7">
        <v>45659</v>
      </c>
      <c r="G391" t="s">
        <v>135</v>
      </c>
      <c r="H391" t="s">
        <v>106</v>
      </c>
      <c r="I391" t="s">
        <v>104</v>
      </c>
      <c r="J391">
        <v>6852.28</v>
      </c>
      <c r="K391">
        <v>1000000</v>
      </c>
    </row>
    <row r="392" spans="1:11" ht="12.75" customHeight="1" x14ac:dyDescent="0.2">
      <c r="A392" t="s">
        <v>1229</v>
      </c>
      <c r="B392" t="s">
        <v>7871</v>
      </c>
      <c r="C392">
        <v>2024</v>
      </c>
      <c r="D392">
        <v>2023</v>
      </c>
      <c r="E392" s="7">
        <v>45294</v>
      </c>
      <c r="F392" s="7">
        <v>45659</v>
      </c>
      <c r="G392" t="s">
        <v>135</v>
      </c>
      <c r="H392" t="s">
        <v>116</v>
      </c>
      <c r="I392" t="s">
        <v>101</v>
      </c>
      <c r="J392">
        <v>7433.46</v>
      </c>
      <c r="K392">
        <v>1000000</v>
      </c>
    </row>
    <row r="393" spans="1:11" ht="12.75" customHeight="1" x14ac:dyDescent="0.2">
      <c r="A393" t="s">
        <v>1231</v>
      </c>
      <c r="B393" t="s">
        <v>1209</v>
      </c>
      <c r="C393">
        <v>2024</v>
      </c>
      <c r="D393">
        <v>2023</v>
      </c>
      <c r="E393" s="7">
        <v>45295</v>
      </c>
      <c r="F393" s="7">
        <v>45660</v>
      </c>
      <c r="G393" t="s">
        <v>99</v>
      </c>
      <c r="H393" t="s">
        <v>6348</v>
      </c>
      <c r="I393" t="s">
        <v>101</v>
      </c>
      <c r="J393">
        <v>7039.03</v>
      </c>
      <c r="K393">
        <v>1000000</v>
      </c>
    </row>
    <row r="394" spans="1:11" ht="12.75" customHeight="1" x14ac:dyDescent="0.2">
      <c r="A394" t="s">
        <v>1233</v>
      </c>
      <c r="B394" t="s">
        <v>1211</v>
      </c>
      <c r="C394">
        <v>2024</v>
      </c>
      <c r="D394">
        <v>2023</v>
      </c>
      <c r="E394" s="7">
        <v>45295</v>
      </c>
      <c r="F394" s="7">
        <v>45660</v>
      </c>
      <c r="G394" t="s">
        <v>99</v>
      </c>
      <c r="H394" t="s">
        <v>112</v>
      </c>
      <c r="I394" t="s">
        <v>104</v>
      </c>
      <c r="J394">
        <v>76834.679999999993</v>
      </c>
      <c r="K394">
        <v>10000000</v>
      </c>
    </row>
    <row r="395" spans="1:11" ht="12.75" customHeight="1" x14ac:dyDescent="0.2">
      <c r="A395" t="s">
        <v>1235</v>
      </c>
      <c r="B395" t="s">
        <v>7872</v>
      </c>
      <c r="C395">
        <v>2024</v>
      </c>
      <c r="D395">
        <v>2023</v>
      </c>
      <c r="E395" s="7">
        <v>45295</v>
      </c>
      <c r="F395" s="7">
        <v>45660</v>
      </c>
      <c r="G395" t="s">
        <v>135</v>
      </c>
      <c r="H395" t="s">
        <v>103</v>
      </c>
      <c r="I395" t="s">
        <v>104</v>
      </c>
      <c r="J395">
        <v>9350.09</v>
      </c>
      <c r="K395">
        <v>1500000</v>
      </c>
    </row>
    <row r="396" spans="1:11" ht="12.75" customHeight="1" x14ac:dyDescent="0.2">
      <c r="A396" t="s">
        <v>1236</v>
      </c>
      <c r="B396" t="s">
        <v>6356</v>
      </c>
      <c r="C396">
        <v>2024</v>
      </c>
      <c r="D396">
        <v>2023</v>
      </c>
      <c r="E396" s="7">
        <v>45295</v>
      </c>
      <c r="F396" s="7">
        <v>45660</v>
      </c>
      <c r="G396" t="s">
        <v>135</v>
      </c>
      <c r="H396" t="s">
        <v>112</v>
      </c>
      <c r="I396" t="s">
        <v>101</v>
      </c>
      <c r="J396">
        <v>13659.98</v>
      </c>
      <c r="K396">
        <v>1500000</v>
      </c>
    </row>
    <row r="397" spans="1:11" ht="12.75" customHeight="1" x14ac:dyDescent="0.2">
      <c r="A397" t="s">
        <v>1237</v>
      </c>
      <c r="B397" t="s">
        <v>7873</v>
      </c>
      <c r="C397">
        <v>2024</v>
      </c>
      <c r="D397">
        <v>2023</v>
      </c>
      <c r="E397" s="7">
        <v>45295</v>
      </c>
      <c r="F397" s="7">
        <v>45660</v>
      </c>
      <c r="G397" t="s">
        <v>135</v>
      </c>
      <c r="H397" t="s">
        <v>102</v>
      </c>
      <c r="I397" t="s">
        <v>104</v>
      </c>
      <c r="J397">
        <v>11637.13</v>
      </c>
      <c r="K397">
        <v>2000000</v>
      </c>
    </row>
    <row r="398" spans="1:11" ht="12.75" customHeight="1" x14ac:dyDescent="0.2">
      <c r="A398" t="s">
        <v>1238</v>
      </c>
      <c r="B398" t="s">
        <v>7874</v>
      </c>
      <c r="C398">
        <v>2024</v>
      </c>
      <c r="D398">
        <v>2023</v>
      </c>
      <c r="E398" s="7">
        <v>45295</v>
      </c>
      <c r="F398" s="7">
        <v>45660</v>
      </c>
      <c r="G398" t="s">
        <v>135</v>
      </c>
      <c r="H398" t="s">
        <v>103</v>
      </c>
      <c r="I398" t="s">
        <v>101</v>
      </c>
      <c r="J398">
        <v>6696.34</v>
      </c>
      <c r="K398">
        <v>1000000</v>
      </c>
    </row>
    <row r="399" spans="1:11" ht="12.75" customHeight="1" x14ac:dyDescent="0.2">
      <c r="A399" t="s">
        <v>1239</v>
      </c>
      <c r="B399" t="s">
        <v>7875</v>
      </c>
      <c r="C399">
        <v>2024</v>
      </c>
      <c r="D399">
        <v>2023</v>
      </c>
      <c r="E399" s="7">
        <v>45295</v>
      </c>
      <c r="F399" s="7">
        <v>45660</v>
      </c>
      <c r="G399" t="s">
        <v>135</v>
      </c>
      <c r="H399" t="s">
        <v>108</v>
      </c>
      <c r="I399" t="s">
        <v>104</v>
      </c>
      <c r="J399">
        <v>14436.93</v>
      </c>
      <c r="K399">
        <v>2000000</v>
      </c>
    </row>
    <row r="400" spans="1:11" ht="12.75" customHeight="1" x14ac:dyDescent="0.2">
      <c r="A400" t="s">
        <v>1240</v>
      </c>
      <c r="B400" t="s">
        <v>6338</v>
      </c>
      <c r="C400">
        <v>2024</v>
      </c>
      <c r="D400">
        <v>2023</v>
      </c>
      <c r="E400" s="7">
        <v>45295</v>
      </c>
      <c r="F400" s="7">
        <v>45660</v>
      </c>
      <c r="G400" t="s">
        <v>135</v>
      </c>
      <c r="H400" t="s">
        <v>106</v>
      </c>
      <c r="I400" t="s">
        <v>101</v>
      </c>
      <c r="J400">
        <v>43967.5</v>
      </c>
      <c r="K400">
        <v>5000000</v>
      </c>
    </row>
    <row r="401" spans="1:11" ht="12.75" customHeight="1" x14ac:dyDescent="0.2">
      <c r="A401" t="s">
        <v>1241</v>
      </c>
      <c r="B401" t="s">
        <v>7876</v>
      </c>
      <c r="C401">
        <v>2024</v>
      </c>
      <c r="D401">
        <v>2023</v>
      </c>
      <c r="E401" s="7">
        <v>45295</v>
      </c>
      <c r="F401" s="7">
        <v>45660</v>
      </c>
      <c r="G401" t="s">
        <v>135</v>
      </c>
      <c r="H401" t="s">
        <v>105</v>
      </c>
      <c r="I401" t="s">
        <v>101</v>
      </c>
      <c r="J401">
        <v>7129.76</v>
      </c>
      <c r="K401">
        <v>1000000</v>
      </c>
    </row>
    <row r="402" spans="1:11" ht="12.75" customHeight="1" x14ac:dyDescent="0.2">
      <c r="A402" t="s">
        <v>1242</v>
      </c>
      <c r="B402" t="s">
        <v>7877</v>
      </c>
      <c r="C402">
        <v>2024</v>
      </c>
      <c r="D402">
        <v>2023</v>
      </c>
      <c r="E402" s="7">
        <v>45295</v>
      </c>
      <c r="F402" s="7">
        <v>45660</v>
      </c>
      <c r="G402" t="s">
        <v>135</v>
      </c>
      <c r="H402" t="s">
        <v>108</v>
      </c>
      <c r="I402" t="s">
        <v>101</v>
      </c>
      <c r="J402">
        <v>14008.79</v>
      </c>
      <c r="K402">
        <v>1500000</v>
      </c>
    </row>
    <row r="403" spans="1:11" ht="12.75" customHeight="1" x14ac:dyDescent="0.2">
      <c r="A403" t="s">
        <v>1243</v>
      </c>
      <c r="B403" t="s">
        <v>7878</v>
      </c>
      <c r="C403">
        <v>2024</v>
      </c>
      <c r="D403">
        <v>2023</v>
      </c>
      <c r="E403" s="7">
        <v>45295</v>
      </c>
      <c r="F403" s="7">
        <v>45660</v>
      </c>
      <c r="G403" t="s">
        <v>135</v>
      </c>
      <c r="H403" t="s">
        <v>107</v>
      </c>
      <c r="I403" t="s">
        <v>101</v>
      </c>
      <c r="J403">
        <v>77626.240000000005</v>
      </c>
      <c r="K403">
        <v>10000000</v>
      </c>
    </row>
    <row r="404" spans="1:11" ht="12.75" customHeight="1" x14ac:dyDescent="0.2">
      <c r="A404" t="s">
        <v>1244</v>
      </c>
      <c r="B404" t="s">
        <v>432</v>
      </c>
      <c r="C404">
        <v>2024</v>
      </c>
      <c r="D404">
        <v>2023</v>
      </c>
      <c r="E404" s="7">
        <v>45295</v>
      </c>
      <c r="F404" s="7">
        <v>45660</v>
      </c>
      <c r="G404" t="s">
        <v>135</v>
      </c>
      <c r="H404" t="s">
        <v>108</v>
      </c>
      <c r="I404" t="s">
        <v>104</v>
      </c>
      <c r="J404">
        <v>10426.73</v>
      </c>
      <c r="K404">
        <v>1500000</v>
      </c>
    </row>
    <row r="405" spans="1:11" ht="12.75" customHeight="1" x14ac:dyDescent="0.2">
      <c r="A405" t="s">
        <v>1246</v>
      </c>
      <c r="B405" t="s">
        <v>7879</v>
      </c>
      <c r="C405">
        <v>2024</v>
      </c>
      <c r="D405">
        <v>2023</v>
      </c>
      <c r="E405" s="7">
        <v>45295</v>
      </c>
      <c r="F405" s="7">
        <v>45660</v>
      </c>
      <c r="G405" t="s">
        <v>135</v>
      </c>
      <c r="H405" t="s">
        <v>115</v>
      </c>
      <c r="I405" t="s">
        <v>104</v>
      </c>
      <c r="J405">
        <v>8419.92</v>
      </c>
      <c r="K405">
        <v>1500000</v>
      </c>
    </row>
    <row r="406" spans="1:11" ht="12.75" customHeight="1" x14ac:dyDescent="0.2">
      <c r="A406" t="s">
        <v>1248</v>
      </c>
      <c r="B406" t="s">
        <v>233</v>
      </c>
      <c r="C406">
        <v>2024</v>
      </c>
      <c r="D406">
        <v>2023</v>
      </c>
      <c r="E406" s="7">
        <v>45295</v>
      </c>
      <c r="F406" s="7">
        <v>45660</v>
      </c>
      <c r="G406" t="s">
        <v>135</v>
      </c>
      <c r="H406" t="s">
        <v>108</v>
      </c>
      <c r="I406" t="s">
        <v>104</v>
      </c>
      <c r="J406">
        <v>3483.35</v>
      </c>
      <c r="K406">
        <v>500000</v>
      </c>
    </row>
    <row r="407" spans="1:11" ht="12.75" customHeight="1" x14ac:dyDescent="0.2">
      <c r="A407" t="s">
        <v>1250</v>
      </c>
      <c r="B407" t="s">
        <v>7880</v>
      </c>
      <c r="C407">
        <v>2024</v>
      </c>
      <c r="D407">
        <v>2023</v>
      </c>
      <c r="E407" s="7">
        <v>45295</v>
      </c>
      <c r="F407" s="7">
        <v>45660</v>
      </c>
      <c r="G407" t="s">
        <v>135</v>
      </c>
      <c r="H407" t="s">
        <v>102</v>
      </c>
      <c r="I407" t="s">
        <v>104</v>
      </c>
      <c r="J407">
        <v>8566.1299999999992</v>
      </c>
      <c r="K407">
        <v>1500000</v>
      </c>
    </row>
    <row r="408" spans="1:11" ht="12.75" customHeight="1" x14ac:dyDescent="0.2">
      <c r="A408" t="s">
        <v>1252</v>
      </c>
      <c r="B408" t="s">
        <v>1213</v>
      </c>
      <c r="C408">
        <v>2024</v>
      </c>
      <c r="D408">
        <v>2023</v>
      </c>
      <c r="E408" s="7">
        <v>45296</v>
      </c>
      <c r="F408" s="7">
        <v>45661</v>
      </c>
      <c r="G408" t="s">
        <v>99</v>
      </c>
      <c r="H408" t="s">
        <v>106</v>
      </c>
      <c r="I408" t="s">
        <v>104</v>
      </c>
      <c r="J408">
        <v>37571.160000000003</v>
      </c>
      <c r="K408">
        <v>5000000</v>
      </c>
    </row>
    <row r="409" spans="1:11" ht="12.75" customHeight="1" x14ac:dyDescent="0.2">
      <c r="A409" t="s">
        <v>1254</v>
      </c>
      <c r="B409" t="s">
        <v>1215</v>
      </c>
      <c r="C409">
        <v>2024</v>
      </c>
      <c r="D409">
        <v>2023</v>
      </c>
      <c r="E409" s="7">
        <v>45296</v>
      </c>
      <c r="F409" s="7">
        <v>45661</v>
      </c>
      <c r="G409" t="s">
        <v>99</v>
      </c>
      <c r="H409" t="s">
        <v>102</v>
      </c>
      <c r="I409" t="s">
        <v>104</v>
      </c>
      <c r="J409">
        <v>5204.8</v>
      </c>
      <c r="K409">
        <v>1000000</v>
      </c>
    </row>
    <row r="410" spans="1:11" ht="12.75" customHeight="1" x14ac:dyDescent="0.2">
      <c r="A410" t="s">
        <v>1256</v>
      </c>
      <c r="B410" t="s">
        <v>1217</v>
      </c>
      <c r="C410">
        <v>2024</v>
      </c>
      <c r="D410">
        <v>2023</v>
      </c>
      <c r="E410" s="7">
        <v>45296</v>
      </c>
      <c r="F410" s="7">
        <v>45661</v>
      </c>
      <c r="G410" t="s">
        <v>99</v>
      </c>
      <c r="H410" t="s">
        <v>106</v>
      </c>
      <c r="I410" t="s">
        <v>101</v>
      </c>
      <c r="J410">
        <v>19560.04</v>
      </c>
      <c r="K410">
        <v>2000000</v>
      </c>
    </row>
    <row r="411" spans="1:11" ht="12.75" customHeight="1" x14ac:dyDescent="0.2">
      <c r="A411" t="s">
        <v>1257</v>
      </c>
      <c r="B411" t="s">
        <v>234</v>
      </c>
      <c r="C411">
        <v>2024</v>
      </c>
      <c r="D411">
        <v>2023</v>
      </c>
      <c r="E411" s="7">
        <v>45296</v>
      </c>
      <c r="F411" s="7">
        <v>45661</v>
      </c>
      <c r="G411" t="s">
        <v>135</v>
      </c>
      <c r="H411" t="s">
        <v>109</v>
      </c>
      <c r="I411" t="s">
        <v>101</v>
      </c>
      <c r="J411">
        <v>3256.67</v>
      </c>
      <c r="K411">
        <v>500000</v>
      </c>
    </row>
    <row r="412" spans="1:11" ht="12.75" customHeight="1" x14ac:dyDescent="0.2">
      <c r="A412" t="s">
        <v>1258</v>
      </c>
      <c r="B412" t="s">
        <v>7881</v>
      </c>
      <c r="C412">
        <v>2024</v>
      </c>
      <c r="D412">
        <v>2023</v>
      </c>
      <c r="E412" s="7">
        <v>45296</v>
      </c>
      <c r="F412" s="7">
        <v>45661</v>
      </c>
      <c r="G412" t="s">
        <v>135</v>
      </c>
      <c r="H412" t="s">
        <v>102</v>
      </c>
      <c r="I412" t="s">
        <v>101</v>
      </c>
      <c r="J412">
        <v>78733.55</v>
      </c>
      <c r="K412">
        <v>10000000</v>
      </c>
    </row>
    <row r="413" spans="1:11" ht="12.75" customHeight="1" x14ac:dyDescent="0.2">
      <c r="A413" t="s">
        <v>1259</v>
      </c>
      <c r="B413" t="s">
        <v>235</v>
      </c>
      <c r="C413">
        <v>2024</v>
      </c>
      <c r="D413">
        <v>2023</v>
      </c>
      <c r="E413" s="7">
        <v>45296</v>
      </c>
      <c r="F413" s="7">
        <v>45661</v>
      </c>
      <c r="G413" t="s">
        <v>135</v>
      </c>
      <c r="H413" t="s">
        <v>108</v>
      </c>
      <c r="I413" t="s">
        <v>101</v>
      </c>
      <c r="J413">
        <v>19123.490000000002</v>
      </c>
      <c r="K413">
        <v>2000000</v>
      </c>
    </row>
    <row r="414" spans="1:11" ht="12.75" customHeight="1" x14ac:dyDescent="0.2">
      <c r="A414" t="s">
        <v>1260</v>
      </c>
      <c r="B414" t="s">
        <v>236</v>
      </c>
      <c r="C414">
        <v>2024</v>
      </c>
      <c r="D414">
        <v>2023</v>
      </c>
      <c r="E414" s="7">
        <v>45296</v>
      </c>
      <c r="F414" s="7">
        <v>45661</v>
      </c>
      <c r="G414" t="s">
        <v>135</v>
      </c>
      <c r="H414" t="s">
        <v>102</v>
      </c>
      <c r="I414" t="s">
        <v>104</v>
      </c>
      <c r="J414">
        <v>8984.8799999999992</v>
      </c>
      <c r="K414">
        <v>1500000</v>
      </c>
    </row>
    <row r="415" spans="1:11" ht="12.75" customHeight="1" x14ac:dyDescent="0.2">
      <c r="A415" t="s">
        <v>1261</v>
      </c>
      <c r="B415" t="s">
        <v>6351</v>
      </c>
      <c r="C415">
        <v>2024</v>
      </c>
      <c r="D415">
        <v>2023</v>
      </c>
      <c r="E415" s="7">
        <v>45296</v>
      </c>
      <c r="F415" s="7">
        <v>45661</v>
      </c>
      <c r="G415" t="s">
        <v>135</v>
      </c>
      <c r="H415" t="s">
        <v>107</v>
      </c>
      <c r="I415" t="s">
        <v>104</v>
      </c>
      <c r="J415">
        <v>11774.1</v>
      </c>
      <c r="K415">
        <v>2000000</v>
      </c>
    </row>
    <row r="416" spans="1:11" ht="12.75" customHeight="1" x14ac:dyDescent="0.2">
      <c r="A416" t="s">
        <v>1262</v>
      </c>
      <c r="B416" t="s">
        <v>6352</v>
      </c>
      <c r="C416">
        <v>2024</v>
      </c>
      <c r="D416">
        <v>2023</v>
      </c>
      <c r="E416" s="7">
        <v>45296</v>
      </c>
      <c r="F416" s="7">
        <v>45661</v>
      </c>
      <c r="G416" t="s">
        <v>135</v>
      </c>
      <c r="H416" t="s">
        <v>106</v>
      </c>
      <c r="I416" t="s">
        <v>101</v>
      </c>
      <c r="J416">
        <v>17789.46</v>
      </c>
      <c r="K416">
        <v>2000000</v>
      </c>
    </row>
    <row r="417" spans="1:11" ht="12.75" customHeight="1" x14ac:dyDescent="0.2">
      <c r="A417" t="s">
        <v>1263</v>
      </c>
      <c r="B417" t="s">
        <v>7882</v>
      </c>
      <c r="C417">
        <v>2024</v>
      </c>
      <c r="D417">
        <v>2023</v>
      </c>
      <c r="E417" s="7">
        <v>45296</v>
      </c>
      <c r="F417" s="7">
        <v>45661</v>
      </c>
      <c r="G417" t="s">
        <v>135</v>
      </c>
      <c r="H417" t="s">
        <v>115</v>
      </c>
      <c r="I417" t="s">
        <v>101</v>
      </c>
      <c r="J417">
        <v>3470.55</v>
      </c>
      <c r="K417">
        <v>500000</v>
      </c>
    </row>
    <row r="418" spans="1:11" ht="12.75" customHeight="1" x14ac:dyDescent="0.2">
      <c r="A418" t="s">
        <v>1264</v>
      </c>
      <c r="B418" t="s">
        <v>6343</v>
      </c>
      <c r="C418">
        <v>2024</v>
      </c>
      <c r="D418">
        <v>2023</v>
      </c>
      <c r="E418" s="7">
        <v>45296</v>
      </c>
      <c r="F418" s="7">
        <v>45661</v>
      </c>
      <c r="G418" t="s">
        <v>135</v>
      </c>
      <c r="H418" t="s">
        <v>108</v>
      </c>
      <c r="I418" t="s">
        <v>101</v>
      </c>
      <c r="J418">
        <v>19202.830000000002</v>
      </c>
      <c r="K418">
        <v>2000000</v>
      </c>
    </row>
    <row r="419" spans="1:11" ht="12.75" customHeight="1" x14ac:dyDescent="0.2">
      <c r="A419" t="s">
        <v>1266</v>
      </c>
      <c r="B419" t="s">
        <v>6350</v>
      </c>
      <c r="C419">
        <v>2024</v>
      </c>
      <c r="D419">
        <v>2023</v>
      </c>
      <c r="E419" s="7">
        <v>45296</v>
      </c>
      <c r="F419" s="7">
        <v>45661</v>
      </c>
      <c r="G419" t="s">
        <v>135</v>
      </c>
      <c r="H419" t="s">
        <v>102</v>
      </c>
      <c r="I419" t="s">
        <v>101</v>
      </c>
      <c r="J419">
        <v>3660.37</v>
      </c>
      <c r="K419">
        <v>500000</v>
      </c>
    </row>
    <row r="420" spans="1:11" ht="12.75" customHeight="1" x14ac:dyDescent="0.2">
      <c r="A420" t="s">
        <v>1268</v>
      </c>
      <c r="B420" t="s">
        <v>7883</v>
      </c>
      <c r="C420">
        <v>2024</v>
      </c>
      <c r="D420">
        <v>2023</v>
      </c>
      <c r="E420" s="7">
        <v>45296</v>
      </c>
      <c r="F420" s="7">
        <v>45661</v>
      </c>
      <c r="G420" t="s">
        <v>135</v>
      </c>
      <c r="H420" t="s">
        <v>115</v>
      </c>
      <c r="I420" t="s">
        <v>104</v>
      </c>
      <c r="J420">
        <v>11096.57</v>
      </c>
      <c r="K420">
        <v>2000000</v>
      </c>
    </row>
    <row r="421" spans="1:11" ht="12.75" customHeight="1" x14ac:dyDescent="0.2">
      <c r="A421" t="s">
        <v>1269</v>
      </c>
      <c r="B421" t="s">
        <v>6353</v>
      </c>
      <c r="C421">
        <v>2024</v>
      </c>
      <c r="D421">
        <v>2023</v>
      </c>
      <c r="E421" s="7">
        <v>45296</v>
      </c>
      <c r="F421" s="7">
        <v>45661</v>
      </c>
      <c r="G421" t="s">
        <v>135</v>
      </c>
      <c r="H421" t="s">
        <v>106</v>
      </c>
      <c r="I421" t="s">
        <v>101</v>
      </c>
      <c r="J421">
        <v>17430.41</v>
      </c>
      <c r="K421">
        <v>2000000</v>
      </c>
    </row>
    <row r="422" spans="1:11" ht="12.75" customHeight="1" x14ac:dyDescent="0.2">
      <c r="A422" t="s">
        <v>1270</v>
      </c>
      <c r="B422" t="s">
        <v>433</v>
      </c>
      <c r="C422">
        <v>2024</v>
      </c>
      <c r="D422">
        <v>2023</v>
      </c>
      <c r="E422" s="7">
        <v>45296</v>
      </c>
      <c r="F422" s="7">
        <v>45661</v>
      </c>
      <c r="G422" t="s">
        <v>135</v>
      </c>
      <c r="H422" t="s">
        <v>108</v>
      </c>
      <c r="I422" t="s">
        <v>101</v>
      </c>
      <c r="J422">
        <v>8100.11</v>
      </c>
      <c r="K422">
        <v>1000000</v>
      </c>
    </row>
    <row r="423" spans="1:11" ht="12.75" customHeight="1" x14ac:dyDescent="0.2">
      <c r="A423" t="s">
        <v>1271</v>
      </c>
      <c r="B423" t="s">
        <v>6342</v>
      </c>
      <c r="C423">
        <v>2024</v>
      </c>
      <c r="D423">
        <v>2023</v>
      </c>
      <c r="E423" s="7">
        <v>45296</v>
      </c>
      <c r="F423" s="7">
        <v>45661</v>
      </c>
      <c r="G423" t="s">
        <v>135</v>
      </c>
      <c r="H423" t="s">
        <v>105</v>
      </c>
      <c r="I423" t="s">
        <v>104</v>
      </c>
      <c r="J423">
        <v>9073.0400000000009</v>
      </c>
      <c r="K423">
        <v>1500000</v>
      </c>
    </row>
    <row r="424" spans="1:11" ht="12.75" customHeight="1" x14ac:dyDescent="0.2">
      <c r="A424" t="s">
        <v>1272</v>
      </c>
      <c r="B424" t="s">
        <v>672</v>
      </c>
      <c r="C424">
        <v>2024</v>
      </c>
      <c r="D424">
        <v>2023</v>
      </c>
      <c r="E424" s="7">
        <v>45296</v>
      </c>
      <c r="F424" s="7">
        <v>45661</v>
      </c>
      <c r="G424" t="s">
        <v>135</v>
      </c>
      <c r="H424" t="s">
        <v>106</v>
      </c>
      <c r="I424" t="s">
        <v>101</v>
      </c>
      <c r="J424">
        <v>16245.08</v>
      </c>
      <c r="K424">
        <v>2000000</v>
      </c>
    </row>
    <row r="425" spans="1:11" ht="12.75" customHeight="1" x14ac:dyDescent="0.2">
      <c r="A425" t="s">
        <v>1273</v>
      </c>
      <c r="B425" t="s">
        <v>1219</v>
      </c>
      <c r="C425">
        <v>2024</v>
      </c>
      <c r="D425">
        <v>2023</v>
      </c>
      <c r="E425" s="7">
        <v>45297</v>
      </c>
      <c r="F425" s="7">
        <v>45662</v>
      </c>
      <c r="G425" t="s">
        <v>99</v>
      </c>
      <c r="H425" t="s">
        <v>102</v>
      </c>
      <c r="I425" t="s">
        <v>101</v>
      </c>
      <c r="J425">
        <v>13287.62</v>
      </c>
      <c r="K425">
        <v>2000000</v>
      </c>
    </row>
    <row r="426" spans="1:11" ht="12.75" customHeight="1" x14ac:dyDescent="0.2">
      <c r="A426" t="s">
        <v>1274</v>
      </c>
      <c r="B426" t="s">
        <v>1228</v>
      </c>
      <c r="C426">
        <v>2024</v>
      </c>
      <c r="D426">
        <v>2023</v>
      </c>
      <c r="E426" s="7">
        <v>45297</v>
      </c>
      <c r="F426" s="7">
        <v>45662</v>
      </c>
      <c r="G426" t="s">
        <v>99</v>
      </c>
      <c r="H426" t="s">
        <v>108</v>
      </c>
      <c r="I426" t="s">
        <v>104</v>
      </c>
      <c r="J426">
        <v>37390.19</v>
      </c>
      <c r="K426">
        <v>5000000</v>
      </c>
    </row>
    <row r="427" spans="1:11" ht="12.75" customHeight="1" x14ac:dyDescent="0.2">
      <c r="A427" t="s">
        <v>1275</v>
      </c>
      <c r="B427" t="s">
        <v>1230</v>
      </c>
      <c r="C427">
        <v>2024</v>
      </c>
      <c r="D427">
        <v>2023</v>
      </c>
      <c r="E427" s="7">
        <v>45297</v>
      </c>
      <c r="F427" s="7">
        <v>45662</v>
      </c>
      <c r="G427" t="s">
        <v>99</v>
      </c>
      <c r="H427" t="s">
        <v>109</v>
      </c>
      <c r="I427" t="s">
        <v>104</v>
      </c>
      <c r="J427">
        <v>5325.07</v>
      </c>
      <c r="K427">
        <v>1000000</v>
      </c>
    </row>
    <row r="428" spans="1:11" ht="12.75" customHeight="1" x14ac:dyDescent="0.2">
      <c r="A428" t="s">
        <v>1276</v>
      </c>
      <c r="B428" t="s">
        <v>7884</v>
      </c>
      <c r="C428">
        <v>2024</v>
      </c>
      <c r="D428">
        <v>2023</v>
      </c>
      <c r="E428" s="7">
        <v>45297</v>
      </c>
      <c r="F428" s="7">
        <v>45662</v>
      </c>
      <c r="G428" t="s">
        <v>135</v>
      </c>
      <c r="H428" t="s">
        <v>102</v>
      </c>
      <c r="I428" t="s">
        <v>104</v>
      </c>
      <c r="J428">
        <v>5179.51</v>
      </c>
      <c r="K428">
        <v>1000000</v>
      </c>
    </row>
    <row r="429" spans="1:11" ht="12.75" customHeight="1" x14ac:dyDescent="0.2">
      <c r="A429" t="s">
        <v>1277</v>
      </c>
      <c r="B429" t="s">
        <v>6345</v>
      </c>
      <c r="C429">
        <v>2024</v>
      </c>
      <c r="D429">
        <v>2023</v>
      </c>
      <c r="E429" s="7">
        <v>45297</v>
      </c>
      <c r="F429" s="7">
        <v>45662</v>
      </c>
      <c r="G429" t="s">
        <v>135</v>
      </c>
      <c r="H429" t="s">
        <v>109</v>
      </c>
      <c r="I429" t="s">
        <v>104</v>
      </c>
      <c r="J429">
        <v>9414.43</v>
      </c>
      <c r="K429">
        <v>1500000</v>
      </c>
    </row>
    <row r="430" spans="1:11" ht="12.75" customHeight="1" x14ac:dyDescent="0.2">
      <c r="A430" t="s">
        <v>1278</v>
      </c>
      <c r="B430" t="s">
        <v>7885</v>
      </c>
      <c r="C430">
        <v>2024</v>
      </c>
      <c r="D430">
        <v>2023</v>
      </c>
      <c r="E430" s="7">
        <v>45297</v>
      </c>
      <c r="F430" s="7">
        <v>45662</v>
      </c>
      <c r="G430" t="s">
        <v>135</v>
      </c>
      <c r="H430" t="s">
        <v>102</v>
      </c>
      <c r="I430" t="s">
        <v>101</v>
      </c>
      <c r="J430">
        <v>7762.37</v>
      </c>
      <c r="K430">
        <v>1000000</v>
      </c>
    </row>
    <row r="431" spans="1:11" ht="12.75" customHeight="1" x14ac:dyDescent="0.2">
      <c r="A431" t="s">
        <v>1279</v>
      </c>
      <c r="B431" t="s">
        <v>673</v>
      </c>
      <c r="C431">
        <v>2024</v>
      </c>
      <c r="D431">
        <v>2023</v>
      </c>
      <c r="E431" s="7">
        <v>45297</v>
      </c>
      <c r="F431" s="7">
        <v>45662</v>
      </c>
      <c r="G431" t="s">
        <v>135</v>
      </c>
      <c r="H431" t="s">
        <v>103</v>
      </c>
      <c r="I431" t="s">
        <v>104</v>
      </c>
      <c r="J431">
        <v>8393.2999999999993</v>
      </c>
      <c r="K431">
        <v>1500000</v>
      </c>
    </row>
    <row r="432" spans="1:11" ht="12.75" customHeight="1" x14ac:dyDescent="0.2">
      <c r="A432" t="s">
        <v>1281</v>
      </c>
      <c r="B432" t="s">
        <v>7886</v>
      </c>
      <c r="C432">
        <v>2024</v>
      </c>
      <c r="D432">
        <v>2023</v>
      </c>
      <c r="E432" s="7">
        <v>45297</v>
      </c>
      <c r="F432" s="7">
        <v>45662</v>
      </c>
      <c r="G432" t="s">
        <v>135</v>
      </c>
      <c r="H432" t="s">
        <v>112</v>
      </c>
      <c r="I432" t="s">
        <v>101</v>
      </c>
      <c r="J432">
        <v>8882.9500000000007</v>
      </c>
      <c r="K432">
        <v>1000000</v>
      </c>
    </row>
    <row r="433" spans="1:11" ht="12.75" customHeight="1" x14ac:dyDescent="0.2">
      <c r="A433" t="s">
        <v>1283</v>
      </c>
      <c r="B433" t="s">
        <v>237</v>
      </c>
      <c r="C433">
        <v>2024</v>
      </c>
      <c r="D433">
        <v>2023</v>
      </c>
      <c r="E433" s="7">
        <v>45297</v>
      </c>
      <c r="F433" s="7">
        <v>45662</v>
      </c>
      <c r="G433" t="s">
        <v>135</v>
      </c>
      <c r="H433" t="s">
        <v>112</v>
      </c>
      <c r="I433" t="s">
        <v>101</v>
      </c>
      <c r="J433">
        <v>4813.41</v>
      </c>
      <c r="K433">
        <v>500000</v>
      </c>
    </row>
    <row r="434" spans="1:11" ht="12.75" customHeight="1" x14ac:dyDescent="0.2">
      <c r="A434" t="s">
        <v>1285</v>
      </c>
      <c r="B434" t="s">
        <v>7887</v>
      </c>
      <c r="C434">
        <v>2024</v>
      </c>
      <c r="D434">
        <v>2023</v>
      </c>
      <c r="E434" s="7">
        <v>45297</v>
      </c>
      <c r="F434" s="7">
        <v>45662</v>
      </c>
      <c r="G434" t="s">
        <v>135</v>
      </c>
      <c r="H434" t="s">
        <v>113</v>
      </c>
      <c r="I434" t="s">
        <v>104</v>
      </c>
      <c r="J434">
        <v>9076.7900000000009</v>
      </c>
      <c r="K434">
        <v>1500000</v>
      </c>
    </row>
    <row r="435" spans="1:11" ht="12.75" customHeight="1" x14ac:dyDescent="0.2">
      <c r="A435" t="s">
        <v>1287</v>
      </c>
      <c r="B435" t="s">
        <v>6346</v>
      </c>
      <c r="C435">
        <v>2024</v>
      </c>
      <c r="D435">
        <v>2023</v>
      </c>
      <c r="E435" s="7">
        <v>45297</v>
      </c>
      <c r="F435" s="7">
        <v>45662</v>
      </c>
      <c r="G435" t="s">
        <v>135</v>
      </c>
      <c r="H435" t="s">
        <v>115</v>
      </c>
      <c r="I435" t="s">
        <v>104</v>
      </c>
      <c r="J435">
        <v>11054.43</v>
      </c>
      <c r="K435">
        <v>2000000</v>
      </c>
    </row>
    <row r="436" spans="1:11" ht="12.75" customHeight="1" x14ac:dyDescent="0.2">
      <c r="A436" t="s">
        <v>1289</v>
      </c>
      <c r="B436" t="s">
        <v>7888</v>
      </c>
      <c r="C436">
        <v>2024</v>
      </c>
      <c r="D436">
        <v>2023</v>
      </c>
      <c r="E436" s="7">
        <v>45297</v>
      </c>
      <c r="F436" s="7">
        <v>45662</v>
      </c>
      <c r="G436" t="s">
        <v>135</v>
      </c>
      <c r="H436" t="s">
        <v>6337</v>
      </c>
      <c r="I436" t="s">
        <v>104</v>
      </c>
      <c r="J436">
        <v>11772.61</v>
      </c>
      <c r="K436">
        <v>2000000</v>
      </c>
    </row>
    <row r="437" spans="1:11" ht="12.75" customHeight="1" x14ac:dyDescent="0.2">
      <c r="A437" t="s">
        <v>1291</v>
      </c>
      <c r="B437" t="s">
        <v>7889</v>
      </c>
      <c r="C437">
        <v>2024</v>
      </c>
      <c r="D437">
        <v>2023</v>
      </c>
      <c r="E437" s="7">
        <v>45297</v>
      </c>
      <c r="F437" s="7">
        <v>45662</v>
      </c>
      <c r="G437" t="s">
        <v>135</v>
      </c>
      <c r="H437" t="s">
        <v>102</v>
      </c>
      <c r="I437" t="s">
        <v>104</v>
      </c>
      <c r="J437">
        <v>53013.95</v>
      </c>
      <c r="K437">
        <v>10000000</v>
      </c>
    </row>
    <row r="438" spans="1:11" ht="12.75" customHeight="1" x14ac:dyDescent="0.2">
      <c r="A438" t="s">
        <v>1293</v>
      </c>
      <c r="B438" t="s">
        <v>7890</v>
      </c>
      <c r="C438">
        <v>2024</v>
      </c>
      <c r="D438">
        <v>2023</v>
      </c>
      <c r="E438" s="7">
        <v>45297</v>
      </c>
      <c r="F438" s="7">
        <v>45662</v>
      </c>
      <c r="G438" t="s">
        <v>135</v>
      </c>
      <c r="H438" t="s">
        <v>111</v>
      </c>
      <c r="I438" t="s">
        <v>101</v>
      </c>
      <c r="J438">
        <v>10472.5</v>
      </c>
      <c r="K438">
        <v>1500000</v>
      </c>
    </row>
    <row r="439" spans="1:11" ht="12.75" customHeight="1" x14ac:dyDescent="0.2">
      <c r="A439" t="s">
        <v>1294</v>
      </c>
      <c r="B439" t="s">
        <v>7312</v>
      </c>
      <c r="C439">
        <v>2024</v>
      </c>
      <c r="D439">
        <v>2023</v>
      </c>
      <c r="E439" s="7">
        <v>45297</v>
      </c>
      <c r="F439" s="7">
        <v>45662</v>
      </c>
      <c r="G439" t="s">
        <v>135</v>
      </c>
      <c r="H439" t="s">
        <v>108</v>
      </c>
      <c r="I439" t="s">
        <v>101</v>
      </c>
      <c r="J439">
        <v>19605.669999999998</v>
      </c>
      <c r="K439">
        <v>2000000</v>
      </c>
    </row>
    <row r="440" spans="1:11" ht="12.75" customHeight="1" x14ac:dyDescent="0.2">
      <c r="A440" t="s">
        <v>1295</v>
      </c>
      <c r="B440" t="s">
        <v>7891</v>
      </c>
      <c r="C440">
        <v>2024</v>
      </c>
      <c r="D440">
        <v>2023</v>
      </c>
      <c r="E440" s="7">
        <v>45297</v>
      </c>
      <c r="F440" s="7">
        <v>45662</v>
      </c>
      <c r="G440" t="s">
        <v>135</v>
      </c>
      <c r="H440" t="s">
        <v>106</v>
      </c>
      <c r="I440" t="s">
        <v>104</v>
      </c>
      <c r="J440">
        <v>10138.02</v>
      </c>
      <c r="K440">
        <v>1500000</v>
      </c>
    </row>
    <row r="441" spans="1:11" ht="12.75" customHeight="1" x14ac:dyDescent="0.2">
      <c r="A441" t="s">
        <v>1296</v>
      </c>
      <c r="B441" t="s">
        <v>7892</v>
      </c>
      <c r="C441">
        <v>2024</v>
      </c>
      <c r="D441">
        <v>2023</v>
      </c>
      <c r="E441" s="7">
        <v>45297</v>
      </c>
      <c r="F441" s="7">
        <v>45662</v>
      </c>
      <c r="G441" t="s">
        <v>135</v>
      </c>
      <c r="H441" t="s">
        <v>108</v>
      </c>
      <c r="I441" t="s">
        <v>104</v>
      </c>
      <c r="J441">
        <v>9966.5300000000007</v>
      </c>
      <c r="K441">
        <v>1500000</v>
      </c>
    </row>
    <row r="442" spans="1:11" ht="12.75" customHeight="1" x14ac:dyDescent="0.2">
      <c r="A442" t="s">
        <v>1297</v>
      </c>
      <c r="B442" t="s">
        <v>6344</v>
      </c>
      <c r="C442">
        <v>2024</v>
      </c>
      <c r="D442">
        <v>2023</v>
      </c>
      <c r="E442" s="7">
        <v>45297</v>
      </c>
      <c r="F442" s="7">
        <v>45662</v>
      </c>
      <c r="G442" t="s">
        <v>135</v>
      </c>
      <c r="H442" t="s">
        <v>102</v>
      </c>
      <c r="I442" t="s">
        <v>101</v>
      </c>
      <c r="J442">
        <v>7488.06</v>
      </c>
      <c r="K442">
        <v>1000000</v>
      </c>
    </row>
    <row r="443" spans="1:11" ht="12.75" customHeight="1" x14ac:dyDescent="0.2">
      <c r="A443" t="s">
        <v>1298</v>
      </c>
      <c r="B443" t="s">
        <v>7893</v>
      </c>
      <c r="C443">
        <v>2024</v>
      </c>
      <c r="D443">
        <v>2023</v>
      </c>
      <c r="E443" s="7">
        <v>45297</v>
      </c>
      <c r="F443" s="7">
        <v>45662</v>
      </c>
      <c r="G443" t="s">
        <v>135</v>
      </c>
      <c r="H443" t="s">
        <v>102</v>
      </c>
      <c r="I443" t="s">
        <v>101</v>
      </c>
      <c r="J443">
        <v>6977.58</v>
      </c>
      <c r="K443">
        <v>1000000</v>
      </c>
    </row>
    <row r="444" spans="1:11" ht="12.75" customHeight="1" x14ac:dyDescent="0.2">
      <c r="A444" t="s">
        <v>1299</v>
      </c>
      <c r="B444" t="s">
        <v>7894</v>
      </c>
      <c r="C444">
        <v>2024</v>
      </c>
      <c r="D444">
        <v>2023</v>
      </c>
      <c r="E444" s="7">
        <v>45297</v>
      </c>
      <c r="F444" s="7">
        <v>45662</v>
      </c>
      <c r="G444" t="s">
        <v>135</v>
      </c>
      <c r="H444" t="s">
        <v>113</v>
      </c>
      <c r="I444" t="s">
        <v>101</v>
      </c>
      <c r="J444">
        <v>11326.76</v>
      </c>
      <c r="K444">
        <v>1500000</v>
      </c>
    </row>
    <row r="445" spans="1:11" ht="12.75" customHeight="1" x14ac:dyDescent="0.2">
      <c r="A445" t="s">
        <v>1300</v>
      </c>
      <c r="B445" t="s">
        <v>434</v>
      </c>
      <c r="C445">
        <v>2024</v>
      </c>
      <c r="D445">
        <v>2023</v>
      </c>
      <c r="E445" s="7">
        <v>45297</v>
      </c>
      <c r="F445" s="7">
        <v>45662</v>
      </c>
      <c r="G445" t="s">
        <v>135</v>
      </c>
      <c r="H445" t="s">
        <v>115</v>
      </c>
      <c r="I445" t="s">
        <v>104</v>
      </c>
      <c r="J445">
        <v>2739.95</v>
      </c>
      <c r="K445">
        <v>500000</v>
      </c>
    </row>
    <row r="446" spans="1:11" ht="12.75" customHeight="1" x14ac:dyDescent="0.2">
      <c r="A446" t="s">
        <v>1302</v>
      </c>
      <c r="B446" t="s">
        <v>1232</v>
      </c>
      <c r="C446">
        <v>2024</v>
      </c>
      <c r="D446">
        <v>2023</v>
      </c>
      <c r="E446" s="7">
        <v>45298</v>
      </c>
      <c r="F446" s="7">
        <v>45663</v>
      </c>
      <c r="G446" t="s">
        <v>99</v>
      </c>
      <c r="H446" t="s">
        <v>102</v>
      </c>
      <c r="I446" t="s">
        <v>101</v>
      </c>
      <c r="J446">
        <v>7285.95</v>
      </c>
      <c r="K446">
        <v>1000000</v>
      </c>
    </row>
    <row r="447" spans="1:11" ht="12.75" customHeight="1" x14ac:dyDescent="0.2">
      <c r="A447" t="s">
        <v>1304</v>
      </c>
      <c r="B447" t="s">
        <v>1234</v>
      </c>
      <c r="C447">
        <v>2024</v>
      </c>
      <c r="D447">
        <v>2023</v>
      </c>
      <c r="E447" s="7">
        <v>45298</v>
      </c>
      <c r="F447" s="7">
        <v>45663</v>
      </c>
      <c r="G447" t="s">
        <v>99</v>
      </c>
      <c r="H447" t="s">
        <v>108</v>
      </c>
      <c r="I447" t="s">
        <v>101</v>
      </c>
      <c r="J447">
        <v>47908.2</v>
      </c>
      <c r="K447">
        <v>5000000</v>
      </c>
    </row>
    <row r="448" spans="1:11" ht="12.75" customHeight="1" x14ac:dyDescent="0.2">
      <c r="A448" t="s">
        <v>1306</v>
      </c>
      <c r="B448" t="s">
        <v>7895</v>
      </c>
      <c r="C448">
        <v>2024</v>
      </c>
      <c r="D448">
        <v>2023</v>
      </c>
      <c r="E448" s="7">
        <v>45298</v>
      </c>
      <c r="F448" s="7">
        <v>45663</v>
      </c>
      <c r="G448" t="s">
        <v>135</v>
      </c>
      <c r="H448" t="s">
        <v>106</v>
      </c>
      <c r="I448" t="s">
        <v>104</v>
      </c>
      <c r="J448">
        <v>3870.63</v>
      </c>
      <c r="K448">
        <v>500000</v>
      </c>
    </row>
    <row r="449" spans="1:11" ht="12.75" customHeight="1" x14ac:dyDescent="0.2">
      <c r="A449" t="s">
        <v>1307</v>
      </c>
      <c r="B449" t="s">
        <v>7896</v>
      </c>
      <c r="C449">
        <v>2024</v>
      </c>
      <c r="D449">
        <v>2023</v>
      </c>
      <c r="E449" s="7">
        <v>45298</v>
      </c>
      <c r="F449" s="7">
        <v>45663</v>
      </c>
      <c r="G449" t="s">
        <v>135</v>
      </c>
      <c r="H449" t="s">
        <v>100</v>
      </c>
      <c r="I449" t="s">
        <v>104</v>
      </c>
      <c r="J449">
        <v>3086.29</v>
      </c>
      <c r="K449">
        <v>500000</v>
      </c>
    </row>
    <row r="450" spans="1:11" ht="12.75" customHeight="1" x14ac:dyDescent="0.2">
      <c r="A450" t="s">
        <v>1308</v>
      </c>
      <c r="B450" t="s">
        <v>674</v>
      </c>
      <c r="C450">
        <v>2024</v>
      </c>
      <c r="D450">
        <v>2023</v>
      </c>
      <c r="E450" s="7">
        <v>45298</v>
      </c>
      <c r="F450" s="7">
        <v>45663</v>
      </c>
      <c r="G450" t="s">
        <v>135</v>
      </c>
      <c r="H450" t="s">
        <v>107</v>
      </c>
      <c r="I450" t="s">
        <v>101</v>
      </c>
      <c r="J450">
        <v>6808.26</v>
      </c>
      <c r="K450">
        <v>1000000</v>
      </c>
    </row>
    <row r="451" spans="1:11" ht="12.75" customHeight="1" x14ac:dyDescent="0.2">
      <c r="A451" t="s">
        <v>1309</v>
      </c>
      <c r="B451" t="s">
        <v>7897</v>
      </c>
      <c r="C451">
        <v>2024</v>
      </c>
      <c r="D451">
        <v>2023</v>
      </c>
      <c r="E451" s="7">
        <v>45298</v>
      </c>
      <c r="F451" s="7">
        <v>45663</v>
      </c>
      <c r="G451" t="s">
        <v>135</v>
      </c>
      <c r="H451" t="s">
        <v>105</v>
      </c>
      <c r="I451" t="s">
        <v>104</v>
      </c>
      <c r="J451">
        <v>5977.81</v>
      </c>
      <c r="K451">
        <v>1000000</v>
      </c>
    </row>
    <row r="452" spans="1:11" ht="12.75" customHeight="1" x14ac:dyDescent="0.2">
      <c r="A452" t="s">
        <v>1310</v>
      </c>
      <c r="B452" t="s">
        <v>6360</v>
      </c>
      <c r="C452">
        <v>2024</v>
      </c>
      <c r="D452">
        <v>2023</v>
      </c>
      <c r="E452" s="7">
        <v>45298</v>
      </c>
      <c r="F452" s="7">
        <v>45663</v>
      </c>
      <c r="G452" t="s">
        <v>135</v>
      </c>
      <c r="H452" t="s">
        <v>102</v>
      </c>
      <c r="I452" t="s">
        <v>104</v>
      </c>
      <c r="J452">
        <v>2894.84</v>
      </c>
      <c r="K452">
        <v>500000</v>
      </c>
    </row>
    <row r="453" spans="1:11" ht="12.75" customHeight="1" x14ac:dyDescent="0.2">
      <c r="A453" t="s">
        <v>1311</v>
      </c>
      <c r="B453" t="s">
        <v>7898</v>
      </c>
      <c r="C453">
        <v>2024</v>
      </c>
      <c r="D453">
        <v>2023</v>
      </c>
      <c r="E453" s="7">
        <v>45298</v>
      </c>
      <c r="F453" s="7">
        <v>45663</v>
      </c>
      <c r="G453" t="s">
        <v>135</v>
      </c>
      <c r="H453" t="s">
        <v>107</v>
      </c>
      <c r="I453" t="s">
        <v>101</v>
      </c>
      <c r="J453">
        <v>14523.48</v>
      </c>
      <c r="K453">
        <v>2000000</v>
      </c>
    </row>
    <row r="454" spans="1:11" ht="12.75" customHeight="1" x14ac:dyDescent="0.2">
      <c r="A454" t="s">
        <v>1312</v>
      </c>
      <c r="B454" t="s">
        <v>6354</v>
      </c>
      <c r="C454">
        <v>2024</v>
      </c>
      <c r="D454">
        <v>2023</v>
      </c>
      <c r="E454" s="7">
        <v>45298</v>
      </c>
      <c r="F454" s="7">
        <v>45663</v>
      </c>
      <c r="G454" t="s">
        <v>135</v>
      </c>
      <c r="H454" t="s">
        <v>106</v>
      </c>
      <c r="I454" t="s">
        <v>104</v>
      </c>
      <c r="J454">
        <v>7640.98</v>
      </c>
      <c r="K454">
        <v>1000000</v>
      </c>
    </row>
    <row r="455" spans="1:11" ht="12.75" customHeight="1" x14ac:dyDescent="0.2">
      <c r="A455" t="s">
        <v>1313</v>
      </c>
      <c r="B455" t="s">
        <v>7899</v>
      </c>
      <c r="C455">
        <v>2024</v>
      </c>
      <c r="D455">
        <v>2023</v>
      </c>
      <c r="E455" s="7">
        <v>45298</v>
      </c>
      <c r="F455" s="7">
        <v>45663</v>
      </c>
      <c r="G455" t="s">
        <v>135</v>
      </c>
      <c r="H455" t="s">
        <v>113</v>
      </c>
      <c r="I455" t="s">
        <v>104</v>
      </c>
      <c r="J455">
        <v>11612.65</v>
      </c>
      <c r="K455">
        <v>2000000</v>
      </c>
    </row>
    <row r="456" spans="1:11" ht="12.75" customHeight="1" x14ac:dyDescent="0.2">
      <c r="A456" t="s">
        <v>1314</v>
      </c>
      <c r="B456" t="s">
        <v>1245</v>
      </c>
      <c r="C456">
        <v>2024</v>
      </c>
      <c r="D456">
        <v>2023</v>
      </c>
      <c r="E456" s="7">
        <v>45299</v>
      </c>
      <c r="F456" s="7">
        <v>45664</v>
      </c>
      <c r="G456" t="s">
        <v>99</v>
      </c>
      <c r="H456" t="s">
        <v>106</v>
      </c>
      <c r="I456" t="s">
        <v>104</v>
      </c>
      <c r="J456">
        <v>7530.98</v>
      </c>
      <c r="K456">
        <v>1000000</v>
      </c>
    </row>
    <row r="457" spans="1:11" ht="12.75" customHeight="1" x14ac:dyDescent="0.2">
      <c r="A457" t="s">
        <v>1315</v>
      </c>
      <c r="B457" t="s">
        <v>1247</v>
      </c>
      <c r="C457">
        <v>2024</v>
      </c>
      <c r="D457">
        <v>2023</v>
      </c>
      <c r="E457" s="7">
        <v>45299</v>
      </c>
      <c r="F457" s="7">
        <v>45664</v>
      </c>
      <c r="G457" t="s">
        <v>99</v>
      </c>
      <c r="H457" t="s">
        <v>6348</v>
      </c>
      <c r="I457" t="s">
        <v>104</v>
      </c>
      <c r="J457">
        <v>30844.6</v>
      </c>
      <c r="K457">
        <v>5000000</v>
      </c>
    </row>
    <row r="458" spans="1:11" ht="12.75" customHeight="1" x14ac:dyDescent="0.2">
      <c r="A458" t="s">
        <v>1316</v>
      </c>
      <c r="B458" t="s">
        <v>182</v>
      </c>
      <c r="C458">
        <v>2024</v>
      </c>
      <c r="D458">
        <v>2023</v>
      </c>
      <c r="E458" s="7">
        <v>45299</v>
      </c>
      <c r="F458" s="7">
        <v>45664</v>
      </c>
      <c r="G458" t="s">
        <v>135</v>
      </c>
      <c r="H458" t="s">
        <v>102</v>
      </c>
      <c r="I458" t="s">
        <v>101</v>
      </c>
      <c r="J458">
        <v>73302.899999999994</v>
      </c>
      <c r="K458">
        <v>10000000</v>
      </c>
    </row>
    <row r="459" spans="1:11" ht="12.75" customHeight="1" x14ac:dyDescent="0.2">
      <c r="A459" t="s">
        <v>1317</v>
      </c>
      <c r="B459" t="s">
        <v>7900</v>
      </c>
      <c r="C459">
        <v>2024</v>
      </c>
      <c r="D459">
        <v>2023</v>
      </c>
      <c r="E459" s="7">
        <v>45299</v>
      </c>
      <c r="F459" s="7">
        <v>45664</v>
      </c>
      <c r="G459" t="s">
        <v>135</v>
      </c>
      <c r="H459" t="s">
        <v>108</v>
      </c>
      <c r="I459" t="s">
        <v>101</v>
      </c>
      <c r="J459">
        <v>43331.839999999997</v>
      </c>
      <c r="K459">
        <v>5000000</v>
      </c>
    </row>
    <row r="460" spans="1:11" ht="12.75" customHeight="1" x14ac:dyDescent="0.2">
      <c r="A460" t="s">
        <v>1319</v>
      </c>
      <c r="B460" t="s">
        <v>6355</v>
      </c>
      <c r="C460">
        <v>2024</v>
      </c>
      <c r="D460">
        <v>2023</v>
      </c>
      <c r="E460" s="7">
        <v>45299</v>
      </c>
      <c r="F460" s="7">
        <v>45664</v>
      </c>
      <c r="G460" t="s">
        <v>135</v>
      </c>
      <c r="H460" t="s">
        <v>115</v>
      </c>
      <c r="I460" t="s">
        <v>104</v>
      </c>
      <c r="J460">
        <v>2769.31</v>
      </c>
      <c r="K460">
        <v>500000</v>
      </c>
    </row>
    <row r="461" spans="1:11" ht="12.75" customHeight="1" x14ac:dyDescent="0.2">
      <c r="A461" t="s">
        <v>1321</v>
      </c>
      <c r="B461" t="s">
        <v>676</v>
      </c>
      <c r="C461">
        <v>2024</v>
      </c>
      <c r="D461">
        <v>2023</v>
      </c>
      <c r="E461" s="7">
        <v>45299</v>
      </c>
      <c r="F461" s="7">
        <v>45664</v>
      </c>
      <c r="G461" t="s">
        <v>135</v>
      </c>
      <c r="H461" t="s">
        <v>107</v>
      </c>
      <c r="I461" t="s">
        <v>104</v>
      </c>
      <c r="J461">
        <v>8654.5400000000009</v>
      </c>
      <c r="K461">
        <v>1500000</v>
      </c>
    </row>
    <row r="462" spans="1:11" ht="12.75" customHeight="1" x14ac:dyDescent="0.2">
      <c r="A462" t="s">
        <v>1322</v>
      </c>
      <c r="B462" t="s">
        <v>675</v>
      </c>
      <c r="C462">
        <v>2024</v>
      </c>
      <c r="D462">
        <v>2023</v>
      </c>
      <c r="E462" s="7">
        <v>45299</v>
      </c>
      <c r="F462" s="7">
        <v>45664</v>
      </c>
      <c r="G462" t="s">
        <v>135</v>
      </c>
      <c r="H462" t="s">
        <v>105</v>
      </c>
      <c r="I462" t="s">
        <v>101</v>
      </c>
      <c r="J462">
        <v>7439.41</v>
      </c>
      <c r="K462">
        <v>1000000</v>
      </c>
    </row>
    <row r="463" spans="1:11" ht="12.75" customHeight="1" x14ac:dyDescent="0.2">
      <c r="A463" t="s">
        <v>1324</v>
      </c>
      <c r="B463" t="s">
        <v>7901</v>
      </c>
      <c r="C463">
        <v>2024</v>
      </c>
      <c r="D463">
        <v>2023</v>
      </c>
      <c r="E463" s="7">
        <v>45299</v>
      </c>
      <c r="F463" s="7">
        <v>45664</v>
      </c>
      <c r="G463" t="s">
        <v>135</v>
      </c>
      <c r="H463" t="s">
        <v>113</v>
      </c>
      <c r="I463" t="s">
        <v>101</v>
      </c>
      <c r="J463">
        <v>7653.24</v>
      </c>
      <c r="K463">
        <v>1000000</v>
      </c>
    </row>
    <row r="464" spans="1:11" ht="12.75" customHeight="1" x14ac:dyDescent="0.2">
      <c r="A464" t="s">
        <v>1326</v>
      </c>
      <c r="B464" t="s">
        <v>7269</v>
      </c>
      <c r="C464">
        <v>2024</v>
      </c>
      <c r="D464">
        <v>2023</v>
      </c>
      <c r="E464" s="7">
        <v>45299</v>
      </c>
      <c r="F464" s="7">
        <v>45664</v>
      </c>
      <c r="G464" t="s">
        <v>135</v>
      </c>
      <c r="H464" t="s">
        <v>106</v>
      </c>
      <c r="I464" t="s">
        <v>101</v>
      </c>
      <c r="J464">
        <v>9520.11</v>
      </c>
      <c r="K464">
        <v>1000000</v>
      </c>
    </row>
    <row r="465" spans="1:11" ht="12.75" customHeight="1" x14ac:dyDescent="0.2">
      <c r="A465" t="s">
        <v>1328</v>
      </c>
      <c r="B465" t="s">
        <v>435</v>
      </c>
      <c r="C465">
        <v>2024</v>
      </c>
      <c r="D465">
        <v>2023</v>
      </c>
      <c r="E465" s="7">
        <v>45299</v>
      </c>
      <c r="F465" s="7">
        <v>45664</v>
      </c>
      <c r="G465" t="s">
        <v>135</v>
      </c>
      <c r="H465" t="s">
        <v>108</v>
      </c>
      <c r="I465" t="s">
        <v>104</v>
      </c>
      <c r="J465">
        <v>7148.04</v>
      </c>
      <c r="K465">
        <v>1000000</v>
      </c>
    </row>
    <row r="466" spans="1:11" ht="12.75" customHeight="1" x14ac:dyDescent="0.2">
      <c r="A466" t="s">
        <v>1330</v>
      </c>
      <c r="B466" t="s">
        <v>6357</v>
      </c>
      <c r="C466">
        <v>2024</v>
      </c>
      <c r="D466">
        <v>2023</v>
      </c>
      <c r="E466" s="7">
        <v>45299</v>
      </c>
      <c r="F466" s="7">
        <v>45664</v>
      </c>
      <c r="G466" t="s">
        <v>135</v>
      </c>
      <c r="H466" t="s">
        <v>102</v>
      </c>
      <c r="I466" t="s">
        <v>101</v>
      </c>
      <c r="J466">
        <v>38296.58</v>
      </c>
      <c r="K466">
        <v>5000000</v>
      </c>
    </row>
    <row r="467" spans="1:11" ht="12.75" customHeight="1" x14ac:dyDescent="0.2">
      <c r="A467" t="s">
        <v>1332</v>
      </c>
      <c r="B467" t="s">
        <v>7902</v>
      </c>
      <c r="C467">
        <v>2024</v>
      </c>
      <c r="D467">
        <v>2023</v>
      </c>
      <c r="E467" s="7">
        <v>45299</v>
      </c>
      <c r="F467" s="7">
        <v>45664</v>
      </c>
      <c r="G467" t="s">
        <v>135</v>
      </c>
      <c r="H467" t="s">
        <v>107</v>
      </c>
      <c r="I467" t="s">
        <v>101</v>
      </c>
      <c r="J467">
        <v>11206.11</v>
      </c>
      <c r="K467">
        <v>1500000</v>
      </c>
    </row>
    <row r="468" spans="1:11" ht="12.75" customHeight="1" x14ac:dyDescent="0.2">
      <c r="A468" t="s">
        <v>1334</v>
      </c>
      <c r="B468" t="s">
        <v>238</v>
      </c>
      <c r="C468">
        <v>2024</v>
      </c>
      <c r="D468">
        <v>2023</v>
      </c>
      <c r="E468" s="7">
        <v>45299</v>
      </c>
      <c r="F468" s="7">
        <v>45664</v>
      </c>
      <c r="G468" t="s">
        <v>135</v>
      </c>
      <c r="H468" t="s">
        <v>102</v>
      </c>
      <c r="I468" t="s">
        <v>101</v>
      </c>
      <c r="J468">
        <v>9970.69</v>
      </c>
      <c r="K468">
        <v>1500000</v>
      </c>
    </row>
    <row r="469" spans="1:11" ht="12.75" customHeight="1" x14ac:dyDescent="0.2">
      <c r="A469" t="s">
        <v>1336</v>
      </c>
      <c r="B469" t="s">
        <v>7903</v>
      </c>
      <c r="C469">
        <v>2024</v>
      </c>
      <c r="D469">
        <v>2023</v>
      </c>
      <c r="E469" s="7">
        <v>45299</v>
      </c>
      <c r="F469" s="7">
        <v>45664</v>
      </c>
      <c r="G469" t="s">
        <v>135</v>
      </c>
      <c r="H469" t="s">
        <v>116</v>
      </c>
      <c r="I469" t="s">
        <v>101</v>
      </c>
      <c r="J469">
        <v>65463.14</v>
      </c>
      <c r="K469">
        <v>10000000</v>
      </c>
    </row>
    <row r="470" spans="1:11" ht="12.75" customHeight="1" x14ac:dyDescent="0.2">
      <c r="A470" t="s">
        <v>1337</v>
      </c>
      <c r="B470" t="s">
        <v>1249</v>
      </c>
      <c r="C470">
        <v>2024</v>
      </c>
      <c r="D470">
        <v>2023</v>
      </c>
      <c r="E470" s="7">
        <v>45300</v>
      </c>
      <c r="F470" s="7">
        <v>45665</v>
      </c>
      <c r="G470" t="s">
        <v>99</v>
      </c>
      <c r="H470" t="s">
        <v>110</v>
      </c>
      <c r="I470" t="s">
        <v>101</v>
      </c>
      <c r="J470">
        <v>12404.1</v>
      </c>
      <c r="K470">
        <v>1500000</v>
      </c>
    </row>
    <row r="471" spans="1:11" ht="12.75" customHeight="1" x14ac:dyDescent="0.2">
      <c r="A471" t="s">
        <v>1338</v>
      </c>
      <c r="B471" t="s">
        <v>6347</v>
      </c>
      <c r="C471">
        <v>2024</v>
      </c>
      <c r="D471">
        <v>2023</v>
      </c>
      <c r="E471" s="7">
        <v>45300</v>
      </c>
      <c r="F471" s="7">
        <v>45665</v>
      </c>
      <c r="G471" t="s">
        <v>135</v>
      </c>
      <c r="H471" t="s">
        <v>106</v>
      </c>
      <c r="I471" t="s">
        <v>104</v>
      </c>
      <c r="J471">
        <v>3907.77</v>
      </c>
      <c r="K471">
        <v>500000</v>
      </c>
    </row>
    <row r="472" spans="1:11" ht="12.75" customHeight="1" x14ac:dyDescent="0.2">
      <c r="A472" t="s">
        <v>1339</v>
      </c>
      <c r="B472" t="s">
        <v>6349</v>
      </c>
      <c r="C472">
        <v>2024</v>
      </c>
      <c r="D472">
        <v>2023</v>
      </c>
      <c r="E472" s="7">
        <v>45300</v>
      </c>
      <c r="F472" s="7">
        <v>45665</v>
      </c>
      <c r="G472" t="s">
        <v>135</v>
      </c>
      <c r="H472" t="s">
        <v>108</v>
      </c>
      <c r="I472" t="s">
        <v>104</v>
      </c>
      <c r="J472">
        <v>3606.86</v>
      </c>
      <c r="K472">
        <v>500000</v>
      </c>
    </row>
    <row r="473" spans="1:11" ht="12.75" customHeight="1" x14ac:dyDescent="0.2">
      <c r="A473" t="s">
        <v>1340</v>
      </c>
      <c r="B473" t="s">
        <v>677</v>
      </c>
      <c r="C473">
        <v>2024</v>
      </c>
      <c r="D473">
        <v>2023</v>
      </c>
      <c r="E473" s="7">
        <v>45300</v>
      </c>
      <c r="F473" s="7">
        <v>45665</v>
      </c>
      <c r="G473" t="s">
        <v>135</v>
      </c>
      <c r="H473" t="s">
        <v>102</v>
      </c>
      <c r="I473" t="s">
        <v>104</v>
      </c>
      <c r="J473">
        <v>11954.07</v>
      </c>
      <c r="K473">
        <v>2000000</v>
      </c>
    </row>
    <row r="474" spans="1:11" ht="12.75" customHeight="1" x14ac:dyDescent="0.2">
      <c r="A474" t="s">
        <v>1341</v>
      </c>
      <c r="B474" t="s">
        <v>678</v>
      </c>
      <c r="C474">
        <v>2024</v>
      </c>
      <c r="D474">
        <v>2023</v>
      </c>
      <c r="E474" s="7">
        <v>45300</v>
      </c>
      <c r="F474" s="7">
        <v>45665</v>
      </c>
      <c r="G474" t="s">
        <v>135</v>
      </c>
      <c r="H474" t="s">
        <v>107</v>
      </c>
      <c r="I474" t="s">
        <v>101</v>
      </c>
      <c r="J474">
        <v>15651.45</v>
      </c>
      <c r="K474">
        <v>2000000</v>
      </c>
    </row>
    <row r="475" spans="1:11" ht="12.75" customHeight="1" x14ac:dyDescent="0.2">
      <c r="A475" t="s">
        <v>1342</v>
      </c>
      <c r="B475" t="s">
        <v>1251</v>
      </c>
      <c r="C475">
        <v>2024</v>
      </c>
      <c r="D475">
        <v>2023</v>
      </c>
      <c r="E475" s="7">
        <v>45301</v>
      </c>
      <c r="F475" s="7">
        <v>45666</v>
      </c>
      <c r="G475" t="s">
        <v>99</v>
      </c>
      <c r="H475" t="s">
        <v>102</v>
      </c>
      <c r="I475" t="s">
        <v>101</v>
      </c>
      <c r="J475">
        <v>13938.8</v>
      </c>
      <c r="K475">
        <v>2000000</v>
      </c>
    </row>
    <row r="476" spans="1:11" ht="12.75" customHeight="1" x14ac:dyDescent="0.2">
      <c r="A476" t="s">
        <v>1343</v>
      </c>
      <c r="B476" t="s">
        <v>1253</v>
      </c>
      <c r="C476">
        <v>2024</v>
      </c>
      <c r="D476">
        <v>2023</v>
      </c>
      <c r="E476" s="7">
        <v>45301</v>
      </c>
      <c r="F476" s="7">
        <v>45666</v>
      </c>
      <c r="G476" t="s">
        <v>99</v>
      </c>
      <c r="H476" t="s">
        <v>108</v>
      </c>
      <c r="I476" t="s">
        <v>101</v>
      </c>
      <c r="J476">
        <v>18017.7</v>
      </c>
      <c r="K476">
        <v>2000000</v>
      </c>
    </row>
    <row r="477" spans="1:11" ht="12.75" customHeight="1" x14ac:dyDescent="0.2">
      <c r="A477" t="s">
        <v>1344</v>
      </c>
      <c r="B477" t="s">
        <v>1255</v>
      </c>
      <c r="C477">
        <v>2024</v>
      </c>
      <c r="D477">
        <v>2023</v>
      </c>
      <c r="E477" s="7">
        <v>45301</v>
      </c>
      <c r="F477" s="7">
        <v>45666</v>
      </c>
      <c r="G477" t="s">
        <v>99</v>
      </c>
      <c r="H477" t="s">
        <v>6334</v>
      </c>
      <c r="I477" t="s">
        <v>104</v>
      </c>
      <c r="J477">
        <v>52682.86</v>
      </c>
      <c r="K477">
        <v>10000000</v>
      </c>
    </row>
    <row r="478" spans="1:11" ht="12.75" customHeight="1" x14ac:dyDescent="0.2">
      <c r="A478" t="s">
        <v>1345</v>
      </c>
      <c r="B478" t="s">
        <v>1265</v>
      </c>
      <c r="C478">
        <v>2024</v>
      </c>
      <c r="D478">
        <v>2023</v>
      </c>
      <c r="E478" s="7">
        <v>45301</v>
      </c>
      <c r="F478" s="7">
        <v>45666</v>
      </c>
      <c r="G478" t="s">
        <v>99</v>
      </c>
      <c r="H478" t="s">
        <v>113</v>
      </c>
      <c r="I478" t="s">
        <v>101</v>
      </c>
      <c r="J478">
        <v>11015.18</v>
      </c>
      <c r="K478">
        <v>1500000</v>
      </c>
    </row>
    <row r="479" spans="1:11" ht="12.75" customHeight="1" x14ac:dyDescent="0.2">
      <c r="A479" t="s">
        <v>1346</v>
      </c>
      <c r="B479" t="s">
        <v>1267</v>
      </c>
      <c r="C479">
        <v>2024</v>
      </c>
      <c r="D479">
        <v>2023</v>
      </c>
      <c r="E479" s="7">
        <v>45301</v>
      </c>
      <c r="F479" s="7">
        <v>45666</v>
      </c>
      <c r="G479" t="s">
        <v>99</v>
      </c>
      <c r="H479" t="s">
        <v>102</v>
      </c>
      <c r="I479" t="s">
        <v>101</v>
      </c>
      <c r="J479">
        <v>34770.720000000001</v>
      </c>
      <c r="K479">
        <v>5000000</v>
      </c>
    </row>
    <row r="480" spans="1:11" ht="12.75" customHeight="1" x14ac:dyDescent="0.2">
      <c r="A480" t="s">
        <v>1347</v>
      </c>
      <c r="B480" t="s">
        <v>436</v>
      </c>
      <c r="C480">
        <v>2024</v>
      </c>
      <c r="D480">
        <v>2023</v>
      </c>
      <c r="E480" s="7">
        <v>45301</v>
      </c>
      <c r="F480" s="7">
        <v>45666</v>
      </c>
      <c r="G480" t="s">
        <v>135</v>
      </c>
      <c r="H480" t="s">
        <v>106</v>
      </c>
      <c r="I480" t="s">
        <v>101</v>
      </c>
      <c r="J480">
        <v>81738.210000000006</v>
      </c>
      <c r="K480">
        <v>10000000</v>
      </c>
    </row>
    <row r="481" spans="1:11" ht="12.75" customHeight="1" x14ac:dyDescent="0.2">
      <c r="A481" t="s">
        <v>1348</v>
      </c>
      <c r="B481" t="s">
        <v>7904</v>
      </c>
      <c r="C481">
        <v>2024</v>
      </c>
      <c r="D481">
        <v>2023</v>
      </c>
      <c r="E481" s="7">
        <v>45301</v>
      </c>
      <c r="F481" s="7">
        <v>45666</v>
      </c>
      <c r="G481" t="s">
        <v>135</v>
      </c>
      <c r="H481" t="s">
        <v>6337</v>
      </c>
      <c r="I481" t="s">
        <v>104</v>
      </c>
      <c r="J481">
        <v>30610.07</v>
      </c>
      <c r="K481">
        <v>5000000</v>
      </c>
    </row>
    <row r="482" spans="1:11" ht="12.75" customHeight="1" x14ac:dyDescent="0.2">
      <c r="A482" t="s">
        <v>1349</v>
      </c>
      <c r="B482" t="s">
        <v>6358</v>
      </c>
      <c r="C482">
        <v>2024</v>
      </c>
      <c r="D482">
        <v>2023</v>
      </c>
      <c r="E482" s="7">
        <v>45301</v>
      </c>
      <c r="F482" s="7">
        <v>45666</v>
      </c>
      <c r="G482" t="s">
        <v>135</v>
      </c>
      <c r="H482" t="s">
        <v>108</v>
      </c>
      <c r="I482" t="s">
        <v>101</v>
      </c>
      <c r="J482">
        <v>9651.68</v>
      </c>
      <c r="K482">
        <v>1000000</v>
      </c>
    </row>
    <row r="483" spans="1:11" ht="12.75" customHeight="1" x14ac:dyDescent="0.2">
      <c r="A483" t="s">
        <v>1351</v>
      </c>
      <c r="B483" t="s">
        <v>7905</v>
      </c>
      <c r="C483">
        <v>2024</v>
      </c>
      <c r="D483">
        <v>2023</v>
      </c>
      <c r="E483" s="7">
        <v>45301</v>
      </c>
      <c r="F483" s="7">
        <v>45666</v>
      </c>
      <c r="G483" t="s">
        <v>135</v>
      </c>
      <c r="H483" t="s">
        <v>110</v>
      </c>
      <c r="I483" t="s">
        <v>101</v>
      </c>
      <c r="J483">
        <v>17583.52</v>
      </c>
      <c r="K483">
        <v>2000000</v>
      </c>
    </row>
    <row r="484" spans="1:11" ht="12.75" customHeight="1" x14ac:dyDescent="0.2">
      <c r="A484" t="s">
        <v>1353</v>
      </c>
      <c r="B484" t="s">
        <v>437</v>
      </c>
      <c r="C484">
        <v>2024</v>
      </c>
      <c r="D484">
        <v>2023</v>
      </c>
      <c r="E484" s="7">
        <v>45301</v>
      </c>
      <c r="F484" s="7">
        <v>45666</v>
      </c>
      <c r="G484" t="s">
        <v>135</v>
      </c>
      <c r="H484" t="s">
        <v>102</v>
      </c>
      <c r="I484" t="s">
        <v>101</v>
      </c>
      <c r="J484">
        <v>10717.07</v>
      </c>
      <c r="K484">
        <v>1500000</v>
      </c>
    </row>
    <row r="485" spans="1:11" ht="12.75" customHeight="1" x14ac:dyDescent="0.2">
      <c r="A485" t="s">
        <v>1355</v>
      </c>
      <c r="B485" t="s">
        <v>6362</v>
      </c>
      <c r="C485">
        <v>2024</v>
      </c>
      <c r="D485">
        <v>2023</v>
      </c>
      <c r="E485" s="7">
        <v>45301</v>
      </c>
      <c r="F485" s="7">
        <v>45666</v>
      </c>
      <c r="G485" t="s">
        <v>135</v>
      </c>
      <c r="H485" t="s">
        <v>106</v>
      </c>
      <c r="I485" t="s">
        <v>104</v>
      </c>
      <c r="J485">
        <v>3521.86</v>
      </c>
      <c r="K485">
        <v>500000</v>
      </c>
    </row>
    <row r="486" spans="1:11" ht="12.75" customHeight="1" x14ac:dyDescent="0.2">
      <c r="A486" t="s">
        <v>1357</v>
      </c>
      <c r="B486" t="s">
        <v>7906</v>
      </c>
      <c r="C486">
        <v>2024</v>
      </c>
      <c r="D486">
        <v>2023</v>
      </c>
      <c r="E486" s="7">
        <v>45301</v>
      </c>
      <c r="F486" s="7">
        <v>45666</v>
      </c>
      <c r="G486" t="s">
        <v>135</v>
      </c>
      <c r="H486" t="s">
        <v>102</v>
      </c>
      <c r="I486" t="s">
        <v>101</v>
      </c>
      <c r="J486">
        <v>11069.11</v>
      </c>
      <c r="K486">
        <v>1500000</v>
      </c>
    </row>
    <row r="487" spans="1:11" ht="12.75" customHeight="1" x14ac:dyDescent="0.2">
      <c r="A487" t="s">
        <v>1359</v>
      </c>
      <c r="B487" t="s">
        <v>7907</v>
      </c>
      <c r="C487">
        <v>2024</v>
      </c>
      <c r="D487">
        <v>2023</v>
      </c>
      <c r="E487" s="7">
        <v>45301</v>
      </c>
      <c r="F487" s="7">
        <v>45666</v>
      </c>
      <c r="G487" t="s">
        <v>135</v>
      </c>
      <c r="H487" t="s">
        <v>108</v>
      </c>
      <c r="I487" t="s">
        <v>101</v>
      </c>
      <c r="J487">
        <v>19504.740000000002</v>
      </c>
      <c r="K487">
        <v>2000000</v>
      </c>
    </row>
    <row r="488" spans="1:11" ht="12.75" customHeight="1" x14ac:dyDescent="0.2">
      <c r="A488" t="s">
        <v>1360</v>
      </c>
      <c r="B488" t="s">
        <v>1280</v>
      </c>
      <c r="C488">
        <v>2024</v>
      </c>
      <c r="D488">
        <v>2023</v>
      </c>
      <c r="E488" s="7">
        <v>45302</v>
      </c>
      <c r="F488" s="7">
        <v>45667</v>
      </c>
      <c r="G488" t="s">
        <v>99</v>
      </c>
      <c r="H488" t="s">
        <v>107</v>
      </c>
      <c r="I488" t="s">
        <v>104</v>
      </c>
      <c r="J488">
        <v>11282.87</v>
      </c>
      <c r="K488">
        <v>2000000</v>
      </c>
    </row>
    <row r="489" spans="1:11" ht="12.75" customHeight="1" x14ac:dyDescent="0.2">
      <c r="A489" t="s">
        <v>1361</v>
      </c>
      <c r="B489" t="s">
        <v>1282</v>
      </c>
      <c r="C489">
        <v>2024</v>
      </c>
      <c r="D489">
        <v>2023</v>
      </c>
      <c r="E489" s="7">
        <v>45302</v>
      </c>
      <c r="F489" s="7">
        <v>45667</v>
      </c>
      <c r="G489" t="s">
        <v>99</v>
      </c>
      <c r="H489" t="s">
        <v>116</v>
      </c>
      <c r="I489" t="s">
        <v>101</v>
      </c>
      <c r="J489">
        <v>6607.96</v>
      </c>
      <c r="K489">
        <v>1000000</v>
      </c>
    </row>
    <row r="490" spans="1:11" ht="12.75" customHeight="1" x14ac:dyDescent="0.2">
      <c r="A490" t="s">
        <v>1362</v>
      </c>
      <c r="B490" t="s">
        <v>1284</v>
      </c>
      <c r="C490">
        <v>2024</v>
      </c>
      <c r="D490">
        <v>2023</v>
      </c>
      <c r="E490" s="7">
        <v>45302</v>
      </c>
      <c r="F490" s="7">
        <v>45667</v>
      </c>
      <c r="G490" t="s">
        <v>99</v>
      </c>
      <c r="H490" t="s">
        <v>107</v>
      </c>
      <c r="I490" t="s">
        <v>101</v>
      </c>
      <c r="J490">
        <v>35053.64</v>
      </c>
      <c r="K490">
        <v>5000000</v>
      </c>
    </row>
    <row r="491" spans="1:11" ht="12.75" customHeight="1" x14ac:dyDescent="0.2">
      <c r="A491" t="s">
        <v>1363</v>
      </c>
      <c r="B491" t="s">
        <v>7908</v>
      </c>
      <c r="C491">
        <v>2024</v>
      </c>
      <c r="D491">
        <v>2023</v>
      </c>
      <c r="E491" s="7">
        <v>45302</v>
      </c>
      <c r="F491" s="7">
        <v>45667</v>
      </c>
      <c r="G491" t="s">
        <v>135</v>
      </c>
      <c r="H491" t="s">
        <v>106</v>
      </c>
      <c r="I491" t="s">
        <v>104</v>
      </c>
      <c r="J491">
        <v>10306.959999999999</v>
      </c>
      <c r="K491">
        <v>1500000</v>
      </c>
    </row>
    <row r="492" spans="1:11" ht="12.75" customHeight="1" x14ac:dyDescent="0.2">
      <c r="A492" t="s">
        <v>1364</v>
      </c>
      <c r="B492" t="s">
        <v>7909</v>
      </c>
      <c r="C492">
        <v>2024</v>
      </c>
      <c r="D492">
        <v>2023</v>
      </c>
      <c r="E492" s="7">
        <v>45302</v>
      </c>
      <c r="F492" s="7">
        <v>45667</v>
      </c>
      <c r="G492" t="s">
        <v>135</v>
      </c>
      <c r="H492" t="s">
        <v>102</v>
      </c>
      <c r="I492" t="s">
        <v>101</v>
      </c>
      <c r="J492">
        <v>6545.42</v>
      </c>
      <c r="K492">
        <v>1000000</v>
      </c>
    </row>
    <row r="493" spans="1:11" ht="12.75" customHeight="1" x14ac:dyDescent="0.2">
      <c r="A493" t="s">
        <v>1365</v>
      </c>
      <c r="B493" t="s">
        <v>6370</v>
      </c>
      <c r="C493">
        <v>2024</v>
      </c>
      <c r="D493">
        <v>2023</v>
      </c>
      <c r="E493" s="7">
        <v>45302</v>
      </c>
      <c r="F493" s="7">
        <v>45667</v>
      </c>
      <c r="G493" t="s">
        <v>135</v>
      </c>
      <c r="H493" t="s">
        <v>102</v>
      </c>
      <c r="I493" t="s">
        <v>101</v>
      </c>
      <c r="J493">
        <v>65236.81</v>
      </c>
      <c r="K493">
        <v>10000000</v>
      </c>
    </row>
    <row r="494" spans="1:11" ht="12.75" customHeight="1" x14ac:dyDescent="0.2">
      <c r="A494" t="s">
        <v>1366</v>
      </c>
      <c r="B494" t="s">
        <v>7910</v>
      </c>
      <c r="C494">
        <v>2024</v>
      </c>
      <c r="D494">
        <v>2023</v>
      </c>
      <c r="E494" s="7">
        <v>45302</v>
      </c>
      <c r="F494" s="7">
        <v>45667</v>
      </c>
      <c r="G494" t="s">
        <v>135</v>
      </c>
      <c r="H494" t="s">
        <v>100</v>
      </c>
      <c r="I494" t="s">
        <v>101</v>
      </c>
      <c r="J494">
        <v>13702.42</v>
      </c>
      <c r="K494">
        <v>2000000</v>
      </c>
    </row>
    <row r="495" spans="1:11" ht="12.75" customHeight="1" x14ac:dyDescent="0.2">
      <c r="A495" t="s">
        <v>1367</v>
      </c>
      <c r="B495" t="s">
        <v>6361</v>
      </c>
      <c r="C495">
        <v>2024</v>
      </c>
      <c r="D495">
        <v>2023</v>
      </c>
      <c r="E495" s="7">
        <v>45302</v>
      </c>
      <c r="F495" s="7">
        <v>45667</v>
      </c>
      <c r="G495" t="s">
        <v>135</v>
      </c>
      <c r="H495" t="s">
        <v>103</v>
      </c>
      <c r="I495" t="s">
        <v>104</v>
      </c>
      <c r="J495">
        <v>3050.21</v>
      </c>
      <c r="K495">
        <v>500000</v>
      </c>
    </row>
    <row r="496" spans="1:11" ht="12.75" customHeight="1" x14ac:dyDescent="0.2">
      <c r="A496" t="s">
        <v>1368</v>
      </c>
      <c r="B496" t="s">
        <v>7911</v>
      </c>
      <c r="C496">
        <v>2024</v>
      </c>
      <c r="D496">
        <v>2023</v>
      </c>
      <c r="E496" s="7">
        <v>45302</v>
      </c>
      <c r="F496" s="7">
        <v>45667</v>
      </c>
      <c r="G496" t="s">
        <v>135</v>
      </c>
      <c r="H496" t="s">
        <v>105</v>
      </c>
      <c r="I496" t="s">
        <v>101</v>
      </c>
      <c r="J496">
        <v>3250.27</v>
      </c>
      <c r="K496">
        <v>500000</v>
      </c>
    </row>
    <row r="497" spans="1:11" ht="12.75" customHeight="1" x14ac:dyDescent="0.2">
      <c r="A497" t="s">
        <v>1369</v>
      </c>
      <c r="B497" t="s">
        <v>7912</v>
      </c>
      <c r="C497">
        <v>2024</v>
      </c>
      <c r="D497">
        <v>2023</v>
      </c>
      <c r="E497" s="7">
        <v>45302</v>
      </c>
      <c r="F497" s="7">
        <v>45667</v>
      </c>
      <c r="G497" t="s">
        <v>135</v>
      </c>
      <c r="H497" t="s">
        <v>107</v>
      </c>
      <c r="I497" t="s">
        <v>101</v>
      </c>
      <c r="J497">
        <v>14989.03</v>
      </c>
      <c r="K497">
        <v>2000000</v>
      </c>
    </row>
    <row r="498" spans="1:11" ht="12.75" customHeight="1" x14ac:dyDescent="0.2">
      <c r="A498" t="s">
        <v>1370</v>
      </c>
      <c r="B498" t="s">
        <v>6365</v>
      </c>
      <c r="C498">
        <v>2024</v>
      </c>
      <c r="D498">
        <v>2023</v>
      </c>
      <c r="E498" s="7">
        <v>45302</v>
      </c>
      <c r="F498" s="7">
        <v>45667</v>
      </c>
      <c r="G498" t="s">
        <v>135</v>
      </c>
      <c r="H498" t="s">
        <v>102</v>
      </c>
      <c r="I498" t="s">
        <v>104</v>
      </c>
      <c r="J498">
        <v>5874.97</v>
      </c>
      <c r="K498">
        <v>1000000</v>
      </c>
    </row>
    <row r="499" spans="1:11" ht="12.75" customHeight="1" x14ac:dyDescent="0.2">
      <c r="A499" t="s">
        <v>1371</v>
      </c>
      <c r="B499" t="s">
        <v>1286</v>
      </c>
      <c r="C499">
        <v>2024</v>
      </c>
      <c r="D499">
        <v>2023</v>
      </c>
      <c r="E499" s="7">
        <v>45303</v>
      </c>
      <c r="F499" s="7">
        <v>45668</v>
      </c>
      <c r="G499" t="s">
        <v>99</v>
      </c>
      <c r="H499" t="s">
        <v>107</v>
      </c>
      <c r="I499" t="s">
        <v>101</v>
      </c>
      <c r="J499">
        <v>14731.62</v>
      </c>
      <c r="K499">
        <v>2000000</v>
      </c>
    </row>
    <row r="500" spans="1:11" ht="12.75" customHeight="1" x14ac:dyDescent="0.2">
      <c r="A500" t="s">
        <v>1373</v>
      </c>
      <c r="B500" t="s">
        <v>1288</v>
      </c>
      <c r="C500">
        <v>2024</v>
      </c>
      <c r="D500">
        <v>2023</v>
      </c>
      <c r="E500" s="7">
        <v>45303</v>
      </c>
      <c r="F500" s="7">
        <v>45668</v>
      </c>
      <c r="G500" t="s">
        <v>99</v>
      </c>
      <c r="H500" t="s">
        <v>102</v>
      </c>
      <c r="I500" t="s">
        <v>101</v>
      </c>
      <c r="J500">
        <v>7383.71</v>
      </c>
      <c r="K500">
        <v>1000000</v>
      </c>
    </row>
    <row r="501" spans="1:11" ht="12.75" customHeight="1" x14ac:dyDescent="0.2">
      <c r="A501" t="s">
        <v>1375</v>
      </c>
      <c r="B501" t="s">
        <v>1290</v>
      </c>
      <c r="C501">
        <v>2024</v>
      </c>
      <c r="D501">
        <v>2023</v>
      </c>
      <c r="E501" s="7">
        <v>45303</v>
      </c>
      <c r="F501" s="7">
        <v>45668</v>
      </c>
      <c r="G501" t="s">
        <v>99</v>
      </c>
      <c r="H501" t="s">
        <v>105</v>
      </c>
      <c r="I501" t="s">
        <v>104</v>
      </c>
      <c r="J501">
        <v>5979.44</v>
      </c>
      <c r="K501">
        <v>1000000</v>
      </c>
    </row>
    <row r="502" spans="1:11" ht="12.75" customHeight="1" x14ac:dyDescent="0.2">
      <c r="A502" t="s">
        <v>1377</v>
      </c>
      <c r="B502" t="s">
        <v>1292</v>
      </c>
      <c r="C502">
        <v>2024</v>
      </c>
      <c r="D502">
        <v>2023</v>
      </c>
      <c r="E502" s="7">
        <v>45303</v>
      </c>
      <c r="F502" s="7">
        <v>45668</v>
      </c>
      <c r="G502" t="s">
        <v>99</v>
      </c>
      <c r="H502" t="s">
        <v>108</v>
      </c>
      <c r="I502" t="s">
        <v>101</v>
      </c>
      <c r="J502">
        <v>16975.87</v>
      </c>
      <c r="K502">
        <v>2000000</v>
      </c>
    </row>
    <row r="503" spans="1:11" ht="12.75" customHeight="1" x14ac:dyDescent="0.2">
      <c r="A503" t="s">
        <v>1379</v>
      </c>
      <c r="B503" t="s">
        <v>1301</v>
      </c>
      <c r="C503">
        <v>2024</v>
      </c>
      <c r="D503">
        <v>2023</v>
      </c>
      <c r="E503" s="7">
        <v>45303</v>
      </c>
      <c r="F503" s="7">
        <v>45668</v>
      </c>
      <c r="G503" t="s">
        <v>99</v>
      </c>
      <c r="H503" t="s">
        <v>110</v>
      </c>
      <c r="I503" t="s">
        <v>101</v>
      </c>
      <c r="J503">
        <v>12929.04</v>
      </c>
      <c r="K503">
        <v>1500000</v>
      </c>
    </row>
    <row r="504" spans="1:11" ht="12.75" customHeight="1" x14ac:dyDescent="0.2">
      <c r="A504" t="s">
        <v>1380</v>
      </c>
      <c r="B504" t="s">
        <v>7913</v>
      </c>
      <c r="C504">
        <v>2024</v>
      </c>
      <c r="D504">
        <v>2023</v>
      </c>
      <c r="E504" s="7">
        <v>45303</v>
      </c>
      <c r="F504" s="7">
        <v>45668</v>
      </c>
      <c r="G504" t="s">
        <v>135</v>
      </c>
      <c r="H504" t="s">
        <v>6337</v>
      </c>
      <c r="I504" t="s">
        <v>101</v>
      </c>
      <c r="J504">
        <v>38386.97</v>
      </c>
      <c r="K504">
        <v>5000000</v>
      </c>
    </row>
    <row r="505" spans="1:11" ht="12.75" customHeight="1" x14ac:dyDescent="0.2">
      <c r="A505" t="s">
        <v>1381</v>
      </c>
      <c r="B505" t="s">
        <v>7914</v>
      </c>
      <c r="C505">
        <v>2024</v>
      </c>
      <c r="D505">
        <v>2023</v>
      </c>
      <c r="E505" s="7">
        <v>45303</v>
      </c>
      <c r="F505" s="7">
        <v>45668</v>
      </c>
      <c r="G505" t="s">
        <v>135</v>
      </c>
      <c r="H505" t="s">
        <v>116</v>
      </c>
      <c r="I505" t="s">
        <v>101</v>
      </c>
      <c r="J505">
        <v>33281.68</v>
      </c>
      <c r="K505">
        <v>5000000</v>
      </c>
    </row>
    <row r="506" spans="1:11" ht="12.75" customHeight="1" x14ac:dyDescent="0.2">
      <c r="A506" t="s">
        <v>1382</v>
      </c>
      <c r="B506" t="s">
        <v>6369</v>
      </c>
      <c r="C506">
        <v>2024</v>
      </c>
      <c r="D506">
        <v>2023</v>
      </c>
      <c r="E506" s="7">
        <v>45303</v>
      </c>
      <c r="F506" s="7">
        <v>45668</v>
      </c>
      <c r="G506" t="s">
        <v>135</v>
      </c>
      <c r="H506" t="s">
        <v>107</v>
      </c>
      <c r="I506" t="s">
        <v>104</v>
      </c>
      <c r="J506">
        <v>12585.07</v>
      </c>
      <c r="K506">
        <v>2000000</v>
      </c>
    </row>
    <row r="507" spans="1:11" ht="12.75" customHeight="1" x14ac:dyDescent="0.2">
      <c r="A507" t="s">
        <v>1384</v>
      </c>
      <c r="B507" t="s">
        <v>7915</v>
      </c>
      <c r="C507">
        <v>2024</v>
      </c>
      <c r="D507">
        <v>2023</v>
      </c>
      <c r="E507" s="7">
        <v>45303</v>
      </c>
      <c r="F507" s="7">
        <v>45668</v>
      </c>
      <c r="G507" t="s">
        <v>135</v>
      </c>
      <c r="H507" t="s">
        <v>114</v>
      </c>
      <c r="I507" t="s">
        <v>104</v>
      </c>
      <c r="J507">
        <v>6215.82</v>
      </c>
      <c r="K507">
        <v>1000000</v>
      </c>
    </row>
    <row r="508" spans="1:11" ht="12.75" customHeight="1" x14ac:dyDescent="0.2">
      <c r="A508" t="s">
        <v>1386</v>
      </c>
      <c r="B508" t="s">
        <v>439</v>
      </c>
      <c r="C508">
        <v>2024</v>
      </c>
      <c r="D508">
        <v>2023</v>
      </c>
      <c r="E508" s="7">
        <v>45303</v>
      </c>
      <c r="F508" s="7">
        <v>45668</v>
      </c>
      <c r="G508" t="s">
        <v>135</v>
      </c>
      <c r="H508" t="s">
        <v>107</v>
      </c>
      <c r="I508" t="s">
        <v>101</v>
      </c>
      <c r="J508">
        <v>34875.75</v>
      </c>
      <c r="K508">
        <v>5000000</v>
      </c>
    </row>
    <row r="509" spans="1:11" ht="12.75" customHeight="1" x14ac:dyDescent="0.2">
      <c r="A509" t="s">
        <v>1388</v>
      </c>
      <c r="B509" t="s">
        <v>7916</v>
      </c>
      <c r="C509">
        <v>2024</v>
      </c>
      <c r="D509">
        <v>2023</v>
      </c>
      <c r="E509" s="7">
        <v>45303</v>
      </c>
      <c r="F509" s="7">
        <v>45668</v>
      </c>
      <c r="G509" t="s">
        <v>135</v>
      </c>
      <c r="H509" t="s">
        <v>106</v>
      </c>
      <c r="I509" t="s">
        <v>104</v>
      </c>
      <c r="J509">
        <v>15027.65</v>
      </c>
      <c r="K509">
        <v>2000000</v>
      </c>
    </row>
    <row r="510" spans="1:11" ht="12.75" customHeight="1" x14ac:dyDescent="0.2">
      <c r="A510" t="s">
        <v>1390</v>
      </c>
      <c r="B510" t="s">
        <v>438</v>
      </c>
      <c r="C510">
        <v>2024</v>
      </c>
      <c r="D510">
        <v>2023</v>
      </c>
      <c r="E510" s="7">
        <v>45303</v>
      </c>
      <c r="F510" s="7">
        <v>45668</v>
      </c>
      <c r="G510" t="s">
        <v>135</v>
      </c>
      <c r="H510" t="s">
        <v>106</v>
      </c>
      <c r="I510" t="s">
        <v>104</v>
      </c>
      <c r="J510">
        <v>6857.67</v>
      </c>
      <c r="K510">
        <v>1000000</v>
      </c>
    </row>
    <row r="511" spans="1:11" ht="12.75" customHeight="1" x14ac:dyDescent="0.2">
      <c r="A511" t="s">
        <v>1392</v>
      </c>
      <c r="B511" t="s">
        <v>680</v>
      </c>
      <c r="C511">
        <v>2024</v>
      </c>
      <c r="D511">
        <v>2023</v>
      </c>
      <c r="E511" s="7">
        <v>45303</v>
      </c>
      <c r="F511" s="7">
        <v>45668</v>
      </c>
      <c r="G511" t="s">
        <v>135</v>
      </c>
      <c r="H511" t="s">
        <v>6332</v>
      </c>
      <c r="I511" t="s">
        <v>101</v>
      </c>
      <c r="J511">
        <v>73882.22</v>
      </c>
      <c r="K511">
        <v>10000000</v>
      </c>
    </row>
    <row r="512" spans="1:11" ht="12.75" customHeight="1" x14ac:dyDescent="0.2">
      <c r="A512" t="s">
        <v>1393</v>
      </c>
      <c r="B512" t="s">
        <v>6359</v>
      </c>
      <c r="C512">
        <v>2024</v>
      </c>
      <c r="D512">
        <v>2023</v>
      </c>
      <c r="E512" s="7">
        <v>45303</v>
      </c>
      <c r="F512" s="7">
        <v>45668</v>
      </c>
      <c r="G512" t="s">
        <v>135</v>
      </c>
      <c r="H512" t="s">
        <v>111</v>
      </c>
      <c r="I512" t="s">
        <v>101</v>
      </c>
      <c r="J512">
        <v>36006.58</v>
      </c>
      <c r="K512">
        <v>5000000</v>
      </c>
    </row>
    <row r="513" spans="1:11" ht="12.75" customHeight="1" x14ac:dyDescent="0.2">
      <c r="A513" t="s">
        <v>1394</v>
      </c>
      <c r="B513" t="s">
        <v>7246</v>
      </c>
      <c r="C513">
        <v>2024</v>
      </c>
      <c r="D513">
        <v>2023</v>
      </c>
      <c r="E513" s="7">
        <v>45303</v>
      </c>
      <c r="F513" s="7">
        <v>45668</v>
      </c>
      <c r="G513" t="s">
        <v>135</v>
      </c>
      <c r="H513" t="s">
        <v>102</v>
      </c>
      <c r="I513" t="s">
        <v>104</v>
      </c>
      <c r="J513">
        <v>30101.439999999999</v>
      </c>
      <c r="K513">
        <v>5000000</v>
      </c>
    </row>
    <row r="514" spans="1:11" ht="12.75" customHeight="1" x14ac:dyDescent="0.2">
      <c r="A514" t="s">
        <v>1395</v>
      </c>
      <c r="B514" t="s">
        <v>7917</v>
      </c>
      <c r="C514">
        <v>2024</v>
      </c>
      <c r="D514">
        <v>2023</v>
      </c>
      <c r="E514" s="7">
        <v>45303</v>
      </c>
      <c r="F514" s="7">
        <v>45668</v>
      </c>
      <c r="G514" t="s">
        <v>135</v>
      </c>
      <c r="H514" t="s">
        <v>102</v>
      </c>
      <c r="I514" t="s">
        <v>104</v>
      </c>
      <c r="J514">
        <v>5915.25</v>
      </c>
      <c r="K514">
        <v>1000000</v>
      </c>
    </row>
    <row r="515" spans="1:11" ht="12.75" customHeight="1" x14ac:dyDescent="0.2">
      <c r="A515" t="s">
        <v>1396</v>
      </c>
      <c r="B515" t="s">
        <v>679</v>
      </c>
      <c r="C515">
        <v>2024</v>
      </c>
      <c r="D515">
        <v>2023</v>
      </c>
      <c r="E515" s="7">
        <v>45303</v>
      </c>
      <c r="F515" s="7">
        <v>45668</v>
      </c>
      <c r="G515" t="s">
        <v>135</v>
      </c>
      <c r="H515" t="s">
        <v>102</v>
      </c>
      <c r="I515" t="s">
        <v>104</v>
      </c>
      <c r="J515">
        <v>5586.59</v>
      </c>
      <c r="K515">
        <v>1000000</v>
      </c>
    </row>
    <row r="516" spans="1:11" ht="12.75" customHeight="1" x14ac:dyDescent="0.2">
      <c r="A516" t="s">
        <v>1397</v>
      </c>
      <c r="B516" t="s">
        <v>6364</v>
      </c>
      <c r="C516">
        <v>2024</v>
      </c>
      <c r="D516">
        <v>2023</v>
      </c>
      <c r="E516" s="7">
        <v>45303</v>
      </c>
      <c r="F516" s="7">
        <v>45668</v>
      </c>
      <c r="G516" t="s">
        <v>135</v>
      </c>
      <c r="H516" t="s">
        <v>115</v>
      </c>
      <c r="I516" t="s">
        <v>101</v>
      </c>
      <c r="J516">
        <v>7835.68</v>
      </c>
      <c r="K516">
        <v>1000000</v>
      </c>
    </row>
    <row r="517" spans="1:11" ht="12.75" customHeight="1" x14ac:dyDescent="0.2">
      <c r="A517" t="s">
        <v>1398</v>
      </c>
      <c r="B517" t="s">
        <v>1303</v>
      </c>
      <c r="C517">
        <v>2024</v>
      </c>
      <c r="D517">
        <v>2023</v>
      </c>
      <c r="E517" s="7">
        <v>45304</v>
      </c>
      <c r="F517" s="7">
        <v>45669</v>
      </c>
      <c r="G517" t="s">
        <v>99</v>
      </c>
      <c r="H517" t="s">
        <v>102</v>
      </c>
      <c r="I517" t="s">
        <v>101</v>
      </c>
      <c r="J517">
        <v>11738.76</v>
      </c>
      <c r="K517">
        <v>1500000</v>
      </c>
    </row>
    <row r="518" spans="1:11" ht="12.75" customHeight="1" x14ac:dyDescent="0.2">
      <c r="A518" t="s">
        <v>1399</v>
      </c>
      <c r="B518" t="s">
        <v>1305</v>
      </c>
      <c r="C518">
        <v>2024</v>
      </c>
      <c r="D518">
        <v>2023</v>
      </c>
      <c r="E518" s="7">
        <v>45304</v>
      </c>
      <c r="F518" s="7">
        <v>45669</v>
      </c>
      <c r="G518" t="s">
        <v>99</v>
      </c>
      <c r="H518" t="s">
        <v>115</v>
      </c>
      <c r="I518" t="s">
        <v>101</v>
      </c>
      <c r="J518">
        <v>6560.14</v>
      </c>
      <c r="K518">
        <v>1000000</v>
      </c>
    </row>
    <row r="519" spans="1:11" ht="12.75" customHeight="1" x14ac:dyDescent="0.2">
      <c r="A519" t="s">
        <v>1400</v>
      </c>
      <c r="B519" t="s">
        <v>1318</v>
      </c>
      <c r="C519">
        <v>2024</v>
      </c>
      <c r="D519">
        <v>2023</v>
      </c>
      <c r="E519" s="7">
        <v>45304</v>
      </c>
      <c r="F519" s="7">
        <v>45669</v>
      </c>
      <c r="G519" t="s">
        <v>99</v>
      </c>
      <c r="H519" t="s">
        <v>108</v>
      </c>
      <c r="I519" t="s">
        <v>101</v>
      </c>
      <c r="J519">
        <v>8658.41</v>
      </c>
      <c r="K519">
        <v>1000000</v>
      </c>
    </row>
    <row r="520" spans="1:11" ht="12.75" customHeight="1" x14ac:dyDescent="0.2">
      <c r="A520" t="s">
        <v>1401</v>
      </c>
      <c r="B520" t="s">
        <v>1320</v>
      </c>
      <c r="C520">
        <v>2024</v>
      </c>
      <c r="D520">
        <v>2023</v>
      </c>
      <c r="E520" s="7">
        <v>45304</v>
      </c>
      <c r="F520" s="7">
        <v>45669</v>
      </c>
      <c r="G520" t="s">
        <v>99</v>
      </c>
      <c r="H520" t="s">
        <v>100</v>
      </c>
      <c r="I520" t="s">
        <v>104</v>
      </c>
      <c r="J520">
        <v>5392.93</v>
      </c>
      <c r="K520">
        <v>1000000</v>
      </c>
    </row>
    <row r="521" spans="1:11" ht="12.75" customHeight="1" x14ac:dyDescent="0.2">
      <c r="A521" t="s">
        <v>1402</v>
      </c>
      <c r="B521" t="s">
        <v>7918</v>
      </c>
      <c r="C521">
        <v>2024</v>
      </c>
      <c r="D521">
        <v>2023</v>
      </c>
      <c r="E521" s="7">
        <v>45304</v>
      </c>
      <c r="F521" s="7">
        <v>45669</v>
      </c>
      <c r="G521" t="s">
        <v>135</v>
      </c>
      <c r="H521" t="s">
        <v>102</v>
      </c>
      <c r="I521" t="s">
        <v>104</v>
      </c>
      <c r="J521">
        <v>7974.13</v>
      </c>
      <c r="K521">
        <v>1500000</v>
      </c>
    </row>
    <row r="522" spans="1:11" ht="12.75" customHeight="1" x14ac:dyDescent="0.2">
      <c r="A522" t="s">
        <v>1403</v>
      </c>
      <c r="B522" t="s">
        <v>7919</v>
      </c>
      <c r="C522">
        <v>2024</v>
      </c>
      <c r="D522">
        <v>2023</v>
      </c>
      <c r="E522" s="7">
        <v>45304</v>
      </c>
      <c r="F522" s="7">
        <v>45669</v>
      </c>
      <c r="G522" t="s">
        <v>135</v>
      </c>
      <c r="H522" t="s">
        <v>108</v>
      </c>
      <c r="I522" t="s">
        <v>101</v>
      </c>
      <c r="J522">
        <v>4128.01</v>
      </c>
      <c r="K522">
        <v>500000</v>
      </c>
    </row>
    <row r="523" spans="1:11" ht="12.75" customHeight="1" x14ac:dyDescent="0.2">
      <c r="A523" t="s">
        <v>1405</v>
      </c>
      <c r="B523" t="s">
        <v>6366</v>
      </c>
      <c r="C523">
        <v>2024</v>
      </c>
      <c r="D523">
        <v>2023</v>
      </c>
      <c r="E523" s="7">
        <v>45304</v>
      </c>
      <c r="F523" s="7">
        <v>45669</v>
      </c>
      <c r="G523" t="s">
        <v>135</v>
      </c>
      <c r="H523" t="s">
        <v>105</v>
      </c>
      <c r="I523" t="s">
        <v>101</v>
      </c>
      <c r="J523">
        <v>6903.26</v>
      </c>
      <c r="K523">
        <v>1000000</v>
      </c>
    </row>
    <row r="524" spans="1:11" ht="12.75" customHeight="1" x14ac:dyDescent="0.2">
      <c r="A524" t="s">
        <v>1407</v>
      </c>
      <c r="B524" t="s">
        <v>6367</v>
      </c>
      <c r="C524">
        <v>2024</v>
      </c>
      <c r="D524">
        <v>2023</v>
      </c>
      <c r="E524" s="7">
        <v>45304</v>
      </c>
      <c r="F524" s="7">
        <v>45669</v>
      </c>
      <c r="G524" t="s">
        <v>135</v>
      </c>
      <c r="H524" t="s">
        <v>6332</v>
      </c>
      <c r="I524" t="s">
        <v>101</v>
      </c>
      <c r="J524">
        <v>11643.17</v>
      </c>
      <c r="K524">
        <v>1500000</v>
      </c>
    </row>
    <row r="525" spans="1:11" ht="12.75" customHeight="1" x14ac:dyDescent="0.2">
      <c r="A525" t="s">
        <v>1409</v>
      </c>
      <c r="B525" t="s">
        <v>7295</v>
      </c>
      <c r="C525">
        <v>2024</v>
      </c>
      <c r="D525">
        <v>2023</v>
      </c>
      <c r="E525" s="7">
        <v>45304</v>
      </c>
      <c r="F525" s="7">
        <v>45669</v>
      </c>
      <c r="G525" t="s">
        <v>135</v>
      </c>
      <c r="H525" t="s">
        <v>108</v>
      </c>
      <c r="I525" t="s">
        <v>101</v>
      </c>
      <c r="J525">
        <v>8128.39</v>
      </c>
      <c r="K525">
        <v>1000000</v>
      </c>
    </row>
    <row r="526" spans="1:11" ht="12.75" customHeight="1" x14ac:dyDescent="0.2">
      <c r="A526" t="s">
        <v>1411</v>
      </c>
      <c r="B526" t="s">
        <v>681</v>
      </c>
      <c r="C526">
        <v>2024</v>
      </c>
      <c r="D526">
        <v>2023</v>
      </c>
      <c r="E526" s="7">
        <v>45304</v>
      </c>
      <c r="F526" s="7">
        <v>45669</v>
      </c>
      <c r="G526" t="s">
        <v>135</v>
      </c>
      <c r="H526" t="s">
        <v>102</v>
      </c>
      <c r="I526" t="s">
        <v>101</v>
      </c>
      <c r="J526">
        <v>6578.92</v>
      </c>
      <c r="K526">
        <v>1000000</v>
      </c>
    </row>
    <row r="527" spans="1:11" ht="12.75" customHeight="1" x14ac:dyDescent="0.2">
      <c r="A527" t="s">
        <v>1413</v>
      </c>
      <c r="B527" t="s">
        <v>1323</v>
      </c>
      <c r="C527">
        <v>2024</v>
      </c>
      <c r="D527">
        <v>2023</v>
      </c>
      <c r="E527" s="7">
        <v>45305</v>
      </c>
      <c r="F527" s="7">
        <v>45670</v>
      </c>
      <c r="G527" t="s">
        <v>99</v>
      </c>
      <c r="H527" t="s">
        <v>102</v>
      </c>
      <c r="I527" t="s">
        <v>101</v>
      </c>
      <c r="J527">
        <v>11144.78</v>
      </c>
      <c r="K527">
        <v>1500000</v>
      </c>
    </row>
    <row r="528" spans="1:11" ht="12.75" customHeight="1" x14ac:dyDescent="0.2">
      <c r="A528" t="s">
        <v>1414</v>
      </c>
      <c r="B528" t="s">
        <v>1325</v>
      </c>
      <c r="C528">
        <v>2024</v>
      </c>
      <c r="D528">
        <v>2023</v>
      </c>
      <c r="E528" s="7">
        <v>45305</v>
      </c>
      <c r="F528" s="7">
        <v>45670</v>
      </c>
      <c r="G528" t="s">
        <v>99</v>
      </c>
      <c r="H528" t="s">
        <v>106</v>
      </c>
      <c r="I528" t="s">
        <v>101</v>
      </c>
      <c r="J528">
        <v>17915.62</v>
      </c>
      <c r="K528">
        <v>2000000</v>
      </c>
    </row>
    <row r="529" spans="1:11" ht="12.75" customHeight="1" x14ac:dyDescent="0.2">
      <c r="A529" t="s">
        <v>1415</v>
      </c>
      <c r="B529" t="s">
        <v>1327</v>
      </c>
      <c r="C529">
        <v>2024</v>
      </c>
      <c r="D529">
        <v>2023</v>
      </c>
      <c r="E529" s="7">
        <v>45305</v>
      </c>
      <c r="F529" s="7">
        <v>45670</v>
      </c>
      <c r="G529" t="s">
        <v>99</v>
      </c>
      <c r="H529" t="s">
        <v>109</v>
      </c>
      <c r="I529" t="s">
        <v>101</v>
      </c>
      <c r="J529">
        <v>75385.63</v>
      </c>
      <c r="K529">
        <v>10000000</v>
      </c>
    </row>
    <row r="530" spans="1:11" ht="12.75" customHeight="1" x14ac:dyDescent="0.2">
      <c r="A530" t="s">
        <v>1416</v>
      </c>
      <c r="B530" t="s">
        <v>7920</v>
      </c>
      <c r="C530">
        <v>2024</v>
      </c>
      <c r="D530">
        <v>2023</v>
      </c>
      <c r="E530" s="7">
        <v>45305</v>
      </c>
      <c r="F530" s="7">
        <v>45670</v>
      </c>
      <c r="G530" t="s">
        <v>135</v>
      </c>
      <c r="H530" t="s">
        <v>102</v>
      </c>
      <c r="I530" t="s">
        <v>101</v>
      </c>
      <c r="J530">
        <v>14435.52</v>
      </c>
      <c r="K530">
        <v>2000000</v>
      </c>
    </row>
    <row r="531" spans="1:11" ht="12.75" customHeight="1" x14ac:dyDescent="0.2">
      <c r="A531" t="s">
        <v>1417</v>
      </c>
      <c r="B531" t="s">
        <v>7921</v>
      </c>
      <c r="C531">
        <v>2024</v>
      </c>
      <c r="D531">
        <v>2023</v>
      </c>
      <c r="E531" s="7">
        <v>45305</v>
      </c>
      <c r="F531" s="7">
        <v>45670</v>
      </c>
      <c r="G531" t="s">
        <v>135</v>
      </c>
      <c r="H531" t="s">
        <v>106</v>
      </c>
      <c r="I531" t="s">
        <v>101</v>
      </c>
      <c r="J531">
        <v>17300.189999999999</v>
      </c>
      <c r="K531">
        <v>2000000</v>
      </c>
    </row>
    <row r="532" spans="1:11" ht="12.75" customHeight="1" x14ac:dyDescent="0.2">
      <c r="A532" t="s">
        <v>1418</v>
      </c>
      <c r="B532" t="s">
        <v>7922</v>
      </c>
      <c r="C532">
        <v>2024</v>
      </c>
      <c r="D532">
        <v>2023</v>
      </c>
      <c r="E532" s="7">
        <v>45305</v>
      </c>
      <c r="F532" s="7">
        <v>45670</v>
      </c>
      <c r="G532" t="s">
        <v>135</v>
      </c>
      <c r="H532" t="s">
        <v>106</v>
      </c>
      <c r="I532" t="s">
        <v>101</v>
      </c>
      <c r="J532">
        <v>8957.2999999999993</v>
      </c>
      <c r="K532">
        <v>1000000</v>
      </c>
    </row>
    <row r="533" spans="1:11" ht="12.75" customHeight="1" x14ac:dyDescent="0.2">
      <c r="A533" t="s">
        <v>1419</v>
      </c>
      <c r="B533" t="s">
        <v>7923</v>
      </c>
      <c r="C533">
        <v>2024</v>
      </c>
      <c r="D533">
        <v>2023</v>
      </c>
      <c r="E533" s="7">
        <v>45305</v>
      </c>
      <c r="F533" s="7">
        <v>45670</v>
      </c>
      <c r="G533" t="s">
        <v>135</v>
      </c>
      <c r="H533" t="s">
        <v>110</v>
      </c>
      <c r="I533" t="s">
        <v>101</v>
      </c>
      <c r="J533">
        <v>8124.84</v>
      </c>
      <c r="K533">
        <v>1000000</v>
      </c>
    </row>
    <row r="534" spans="1:11" ht="12.75" customHeight="1" x14ac:dyDescent="0.2">
      <c r="A534" t="s">
        <v>1420</v>
      </c>
      <c r="B534" t="s">
        <v>6375</v>
      </c>
      <c r="C534">
        <v>2024</v>
      </c>
      <c r="D534">
        <v>2023</v>
      </c>
      <c r="E534" s="7">
        <v>45305</v>
      </c>
      <c r="F534" s="7">
        <v>45670</v>
      </c>
      <c r="G534" t="s">
        <v>135</v>
      </c>
      <c r="H534" t="s">
        <v>106</v>
      </c>
      <c r="I534" t="s">
        <v>101</v>
      </c>
      <c r="J534">
        <v>9227.0400000000009</v>
      </c>
      <c r="K534">
        <v>1000000</v>
      </c>
    </row>
    <row r="535" spans="1:11" ht="12.75" customHeight="1" x14ac:dyDescent="0.2">
      <c r="A535" t="s">
        <v>1421</v>
      </c>
      <c r="B535" t="s">
        <v>239</v>
      </c>
      <c r="C535">
        <v>2024</v>
      </c>
      <c r="D535">
        <v>2023</v>
      </c>
      <c r="E535" s="7">
        <v>45305</v>
      </c>
      <c r="F535" s="7">
        <v>45670</v>
      </c>
      <c r="G535" t="s">
        <v>135</v>
      </c>
      <c r="H535" t="s">
        <v>100</v>
      </c>
      <c r="I535" t="s">
        <v>101</v>
      </c>
      <c r="J535">
        <v>38753.11</v>
      </c>
      <c r="K535">
        <v>5000000</v>
      </c>
    </row>
    <row r="536" spans="1:11" ht="12.75" customHeight="1" x14ac:dyDescent="0.2">
      <c r="A536" t="s">
        <v>1422</v>
      </c>
      <c r="B536" t="s">
        <v>683</v>
      </c>
      <c r="C536">
        <v>2024</v>
      </c>
      <c r="D536">
        <v>2023</v>
      </c>
      <c r="E536" s="7">
        <v>45305</v>
      </c>
      <c r="F536" s="7">
        <v>45670</v>
      </c>
      <c r="G536" t="s">
        <v>135</v>
      </c>
      <c r="H536" t="s">
        <v>107</v>
      </c>
      <c r="I536" t="s">
        <v>101</v>
      </c>
      <c r="J536">
        <v>6954.7</v>
      </c>
      <c r="K536">
        <v>1000000</v>
      </c>
    </row>
    <row r="537" spans="1:11" ht="12.75" customHeight="1" x14ac:dyDescent="0.2">
      <c r="A537" t="s">
        <v>1423</v>
      </c>
      <c r="B537" t="s">
        <v>682</v>
      </c>
      <c r="C537">
        <v>2024</v>
      </c>
      <c r="D537">
        <v>2023</v>
      </c>
      <c r="E537" s="7">
        <v>45305</v>
      </c>
      <c r="F537" s="7">
        <v>45670</v>
      </c>
      <c r="G537" t="s">
        <v>135</v>
      </c>
      <c r="H537" t="s">
        <v>115</v>
      </c>
      <c r="I537" t="s">
        <v>104</v>
      </c>
      <c r="J537">
        <v>29522.34</v>
      </c>
      <c r="K537">
        <v>5000000</v>
      </c>
    </row>
    <row r="538" spans="1:11" ht="12.75" customHeight="1" x14ac:dyDescent="0.2">
      <c r="A538" t="s">
        <v>1424</v>
      </c>
      <c r="B538" t="s">
        <v>7924</v>
      </c>
      <c r="C538">
        <v>2024</v>
      </c>
      <c r="D538">
        <v>2023</v>
      </c>
      <c r="E538" s="7">
        <v>45305</v>
      </c>
      <c r="F538" s="7">
        <v>45670</v>
      </c>
      <c r="G538" t="s">
        <v>135</v>
      </c>
      <c r="H538" t="s">
        <v>110</v>
      </c>
      <c r="I538" t="s">
        <v>101</v>
      </c>
      <c r="J538">
        <v>43840.18</v>
      </c>
      <c r="K538">
        <v>5000000</v>
      </c>
    </row>
    <row r="539" spans="1:11" ht="12.75" customHeight="1" x14ac:dyDescent="0.2">
      <c r="A539" t="s">
        <v>1425</v>
      </c>
      <c r="B539" t="s">
        <v>684</v>
      </c>
      <c r="C539">
        <v>2024</v>
      </c>
      <c r="D539">
        <v>2023</v>
      </c>
      <c r="E539" s="7">
        <v>45305</v>
      </c>
      <c r="F539" s="7">
        <v>45670</v>
      </c>
      <c r="G539" t="s">
        <v>135</v>
      </c>
      <c r="H539" t="s">
        <v>102</v>
      </c>
      <c r="I539" t="s">
        <v>101</v>
      </c>
      <c r="J539">
        <v>13368.59</v>
      </c>
      <c r="K539">
        <v>2000000</v>
      </c>
    </row>
    <row r="540" spans="1:11" ht="12.75" customHeight="1" x14ac:dyDescent="0.2">
      <c r="A540" t="s">
        <v>1427</v>
      </c>
      <c r="B540" t="s">
        <v>6371</v>
      </c>
      <c r="C540">
        <v>2024</v>
      </c>
      <c r="D540">
        <v>2023</v>
      </c>
      <c r="E540" s="7">
        <v>45305</v>
      </c>
      <c r="F540" s="7">
        <v>45670</v>
      </c>
      <c r="G540" t="s">
        <v>135</v>
      </c>
      <c r="H540" t="s">
        <v>107</v>
      </c>
      <c r="I540" t="s">
        <v>101</v>
      </c>
      <c r="J540">
        <v>7131.95</v>
      </c>
      <c r="K540">
        <v>1000000</v>
      </c>
    </row>
    <row r="541" spans="1:11" ht="12.75" customHeight="1" x14ac:dyDescent="0.2">
      <c r="A541" t="s">
        <v>1429</v>
      </c>
      <c r="B541" t="s">
        <v>440</v>
      </c>
      <c r="C541">
        <v>2024</v>
      </c>
      <c r="D541">
        <v>2023</v>
      </c>
      <c r="E541" s="7">
        <v>45305</v>
      </c>
      <c r="F541" s="7">
        <v>45670</v>
      </c>
      <c r="G541" t="s">
        <v>135</v>
      </c>
      <c r="H541" t="s">
        <v>108</v>
      </c>
      <c r="I541" t="s">
        <v>101</v>
      </c>
      <c r="J541">
        <v>4780.8900000000003</v>
      </c>
      <c r="K541">
        <v>500000</v>
      </c>
    </row>
    <row r="542" spans="1:11" ht="12.75" customHeight="1" x14ac:dyDescent="0.2">
      <c r="A542" t="s">
        <v>1431</v>
      </c>
      <c r="B542" t="s">
        <v>7925</v>
      </c>
      <c r="C542">
        <v>2024</v>
      </c>
      <c r="D542">
        <v>2023</v>
      </c>
      <c r="E542" s="7">
        <v>45305</v>
      </c>
      <c r="F542" s="7">
        <v>45670</v>
      </c>
      <c r="G542" t="s">
        <v>135</v>
      </c>
      <c r="H542" t="s">
        <v>102</v>
      </c>
      <c r="I542" t="s">
        <v>104</v>
      </c>
      <c r="J542">
        <v>5628.9</v>
      </c>
      <c r="K542">
        <v>1000000</v>
      </c>
    </row>
    <row r="543" spans="1:11" ht="12.75" customHeight="1" x14ac:dyDescent="0.2">
      <c r="A543" t="s">
        <v>1433</v>
      </c>
      <c r="B543" t="s">
        <v>1329</v>
      </c>
      <c r="C543">
        <v>2024</v>
      </c>
      <c r="D543">
        <v>2023</v>
      </c>
      <c r="E543" s="7">
        <v>45306</v>
      </c>
      <c r="F543" s="7">
        <v>45671</v>
      </c>
      <c r="G543" t="s">
        <v>99</v>
      </c>
      <c r="H543" t="s">
        <v>110</v>
      </c>
      <c r="I543" t="s">
        <v>101</v>
      </c>
      <c r="J543">
        <v>4355.26</v>
      </c>
      <c r="K543">
        <v>500000</v>
      </c>
    </row>
    <row r="544" spans="1:11" ht="12.75" customHeight="1" x14ac:dyDescent="0.2">
      <c r="A544" t="s">
        <v>1435</v>
      </c>
      <c r="B544" t="s">
        <v>6363</v>
      </c>
      <c r="C544">
        <v>2024</v>
      </c>
      <c r="D544">
        <v>2023</v>
      </c>
      <c r="E544" s="7">
        <v>45306</v>
      </c>
      <c r="F544" s="7">
        <v>45671</v>
      </c>
      <c r="G544" t="s">
        <v>135</v>
      </c>
      <c r="H544" t="s">
        <v>106</v>
      </c>
      <c r="I544" t="s">
        <v>101</v>
      </c>
      <c r="J544">
        <v>19720.52</v>
      </c>
      <c r="K544">
        <v>2000000</v>
      </c>
    </row>
    <row r="545" spans="1:11" ht="12.75" customHeight="1" x14ac:dyDescent="0.2">
      <c r="A545" t="s">
        <v>1437</v>
      </c>
      <c r="B545" t="s">
        <v>685</v>
      </c>
      <c r="C545">
        <v>2024</v>
      </c>
      <c r="D545">
        <v>2023</v>
      </c>
      <c r="E545" s="7">
        <v>45306</v>
      </c>
      <c r="F545" s="7">
        <v>45671</v>
      </c>
      <c r="G545" t="s">
        <v>135</v>
      </c>
      <c r="H545" t="s">
        <v>103</v>
      </c>
      <c r="I545" t="s">
        <v>101</v>
      </c>
      <c r="J545">
        <v>74495.839999999997</v>
      </c>
      <c r="K545">
        <v>10000000</v>
      </c>
    </row>
    <row r="546" spans="1:11" ht="12.75" customHeight="1" x14ac:dyDescent="0.2">
      <c r="A546" t="s">
        <v>1439</v>
      </c>
      <c r="B546" t="s">
        <v>7926</v>
      </c>
      <c r="C546">
        <v>2024</v>
      </c>
      <c r="D546">
        <v>2023</v>
      </c>
      <c r="E546" s="7">
        <v>45306</v>
      </c>
      <c r="F546" s="7">
        <v>45671</v>
      </c>
      <c r="G546" t="s">
        <v>135</v>
      </c>
      <c r="H546" t="s">
        <v>107</v>
      </c>
      <c r="I546" t="s">
        <v>101</v>
      </c>
      <c r="J546">
        <v>11671.35</v>
      </c>
      <c r="K546">
        <v>1500000</v>
      </c>
    </row>
    <row r="547" spans="1:11" ht="12.75" customHeight="1" x14ac:dyDescent="0.2">
      <c r="A547" t="s">
        <v>1440</v>
      </c>
      <c r="B547" t="s">
        <v>688</v>
      </c>
      <c r="C547">
        <v>2024</v>
      </c>
      <c r="D547">
        <v>2023</v>
      </c>
      <c r="E547" s="7">
        <v>45306</v>
      </c>
      <c r="F547" s="7">
        <v>45671</v>
      </c>
      <c r="G547" t="s">
        <v>135</v>
      </c>
      <c r="H547" t="s">
        <v>102</v>
      </c>
      <c r="I547" t="s">
        <v>101</v>
      </c>
      <c r="J547">
        <v>7797.79</v>
      </c>
      <c r="K547">
        <v>1000000</v>
      </c>
    </row>
    <row r="548" spans="1:11" ht="12.75" customHeight="1" x14ac:dyDescent="0.2">
      <c r="A548" t="s">
        <v>1441</v>
      </c>
      <c r="B548" t="s">
        <v>686</v>
      </c>
      <c r="C548">
        <v>2024</v>
      </c>
      <c r="D548">
        <v>2023</v>
      </c>
      <c r="E548" s="7">
        <v>45306</v>
      </c>
      <c r="F548" s="7">
        <v>45671</v>
      </c>
      <c r="G548" t="s">
        <v>135</v>
      </c>
      <c r="H548" t="s">
        <v>107</v>
      </c>
      <c r="I548" t="s">
        <v>101</v>
      </c>
      <c r="J548">
        <v>76518.92</v>
      </c>
      <c r="K548">
        <v>10000000</v>
      </c>
    </row>
    <row r="549" spans="1:11" ht="12.75" customHeight="1" x14ac:dyDescent="0.2">
      <c r="A549" t="s">
        <v>1442</v>
      </c>
      <c r="B549" t="s">
        <v>7927</v>
      </c>
      <c r="C549">
        <v>2024</v>
      </c>
      <c r="D549">
        <v>2023</v>
      </c>
      <c r="E549" s="7">
        <v>45306</v>
      </c>
      <c r="F549" s="7">
        <v>45671</v>
      </c>
      <c r="G549" t="s">
        <v>135</v>
      </c>
      <c r="H549" t="s">
        <v>106</v>
      </c>
      <c r="I549" t="s">
        <v>104</v>
      </c>
      <c r="J549">
        <v>36952.639999999999</v>
      </c>
      <c r="K549">
        <v>5000000</v>
      </c>
    </row>
    <row r="550" spans="1:11" ht="12.75" customHeight="1" x14ac:dyDescent="0.2">
      <c r="A550" t="s">
        <v>1443</v>
      </c>
      <c r="B550" t="s">
        <v>6368</v>
      </c>
      <c r="C550">
        <v>2024</v>
      </c>
      <c r="D550">
        <v>2023</v>
      </c>
      <c r="E550" s="7">
        <v>45306</v>
      </c>
      <c r="F550" s="7">
        <v>45671</v>
      </c>
      <c r="G550" t="s">
        <v>135</v>
      </c>
      <c r="H550" t="s">
        <v>108</v>
      </c>
      <c r="I550" t="s">
        <v>104</v>
      </c>
      <c r="J550">
        <v>35569.54</v>
      </c>
      <c r="K550">
        <v>5000000</v>
      </c>
    </row>
    <row r="551" spans="1:11" ht="12.75" customHeight="1" x14ac:dyDescent="0.2">
      <c r="A551" t="s">
        <v>1444</v>
      </c>
      <c r="B551" t="s">
        <v>7928</v>
      </c>
      <c r="C551">
        <v>2024</v>
      </c>
      <c r="D551">
        <v>2023</v>
      </c>
      <c r="E551" s="7">
        <v>45306</v>
      </c>
      <c r="F551" s="7">
        <v>45671</v>
      </c>
      <c r="G551" t="s">
        <v>135</v>
      </c>
      <c r="H551" t="s">
        <v>109</v>
      </c>
      <c r="I551" t="s">
        <v>104</v>
      </c>
      <c r="J551">
        <v>11536.96</v>
      </c>
      <c r="K551">
        <v>2000000</v>
      </c>
    </row>
    <row r="552" spans="1:11" ht="12.75" customHeight="1" x14ac:dyDescent="0.2">
      <c r="A552" t="s">
        <v>1445</v>
      </c>
      <c r="B552" t="s">
        <v>687</v>
      </c>
      <c r="C552">
        <v>2024</v>
      </c>
      <c r="D552">
        <v>2023</v>
      </c>
      <c r="E552" s="7">
        <v>45306</v>
      </c>
      <c r="F552" s="7">
        <v>45671</v>
      </c>
      <c r="G552" t="s">
        <v>135</v>
      </c>
      <c r="H552" t="s">
        <v>106</v>
      </c>
      <c r="I552" t="s">
        <v>104</v>
      </c>
      <c r="J552">
        <v>3423.56</v>
      </c>
      <c r="K552">
        <v>500000</v>
      </c>
    </row>
    <row r="553" spans="1:11" ht="12.75" customHeight="1" x14ac:dyDescent="0.2">
      <c r="A553" t="s">
        <v>1446</v>
      </c>
      <c r="B553" t="s">
        <v>6376</v>
      </c>
      <c r="C553">
        <v>2024</v>
      </c>
      <c r="D553">
        <v>2023</v>
      </c>
      <c r="E553" s="7">
        <v>45306</v>
      </c>
      <c r="F553" s="7">
        <v>45671</v>
      </c>
      <c r="G553" t="s">
        <v>135</v>
      </c>
      <c r="H553" t="s">
        <v>116</v>
      </c>
      <c r="I553" t="s">
        <v>101</v>
      </c>
      <c r="J553">
        <v>6659.07</v>
      </c>
      <c r="K553">
        <v>1000000</v>
      </c>
    </row>
    <row r="554" spans="1:11" ht="12.75" customHeight="1" x14ac:dyDescent="0.2">
      <c r="A554" t="s">
        <v>1447</v>
      </c>
      <c r="B554" t="s">
        <v>7929</v>
      </c>
      <c r="C554">
        <v>2024</v>
      </c>
      <c r="D554">
        <v>2023</v>
      </c>
      <c r="E554" s="7">
        <v>45306</v>
      </c>
      <c r="F554" s="7">
        <v>45671</v>
      </c>
      <c r="G554" t="s">
        <v>135</v>
      </c>
      <c r="H554" t="s">
        <v>102</v>
      </c>
      <c r="I554" t="s">
        <v>104</v>
      </c>
      <c r="J554">
        <v>12369</v>
      </c>
      <c r="K554">
        <v>2000000</v>
      </c>
    </row>
    <row r="555" spans="1:11" ht="12.75" customHeight="1" x14ac:dyDescent="0.2">
      <c r="A555" t="s">
        <v>1448</v>
      </c>
      <c r="B555" t="s">
        <v>7930</v>
      </c>
      <c r="C555">
        <v>2024</v>
      </c>
      <c r="D555">
        <v>2023</v>
      </c>
      <c r="E555" s="7">
        <v>45306</v>
      </c>
      <c r="F555" s="7">
        <v>45671</v>
      </c>
      <c r="G555" t="s">
        <v>135</v>
      </c>
      <c r="H555" t="s">
        <v>102</v>
      </c>
      <c r="I555" t="s">
        <v>104</v>
      </c>
      <c r="J555">
        <v>12488.62</v>
      </c>
      <c r="K555">
        <v>2000000</v>
      </c>
    </row>
    <row r="556" spans="1:11" ht="12.75" customHeight="1" x14ac:dyDescent="0.2">
      <c r="A556" t="s">
        <v>1450</v>
      </c>
      <c r="B556" t="s">
        <v>7931</v>
      </c>
      <c r="C556">
        <v>2024</v>
      </c>
      <c r="D556">
        <v>2023</v>
      </c>
      <c r="E556" s="7">
        <v>45306</v>
      </c>
      <c r="F556" s="7">
        <v>45671</v>
      </c>
      <c r="G556" t="s">
        <v>135</v>
      </c>
      <c r="H556" t="s">
        <v>6337</v>
      </c>
      <c r="I556" t="s">
        <v>104</v>
      </c>
      <c r="J556">
        <v>8036.82</v>
      </c>
      <c r="K556">
        <v>1500000</v>
      </c>
    </row>
    <row r="557" spans="1:11" ht="12.75" customHeight="1" x14ac:dyDescent="0.2">
      <c r="A557" t="s">
        <v>1452</v>
      </c>
      <c r="B557" t="s">
        <v>6373</v>
      </c>
      <c r="C557">
        <v>2024</v>
      </c>
      <c r="D557">
        <v>2023</v>
      </c>
      <c r="E557" s="7">
        <v>45306</v>
      </c>
      <c r="F557" s="7">
        <v>45671</v>
      </c>
      <c r="G557" t="s">
        <v>135</v>
      </c>
      <c r="H557" t="s">
        <v>114</v>
      </c>
      <c r="I557" t="s">
        <v>101</v>
      </c>
      <c r="J557">
        <v>10561.1</v>
      </c>
      <c r="K557">
        <v>1500000</v>
      </c>
    </row>
    <row r="558" spans="1:11" ht="12.75" customHeight="1" x14ac:dyDescent="0.2">
      <c r="A558" t="s">
        <v>1454</v>
      </c>
      <c r="B558" t="s">
        <v>1331</v>
      </c>
      <c r="C558">
        <v>2024</v>
      </c>
      <c r="D558">
        <v>2023</v>
      </c>
      <c r="E558" s="7">
        <v>45307</v>
      </c>
      <c r="F558" s="7">
        <v>45672</v>
      </c>
      <c r="G558" t="s">
        <v>99</v>
      </c>
      <c r="H558" t="s">
        <v>102</v>
      </c>
      <c r="I558" t="s">
        <v>104</v>
      </c>
      <c r="J558">
        <v>5221.5600000000004</v>
      </c>
      <c r="K558">
        <v>1000000</v>
      </c>
    </row>
    <row r="559" spans="1:11" ht="12.75" customHeight="1" x14ac:dyDescent="0.2">
      <c r="A559" t="s">
        <v>1456</v>
      </c>
      <c r="B559" t="s">
        <v>1333</v>
      </c>
      <c r="C559">
        <v>2024</v>
      </c>
      <c r="D559">
        <v>2023</v>
      </c>
      <c r="E559" s="7">
        <v>45307</v>
      </c>
      <c r="F559" s="7">
        <v>45672</v>
      </c>
      <c r="G559" t="s">
        <v>99</v>
      </c>
      <c r="H559" t="s">
        <v>108</v>
      </c>
      <c r="I559" t="s">
        <v>101</v>
      </c>
      <c r="J559">
        <v>8163.31</v>
      </c>
      <c r="K559">
        <v>1000000</v>
      </c>
    </row>
    <row r="560" spans="1:11" ht="12.75" customHeight="1" x14ac:dyDescent="0.2">
      <c r="A560" t="s">
        <v>1457</v>
      </c>
      <c r="B560" t="s">
        <v>1335</v>
      </c>
      <c r="C560">
        <v>2024</v>
      </c>
      <c r="D560">
        <v>2023</v>
      </c>
      <c r="E560" s="7">
        <v>45307</v>
      </c>
      <c r="F560" s="7">
        <v>45672</v>
      </c>
      <c r="G560" t="s">
        <v>99</v>
      </c>
      <c r="H560" t="s">
        <v>106</v>
      </c>
      <c r="I560" t="s">
        <v>101</v>
      </c>
      <c r="J560">
        <v>19276.240000000002</v>
      </c>
      <c r="K560">
        <v>2000000</v>
      </c>
    </row>
    <row r="561" spans="1:11" ht="12.75" customHeight="1" x14ac:dyDescent="0.2">
      <c r="A561" t="s">
        <v>1458</v>
      </c>
      <c r="B561" t="s">
        <v>1350</v>
      </c>
      <c r="C561">
        <v>2024</v>
      </c>
      <c r="D561">
        <v>2023</v>
      </c>
      <c r="E561" s="7">
        <v>45307</v>
      </c>
      <c r="F561" s="7">
        <v>45672</v>
      </c>
      <c r="G561" t="s">
        <v>99</v>
      </c>
      <c r="H561" t="s">
        <v>112</v>
      </c>
      <c r="I561" t="s">
        <v>101</v>
      </c>
      <c r="J561">
        <v>13726.62</v>
      </c>
      <c r="K561">
        <v>1500000</v>
      </c>
    </row>
    <row r="562" spans="1:11" ht="12.75" customHeight="1" x14ac:dyDescent="0.2">
      <c r="A562" t="s">
        <v>1459</v>
      </c>
      <c r="B562" t="s">
        <v>240</v>
      </c>
      <c r="C562">
        <v>2024</v>
      </c>
      <c r="D562">
        <v>2023</v>
      </c>
      <c r="E562" s="7">
        <v>45307</v>
      </c>
      <c r="F562" s="7">
        <v>45672</v>
      </c>
      <c r="G562" t="s">
        <v>135</v>
      </c>
      <c r="H562" t="s">
        <v>114</v>
      </c>
      <c r="I562" t="s">
        <v>104</v>
      </c>
      <c r="J562">
        <v>8617.84</v>
      </c>
      <c r="K562">
        <v>1500000</v>
      </c>
    </row>
    <row r="563" spans="1:11" ht="12.75" customHeight="1" x14ac:dyDescent="0.2">
      <c r="A563" t="s">
        <v>1460</v>
      </c>
      <c r="B563" t="s">
        <v>7932</v>
      </c>
      <c r="C563">
        <v>2024</v>
      </c>
      <c r="D563">
        <v>2023</v>
      </c>
      <c r="E563" s="7">
        <v>45307</v>
      </c>
      <c r="F563" s="7">
        <v>45672</v>
      </c>
      <c r="G563" t="s">
        <v>135</v>
      </c>
      <c r="H563" t="s">
        <v>116</v>
      </c>
      <c r="I563" t="s">
        <v>101</v>
      </c>
      <c r="J563">
        <v>7547.12</v>
      </c>
      <c r="K563">
        <v>1000000</v>
      </c>
    </row>
    <row r="564" spans="1:11" ht="12.75" customHeight="1" x14ac:dyDescent="0.2">
      <c r="A564" t="s">
        <v>1461</v>
      </c>
      <c r="B564" t="s">
        <v>7933</v>
      </c>
      <c r="C564">
        <v>2024</v>
      </c>
      <c r="D564">
        <v>2023</v>
      </c>
      <c r="E564" s="7">
        <v>45307</v>
      </c>
      <c r="F564" s="7">
        <v>45672</v>
      </c>
      <c r="G564" t="s">
        <v>135</v>
      </c>
      <c r="H564" t="s">
        <v>102</v>
      </c>
      <c r="I564" t="s">
        <v>104</v>
      </c>
      <c r="J564">
        <v>10573.37</v>
      </c>
      <c r="K564">
        <v>2000000</v>
      </c>
    </row>
    <row r="565" spans="1:11" ht="12.75" customHeight="1" x14ac:dyDescent="0.2">
      <c r="A565" t="s">
        <v>1462</v>
      </c>
      <c r="B565" t="s">
        <v>137</v>
      </c>
      <c r="C565">
        <v>2024</v>
      </c>
      <c r="D565">
        <v>2023</v>
      </c>
      <c r="E565" s="7">
        <v>45307</v>
      </c>
      <c r="F565" s="7">
        <v>45672</v>
      </c>
      <c r="G565" t="s">
        <v>135</v>
      </c>
      <c r="H565" t="s">
        <v>115</v>
      </c>
      <c r="I565" t="s">
        <v>101</v>
      </c>
      <c r="J565">
        <v>7222.28</v>
      </c>
      <c r="K565">
        <v>1000000</v>
      </c>
    </row>
    <row r="566" spans="1:11" ht="12.75" customHeight="1" x14ac:dyDescent="0.2">
      <c r="A566" t="s">
        <v>1464</v>
      </c>
      <c r="B566" t="s">
        <v>441</v>
      </c>
      <c r="C566">
        <v>2024</v>
      </c>
      <c r="D566">
        <v>2023</v>
      </c>
      <c r="E566" s="7">
        <v>45307</v>
      </c>
      <c r="F566" s="7">
        <v>45672</v>
      </c>
      <c r="G566" t="s">
        <v>135</v>
      </c>
      <c r="H566" t="s">
        <v>108</v>
      </c>
      <c r="I566" t="s">
        <v>101</v>
      </c>
      <c r="J566">
        <v>9376.81</v>
      </c>
      <c r="K566">
        <v>1000000</v>
      </c>
    </row>
    <row r="567" spans="1:11" ht="12.75" customHeight="1" x14ac:dyDescent="0.2">
      <c r="A567" t="s">
        <v>1466</v>
      </c>
      <c r="B567" t="s">
        <v>241</v>
      </c>
      <c r="C567">
        <v>2024</v>
      </c>
      <c r="D567">
        <v>2023</v>
      </c>
      <c r="E567" s="7">
        <v>45307</v>
      </c>
      <c r="F567" s="7">
        <v>45672</v>
      </c>
      <c r="G567" t="s">
        <v>135</v>
      </c>
      <c r="H567" t="s">
        <v>107</v>
      </c>
      <c r="I567" t="s">
        <v>101</v>
      </c>
      <c r="J567">
        <v>7892.86</v>
      </c>
      <c r="K567">
        <v>1000000</v>
      </c>
    </row>
    <row r="568" spans="1:11" ht="12.75" customHeight="1" x14ac:dyDescent="0.2">
      <c r="A568" t="s">
        <v>1468</v>
      </c>
      <c r="B568" t="s">
        <v>7934</v>
      </c>
      <c r="C568">
        <v>2024</v>
      </c>
      <c r="D568">
        <v>2023</v>
      </c>
      <c r="E568" s="7">
        <v>45307</v>
      </c>
      <c r="F568" s="7">
        <v>45672</v>
      </c>
      <c r="G568" t="s">
        <v>135</v>
      </c>
      <c r="H568" t="s">
        <v>106</v>
      </c>
      <c r="I568" t="s">
        <v>101</v>
      </c>
      <c r="J568">
        <v>18431.61</v>
      </c>
      <c r="K568">
        <v>2000000</v>
      </c>
    </row>
    <row r="569" spans="1:11" ht="12.75" customHeight="1" x14ac:dyDescent="0.2">
      <c r="A569" t="s">
        <v>1470</v>
      </c>
      <c r="B569" t="s">
        <v>689</v>
      </c>
      <c r="C569">
        <v>2024</v>
      </c>
      <c r="D569">
        <v>2023</v>
      </c>
      <c r="E569" s="7">
        <v>45307</v>
      </c>
      <c r="F569" s="7">
        <v>45672</v>
      </c>
      <c r="G569" t="s">
        <v>135</v>
      </c>
      <c r="H569" t="s">
        <v>6337</v>
      </c>
      <c r="I569" t="s">
        <v>104</v>
      </c>
      <c r="J569">
        <v>6190.01</v>
      </c>
      <c r="K569">
        <v>1000000</v>
      </c>
    </row>
    <row r="570" spans="1:11" ht="12.75" customHeight="1" x14ac:dyDescent="0.2">
      <c r="A570" t="s">
        <v>1471</v>
      </c>
      <c r="B570" t="s">
        <v>7935</v>
      </c>
      <c r="C570">
        <v>2024</v>
      </c>
      <c r="D570">
        <v>2023</v>
      </c>
      <c r="E570" s="7">
        <v>45307</v>
      </c>
      <c r="F570" s="7">
        <v>45672</v>
      </c>
      <c r="G570" t="s">
        <v>135</v>
      </c>
      <c r="H570" t="s">
        <v>110</v>
      </c>
      <c r="I570" t="s">
        <v>101</v>
      </c>
      <c r="J570">
        <v>14415.11</v>
      </c>
      <c r="K570">
        <v>1500000</v>
      </c>
    </row>
    <row r="571" spans="1:11" ht="12.75" customHeight="1" x14ac:dyDescent="0.2">
      <c r="A571" t="s">
        <v>1472</v>
      </c>
      <c r="B571" t="s">
        <v>7936</v>
      </c>
      <c r="C571">
        <v>2024</v>
      </c>
      <c r="D571">
        <v>2023</v>
      </c>
      <c r="E571" s="7">
        <v>45307</v>
      </c>
      <c r="F571" s="7">
        <v>45672</v>
      </c>
      <c r="G571" t="s">
        <v>135</v>
      </c>
      <c r="H571" t="s">
        <v>6348</v>
      </c>
      <c r="I571" t="s">
        <v>104</v>
      </c>
      <c r="J571">
        <v>12501.98</v>
      </c>
      <c r="K571">
        <v>2000000</v>
      </c>
    </row>
    <row r="572" spans="1:11" ht="12.75" customHeight="1" x14ac:dyDescent="0.2">
      <c r="A572" t="s">
        <v>1473</v>
      </c>
      <c r="B572" t="s">
        <v>7937</v>
      </c>
      <c r="C572">
        <v>2024</v>
      </c>
      <c r="D572">
        <v>2023</v>
      </c>
      <c r="E572" s="7">
        <v>45307</v>
      </c>
      <c r="F572" s="7">
        <v>45672</v>
      </c>
      <c r="G572" t="s">
        <v>135</v>
      </c>
      <c r="H572" t="s">
        <v>102</v>
      </c>
      <c r="I572" t="s">
        <v>101</v>
      </c>
      <c r="J572">
        <v>37391.94</v>
      </c>
      <c r="K572">
        <v>5000000</v>
      </c>
    </row>
    <row r="573" spans="1:11" ht="12.75" customHeight="1" x14ac:dyDescent="0.2">
      <c r="A573" t="s">
        <v>1474</v>
      </c>
      <c r="B573" t="s">
        <v>1352</v>
      </c>
      <c r="C573">
        <v>2024</v>
      </c>
      <c r="D573">
        <v>2023</v>
      </c>
      <c r="E573" s="7">
        <v>45308</v>
      </c>
      <c r="F573" s="7">
        <v>45673</v>
      </c>
      <c r="G573" t="s">
        <v>99</v>
      </c>
      <c r="H573" t="s">
        <v>6337</v>
      </c>
      <c r="I573" t="s">
        <v>101</v>
      </c>
      <c r="J573">
        <v>6768.08</v>
      </c>
      <c r="K573">
        <v>1000000</v>
      </c>
    </row>
    <row r="574" spans="1:11" ht="12.75" customHeight="1" x14ac:dyDescent="0.2">
      <c r="A574" t="s">
        <v>1475</v>
      </c>
      <c r="B574" t="s">
        <v>1354</v>
      </c>
      <c r="C574">
        <v>2024</v>
      </c>
      <c r="D574">
        <v>2023</v>
      </c>
      <c r="E574" s="7">
        <v>45308</v>
      </c>
      <c r="F574" s="7">
        <v>45673</v>
      </c>
      <c r="G574" t="s">
        <v>99</v>
      </c>
      <c r="H574" t="s">
        <v>6348</v>
      </c>
      <c r="I574" t="s">
        <v>104</v>
      </c>
      <c r="J574">
        <v>3051.13</v>
      </c>
      <c r="K574">
        <v>500000</v>
      </c>
    </row>
    <row r="575" spans="1:11" ht="12.75" customHeight="1" x14ac:dyDescent="0.2">
      <c r="A575" t="s">
        <v>1476</v>
      </c>
      <c r="B575" t="s">
        <v>1356</v>
      </c>
      <c r="C575">
        <v>2024</v>
      </c>
      <c r="D575">
        <v>2023</v>
      </c>
      <c r="E575" s="7">
        <v>45308</v>
      </c>
      <c r="F575" s="7">
        <v>45673</v>
      </c>
      <c r="G575" t="s">
        <v>99</v>
      </c>
      <c r="H575" t="s">
        <v>102</v>
      </c>
      <c r="I575" t="s">
        <v>101</v>
      </c>
      <c r="J575">
        <v>6914.33</v>
      </c>
      <c r="K575">
        <v>1000000</v>
      </c>
    </row>
    <row r="576" spans="1:11" ht="12.75" customHeight="1" x14ac:dyDescent="0.2">
      <c r="A576" t="s">
        <v>1477</v>
      </c>
      <c r="B576" t="s">
        <v>7938</v>
      </c>
      <c r="C576">
        <v>2024</v>
      </c>
      <c r="D576">
        <v>2023</v>
      </c>
      <c r="E576" s="7">
        <v>45308</v>
      </c>
      <c r="F576" s="7">
        <v>45673</v>
      </c>
      <c r="G576" t="s">
        <v>135</v>
      </c>
      <c r="H576" t="s">
        <v>6348</v>
      </c>
      <c r="I576" t="s">
        <v>101</v>
      </c>
      <c r="J576">
        <v>15228.22</v>
      </c>
      <c r="K576">
        <v>2000000</v>
      </c>
    </row>
    <row r="577" spans="1:11" ht="12.75" customHeight="1" x14ac:dyDescent="0.2">
      <c r="A577" t="s">
        <v>1478</v>
      </c>
      <c r="B577" t="s">
        <v>7939</v>
      </c>
      <c r="C577">
        <v>2024</v>
      </c>
      <c r="D577">
        <v>2023</v>
      </c>
      <c r="E577" s="7">
        <v>45308</v>
      </c>
      <c r="F577" s="7">
        <v>45673</v>
      </c>
      <c r="G577" t="s">
        <v>135</v>
      </c>
      <c r="H577" t="s">
        <v>103</v>
      </c>
      <c r="I577" t="s">
        <v>101</v>
      </c>
      <c r="J577">
        <v>10254.09</v>
      </c>
      <c r="K577">
        <v>1500000</v>
      </c>
    </row>
    <row r="578" spans="1:11" ht="12.75" customHeight="1" x14ac:dyDescent="0.2">
      <c r="A578" t="s">
        <v>1480</v>
      </c>
      <c r="B578" t="s">
        <v>6382</v>
      </c>
      <c r="C578">
        <v>2024</v>
      </c>
      <c r="D578">
        <v>2023</v>
      </c>
      <c r="E578" s="7">
        <v>45308</v>
      </c>
      <c r="F578" s="7">
        <v>45673</v>
      </c>
      <c r="G578" t="s">
        <v>135</v>
      </c>
      <c r="H578" t="s">
        <v>107</v>
      </c>
      <c r="I578" t="s">
        <v>104</v>
      </c>
      <c r="J578">
        <v>8245.51</v>
      </c>
      <c r="K578">
        <v>1500000</v>
      </c>
    </row>
    <row r="579" spans="1:11" ht="12.75" customHeight="1" x14ac:dyDescent="0.2">
      <c r="A579" t="s">
        <v>1482</v>
      </c>
      <c r="B579" t="s">
        <v>6379</v>
      </c>
      <c r="C579">
        <v>2024</v>
      </c>
      <c r="D579">
        <v>2023</v>
      </c>
      <c r="E579" s="7">
        <v>45308</v>
      </c>
      <c r="F579" s="7">
        <v>45673</v>
      </c>
      <c r="G579" t="s">
        <v>135</v>
      </c>
      <c r="H579" t="s">
        <v>106</v>
      </c>
      <c r="I579" t="s">
        <v>101</v>
      </c>
      <c r="J579">
        <v>12129.98</v>
      </c>
      <c r="K579">
        <v>1500000</v>
      </c>
    </row>
    <row r="580" spans="1:11" ht="12.75" customHeight="1" x14ac:dyDescent="0.2">
      <c r="A580" t="s">
        <v>1484</v>
      </c>
      <c r="B580" t="s">
        <v>6374</v>
      </c>
      <c r="C580">
        <v>2024</v>
      </c>
      <c r="D580">
        <v>2023</v>
      </c>
      <c r="E580" s="7">
        <v>45308</v>
      </c>
      <c r="F580" s="7">
        <v>45673</v>
      </c>
      <c r="G580" t="s">
        <v>135</v>
      </c>
      <c r="H580" t="s">
        <v>109</v>
      </c>
      <c r="I580" t="s">
        <v>101</v>
      </c>
      <c r="J580">
        <v>7827.95</v>
      </c>
      <c r="K580">
        <v>1000000</v>
      </c>
    </row>
    <row r="581" spans="1:11" ht="12.75" customHeight="1" x14ac:dyDescent="0.2">
      <c r="A581" t="s">
        <v>1486</v>
      </c>
      <c r="B581" t="s">
        <v>242</v>
      </c>
      <c r="C581">
        <v>2024</v>
      </c>
      <c r="D581">
        <v>2023</v>
      </c>
      <c r="E581" s="7">
        <v>45308</v>
      </c>
      <c r="F581" s="7">
        <v>45673</v>
      </c>
      <c r="G581" t="s">
        <v>135</v>
      </c>
      <c r="H581" t="s">
        <v>110</v>
      </c>
      <c r="I581" t="s">
        <v>101</v>
      </c>
      <c r="J581">
        <v>96829.03</v>
      </c>
      <c r="K581">
        <v>10000000</v>
      </c>
    </row>
    <row r="582" spans="1:11" ht="12.75" customHeight="1" x14ac:dyDescent="0.2">
      <c r="A582" t="s">
        <v>1488</v>
      </c>
      <c r="B582" t="s">
        <v>693</v>
      </c>
      <c r="C582">
        <v>2024</v>
      </c>
      <c r="D582">
        <v>2023</v>
      </c>
      <c r="E582" s="7">
        <v>45308</v>
      </c>
      <c r="F582" s="7">
        <v>45673</v>
      </c>
      <c r="G582" t="s">
        <v>135</v>
      </c>
      <c r="H582" t="s">
        <v>102</v>
      </c>
      <c r="I582" t="s">
        <v>101</v>
      </c>
      <c r="J582">
        <v>32691.52</v>
      </c>
      <c r="K582">
        <v>5000000</v>
      </c>
    </row>
    <row r="583" spans="1:11" ht="12.75" customHeight="1" x14ac:dyDescent="0.2">
      <c r="A583" t="s">
        <v>1490</v>
      </c>
      <c r="B583" t="s">
        <v>691</v>
      </c>
      <c r="C583">
        <v>2024</v>
      </c>
      <c r="D583">
        <v>2023</v>
      </c>
      <c r="E583" s="7">
        <v>45308</v>
      </c>
      <c r="F583" s="7">
        <v>45673</v>
      </c>
      <c r="G583" t="s">
        <v>135</v>
      </c>
      <c r="H583" t="s">
        <v>106</v>
      </c>
      <c r="I583" t="s">
        <v>104</v>
      </c>
      <c r="J583">
        <v>15655.86</v>
      </c>
      <c r="K583">
        <v>2000000</v>
      </c>
    </row>
    <row r="584" spans="1:11" ht="12.75" customHeight="1" x14ac:dyDescent="0.2">
      <c r="A584" t="s">
        <v>1492</v>
      </c>
      <c r="B584" t="s">
        <v>7940</v>
      </c>
      <c r="C584">
        <v>2024</v>
      </c>
      <c r="D584">
        <v>2023</v>
      </c>
      <c r="E584" s="7">
        <v>45308</v>
      </c>
      <c r="F584" s="7">
        <v>45673</v>
      </c>
      <c r="G584" t="s">
        <v>135</v>
      </c>
      <c r="H584" t="s">
        <v>106</v>
      </c>
      <c r="I584" t="s">
        <v>101</v>
      </c>
      <c r="J584">
        <v>4714.53</v>
      </c>
      <c r="K584">
        <v>500000</v>
      </c>
    </row>
    <row r="585" spans="1:11" ht="12.75" customHeight="1" x14ac:dyDescent="0.2">
      <c r="A585" t="s">
        <v>1493</v>
      </c>
      <c r="B585" t="s">
        <v>690</v>
      </c>
      <c r="C585">
        <v>2024</v>
      </c>
      <c r="D585">
        <v>2023</v>
      </c>
      <c r="E585" s="7">
        <v>45308</v>
      </c>
      <c r="F585" s="7">
        <v>45673</v>
      </c>
      <c r="G585" t="s">
        <v>135</v>
      </c>
      <c r="H585" t="s">
        <v>102</v>
      </c>
      <c r="I585" t="s">
        <v>101</v>
      </c>
      <c r="J585">
        <v>3440.91</v>
      </c>
      <c r="K585">
        <v>500000</v>
      </c>
    </row>
    <row r="586" spans="1:11" ht="12.75" customHeight="1" x14ac:dyDescent="0.2">
      <c r="A586" t="s">
        <v>1494</v>
      </c>
      <c r="B586" t="s">
        <v>692</v>
      </c>
      <c r="C586">
        <v>2024</v>
      </c>
      <c r="D586">
        <v>2023</v>
      </c>
      <c r="E586" s="7">
        <v>45308</v>
      </c>
      <c r="F586" s="7">
        <v>45673</v>
      </c>
      <c r="G586" t="s">
        <v>135</v>
      </c>
      <c r="H586" t="s">
        <v>6337</v>
      </c>
      <c r="I586" t="s">
        <v>101</v>
      </c>
      <c r="J586">
        <v>13007.07</v>
      </c>
      <c r="K586">
        <v>2000000</v>
      </c>
    </row>
    <row r="587" spans="1:11" ht="12.75" customHeight="1" x14ac:dyDescent="0.2">
      <c r="A587" t="s">
        <v>1495</v>
      </c>
      <c r="B587" t="s">
        <v>1358</v>
      </c>
      <c r="C587">
        <v>2024</v>
      </c>
      <c r="D587">
        <v>2023</v>
      </c>
      <c r="E587" s="7">
        <v>45309</v>
      </c>
      <c r="F587" s="7">
        <v>45674</v>
      </c>
      <c r="G587" t="s">
        <v>99</v>
      </c>
      <c r="H587" t="s">
        <v>6348</v>
      </c>
      <c r="I587" t="s">
        <v>104</v>
      </c>
      <c r="J587">
        <v>10739.82</v>
      </c>
      <c r="K587">
        <v>2000000</v>
      </c>
    </row>
    <row r="588" spans="1:11" ht="12.75" customHeight="1" x14ac:dyDescent="0.2">
      <c r="A588" t="s">
        <v>1496</v>
      </c>
      <c r="B588" t="s">
        <v>1372</v>
      </c>
      <c r="C588">
        <v>2024</v>
      </c>
      <c r="D588">
        <v>2023</v>
      </c>
      <c r="E588" s="7">
        <v>45309</v>
      </c>
      <c r="F588" s="7">
        <v>45674</v>
      </c>
      <c r="G588" t="s">
        <v>99</v>
      </c>
      <c r="H588" t="s">
        <v>105</v>
      </c>
      <c r="I588" t="s">
        <v>104</v>
      </c>
      <c r="J588">
        <v>5712.77</v>
      </c>
      <c r="K588">
        <v>1000000</v>
      </c>
    </row>
    <row r="589" spans="1:11" ht="12.75" customHeight="1" x14ac:dyDescent="0.2">
      <c r="A589" t="s">
        <v>1497</v>
      </c>
      <c r="B589" t="s">
        <v>1374</v>
      </c>
      <c r="C589">
        <v>2024</v>
      </c>
      <c r="D589">
        <v>2023</v>
      </c>
      <c r="E589" s="7">
        <v>45309</v>
      </c>
      <c r="F589" s="7">
        <v>45674</v>
      </c>
      <c r="G589" t="s">
        <v>99</v>
      </c>
      <c r="H589" t="s">
        <v>106</v>
      </c>
      <c r="I589" t="s">
        <v>101</v>
      </c>
      <c r="J589">
        <v>8411.6</v>
      </c>
      <c r="K589">
        <v>1000000</v>
      </c>
    </row>
    <row r="590" spans="1:11" ht="12.75" customHeight="1" x14ac:dyDescent="0.2">
      <c r="A590" t="s">
        <v>1498</v>
      </c>
      <c r="B590" t="s">
        <v>7941</v>
      </c>
      <c r="C590">
        <v>2024</v>
      </c>
      <c r="D590">
        <v>2023</v>
      </c>
      <c r="E590" s="7">
        <v>45309</v>
      </c>
      <c r="F590" s="7">
        <v>45674</v>
      </c>
      <c r="G590" t="s">
        <v>135</v>
      </c>
      <c r="H590" t="s">
        <v>116</v>
      </c>
      <c r="I590" t="s">
        <v>101</v>
      </c>
      <c r="J590">
        <v>13626.57</v>
      </c>
      <c r="K590">
        <v>2000000</v>
      </c>
    </row>
    <row r="591" spans="1:11" ht="12.75" customHeight="1" x14ac:dyDescent="0.2">
      <c r="A591" t="s">
        <v>1499</v>
      </c>
      <c r="B591" t="s">
        <v>6383</v>
      </c>
      <c r="C591">
        <v>2024</v>
      </c>
      <c r="D591">
        <v>2023</v>
      </c>
      <c r="E591" s="7">
        <v>45309</v>
      </c>
      <c r="F591" s="7">
        <v>45674</v>
      </c>
      <c r="G591" t="s">
        <v>135</v>
      </c>
      <c r="H591" t="s">
        <v>107</v>
      </c>
      <c r="I591" t="s">
        <v>101</v>
      </c>
      <c r="J591">
        <v>6914.6</v>
      </c>
      <c r="K591">
        <v>1000000</v>
      </c>
    </row>
    <row r="592" spans="1:11" ht="12.75" customHeight="1" x14ac:dyDescent="0.2">
      <c r="A592" t="s">
        <v>1500</v>
      </c>
      <c r="B592" t="s">
        <v>6386</v>
      </c>
      <c r="C592">
        <v>2024</v>
      </c>
      <c r="D592">
        <v>2023</v>
      </c>
      <c r="E592" s="7">
        <v>45309</v>
      </c>
      <c r="F592" s="7">
        <v>45674</v>
      </c>
      <c r="G592" t="s">
        <v>135</v>
      </c>
      <c r="H592" t="s">
        <v>100</v>
      </c>
      <c r="I592" t="s">
        <v>101</v>
      </c>
      <c r="J592">
        <v>13037.5</v>
      </c>
      <c r="K592">
        <v>2000000</v>
      </c>
    </row>
    <row r="593" spans="1:11" ht="12.75" customHeight="1" x14ac:dyDescent="0.2">
      <c r="A593" t="s">
        <v>1501</v>
      </c>
      <c r="B593" t="s">
        <v>7942</v>
      </c>
      <c r="C593">
        <v>2024</v>
      </c>
      <c r="D593">
        <v>2023</v>
      </c>
      <c r="E593" s="7">
        <v>45309</v>
      </c>
      <c r="F593" s="7">
        <v>45674</v>
      </c>
      <c r="G593" t="s">
        <v>135</v>
      </c>
      <c r="H593" t="s">
        <v>106</v>
      </c>
      <c r="I593" t="s">
        <v>101</v>
      </c>
      <c r="J593">
        <v>13414.19</v>
      </c>
      <c r="K593">
        <v>1500000</v>
      </c>
    </row>
    <row r="594" spans="1:11" ht="12.75" customHeight="1" x14ac:dyDescent="0.2">
      <c r="A594" t="s">
        <v>1502</v>
      </c>
      <c r="B594" t="s">
        <v>694</v>
      </c>
      <c r="C594">
        <v>2024</v>
      </c>
      <c r="D594">
        <v>2023</v>
      </c>
      <c r="E594" s="7">
        <v>45309</v>
      </c>
      <c r="F594" s="7">
        <v>45674</v>
      </c>
      <c r="G594" t="s">
        <v>135</v>
      </c>
      <c r="H594" t="s">
        <v>109</v>
      </c>
      <c r="I594" t="s">
        <v>101</v>
      </c>
      <c r="J594">
        <v>75814.52</v>
      </c>
      <c r="K594">
        <v>10000000</v>
      </c>
    </row>
    <row r="595" spans="1:11" ht="12.75" customHeight="1" x14ac:dyDescent="0.2">
      <c r="A595" t="s">
        <v>1504</v>
      </c>
      <c r="B595" t="s">
        <v>442</v>
      </c>
      <c r="C595">
        <v>2024</v>
      </c>
      <c r="D595">
        <v>2023</v>
      </c>
      <c r="E595" s="7">
        <v>45309</v>
      </c>
      <c r="F595" s="7">
        <v>45674</v>
      </c>
      <c r="G595" t="s">
        <v>135</v>
      </c>
      <c r="H595" t="s">
        <v>106</v>
      </c>
      <c r="I595" t="s">
        <v>101</v>
      </c>
      <c r="J595">
        <v>44878.67</v>
      </c>
      <c r="K595">
        <v>5000000</v>
      </c>
    </row>
    <row r="596" spans="1:11" ht="12.75" customHeight="1" x14ac:dyDescent="0.2">
      <c r="A596" t="s">
        <v>1506</v>
      </c>
      <c r="B596" t="s">
        <v>443</v>
      </c>
      <c r="C596">
        <v>2024</v>
      </c>
      <c r="D596">
        <v>2023</v>
      </c>
      <c r="E596" s="7">
        <v>45309</v>
      </c>
      <c r="F596" s="7">
        <v>45674</v>
      </c>
      <c r="G596" t="s">
        <v>135</v>
      </c>
      <c r="H596" t="s">
        <v>106</v>
      </c>
      <c r="I596" t="s">
        <v>104</v>
      </c>
      <c r="J596">
        <v>66687.34</v>
      </c>
      <c r="K596">
        <v>10000000</v>
      </c>
    </row>
    <row r="597" spans="1:11" ht="12.75" customHeight="1" x14ac:dyDescent="0.2">
      <c r="A597" t="s">
        <v>1507</v>
      </c>
      <c r="B597" t="s">
        <v>183</v>
      </c>
      <c r="C597">
        <v>2024</v>
      </c>
      <c r="D597">
        <v>2023</v>
      </c>
      <c r="E597" s="7">
        <v>45309</v>
      </c>
      <c r="F597" s="7">
        <v>45674</v>
      </c>
      <c r="G597" t="s">
        <v>135</v>
      </c>
      <c r="H597" t="s">
        <v>108</v>
      </c>
      <c r="I597" t="s">
        <v>101</v>
      </c>
      <c r="J597">
        <v>14106.24</v>
      </c>
      <c r="K597">
        <v>1500000</v>
      </c>
    </row>
    <row r="598" spans="1:11" ht="12.75" customHeight="1" x14ac:dyDescent="0.2">
      <c r="A598" t="s">
        <v>1508</v>
      </c>
      <c r="B598" t="s">
        <v>6385</v>
      </c>
      <c r="C598">
        <v>2024</v>
      </c>
      <c r="D598">
        <v>2023</v>
      </c>
      <c r="E598" s="7">
        <v>45309</v>
      </c>
      <c r="F598" s="7">
        <v>45674</v>
      </c>
      <c r="G598" t="s">
        <v>135</v>
      </c>
      <c r="H598" t="s">
        <v>107</v>
      </c>
      <c r="I598" t="s">
        <v>101</v>
      </c>
      <c r="J598">
        <v>13619.31</v>
      </c>
      <c r="K598">
        <v>2000000</v>
      </c>
    </row>
    <row r="599" spans="1:11" ht="12.75" customHeight="1" x14ac:dyDescent="0.2">
      <c r="A599" t="s">
        <v>1509</v>
      </c>
      <c r="B599" t="s">
        <v>696</v>
      </c>
      <c r="C599">
        <v>2024</v>
      </c>
      <c r="D599">
        <v>2023</v>
      </c>
      <c r="E599" s="7">
        <v>45309</v>
      </c>
      <c r="F599" s="7">
        <v>45674</v>
      </c>
      <c r="G599" t="s">
        <v>135</v>
      </c>
      <c r="H599" t="s">
        <v>114</v>
      </c>
      <c r="I599" t="s">
        <v>104</v>
      </c>
      <c r="J599">
        <v>6193.99</v>
      </c>
      <c r="K599">
        <v>1000000</v>
      </c>
    </row>
    <row r="600" spans="1:11" ht="12.75" customHeight="1" x14ac:dyDescent="0.2">
      <c r="A600" t="s">
        <v>1510</v>
      </c>
      <c r="B600" t="s">
        <v>695</v>
      </c>
      <c r="C600">
        <v>2024</v>
      </c>
      <c r="D600">
        <v>2023</v>
      </c>
      <c r="E600" s="7">
        <v>45309</v>
      </c>
      <c r="F600" s="7">
        <v>45674</v>
      </c>
      <c r="G600" t="s">
        <v>135</v>
      </c>
      <c r="H600" t="s">
        <v>108</v>
      </c>
      <c r="I600" t="s">
        <v>104</v>
      </c>
      <c r="J600">
        <v>6980.67</v>
      </c>
      <c r="K600">
        <v>1000000</v>
      </c>
    </row>
    <row r="601" spans="1:11" ht="12.75" customHeight="1" x14ac:dyDescent="0.2">
      <c r="A601" t="s">
        <v>1511</v>
      </c>
      <c r="B601" t="s">
        <v>6378</v>
      </c>
      <c r="C601">
        <v>2024</v>
      </c>
      <c r="D601">
        <v>2023</v>
      </c>
      <c r="E601" s="7">
        <v>45309</v>
      </c>
      <c r="F601" s="7">
        <v>45674</v>
      </c>
      <c r="G601" t="s">
        <v>135</v>
      </c>
      <c r="H601" t="s">
        <v>110</v>
      </c>
      <c r="I601" t="s">
        <v>101</v>
      </c>
      <c r="J601">
        <v>12141.72</v>
      </c>
      <c r="K601">
        <v>1500000</v>
      </c>
    </row>
    <row r="602" spans="1:11" ht="12.75" customHeight="1" x14ac:dyDescent="0.2">
      <c r="A602" t="s">
        <v>1512</v>
      </c>
      <c r="B602" t="s">
        <v>7943</v>
      </c>
      <c r="C602">
        <v>2024</v>
      </c>
      <c r="D602">
        <v>2023</v>
      </c>
      <c r="E602" s="7">
        <v>45309</v>
      </c>
      <c r="F602" s="7">
        <v>45674</v>
      </c>
      <c r="G602" t="s">
        <v>135</v>
      </c>
      <c r="H602" t="s">
        <v>103</v>
      </c>
      <c r="I602" t="s">
        <v>101</v>
      </c>
      <c r="J602">
        <v>36799.31</v>
      </c>
      <c r="K602">
        <v>5000000</v>
      </c>
    </row>
    <row r="603" spans="1:11" ht="12.75" customHeight="1" x14ac:dyDescent="0.2">
      <c r="A603" t="s">
        <v>1513</v>
      </c>
      <c r="B603" t="s">
        <v>1376</v>
      </c>
      <c r="C603">
        <v>2024</v>
      </c>
      <c r="D603">
        <v>2023</v>
      </c>
      <c r="E603" s="7">
        <v>45310</v>
      </c>
      <c r="F603" s="7">
        <v>45675</v>
      </c>
      <c r="G603" t="s">
        <v>99</v>
      </c>
      <c r="H603" t="s">
        <v>115</v>
      </c>
      <c r="I603" t="s">
        <v>101</v>
      </c>
      <c r="J603">
        <v>68706.3</v>
      </c>
      <c r="K603">
        <v>10000000</v>
      </c>
    </row>
    <row r="604" spans="1:11" ht="12.75" customHeight="1" x14ac:dyDescent="0.2">
      <c r="A604" t="s">
        <v>1515</v>
      </c>
      <c r="B604" t="s">
        <v>698</v>
      </c>
      <c r="C604">
        <v>2024</v>
      </c>
      <c r="D604">
        <v>2023</v>
      </c>
      <c r="E604" s="7">
        <v>45310</v>
      </c>
      <c r="F604" s="7">
        <v>45675</v>
      </c>
      <c r="G604" t="s">
        <v>135</v>
      </c>
      <c r="H604" t="s">
        <v>106</v>
      </c>
      <c r="I604" t="s">
        <v>101</v>
      </c>
      <c r="J604">
        <v>4262.12</v>
      </c>
      <c r="K604">
        <v>500000</v>
      </c>
    </row>
    <row r="605" spans="1:11" ht="12.75" customHeight="1" x14ac:dyDescent="0.2">
      <c r="A605" t="s">
        <v>1517</v>
      </c>
      <c r="B605" t="s">
        <v>184</v>
      </c>
      <c r="C605">
        <v>2024</v>
      </c>
      <c r="D605">
        <v>2023</v>
      </c>
      <c r="E605" s="7">
        <v>45310</v>
      </c>
      <c r="F605" s="7">
        <v>45675</v>
      </c>
      <c r="G605" t="s">
        <v>135</v>
      </c>
      <c r="H605" t="s">
        <v>106</v>
      </c>
      <c r="I605" t="s">
        <v>101</v>
      </c>
      <c r="J605">
        <v>19734.95</v>
      </c>
      <c r="K605">
        <v>2000000</v>
      </c>
    </row>
    <row r="606" spans="1:11" ht="12.75" customHeight="1" x14ac:dyDescent="0.2">
      <c r="A606" t="s">
        <v>1519</v>
      </c>
      <c r="B606" t="s">
        <v>7944</v>
      </c>
      <c r="C606">
        <v>2024</v>
      </c>
      <c r="D606">
        <v>2023</v>
      </c>
      <c r="E606" s="7">
        <v>45310</v>
      </c>
      <c r="F606" s="7">
        <v>45675</v>
      </c>
      <c r="G606" t="s">
        <v>135</v>
      </c>
      <c r="H606" t="s">
        <v>108</v>
      </c>
      <c r="I606" t="s">
        <v>104</v>
      </c>
      <c r="J606">
        <v>68104.45</v>
      </c>
      <c r="K606">
        <v>10000000</v>
      </c>
    </row>
    <row r="607" spans="1:11" ht="12.75" customHeight="1" x14ac:dyDescent="0.2">
      <c r="A607" t="s">
        <v>1520</v>
      </c>
      <c r="B607" t="s">
        <v>6388</v>
      </c>
      <c r="C607">
        <v>2024</v>
      </c>
      <c r="D607">
        <v>2023</v>
      </c>
      <c r="E607" s="7">
        <v>45310</v>
      </c>
      <c r="F607" s="7">
        <v>45675</v>
      </c>
      <c r="G607" t="s">
        <v>135</v>
      </c>
      <c r="H607" t="s">
        <v>107</v>
      </c>
      <c r="I607" t="s">
        <v>101</v>
      </c>
      <c r="J607">
        <v>10600.86</v>
      </c>
      <c r="K607">
        <v>1500000</v>
      </c>
    </row>
    <row r="608" spans="1:11" ht="12.75" customHeight="1" x14ac:dyDescent="0.2">
      <c r="A608" t="s">
        <v>1521</v>
      </c>
      <c r="B608" t="s">
        <v>6390</v>
      </c>
      <c r="C608">
        <v>2024</v>
      </c>
      <c r="D608">
        <v>2023</v>
      </c>
      <c r="E608" s="7">
        <v>45310</v>
      </c>
      <c r="F608" s="7">
        <v>45675</v>
      </c>
      <c r="G608" t="s">
        <v>135</v>
      </c>
      <c r="H608" t="s">
        <v>102</v>
      </c>
      <c r="I608" t="s">
        <v>101</v>
      </c>
      <c r="J608">
        <v>7781.37</v>
      </c>
      <c r="K608">
        <v>1000000</v>
      </c>
    </row>
    <row r="609" spans="1:11" ht="12.75" customHeight="1" x14ac:dyDescent="0.2">
      <c r="A609" t="s">
        <v>1522</v>
      </c>
      <c r="B609" t="s">
        <v>699</v>
      </c>
      <c r="C609">
        <v>2024</v>
      </c>
      <c r="D609">
        <v>2023</v>
      </c>
      <c r="E609" s="7">
        <v>45310</v>
      </c>
      <c r="F609" s="7">
        <v>45675</v>
      </c>
      <c r="G609" t="s">
        <v>135</v>
      </c>
      <c r="H609" t="s">
        <v>109</v>
      </c>
      <c r="I609" t="s">
        <v>101</v>
      </c>
      <c r="J609">
        <v>3473.55</v>
      </c>
      <c r="K609">
        <v>500000</v>
      </c>
    </row>
    <row r="610" spans="1:11" ht="12.75" customHeight="1" x14ac:dyDescent="0.2">
      <c r="A610" t="s">
        <v>1523</v>
      </c>
      <c r="B610" t="s">
        <v>243</v>
      </c>
      <c r="C610">
        <v>2024</v>
      </c>
      <c r="D610">
        <v>2023</v>
      </c>
      <c r="E610" s="7">
        <v>45310</v>
      </c>
      <c r="F610" s="7">
        <v>45675</v>
      </c>
      <c r="G610" t="s">
        <v>135</v>
      </c>
      <c r="H610" t="s">
        <v>112</v>
      </c>
      <c r="I610" t="s">
        <v>104</v>
      </c>
      <c r="J610">
        <v>13130.18</v>
      </c>
      <c r="K610">
        <v>2000000</v>
      </c>
    </row>
    <row r="611" spans="1:11" ht="12.75" customHeight="1" x14ac:dyDescent="0.2">
      <c r="A611" t="s">
        <v>1524</v>
      </c>
      <c r="B611" t="s">
        <v>697</v>
      </c>
      <c r="C611">
        <v>2024</v>
      </c>
      <c r="D611">
        <v>2023</v>
      </c>
      <c r="E611" s="7">
        <v>45310</v>
      </c>
      <c r="F611" s="7">
        <v>45675</v>
      </c>
      <c r="G611" t="s">
        <v>135</v>
      </c>
      <c r="H611" t="s">
        <v>102</v>
      </c>
      <c r="I611" t="s">
        <v>104</v>
      </c>
      <c r="J611">
        <v>9152.8700000000008</v>
      </c>
      <c r="K611">
        <v>1500000</v>
      </c>
    </row>
    <row r="612" spans="1:11" ht="12.75" customHeight="1" x14ac:dyDescent="0.2">
      <c r="A612" t="s">
        <v>1525</v>
      </c>
      <c r="B612" t="s">
        <v>185</v>
      </c>
      <c r="C612">
        <v>2024</v>
      </c>
      <c r="D612">
        <v>2023</v>
      </c>
      <c r="E612" s="7">
        <v>45310</v>
      </c>
      <c r="F612" s="7">
        <v>45675</v>
      </c>
      <c r="G612" t="s">
        <v>135</v>
      </c>
      <c r="H612" t="s">
        <v>102</v>
      </c>
      <c r="I612" t="s">
        <v>101</v>
      </c>
      <c r="J612">
        <v>10007.049999999999</v>
      </c>
      <c r="K612">
        <v>1500000</v>
      </c>
    </row>
    <row r="613" spans="1:11" ht="12.75" customHeight="1" x14ac:dyDescent="0.2">
      <c r="A613" t="s">
        <v>1527</v>
      </c>
      <c r="B613" t="s">
        <v>6377</v>
      </c>
      <c r="C613">
        <v>2024</v>
      </c>
      <c r="D613">
        <v>2023</v>
      </c>
      <c r="E613" s="7">
        <v>45310</v>
      </c>
      <c r="F613" s="7">
        <v>45675</v>
      </c>
      <c r="G613" t="s">
        <v>135</v>
      </c>
      <c r="H613" t="s">
        <v>107</v>
      </c>
      <c r="I613" t="s">
        <v>101</v>
      </c>
      <c r="J613">
        <v>7334.33</v>
      </c>
      <c r="K613">
        <v>1000000</v>
      </c>
    </row>
    <row r="614" spans="1:11" ht="12.75" customHeight="1" x14ac:dyDescent="0.2">
      <c r="A614" t="s">
        <v>1529</v>
      </c>
      <c r="B614" t="s">
        <v>7945</v>
      </c>
      <c r="C614">
        <v>2024</v>
      </c>
      <c r="D614">
        <v>2023</v>
      </c>
      <c r="E614" s="7">
        <v>45310</v>
      </c>
      <c r="F614" s="7">
        <v>45675</v>
      </c>
      <c r="G614" t="s">
        <v>135</v>
      </c>
      <c r="H614" t="s">
        <v>110</v>
      </c>
      <c r="I614" t="s">
        <v>101</v>
      </c>
      <c r="J614">
        <v>12659.54</v>
      </c>
      <c r="K614">
        <v>1500000</v>
      </c>
    </row>
    <row r="615" spans="1:11" ht="12.75" customHeight="1" x14ac:dyDescent="0.2">
      <c r="A615" t="s">
        <v>1531</v>
      </c>
      <c r="B615" t="s">
        <v>7946</v>
      </c>
      <c r="C615">
        <v>2024</v>
      </c>
      <c r="D615">
        <v>2023</v>
      </c>
      <c r="E615" s="7">
        <v>45310</v>
      </c>
      <c r="F615" s="7">
        <v>45675</v>
      </c>
      <c r="G615" t="s">
        <v>135</v>
      </c>
      <c r="H615" t="s">
        <v>106</v>
      </c>
      <c r="I615" t="s">
        <v>104</v>
      </c>
      <c r="J615">
        <v>15740.6</v>
      </c>
      <c r="K615">
        <v>2000000</v>
      </c>
    </row>
    <row r="616" spans="1:11" ht="12.75" customHeight="1" x14ac:dyDescent="0.2">
      <c r="A616" t="s">
        <v>1533</v>
      </c>
      <c r="B616" t="s">
        <v>7947</v>
      </c>
      <c r="C616">
        <v>2024</v>
      </c>
      <c r="D616">
        <v>2023</v>
      </c>
      <c r="E616" s="7">
        <v>45310</v>
      </c>
      <c r="F616" s="7">
        <v>45675</v>
      </c>
      <c r="G616" t="s">
        <v>135</v>
      </c>
      <c r="H616" t="s">
        <v>102</v>
      </c>
      <c r="I616" t="s">
        <v>104</v>
      </c>
      <c r="J616">
        <v>5931.43</v>
      </c>
      <c r="K616">
        <v>1000000</v>
      </c>
    </row>
    <row r="617" spans="1:11" ht="12.75" customHeight="1" x14ac:dyDescent="0.2">
      <c r="A617" t="s">
        <v>1534</v>
      </c>
      <c r="B617" t="s">
        <v>7948</v>
      </c>
      <c r="C617">
        <v>2024</v>
      </c>
      <c r="D617">
        <v>2023</v>
      </c>
      <c r="E617" s="7">
        <v>45310</v>
      </c>
      <c r="F617" s="7">
        <v>45675</v>
      </c>
      <c r="G617" t="s">
        <v>135</v>
      </c>
      <c r="H617" t="s">
        <v>6332</v>
      </c>
      <c r="I617" t="s">
        <v>104</v>
      </c>
      <c r="J617">
        <v>3141.26</v>
      </c>
      <c r="K617">
        <v>500000</v>
      </c>
    </row>
    <row r="618" spans="1:11" ht="12.75" customHeight="1" x14ac:dyDescent="0.2">
      <c r="A618" t="s">
        <v>1535</v>
      </c>
      <c r="B618" t="s">
        <v>1378</v>
      </c>
      <c r="C618">
        <v>2024</v>
      </c>
      <c r="D618">
        <v>2023</v>
      </c>
      <c r="E618" s="7">
        <v>45311</v>
      </c>
      <c r="F618" s="7">
        <v>45676</v>
      </c>
      <c r="G618" t="s">
        <v>99</v>
      </c>
      <c r="H618" t="s">
        <v>108</v>
      </c>
      <c r="I618" t="s">
        <v>101</v>
      </c>
      <c r="J618">
        <v>92917.6</v>
      </c>
      <c r="K618">
        <v>10000000</v>
      </c>
    </row>
    <row r="619" spans="1:11" ht="12.75" customHeight="1" x14ac:dyDescent="0.2">
      <c r="A619" t="s">
        <v>1536</v>
      </c>
      <c r="B619" t="s">
        <v>1383</v>
      </c>
      <c r="C619">
        <v>2024</v>
      </c>
      <c r="D619">
        <v>2023</v>
      </c>
      <c r="E619" s="7">
        <v>45311</v>
      </c>
      <c r="F619" s="7">
        <v>45676</v>
      </c>
      <c r="G619" t="s">
        <v>99</v>
      </c>
      <c r="H619" t="s">
        <v>6334</v>
      </c>
      <c r="I619" t="s">
        <v>101</v>
      </c>
      <c r="J619">
        <v>11188.36</v>
      </c>
      <c r="K619">
        <v>1500000</v>
      </c>
    </row>
    <row r="620" spans="1:11" ht="12.75" customHeight="1" x14ac:dyDescent="0.2">
      <c r="A620" t="s">
        <v>1537</v>
      </c>
      <c r="B620" t="s">
        <v>1385</v>
      </c>
      <c r="C620">
        <v>2024</v>
      </c>
      <c r="D620">
        <v>2023</v>
      </c>
      <c r="E620" s="7">
        <v>45311</v>
      </c>
      <c r="F620" s="7">
        <v>45676</v>
      </c>
      <c r="G620" t="s">
        <v>99</v>
      </c>
      <c r="H620" t="s">
        <v>106</v>
      </c>
      <c r="I620" t="s">
        <v>101</v>
      </c>
      <c r="J620">
        <v>18158.310000000001</v>
      </c>
      <c r="K620">
        <v>2000000</v>
      </c>
    </row>
    <row r="621" spans="1:11" ht="12.75" customHeight="1" x14ac:dyDescent="0.2">
      <c r="A621" t="s">
        <v>1538</v>
      </c>
      <c r="B621" t="s">
        <v>1387</v>
      </c>
      <c r="C621">
        <v>2024</v>
      </c>
      <c r="D621">
        <v>2023</v>
      </c>
      <c r="E621" s="7">
        <v>45311</v>
      </c>
      <c r="F621" s="7">
        <v>45676</v>
      </c>
      <c r="G621" t="s">
        <v>99</v>
      </c>
      <c r="H621" t="s">
        <v>6334</v>
      </c>
      <c r="I621" t="s">
        <v>101</v>
      </c>
      <c r="J621">
        <v>11540.97</v>
      </c>
      <c r="K621">
        <v>1500000</v>
      </c>
    </row>
    <row r="622" spans="1:11" ht="12.75" customHeight="1" x14ac:dyDescent="0.2">
      <c r="A622" t="s">
        <v>1539</v>
      </c>
      <c r="B622" t="s">
        <v>7949</v>
      </c>
      <c r="C622">
        <v>2024</v>
      </c>
      <c r="D622">
        <v>2023</v>
      </c>
      <c r="E622" s="7">
        <v>45311</v>
      </c>
      <c r="F622" s="7">
        <v>45676</v>
      </c>
      <c r="G622" t="s">
        <v>135</v>
      </c>
      <c r="H622" t="s">
        <v>108</v>
      </c>
      <c r="I622" t="s">
        <v>101</v>
      </c>
      <c r="J622">
        <v>19588.91</v>
      </c>
      <c r="K622">
        <v>2000000</v>
      </c>
    </row>
    <row r="623" spans="1:11" ht="12.75" customHeight="1" x14ac:dyDescent="0.2">
      <c r="A623" t="s">
        <v>1540</v>
      </c>
      <c r="B623" t="s">
        <v>444</v>
      </c>
      <c r="C623">
        <v>2024</v>
      </c>
      <c r="D623">
        <v>2023</v>
      </c>
      <c r="E623" s="7">
        <v>45311</v>
      </c>
      <c r="F623" s="7">
        <v>45676</v>
      </c>
      <c r="G623" t="s">
        <v>135</v>
      </c>
      <c r="H623" t="s">
        <v>100</v>
      </c>
      <c r="I623" t="s">
        <v>104</v>
      </c>
      <c r="J623">
        <v>7837.52</v>
      </c>
      <c r="K623">
        <v>1500000</v>
      </c>
    </row>
    <row r="624" spans="1:11" ht="12.75" customHeight="1" x14ac:dyDescent="0.2">
      <c r="A624" t="s">
        <v>1541</v>
      </c>
      <c r="B624" t="s">
        <v>700</v>
      </c>
      <c r="C624">
        <v>2024</v>
      </c>
      <c r="D624">
        <v>2023</v>
      </c>
      <c r="E624" s="7">
        <v>45311</v>
      </c>
      <c r="F624" s="7">
        <v>45676</v>
      </c>
      <c r="G624" t="s">
        <v>135</v>
      </c>
      <c r="H624" t="s">
        <v>113</v>
      </c>
      <c r="I624" t="s">
        <v>101</v>
      </c>
      <c r="J624">
        <v>6818.45</v>
      </c>
      <c r="K624">
        <v>1000000</v>
      </c>
    </row>
    <row r="625" spans="1:11" ht="12.75" customHeight="1" x14ac:dyDescent="0.2">
      <c r="A625" t="s">
        <v>1542</v>
      </c>
      <c r="B625" t="s">
        <v>7950</v>
      </c>
      <c r="C625">
        <v>2024</v>
      </c>
      <c r="D625">
        <v>2023</v>
      </c>
      <c r="E625" s="7">
        <v>45311</v>
      </c>
      <c r="F625" s="7">
        <v>45676</v>
      </c>
      <c r="G625" t="s">
        <v>135</v>
      </c>
      <c r="H625" t="s">
        <v>100</v>
      </c>
      <c r="I625" t="s">
        <v>101</v>
      </c>
      <c r="J625">
        <v>14871.72</v>
      </c>
      <c r="K625">
        <v>2000000</v>
      </c>
    </row>
    <row r="626" spans="1:11" ht="12.75" customHeight="1" x14ac:dyDescent="0.2">
      <c r="A626" t="s">
        <v>1544</v>
      </c>
      <c r="B626" t="s">
        <v>6380</v>
      </c>
      <c r="C626">
        <v>2024</v>
      </c>
      <c r="D626">
        <v>2023</v>
      </c>
      <c r="E626" s="7">
        <v>45311</v>
      </c>
      <c r="F626" s="7">
        <v>45676</v>
      </c>
      <c r="G626" t="s">
        <v>135</v>
      </c>
      <c r="H626" t="s">
        <v>109</v>
      </c>
      <c r="I626" t="s">
        <v>104</v>
      </c>
      <c r="J626">
        <v>3097.01</v>
      </c>
      <c r="K626">
        <v>500000</v>
      </c>
    </row>
    <row r="627" spans="1:11" ht="12.75" customHeight="1" x14ac:dyDescent="0.2">
      <c r="A627" t="s">
        <v>1546</v>
      </c>
      <c r="B627" t="s">
        <v>7951</v>
      </c>
      <c r="C627">
        <v>2024</v>
      </c>
      <c r="D627">
        <v>2023</v>
      </c>
      <c r="E627" s="7">
        <v>45311</v>
      </c>
      <c r="F627" s="7">
        <v>45676</v>
      </c>
      <c r="G627" t="s">
        <v>135</v>
      </c>
      <c r="H627" t="s">
        <v>115</v>
      </c>
      <c r="I627" t="s">
        <v>101</v>
      </c>
      <c r="J627">
        <v>36087</v>
      </c>
      <c r="K627">
        <v>5000000</v>
      </c>
    </row>
    <row r="628" spans="1:11" ht="12.75" customHeight="1" x14ac:dyDescent="0.2">
      <c r="A628" t="s">
        <v>1548</v>
      </c>
      <c r="B628" t="s">
        <v>7952</v>
      </c>
      <c r="C628">
        <v>2024</v>
      </c>
      <c r="D628">
        <v>2023</v>
      </c>
      <c r="E628" s="7">
        <v>45311</v>
      </c>
      <c r="F628" s="7">
        <v>45676</v>
      </c>
      <c r="G628" t="s">
        <v>135</v>
      </c>
      <c r="H628" t="s">
        <v>102</v>
      </c>
      <c r="I628" t="s">
        <v>104</v>
      </c>
      <c r="J628">
        <v>5441.77</v>
      </c>
      <c r="K628">
        <v>1000000</v>
      </c>
    </row>
    <row r="629" spans="1:11" ht="12.75" customHeight="1" x14ac:dyDescent="0.2">
      <c r="A629" t="s">
        <v>1550</v>
      </c>
      <c r="B629" t="s">
        <v>7953</v>
      </c>
      <c r="C629">
        <v>2024</v>
      </c>
      <c r="D629">
        <v>2023</v>
      </c>
      <c r="E629" s="7">
        <v>45311</v>
      </c>
      <c r="F629" s="7">
        <v>45676</v>
      </c>
      <c r="G629" t="s">
        <v>135</v>
      </c>
      <c r="H629" t="s">
        <v>114</v>
      </c>
      <c r="I629" t="s">
        <v>101</v>
      </c>
      <c r="J629">
        <v>6912.75</v>
      </c>
      <c r="K629">
        <v>1000000</v>
      </c>
    </row>
    <row r="630" spans="1:11" ht="12.75" customHeight="1" x14ac:dyDescent="0.2">
      <c r="A630" t="s">
        <v>1552</v>
      </c>
      <c r="B630" t="s">
        <v>7954</v>
      </c>
      <c r="C630">
        <v>2024</v>
      </c>
      <c r="D630">
        <v>2023</v>
      </c>
      <c r="E630" s="7">
        <v>45311</v>
      </c>
      <c r="F630" s="7">
        <v>45676</v>
      </c>
      <c r="G630" t="s">
        <v>135</v>
      </c>
      <c r="H630" t="s">
        <v>102</v>
      </c>
      <c r="I630" t="s">
        <v>101</v>
      </c>
      <c r="J630">
        <v>9856.2900000000009</v>
      </c>
      <c r="K630">
        <v>1500000</v>
      </c>
    </row>
    <row r="631" spans="1:11" ht="12.75" customHeight="1" x14ac:dyDescent="0.2">
      <c r="A631" t="s">
        <v>1554</v>
      </c>
      <c r="B631" t="s">
        <v>1389</v>
      </c>
      <c r="C631">
        <v>2024</v>
      </c>
      <c r="D631">
        <v>2023</v>
      </c>
      <c r="E631" s="7">
        <v>45312</v>
      </c>
      <c r="F631" s="7">
        <v>45677</v>
      </c>
      <c r="G631" t="s">
        <v>99</v>
      </c>
      <c r="H631" t="s">
        <v>102</v>
      </c>
      <c r="I631" t="s">
        <v>101</v>
      </c>
      <c r="J631">
        <v>3734.92</v>
      </c>
      <c r="K631">
        <v>500000</v>
      </c>
    </row>
    <row r="632" spans="1:11" ht="12.75" customHeight="1" x14ac:dyDescent="0.2">
      <c r="A632" t="s">
        <v>1555</v>
      </c>
      <c r="B632" t="s">
        <v>1391</v>
      </c>
      <c r="C632">
        <v>2024</v>
      </c>
      <c r="D632">
        <v>2023</v>
      </c>
      <c r="E632" s="7">
        <v>45312</v>
      </c>
      <c r="F632" s="7">
        <v>45677</v>
      </c>
      <c r="G632" t="s">
        <v>99</v>
      </c>
      <c r="H632" t="s">
        <v>108</v>
      </c>
      <c r="I632" t="s">
        <v>104</v>
      </c>
      <c r="J632">
        <v>13897.51</v>
      </c>
      <c r="K632">
        <v>2000000</v>
      </c>
    </row>
    <row r="633" spans="1:11" ht="12.75" customHeight="1" x14ac:dyDescent="0.2">
      <c r="A633" t="s">
        <v>1556</v>
      </c>
      <c r="B633" t="s">
        <v>1404</v>
      </c>
      <c r="C633">
        <v>2024</v>
      </c>
      <c r="D633">
        <v>2023</v>
      </c>
      <c r="E633" s="7">
        <v>45312</v>
      </c>
      <c r="F633" s="7">
        <v>45677</v>
      </c>
      <c r="G633" t="s">
        <v>99</v>
      </c>
      <c r="H633" t="s">
        <v>105</v>
      </c>
      <c r="I633" t="s">
        <v>101</v>
      </c>
      <c r="J633">
        <v>14327.67</v>
      </c>
      <c r="K633">
        <v>2000000</v>
      </c>
    </row>
    <row r="634" spans="1:11" ht="12.75" customHeight="1" x14ac:dyDescent="0.2">
      <c r="A634" t="s">
        <v>1557</v>
      </c>
      <c r="B634" t="s">
        <v>7955</v>
      </c>
      <c r="C634">
        <v>2024</v>
      </c>
      <c r="D634">
        <v>2023</v>
      </c>
      <c r="E634" s="7">
        <v>45312</v>
      </c>
      <c r="F634" s="7">
        <v>45677</v>
      </c>
      <c r="G634" t="s">
        <v>135</v>
      </c>
      <c r="H634" t="s">
        <v>106</v>
      </c>
      <c r="I634" t="s">
        <v>104</v>
      </c>
      <c r="J634">
        <v>35396.5</v>
      </c>
      <c r="K634">
        <v>5000000</v>
      </c>
    </row>
    <row r="635" spans="1:11" ht="12.75" customHeight="1" x14ac:dyDescent="0.2">
      <c r="A635" t="s">
        <v>1558</v>
      </c>
      <c r="B635" t="s">
        <v>702</v>
      </c>
      <c r="C635">
        <v>2024</v>
      </c>
      <c r="D635">
        <v>2023</v>
      </c>
      <c r="E635" s="7">
        <v>45312</v>
      </c>
      <c r="F635" s="7">
        <v>45677</v>
      </c>
      <c r="G635" t="s">
        <v>135</v>
      </c>
      <c r="H635" t="s">
        <v>106</v>
      </c>
      <c r="I635" t="s">
        <v>101</v>
      </c>
      <c r="J635">
        <v>9540.48</v>
      </c>
      <c r="K635">
        <v>1000000</v>
      </c>
    </row>
    <row r="636" spans="1:11" ht="12.75" customHeight="1" x14ac:dyDescent="0.2">
      <c r="A636" t="s">
        <v>1559</v>
      </c>
      <c r="B636" t="s">
        <v>7956</v>
      </c>
      <c r="C636">
        <v>2024</v>
      </c>
      <c r="D636">
        <v>2023</v>
      </c>
      <c r="E636" s="7">
        <v>45312</v>
      </c>
      <c r="F636" s="7">
        <v>45677</v>
      </c>
      <c r="G636" t="s">
        <v>135</v>
      </c>
      <c r="H636" t="s">
        <v>109</v>
      </c>
      <c r="I636" t="s">
        <v>101</v>
      </c>
      <c r="J636">
        <v>37404.69</v>
      </c>
      <c r="K636">
        <v>5000000</v>
      </c>
    </row>
    <row r="637" spans="1:11" ht="12.75" customHeight="1" x14ac:dyDescent="0.2">
      <c r="A637" t="s">
        <v>1560</v>
      </c>
      <c r="B637" t="s">
        <v>7957</v>
      </c>
      <c r="C637">
        <v>2024</v>
      </c>
      <c r="D637">
        <v>2023</v>
      </c>
      <c r="E637" s="7">
        <v>45312</v>
      </c>
      <c r="F637" s="7">
        <v>45677</v>
      </c>
      <c r="G637" t="s">
        <v>135</v>
      </c>
      <c r="H637" t="s">
        <v>113</v>
      </c>
      <c r="I637" t="s">
        <v>104</v>
      </c>
      <c r="J637">
        <v>8141.19</v>
      </c>
      <c r="K637">
        <v>1500000</v>
      </c>
    </row>
    <row r="638" spans="1:11" ht="12.75" customHeight="1" x14ac:dyDescent="0.2">
      <c r="A638" t="s">
        <v>1561</v>
      </c>
      <c r="B638" t="s">
        <v>704</v>
      </c>
      <c r="C638">
        <v>2024</v>
      </c>
      <c r="D638">
        <v>2023</v>
      </c>
      <c r="E638" s="7">
        <v>45312</v>
      </c>
      <c r="F638" s="7">
        <v>45677</v>
      </c>
      <c r="G638" t="s">
        <v>135</v>
      </c>
      <c r="H638" t="s">
        <v>6337</v>
      </c>
      <c r="I638" t="s">
        <v>104</v>
      </c>
      <c r="J638">
        <v>29316.959999999999</v>
      </c>
      <c r="K638">
        <v>5000000</v>
      </c>
    </row>
    <row r="639" spans="1:11" ht="12.75" customHeight="1" x14ac:dyDescent="0.2">
      <c r="A639" t="s">
        <v>1562</v>
      </c>
      <c r="B639" t="s">
        <v>6395</v>
      </c>
      <c r="C639">
        <v>2024</v>
      </c>
      <c r="D639">
        <v>2023</v>
      </c>
      <c r="E639" s="7">
        <v>45312</v>
      </c>
      <c r="F639" s="7">
        <v>45677</v>
      </c>
      <c r="G639" t="s">
        <v>135</v>
      </c>
      <c r="H639" t="s">
        <v>106</v>
      </c>
      <c r="I639" t="s">
        <v>101</v>
      </c>
      <c r="J639">
        <v>8974.41</v>
      </c>
      <c r="K639">
        <v>1000000</v>
      </c>
    </row>
    <row r="640" spans="1:11" ht="12.75" customHeight="1" x14ac:dyDescent="0.2">
      <c r="A640" t="s">
        <v>1563</v>
      </c>
      <c r="B640" t="s">
        <v>6393</v>
      </c>
      <c r="C640">
        <v>2024</v>
      </c>
      <c r="D640">
        <v>2023</v>
      </c>
      <c r="E640" s="7">
        <v>45312</v>
      </c>
      <c r="F640" s="7">
        <v>45677</v>
      </c>
      <c r="G640" t="s">
        <v>135</v>
      </c>
      <c r="H640" t="s">
        <v>106</v>
      </c>
      <c r="I640" t="s">
        <v>104</v>
      </c>
      <c r="J640">
        <v>6536.71</v>
      </c>
      <c r="K640">
        <v>1000000</v>
      </c>
    </row>
    <row r="641" spans="1:11" ht="12.75" customHeight="1" x14ac:dyDescent="0.2">
      <c r="A641" t="s">
        <v>1564</v>
      </c>
      <c r="B641" t="s">
        <v>701</v>
      </c>
      <c r="C641">
        <v>2024</v>
      </c>
      <c r="D641">
        <v>2023</v>
      </c>
      <c r="E641" s="7">
        <v>45312</v>
      </c>
      <c r="F641" s="7">
        <v>45677</v>
      </c>
      <c r="G641" t="s">
        <v>135</v>
      </c>
      <c r="H641" t="s">
        <v>103</v>
      </c>
      <c r="I641" t="s">
        <v>101</v>
      </c>
      <c r="J641">
        <v>7333.57</v>
      </c>
      <c r="K641">
        <v>1000000</v>
      </c>
    </row>
    <row r="642" spans="1:11" ht="12.75" customHeight="1" x14ac:dyDescent="0.2">
      <c r="A642" t="s">
        <v>1565</v>
      </c>
      <c r="B642" t="s">
        <v>7958</v>
      </c>
      <c r="C642">
        <v>2024</v>
      </c>
      <c r="D642">
        <v>2023</v>
      </c>
      <c r="E642" s="7">
        <v>45312</v>
      </c>
      <c r="F642" s="7">
        <v>45677</v>
      </c>
      <c r="G642" t="s">
        <v>135</v>
      </c>
      <c r="H642" t="s">
        <v>102</v>
      </c>
      <c r="I642" t="s">
        <v>101</v>
      </c>
      <c r="J642">
        <v>13911.52</v>
      </c>
      <c r="K642">
        <v>2000000</v>
      </c>
    </row>
    <row r="643" spans="1:11" ht="12.75" customHeight="1" x14ac:dyDescent="0.2">
      <c r="A643" t="s">
        <v>1567</v>
      </c>
      <c r="B643" t="s">
        <v>7959</v>
      </c>
      <c r="C643">
        <v>2024</v>
      </c>
      <c r="D643">
        <v>2023</v>
      </c>
      <c r="E643" s="7">
        <v>45312</v>
      </c>
      <c r="F643" s="7">
        <v>45677</v>
      </c>
      <c r="G643" t="s">
        <v>135</v>
      </c>
      <c r="H643" t="s">
        <v>6332</v>
      </c>
      <c r="I643" t="s">
        <v>101</v>
      </c>
      <c r="J643">
        <v>78664.02</v>
      </c>
      <c r="K643">
        <v>10000000</v>
      </c>
    </row>
    <row r="644" spans="1:11" ht="12.75" customHeight="1" x14ac:dyDescent="0.2">
      <c r="A644" t="s">
        <v>1569</v>
      </c>
      <c r="B644" t="s">
        <v>703</v>
      </c>
      <c r="C644">
        <v>2024</v>
      </c>
      <c r="D644">
        <v>2023</v>
      </c>
      <c r="E644" s="7">
        <v>45312</v>
      </c>
      <c r="F644" s="7">
        <v>45677</v>
      </c>
      <c r="G644" t="s">
        <v>135</v>
      </c>
      <c r="H644" t="s">
        <v>6332</v>
      </c>
      <c r="I644" t="s">
        <v>104</v>
      </c>
      <c r="J644">
        <v>5814.3</v>
      </c>
      <c r="K644">
        <v>1000000</v>
      </c>
    </row>
    <row r="645" spans="1:11" ht="12.75" customHeight="1" x14ac:dyDescent="0.2">
      <c r="A645" t="s">
        <v>1571</v>
      </c>
      <c r="B645" t="s">
        <v>6397</v>
      </c>
      <c r="C645">
        <v>2024</v>
      </c>
      <c r="D645">
        <v>2023</v>
      </c>
      <c r="E645" s="7">
        <v>45312</v>
      </c>
      <c r="F645" s="7">
        <v>45677</v>
      </c>
      <c r="G645" t="s">
        <v>135</v>
      </c>
      <c r="H645" t="s">
        <v>102</v>
      </c>
      <c r="I645" t="s">
        <v>101</v>
      </c>
      <c r="J645">
        <v>77308.05</v>
      </c>
      <c r="K645">
        <v>10000000</v>
      </c>
    </row>
    <row r="646" spans="1:11" ht="12.75" customHeight="1" x14ac:dyDescent="0.2">
      <c r="A646" t="s">
        <v>1573</v>
      </c>
      <c r="B646" t="s">
        <v>6389</v>
      </c>
      <c r="C646">
        <v>2024</v>
      </c>
      <c r="D646">
        <v>2023</v>
      </c>
      <c r="E646" s="7">
        <v>45312</v>
      </c>
      <c r="F646" s="7">
        <v>45677</v>
      </c>
      <c r="G646" t="s">
        <v>135</v>
      </c>
      <c r="H646" t="s">
        <v>106</v>
      </c>
      <c r="I646" t="s">
        <v>101</v>
      </c>
      <c r="J646">
        <v>44364.05</v>
      </c>
      <c r="K646">
        <v>5000000</v>
      </c>
    </row>
    <row r="647" spans="1:11" ht="12.75" customHeight="1" x14ac:dyDescent="0.2">
      <c r="A647" t="s">
        <v>1575</v>
      </c>
      <c r="B647" t="s">
        <v>1406</v>
      </c>
      <c r="C647">
        <v>2024</v>
      </c>
      <c r="D647">
        <v>2023</v>
      </c>
      <c r="E647" s="7">
        <v>45313</v>
      </c>
      <c r="F647" s="7">
        <v>45678</v>
      </c>
      <c r="G647" t="s">
        <v>99</v>
      </c>
      <c r="H647" t="s">
        <v>102</v>
      </c>
      <c r="I647" t="s">
        <v>101</v>
      </c>
      <c r="J647">
        <v>15464.02</v>
      </c>
      <c r="K647">
        <v>2000000</v>
      </c>
    </row>
    <row r="648" spans="1:11" ht="12.75" customHeight="1" x14ac:dyDescent="0.2">
      <c r="A648" t="s">
        <v>1577</v>
      </c>
      <c r="B648" t="s">
        <v>1408</v>
      </c>
      <c r="C648">
        <v>2024</v>
      </c>
      <c r="D648">
        <v>2023</v>
      </c>
      <c r="E648" s="7">
        <v>45313</v>
      </c>
      <c r="F648" s="7">
        <v>45678</v>
      </c>
      <c r="G648" t="s">
        <v>99</v>
      </c>
      <c r="H648" t="s">
        <v>100</v>
      </c>
      <c r="I648" t="s">
        <v>104</v>
      </c>
      <c r="J648">
        <v>3079.04</v>
      </c>
      <c r="K648">
        <v>500000</v>
      </c>
    </row>
    <row r="649" spans="1:11" ht="12.75" customHeight="1" x14ac:dyDescent="0.2">
      <c r="A649" t="s">
        <v>1578</v>
      </c>
      <c r="B649" t="s">
        <v>7960</v>
      </c>
      <c r="C649">
        <v>2024</v>
      </c>
      <c r="D649">
        <v>2023</v>
      </c>
      <c r="E649" s="7">
        <v>45313</v>
      </c>
      <c r="F649" s="7">
        <v>45678</v>
      </c>
      <c r="G649" t="s">
        <v>135</v>
      </c>
      <c r="H649" t="s">
        <v>105</v>
      </c>
      <c r="I649" t="s">
        <v>101</v>
      </c>
      <c r="J649">
        <v>35692.9</v>
      </c>
      <c r="K649">
        <v>5000000</v>
      </c>
    </row>
    <row r="650" spans="1:11" ht="12.75" customHeight="1" x14ac:dyDescent="0.2">
      <c r="A650" t="s">
        <v>1579</v>
      </c>
      <c r="B650" t="s">
        <v>6394</v>
      </c>
      <c r="C650">
        <v>2024</v>
      </c>
      <c r="D650">
        <v>2023</v>
      </c>
      <c r="E650" s="7">
        <v>45313</v>
      </c>
      <c r="F650" s="7">
        <v>45678</v>
      </c>
      <c r="G650" t="s">
        <v>135</v>
      </c>
      <c r="H650" t="s">
        <v>105</v>
      </c>
      <c r="I650" t="s">
        <v>101</v>
      </c>
      <c r="J650">
        <v>3800.72</v>
      </c>
      <c r="K650">
        <v>500000</v>
      </c>
    </row>
    <row r="651" spans="1:11" ht="12.75" customHeight="1" x14ac:dyDescent="0.2">
      <c r="A651" t="s">
        <v>1580</v>
      </c>
      <c r="B651" t="s">
        <v>7961</v>
      </c>
      <c r="C651">
        <v>2024</v>
      </c>
      <c r="D651">
        <v>2023</v>
      </c>
      <c r="E651" s="7">
        <v>45313</v>
      </c>
      <c r="F651" s="7">
        <v>45678</v>
      </c>
      <c r="G651" t="s">
        <v>135</v>
      </c>
      <c r="H651" t="s">
        <v>108</v>
      </c>
      <c r="I651" t="s">
        <v>101</v>
      </c>
      <c r="J651">
        <v>8333.2999999999993</v>
      </c>
      <c r="K651">
        <v>1000000</v>
      </c>
    </row>
    <row r="652" spans="1:11" ht="12.75" customHeight="1" x14ac:dyDescent="0.2">
      <c r="A652" t="s">
        <v>1581</v>
      </c>
      <c r="B652" t="s">
        <v>6403</v>
      </c>
      <c r="C652">
        <v>2024</v>
      </c>
      <c r="D652">
        <v>2023</v>
      </c>
      <c r="E652" s="7">
        <v>45313</v>
      </c>
      <c r="F652" s="7">
        <v>45678</v>
      </c>
      <c r="G652" t="s">
        <v>135</v>
      </c>
      <c r="H652" t="s">
        <v>108</v>
      </c>
      <c r="I652" t="s">
        <v>104</v>
      </c>
      <c r="J652">
        <v>13862.44</v>
      </c>
      <c r="K652">
        <v>2000000</v>
      </c>
    </row>
    <row r="653" spans="1:11" ht="12.75" customHeight="1" x14ac:dyDescent="0.2">
      <c r="A653" t="s">
        <v>1582</v>
      </c>
      <c r="B653" t="s">
        <v>7962</v>
      </c>
      <c r="C653">
        <v>2024</v>
      </c>
      <c r="D653">
        <v>2023</v>
      </c>
      <c r="E653" s="7">
        <v>45313</v>
      </c>
      <c r="F653" s="7">
        <v>45678</v>
      </c>
      <c r="G653" t="s">
        <v>135</v>
      </c>
      <c r="H653" t="s">
        <v>108</v>
      </c>
      <c r="I653" t="s">
        <v>101</v>
      </c>
      <c r="J653">
        <v>13665.24</v>
      </c>
      <c r="K653">
        <v>1500000</v>
      </c>
    </row>
    <row r="654" spans="1:11" ht="12.75" customHeight="1" x14ac:dyDescent="0.2">
      <c r="A654" t="s">
        <v>1583</v>
      </c>
      <c r="B654" t="s">
        <v>6384</v>
      </c>
      <c r="C654">
        <v>2024</v>
      </c>
      <c r="D654">
        <v>2023</v>
      </c>
      <c r="E654" s="7">
        <v>45313</v>
      </c>
      <c r="F654" s="7">
        <v>45678</v>
      </c>
      <c r="G654" t="s">
        <v>135</v>
      </c>
      <c r="H654" t="s">
        <v>106</v>
      </c>
      <c r="I654" t="s">
        <v>101</v>
      </c>
      <c r="J654">
        <v>4446.7</v>
      </c>
      <c r="K654">
        <v>500000</v>
      </c>
    </row>
    <row r="655" spans="1:11" ht="12.75" customHeight="1" x14ac:dyDescent="0.2">
      <c r="A655" t="s">
        <v>1584</v>
      </c>
      <c r="B655" t="s">
        <v>1410</v>
      </c>
      <c r="C655">
        <v>2024</v>
      </c>
      <c r="D655">
        <v>2023</v>
      </c>
      <c r="E655" s="7">
        <v>45314</v>
      </c>
      <c r="F655" s="7">
        <v>45679</v>
      </c>
      <c r="G655" t="s">
        <v>99</v>
      </c>
      <c r="H655" t="s">
        <v>102</v>
      </c>
      <c r="I655" t="s">
        <v>104</v>
      </c>
      <c r="J655">
        <v>6130</v>
      </c>
      <c r="K655">
        <v>1000000</v>
      </c>
    </row>
    <row r="656" spans="1:11" ht="12.75" customHeight="1" x14ac:dyDescent="0.2">
      <c r="A656" t="s">
        <v>1585</v>
      </c>
      <c r="B656" t="s">
        <v>1412</v>
      </c>
      <c r="C656">
        <v>2024</v>
      </c>
      <c r="D656">
        <v>2023</v>
      </c>
      <c r="E656" s="7">
        <v>45314</v>
      </c>
      <c r="F656" s="7">
        <v>45679</v>
      </c>
      <c r="G656" t="s">
        <v>99</v>
      </c>
      <c r="H656" t="s">
        <v>106</v>
      </c>
      <c r="I656" t="s">
        <v>101</v>
      </c>
      <c r="J656">
        <v>84762.28</v>
      </c>
      <c r="K656">
        <v>10000000</v>
      </c>
    </row>
    <row r="657" spans="1:11" ht="12.75" customHeight="1" x14ac:dyDescent="0.2">
      <c r="A657" t="s">
        <v>1586</v>
      </c>
      <c r="B657" t="s">
        <v>7963</v>
      </c>
      <c r="C657">
        <v>2024</v>
      </c>
      <c r="D657">
        <v>2023</v>
      </c>
      <c r="E657" s="7">
        <v>45314</v>
      </c>
      <c r="F657" s="7">
        <v>45679</v>
      </c>
      <c r="G657" t="s">
        <v>135</v>
      </c>
      <c r="H657" t="s">
        <v>106</v>
      </c>
      <c r="I657" t="s">
        <v>101</v>
      </c>
      <c r="J657">
        <v>9020.56</v>
      </c>
      <c r="K657">
        <v>1000000</v>
      </c>
    </row>
    <row r="658" spans="1:11" ht="12.75" customHeight="1" x14ac:dyDescent="0.2">
      <c r="A658" t="s">
        <v>1587</v>
      </c>
      <c r="B658" t="s">
        <v>7964</v>
      </c>
      <c r="C658">
        <v>2024</v>
      </c>
      <c r="D658">
        <v>2023</v>
      </c>
      <c r="E658" s="7">
        <v>45314</v>
      </c>
      <c r="F658" s="7">
        <v>45679</v>
      </c>
      <c r="G658" t="s">
        <v>135</v>
      </c>
      <c r="H658" t="s">
        <v>106</v>
      </c>
      <c r="I658" t="s">
        <v>104</v>
      </c>
      <c r="J658">
        <v>3293.74</v>
      </c>
      <c r="K658">
        <v>500000</v>
      </c>
    </row>
    <row r="659" spans="1:11" ht="12.75" customHeight="1" x14ac:dyDescent="0.2">
      <c r="A659" t="s">
        <v>1588</v>
      </c>
      <c r="B659" t="s">
        <v>705</v>
      </c>
      <c r="C659">
        <v>2024</v>
      </c>
      <c r="D659">
        <v>2023</v>
      </c>
      <c r="E659" s="7">
        <v>45314</v>
      </c>
      <c r="F659" s="7">
        <v>45679</v>
      </c>
      <c r="G659" t="s">
        <v>135</v>
      </c>
      <c r="H659" t="s">
        <v>6337</v>
      </c>
      <c r="I659" t="s">
        <v>101</v>
      </c>
      <c r="J659">
        <v>34477.25</v>
      </c>
      <c r="K659">
        <v>5000000</v>
      </c>
    </row>
    <row r="660" spans="1:11" ht="12.75" customHeight="1" x14ac:dyDescent="0.2">
      <c r="A660" t="s">
        <v>1589</v>
      </c>
      <c r="B660" t="s">
        <v>7965</v>
      </c>
      <c r="C660">
        <v>2024</v>
      </c>
      <c r="D660">
        <v>2023</v>
      </c>
      <c r="E660" s="7">
        <v>45314</v>
      </c>
      <c r="F660" s="7">
        <v>45679</v>
      </c>
      <c r="G660" t="s">
        <v>135</v>
      </c>
      <c r="H660" t="s">
        <v>102</v>
      </c>
      <c r="I660" t="s">
        <v>101</v>
      </c>
      <c r="J660">
        <v>11747.98</v>
      </c>
      <c r="K660">
        <v>1500000</v>
      </c>
    </row>
    <row r="661" spans="1:11" ht="12.75" customHeight="1" x14ac:dyDescent="0.2">
      <c r="A661" t="s">
        <v>1590</v>
      </c>
      <c r="B661" t="s">
        <v>706</v>
      </c>
      <c r="C661">
        <v>2024</v>
      </c>
      <c r="D661">
        <v>2023</v>
      </c>
      <c r="E661" s="7">
        <v>45314</v>
      </c>
      <c r="F661" s="7">
        <v>45679</v>
      </c>
      <c r="G661" t="s">
        <v>135</v>
      </c>
      <c r="H661" t="s">
        <v>102</v>
      </c>
      <c r="I661" t="s">
        <v>104</v>
      </c>
      <c r="J661">
        <v>55454</v>
      </c>
      <c r="K661">
        <v>10000000</v>
      </c>
    </row>
    <row r="662" spans="1:11" ht="12.75" customHeight="1" x14ac:dyDescent="0.2">
      <c r="A662" t="s">
        <v>1591</v>
      </c>
      <c r="B662" t="s">
        <v>7966</v>
      </c>
      <c r="C662">
        <v>2024</v>
      </c>
      <c r="D662">
        <v>2023</v>
      </c>
      <c r="E662" s="7">
        <v>45314</v>
      </c>
      <c r="F662" s="7">
        <v>45679</v>
      </c>
      <c r="G662" t="s">
        <v>135</v>
      </c>
      <c r="H662" t="s">
        <v>108</v>
      </c>
      <c r="I662" t="s">
        <v>104</v>
      </c>
      <c r="J662">
        <v>10039.719999999999</v>
      </c>
      <c r="K662">
        <v>1500000</v>
      </c>
    </row>
    <row r="663" spans="1:11" ht="12.75" customHeight="1" x14ac:dyDescent="0.2">
      <c r="A663" t="s">
        <v>1592</v>
      </c>
      <c r="B663" t="s">
        <v>6387</v>
      </c>
      <c r="C663">
        <v>2024</v>
      </c>
      <c r="D663">
        <v>2023</v>
      </c>
      <c r="E663" s="7">
        <v>45314</v>
      </c>
      <c r="F663" s="7">
        <v>45679</v>
      </c>
      <c r="G663" t="s">
        <v>135</v>
      </c>
      <c r="H663" t="s">
        <v>112</v>
      </c>
      <c r="I663" t="s">
        <v>101</v>
      </c>
      <c r="J663">
        <v>95754.37</v>
      </c>
      <c r="K663">
        <v>10000000</v>
      </c>
    </row>
    <row r="664" spans="1:11" ht="12.75" customHeight="1" x14ac:dyDescent="0.2">
      <c r="A664" t="s">
        <v>1593</v>
      </c>
      <c r="B664" t="s">
        <v>7967</v>
      </c>
      <c r="C664">
        <v>2024</v>
      </c>
      <c r="D664">
        <v>2023</v>
      </c>
      <c r="E664" s="7">
        <v>45314</v>
      </c>
      <c r="F664" s="7">
        <v>45679</v>
      </c>
      <c r="G664" t="s">
        <v>135</v>
      </c>
      <c r="H664" t="s">
        <v>114</v>
      </c>
      <c r="I664" t="s">
        <v>104</v>
      </c>
      <c r="J664">
        <v>6160.66</v>
      </c>
      <c r="K664">
        <v>1000000</v>
      </c>
    </row>
    <row r="665" spans="1:11" ht="12.75" customHeight="1" x14ac:dyDescent="0.2">
      <c r="A665" t="s">
        <v>1594</v>
      </c>
      <c r="B665" t="s">
        <v>6392</v>
      </c>
      <c r="C665">
        <v>2024</v>
      </c>
      <c r="D665">
        <v>2023</v>
      </c>
      <c r="E665" s="7">
        <v>45314</v>
      </c>
      <c r="F665" s="7">
        <v>45679</v>
      </c>
      <c r="G665" t="s">
        <v>135</v>
      </c>
      <c r="H665" t="s">
        <v>106</v>
      </c>
      <c r="I665" t="s">
        <v>101</v>
      </c>
      <c r="J665">
        <v>9490.56</v>
      </c>
      <c r="K665">
        <v>1000000</v>
      </c>
    </row>
    <row r="666" spans="1:11" ht="12.75" customHeight="1" x14ac:dyDescent="0.2">
      <c r="A666" t="s">
        <v>1595</v>
      </c>
      <c r="B666" t="s">
        <v>7968</v>
      </c>
      <c r="C666">
        <v>2024</v>
      </c>
      <c r="D666">
        <v>2023</v>
      </c>
      <c r="E666" s="7">
        <v>45314</v>
      </c>
      <c r="F666" s="7">
        <v>45679</v>
      </c>
      <c r="G666" t="s">
        <v>135</v>
      </c>
      <c r="H666" t="s">
        <v>6332</v>
      </c>
      <c r="I666" t="s">
        <v>101</v>
      </c>
      <c r="J666">
        <v>7711.32</v>
      </c>
      <c r="K666">
        <v>1000000</v>
      </c>
    </row>
    <row r="667" spans="1:11" ht="12.75" customHeight="1" x14ac:dyDescent="0.2">
      <c r="A667" t="s">
        <v>1597</v>
      </c>
      <c r="B667" t="s">
        <v>1426</v>
      </c>
      <c r="C667">
        <v>2024</v>
      </c>
      <c r="D667">
        <v>2023</v>
      </c>
      <c r="E667" s="7">
        <v>45315</v>
      </c>
      <c r="F667" s="7">
        <v>45680</v>
      </c>
      <c r="G667" t="s">
        <v>99</v>
      </c>
      <c r="H667" t="s">
        <v>114</v>
      </c>
      <c r="I667" t="s">
        <v>101</v>
      </c>
      <c r="J667">
        <v>3581.75</v>
      </c>
      <c r="K667">
        <v>500000</v>
      </c>
    </row>
    <row r="668" spans="1:11" ht="12.75" customHeight="1" x14ac:dyDescent="0.2">
      <c r="A668" t="s">
        <v>1599</v>
      </c>
      <c r="B668" t="s">
        <v>1428</v>
      </c>
      <c r="C668">
        <v>2024</v>
      </c>
      <c r="D668">
        <v>2023</v>
      </c>
      <c r="E668" s="7">
        <v>45315</v>
      </c>
      <c r="F668" s="7">
        <v>45680</v>
      </c>
      <c r="G668" t="s">
        <v>99</v>
      </c>
      <c r="H668" t="s">
        <v>108</v>
      </c>
      <c r="I668" t="s">
        <v>104</v>
      </c>
      <c r="J668">
        <v>7566.07</v>
      </c>
      <c r="K668">
        <v>1000000</v>
      </c>
    </row>
    <row r="669" spans="1:11" ht="12.75" customHeight="1" x14ac:dyDescent="0.2">
      <c r="A669" t="s">
        <v>1601</v>
      </c>
      <c r="B669" t="s">
        <v>7969</v>
      </c>
      <c r="C669">
        <v>2024</v>
      </c>
      <c r="D669">
        <v>2023</v>
      </c>
      <c r="E669" s="7">
        <v>45315</v>
      </c>
      <c r="F669" s="7">
        <v>45680</v>
      </c>
      <c r="G669" t="s">
        <v>135</v>
      </c>
      <c r="H669" t="s">
        <v>6332</v>
      </c>
      <c r="I669" t="s">
        <v>104</v>
      </c>
      <c r="J669">
        <v>5728.3</v>
      </c>
      <c r="K669">
        <v>1000000</v>
      </c>
    </row>
    <row r="670" spans="1:11" ht="12.75" customHeight="1" x14ac:dyDescent="0.2">
      <c r="A670" t="s">
        <v>1603</v>
      </c>
      <c r="B670" t="s">
        <v>7970</v>
      </c>
      <c r="C670">
        <v>2024</v>
      </c>
      <c r="D670">
        <v>2023</v>
      </c>
      <c r="E670" s="7">
        <v>45315</v>
      </c>
      <c r="F670" s="7">
        <v>45680</v>
      </c>
      <c r="G670" t="s">
        <v>135</v>
      </c>
      <c r="H670" t="s">
        <v>102</v>
      </c>
      <c r="I670" t="s">
        <v>104</v>
      </c>
      <c r="J670">
        <v>11120.61</v>
      </c>
      <c r="K670">
        <v>2000000</v>
      </c>
    </row>
    <row r="671" spans="1:11" ht="12.75" customHeight="1" x14ac:dyDescent="0.2">
      <c r="A671" t="s">
        <v>1604</v>
      </c>
      <c r="B671" t="s">
        <v>6402</v>
      </c>
      <c r="C671">
        <v>2024</v>
      </c>
      <c r="D671">
        <v>2023</v>
      </c>
      <c r="E671" s="7">
        <v>45315</v>
      </c>
      <c r="F671" s="7">
        <v>45680</v>
      </c>
      <c r="G671" t="s">
        <v>135</v>
      </c>
      <c r="H671" t="s">
        <v>115</v>
      </c>
      <c r="I671" t="s">
        <v>104</v>
      </c>
      <c r="J671">
        <v>11796.75</v>
      </c>
      <c r="K671">
        <v>2000000</v>
      </c>
    </row>
    <row r="672" spans="1:11" ht="12.75" customHeight="1" x14ac:dyDescent="0.2">
      <c r="A672" t="s">
        <v>1605</v>
      </c>
      <c r="B672" t="s">
        <v>6399</v>
      </c>
      <c r="C672">
        <v>2024</v>
      </c>
      <c r="D672">
        <v>2023</v>
      </c>
      <c r="E672" s="7">
        <v>45315</v>
      </c>
      <c r="F672" s="7">
        <v>45680</v>
      </c>
      <c r="G672" t="s">
        <v>135</v>
      </c>
      <c r="H672" t="s">
        <v>108</v>
      </c>
      <c r="I672" t="s">
        <v>101</v>
      </c>
      <c r="J672">
        <v>83900.82</v>
      </c>
      <c r="K672">
        <v>10000000</v>
      </c>
    </row>
    <row r="673" spans="1:11" ht="12.75" customHeight="1" x14ac:dyDescent="0.2">
      <c r="A673" t="s">
        <v>1606</v>
      </c>
      <c r="B673" t="s">
        <v>7971</v>
      </c>
      <c r="C673">
        <v>2024</v>
      </c>
      <c r="D673">
        <v>2023</v>
      </c>
      <c r="E673" s="7">
        <v>45315</v>
      </c>
      <c r="F673" s="7">
        <v>45680</v>
      </c>
      <c r="G673" t="s">
        <v>135</v>
      </c>
      <c r="H673" t="s">
        <v>103</v>
      </c>
      <c r="I673" t="s">
        <v>104</v>
      </c>
      <c r="J673">
        <v>12095.21</v>
      </c>
      <c r="K673">
        <v>2000000</v>
      </c>
    </row>
    <row r="674" spans="1:11" ht="12.75" customHeight="1" x14ac:dyDescent="0.2">
      <c r="A674" t="s">
        <v>1607</v>
      </c>
      <c r="B674" t="s">
        <v>708</v>
      </c>
      <c r="C674">
        <v>2024</v>
      </c>
      <c r="D674">
        <v>2023</v>
      </c>
      <c r="E674" s="7">
        <v>45315</v>
      </c>
      <c r="F674" s="7">
        <v>45680</v>
      </c>
      <c r="G674" t="s">
        <v>135</v>
      </c>
      <c r="H674" t="s">
        <v>108</v>
      </c>
      <c r="I674" t="s">
        <v>101</v>
      </c>
      <c r="J674">
        <v>9217.2800000000007</v>
      </c>
      <c r="K674">
        <v>1000000</v>
      </c>
    </row>
    <row r="675" spans="1:11" ht="12.75" customHeight="1" x14ac:dyDescent="0.2">
      <c r="A675" t="s">
        <v>1608</v>
      </c>
      <c r="B675" t="s">
        <v>707</v>
      </c>
      <c r="C675">
        <v>2024</v>
      </c>
      <c r="D675">
        <v>2023</v>
      </c>
      <c r="E675" s="7">
        <v>45315</v>
      </c>
      <c r="F675" s="7">
        <v>45680</v>
      </c>
      <c r="G675" t="s">
        <v>135</v>
      </c>
      <c r="H675" t="s">
        <v>105</v>
      </c>
      <c r="I675" t="s">
        <v>101</v>
      </c>
      <c r="J675">
        <v>15341.28</v>
      </c>
      <c r="K675">
        <v>2000000</v>
      </c>
    </row>
    <row r="676" spans="1:11" ht="12.75" customHeight="1" x14ac:dyDescent="0.2">
      <c r="A676" t="s">
        <v>1609</v>
      </c>
      <c r="B676" t="s">
        <v>7972</v>
      </c>
      <c r="C676">
        <v>2024</v>
      </c>
      <c r="D676">
        <v>2023</v>
      </c>
      <c r="E676" s="7">
        <v>45315</v>
      </c>
      <c r="F676" s="7">
        <v>45680</v>
      </c>
      <c r="G676" t="s">
        <v>135</v>
      </c>
      <c r="H676" t="s">
        <v>116</v>
      </c>
      <c r="I676" t="s">
        <v>104</v>
      </c>
      <c r="J676">
        <v>58654.3</v>
      </c>
      <c r="K676">
        <v>10000000</v>
      </c>
    </row>
    <row r="677" spans="1:11" ht="12.75" customHeight="1" x14ac:dyDescent="0.2">
      <c r="A677" t="s">
        <v>1610</v>
      </c>
      <c r="B677" t="s">
        <v>445</v>
      </c>
      <c r="C677">
        <v>2024</v>
      </c>
      <c r="D677">
        <v>2023</v>
      </c>
      <c r="E677" s="7">
        <v>45315</v>
      </c>
      <c r="F677" s="7">
        <v>45680</v>
      </c>
      <c r="G677" t="s">
        <v>135</v>
      </c>
      <c r="H677" t="s">
        <v>116</v>
      </c>
      <c r="I677" t="s">
        <v>104</v>
      </c>
      <c r="J677">
        <v>9461.17</v>
      </c>
      <c r="K677">
        <v>1500000</v>
      </c>
    </row>
    <row r="678" spans="1:11" ht="12.75" customHeight="1" x14ac:dyDescent="0.2">
      <c r="A678" t="s">
        <v>1611</v>
      </c>
      <c r="B678" t="s">
        <v>7973</v>
      </c>
      <c r="C678">
        <v>2024</v>
      </c>
      <c r="D678">
        <v>2023</v>
      </c>
      <c r="E678" s="7">
        <v>45315</v>
      </c>
      <c r="F678" s="7">
        <v>45680</v>
      </c>
      <c r="G678" t="s">
        <v>135</v>
      </c>
      <c r="H678" t="s">
        <v>100</v>
      </c>
      <c r="I678" t="s">
        <v>101</v>
      </c>
      <c r="J678">
        <v>37199.31</v>
      </c>
      <c r="K678">
        <v>5000000</v>
      </c>
    </row>
    <row r="679" spans="1:11" ht="12.75" customHeight="1" x14ac:dyDescent="0.2">
      <c r="A679" t="s">
        <v>1612</v>
      </c>
      <c r="B679" t="s">
        <v>7974</v>
      </c>
      <c r="C679">
        <v>2024</v>
      </c>
      <c r="D679">
        <v>2023</v>
      </c>
      <c r="E679" s="7">
        <v>45315</v>
      </c>
      <c r="F679" s="7">
        <v>45680</v>
      </c>
      <c r="G679" t="s">
        <v>135</v>
      </c>
      <c r="H679" t="s">
        <v>102</v>
      </c>
      <c r="I679" t="s">
        <v>104</v>
      </c>
      <c r="J679">
        <v>62591.34</v>
      </c>
      <c r="K679">
        <v>10000000</v>
      </c>
    </row>
    <row r="680" spans="1:11" ht="12.75" customHeight="1" x14ac:dyDescent="0.2">
      <c r="A680" t="s">
        <v>1613</v>
      </c>
      <c r="B680" t="s">
        <v>6406</v>
      </c>
      <c r="C680">
        <v>2024</v>
      </c>
      <c r="D680">
        <v>2023</v>
      </c>
      <c r="E680" s="7">
        <v>45315</v>
      </c>
      <c r="F680" s="7">
        <v>45680</v>
      </c>
      <c r="G680" t="s">
        <v>135</v>
      </c>
      <c r="H680" t="s">
        <v>103</v>
      </c>
      <c r="I680" t="s">
        <v>101</v>
      </c>
      <c r="J680">
        <v>7354.51</v>
      </c>
      <c r="K680">
        <v>1000000</v>
      </c>
    </row>
    <row r="681" spans="1:11" ht="12.75" customHeight="1" x14ac:dyDescent="0.2">
      <c r="A681" t="s">
        <v>1614</v>
      </c>
      <c r="B681" t="s">
        <v>446</v>
      </c>
      <c r="C681">
        <v>2024</v>
      </c>
      <c r="D681">
        <v>2023</v>
      </c>
      <c r="E681" s="7">
        <v>45315</v>
      </c>
      <c r="F681" s="7">
        <v>45680</v>
      </c>
      <c r="G681" t="s">
        <v>135</v>
      </c>
      <c r="H681" t="s">
        <v>6334</v>
      </c>
      <c r="I681" t="s">
        <v>101</v>
      </c>
      <c r="J681">
        <v>37090.44</v>
      </c>
      <c r="K681">
        <v>5000000</v>
      </c>
    </row>
    <row r="682" spans="1:11" ht="12.75" customHeight="1" x14ac:dyDescent="0.2">
      <c r="A682" t="s">
        <v>1616</v>
      </c>
      <c r="B682" t="s">
        <v>7975</v>
      </c>
      <c r="C682">
        <v>2024</v>
      </c>
      <c r="D682">
        <v>2023</v>
      </c>
      <c r="E682" s="7">
        <v>45315</v>
      </c>
      <c r="F682" s="7">
        <v>45680</v>
      </c>
      <c r="G682" t="s">
        <v>135</v>
      </c>
      <c r="H682" t="s">
        <v>109</v>
      </c>
      <c r="I682" t="s">
        <v>101</v>
      </c>
      <c r="J682">
        <v>14475.59</v>
      </c>
      <c r="K682">
        <v>2000000</v>
      </c>
    </row>
    <row r="683" spans="1:11" ht="12.75" customHeight="1" x14ac:dyDescent="0.2">
      <c r="A683" t="s">
        <v>1618</v>
      </c>
      <c r="B683" t="s">
        <v>7976</v>
      </c>
      <c r="C683">
        <v>2024</v>
      </c>
      <c r="D683">
        <v>2023</v>
      </c>
      <c r="E683" s="7">
        <v>45315</v>
      </c>
      <c r="F683" s="7">
        <v>45680</v>
      </c>
      <c r="G683" t="s">
        <v>135</v>
      </c>
      <c r="H683" t="s">
        <v>102</v>
      </c>
      <c r="I683" t="s">
        <v>104</v>
      </c>
      <c r="J683">
        <v>5630.39</v>
      </c>
      <c r="K683">
        <v>1000000</v>
      </c>
    </row>
    <row r="684" spans="1:11" ht="12.75" customHeight="1" x14ac:dyDescent="0.2">
      <c r="A684" t="s">
        <v>1620</v>
      </c>
      <c r="B684" t="s">
        <v>6381</v>
      </c>
      <c r="C684">
        <v>2024</v>
      </c>
      <c r="D684">
        <v>2023</v>
      </c>
      <c r="E684" s="7">
        <v>45315</v>
      </c>
      <c r="F684" s="7">
        <v>45680</v>
      </c>
      <c r="G684" t="s">
        <v>135</v>
      </c>
      <c r="H684" t="s">
        <v>108</v>
      </c>
      <c r="I684" t="s">
        <v>101</v>
      </c>
      <c r="J684">
        <v>8509.1200000000008</v>
      </c>
      <c r="K684">
        <v>1000000</v>
      </c>
    </row>
    <row r="685" spans="1:11" ht="12.75" customHeight="1" x14ac:dyDescent="0.2">
      <c r="A685" t="s">
        <v>1622</v>
      </c>
      <c r="B685" t="s">
        <v>1430</v>
      </c>
      <c r="C685">
        <v>2024</v>
      </c>
      <c r="D685">
        <v>2023</v>
      </c>
      <c r="E685" s="7">
        <v>45316</v>
      </c>
      <c r="F685" s="7">
        <v>45681</v>
      </c>
      <c r="G685" t="s">
        <v>99</v>
      </c>
      <c r="H685" t="s">
        <v>6348</v>
      </c>
      <c r="I685" t="s">
        <v>101</v>
      </c>
      <c r="J685">
        <v>6737.28</v>
      </c>
      <c r="K685">
        <v>1000000</v>
      </c>
    </row>
    <row r="686" spans="1:11" ht="12.75" customHeight="1" x14ac:dyDescent="0.2">
      <c r="A686" t="s">
        <v>1623</v>
      </c>
      <c r="B686" t="s">
        <v>709</v>
      </c>
      <c r="C686">
        <v>2024</v>
      </c>
      <c r="D686">
        <v>2023</v>
      </c>
      <c r="E686" s="7">
        <v>45316</v>
      </c>
      <c r="F686" s="7">
        <v>45681</v>
      </c>
      <c r="G686" t="s">
        <v>135</v>
      </c>
      <c r="H686" t="s">
        <v>6334</v>
      </c>
      <c r="I686" t="s">
        <v>101</v>
      </c>
      <c r="J686">
        <v>3356.97</v>
      </c>
      <c r="K686">
        <v>500000</v>
      </c>
    </row>
    <row r="687" spans="1:11" ht="12.75" customHeight="1" x14ac:dyDescent="0.2">
      <c r="A687" t="s">
        <v>1624</v>
      </c>
      <c r="B687" t="s">
        <v>7977</v>
      </c>
      <c r="C687">
        <v>2024</v>
      </c>
      <c r="D687">
        <v>2023</v>
      </c>
      <c r="E687" s="7">
        <v>45316</v>
      </c>
      <c r="F687" s="7">
        <v>45681</v>
      </c>
      <c r="G687" t="s">
        <v>135</v>
      </c>
      <c r="H687" t="s">
        <v>113</v>
      </c>
      <c r="I687" t="s">
        <v>104</v>
      </c>
      <c r="J687">
        <v>12228.35</v>
      </c>
      <c r="K687">
        <v>2000000</v>
      </c>
    </row>
    <row r="688" spans="1:11" ht="12.75" customHeight="1" x14ac:dyDescent="0.2">
      <c r="A688" t="s">
        <v>1625</v>
      </c>
      <c r="B688" t="s">
        <v>138</v>
      </c>
      <c r="C688">
        <v>2024</v>
      </c>
      <c r="D688">
        <v>2023</v>
      </c>
      <c r="E688" s="7">
        <v>45316</v>
      </c>
      <c r="F688" s="7">
        <v>45681</v>
      </c>
      <c r="G688" t="s">
        <v>135</v>
      </c>
      <c r="H688" t="s">
        <v>100</v>
      </c>
      <c r="I688" t="s">
        <v>104</v>
      </c>
      <c r="J688">
        <v>5502.65</v>
      </c>
      <c r="K688">
        <v>1000000</v>
      </c>
    </row>
    <row r="689" spans="1:11" ht="12.75" customHeight="1" x14ac:dyDescent="0.2">
      <c r="A689" t="s">
        <v>1626</v>
      </c>
      <c r="B689" t="s">
        <v>447</v>
      </c>
      <c r="C689">
        <v>2024</v>
      </c>
      <c r="D689">
        <v>2023</v>
      </c>
      <c r="E689" s="7">
        <v>45316</v>
      </c>
      <c r="F689" s="7">
        <v>45681</v>
      </c>
      <c r="G689" t="s">
        <v>135</v>
      </c>
      <c r="H689" t="s">
        <v>115</v>
      </c>
      <c r="I689" t="s">
        <v>104</v>
      </c>
      <c r="J689">
        <v>6240.46</v>
      </c>
      <c r="K689">
        <v>1000000</v>
      </c>
    </row>
    <row r="690" spans="1:11" ht="12.75" customHeight="1" x14ac:dyDescent="0.2">
      <c r="A690" t="s">
        <v>1627</v>
      </c>
      <c r="B690" t="s">
        <v>6391</v>
      </c>
      <c r="C690">
        <v>2024</v>
      </c>
      <c r="D690">
        <v>2023</v>
      </c>
      <c r="E690" s="7">
        <v>45316</v>
      </c>
      <c r="F690" s="7">
        <v>45681</v>
      </c>
      <c r="G690" t="s">
        <v>135</v>
      </c>
      <c r="H690" t="s">
        <v>102</v>
      </c>
      <c r="I690" t="s">
        <v>104</v>
      </c>
      <c r="J690">
        <v>6143.01</v>
      </c>
      <c r="K690">
        <v>1000000</v>
      </c>
    </row>
    <row r="691" spans="1:11" ht="12.75" customHeight="1" x14ac:dyDescent="0.2">
      <c r="A691" t="s">
        <v>1628</v>
      </c>
      <c r="B691" t="s">
        <v>710</v>
      </c>
      <c r="C691">
        <v>2024</v>
      </c>
      <c r="D691">
        <v>2023</v>
      </c>
      <c r="E691" s="7">
        <v>45316</v>
      </c>
      <c r="F691" s="7">
        <v>45681</v>
      </c>
      <c r="G691" t="s">
        <v>135</v>
      </c>
      <c r="H691" t="s">
        <v>111</v>
      </c>
      <c r="I691" t="s">
        <v>101</v>
      </c>
      <c r="J691">
        <v>37922.46</v>
      </c>
      <c r="K691">
        <v>5000000</v>
      </c>
    </row>
    <row r="692" spans="1:11" ht="12.75" customHeight="1" x14ac:dyDescent="0.2">
      <c r="A692" t="s">
        <v>1629</v>
      </c>
      <c r="B692" t="s">
        <v>7978</v>
      </c>
      <c r="C692">
        <v>2024</v>
      </c>
      <c r="D692">
        <v>2023</v>
      </c>
      <c r="E692" s="7">
        <v>45316</v>
      </c>
      <c r="F692" s="7">
        <v>45681</v>
      </c>
      <c r="G692" t="s">
        <v>135</v>
      </c>
      <c r="H692" t="s">
        <v>103</v>
      </c>
      <c r="I692" t="s">
        <v>101</v>
      </c>
      <c r="J692">
        <v>6844.3</v>
      </c>
      <c r="K692">
        <v>1000000</v>
      </c>
    </row>
    <row r="693" spans="1:11" ht="12.75" customHeight="1" x14ac:dyDescent="0.2">
      <c r="A693" t="s">
        <v>1630</v>
      </c>
      <c r="B693" t="s">
        <v>7979</v>
      </c>
      <c r="C693">
        <v>2024</v>
      </c>
      <c r="D693">
        <v>2023</v>
      </c>
      <c r="E693" s="7">
        <v>45316</v>
      </c>
      <c r="F693" s="7">
        <v>45681</v>
      </c>
      <c r="G693" t="s">
        <v>135</v>
      </c>
      <c r="H693" t="s">
        <v>112</v>
      </c>
      <c r="I693" t="s">
        <v>104</v>
      </c>
      <c r="J693">
        <v>32610.22</v>
      </c>
      <c r="K693">
        <v>5000000</v>
      </c>
    </row>
    <row r="694" spans="1:11" ht="12.75" customHeight="1" x14ac:dyDescent="0.2">
      <c r="A694" t="s">
        <v>1631</v>
      </c>
      <c r="B694" t="s">
        <v>1432</v>
      </c>
      <c r="C694">
        <v>2024</v>
      </c>
      <c r="D694">
        <v>2023</v>
      </c>
      <c r="E694" s="7">
        <v>45317</v>
      </c>
      <c r="F694" s="7">
        <v>45682</v>
      </c>
      <c r="G694" t="s">
        <v>99</v>
      </c>
      <c r="H694" t="s">
        <v>100</v>
      </c>
      <c r="I694" t="s">
        <v>104</v>
      </c>
      <c r="J694">
        <v>7756.81</v>
      </c>
      <c r="K694">
        <v>1500000</v>
      </c>
    </row>
    <row r="695" spans="1:11" ht="12.75" customHeight="1" x14ac:dyDescent="0.2">
      <c r="A695" t="s">
        <v>1632</v>
      </c>
      <c r="B695" t="s">
        <v>1434</v>
      </c>
      <c r="C695">
        <v>2024</v>
      </c>
      <c r="D695">
        <v>2023</v>
      </c>
      <c r="E695" s="7">
        <v>45317</v>
      </c>
      <c r="F695" s="7">
        <v>45682</v>
      </c>
      <c r="G695" t="s">
        <v>99</v>
      </c>
      <c r="H695" t="s">
        <v>115</v>
      </c>
      <c r="I695" t="s">
        <v>101</v>
      </c>
      <c r="J695">
        <v>33037.93</v>
      </c>
      <c r="K695">
        <v>5000000</v>
      </c>
    </row>
    <row r="696" spans="1:11" ht="12.75" customHeight="1" x14ac:dyDescent="0.2">
      <c r="A696" t="s">
        <v>1633</v>
      </c>
      <c r="B696" t="s">
        <v>6409</v>
      </c>
      <c r="C696">
        <v>2024</v>
      </c>
      <c r="D696">
        <v>2023</v>
      </c>
      <c r="E696" s="7">
        <v>45317</v>
      </c>
      <c r="F696" s="7">
        <v>45682</v>
      </c>
      <c r="G696" t="s">
        <v>135</v>
      </c>
      <c r="H696" t="s">
        <v>108</v>
      </c>
      <c r="I696" t="s">
        <v>101</v>
      </c>
      <c r="J696">
        <v>18478.13</v>
      </c>
      <c r="K696">
        <v>2000000</v>
      </c>
    </row>
    <row r="697" spans="1:11" ht="12.75" customHeight="1" x14ac:dyDescent="0.2">
      <c r="A697" t="s">
        <v>1634</v>
      </c>
      <c r="B697" t="s">
        <v>711</v>
      </c>
      <c r="C697">
        <v>2024</v>
      </c>
      <c r="D697">
        <v>2023</v>
      </c>
      <c r="E697" s="7">
        <v>45317</v>
      </c>
      <c r="F697" s="7">
        <v>45682</v>
      </c>
      <c r="G697" t="s">
        <v>135</v>
      </c>
      <c r="H697" t="s">
        <v>116</v>
      </c>
      <c r="I697" t="s">
        <v>104</v>
      </c>
      <c r="J697">
        <v>5916.48</v>
      </c>
      <c r="K697">
        <v>1000000</v>
      </c>
    </row>
    <row r="698" spans="1:11" ht="12.75" customHeight="1" x14ac:dyDescent="0.2">
      <c r="A698" t="s">
        <v>1635</v>
      </c>
      <c r="B698" t="s">
        <v>6398</v>
      </c>
      <c r="C698">
        <v>2024</v>
      </c>
      <c r="D698">
        <v>2023</v>
      </c>
      <c r="E698" s="7">
        <v>45317</v>
      </c>
      <c r="F698" s="7">
        <v>45682</v>
      </c>
      <c r="G698" t="s">
        <v>135</v>
      </c>
      <c r="H698" t="s">
        <v>109</v>
      </c>
      <c r="I698" t="s">
        <v>101</v>
      </c>
      <c r="J698">
        <v>7355.28</v>
      </c>
      <c r="K698">
        <v>1000000</v>
      </c>
    </row>
    <row r="699" spans="1:11" ht="12.75" customHeight="1" x14ac:dyDescent="0.2">
      <c r="A699" t="s">
        <v>1636</v>
      </c>
      <c r="B699" t="s">
        <v>7980</v>
      </c>
      <c r="C699">
        <v>2024</v>
      </c>
      <c r="D699">
        <v>2023</v>
      </c>
      <c r="E699" s="7">
        <v>45317</v>
      </c>
      <c r="F699" s="7">
        <v>45682</v>
      </c>
      <c r="G699" t="s">
        <v>135</v>
      </c>
      <c r="H699" t="s">
        <v>106</v>
      </c>
      <c r="I699" t="s">
        <v>101</v>
      </c>
      <c r="J699">
        <v>4822.38</v>
      </c>
      <c r="K699">
        <v>500000</v>
      </c>
    </row>
    <row r="700" spans="1:11" ht="12.75" customHeight="1" x14ac:dyDescent="0.2">
      <c r="A700" t="s">
        <v>1637</v>
      </c>
      <c r="B700" t="s">
        <v>6411</v>
      </c>
      <c r="C700">
        <v>2024</v>
      </c>
      <c r="D700">
        <v>2023</v>
      </c>
      <c r="E700" s="7">
        <v>45317</v>
      </c>
      <c r="F700" s="7">
        <v>45682</v>
      </c>
      <c r="G700" t="s">
        <v>135</v>
      </c>
      <c r="H700" t="s">
        <v>107</v>
      </c>
      <c r="I700" t="s">
        <v>101</v>
      </c>
      <c r="J700">
        <v>7167.51</v>
      </c>
      <c r="K700">
        <v>1000000</v>
      </c>
    </row>
    <row r="701" spans="1:11" ht="12.75" customHeight="1" x14ac:dyDescent="0.2">
      <c r="A701" t="s">
        <v>1638</v>
      </c>
      <c r="B701" t="s">
        <v>6404</v>
      </c>
      <c r="C701">
        <v>2024</v>
      </c>
      <c r="D701">
        <v>2023</v>
      </c>
      <c r="E701" s="7">
        <v>45317</v>
      </c>
      <c r="F701" s="7">
        <v>45682</v>
      </c>
      <c r="G701" t="s">
        <v>135</v>
      </c>
      <c r="H701" t="s">
        <v>106</v>
      </c>
      <c r="I701" t="s">
        <v>104</v>
      </c>
      <c r="J701">
        <v>11533.1</v>
      </c>
      <c r="K701">
        <v>1500000</v>
      </c>
    </row>
    <row r="702" spans="1:11" ht="12.75" customHeight="1" x14ac:dyDescent="0.2">
      <c r="A702" t="s">
        <v>1639</v>
      </c>
      <c r="B702" t="s">
        <v>7981</v>
      </c>
      <c r="C702">
        <v>2024</v>
      </c>
      <c r="D702">
        <v>2023</v>
      </c>
      <c r="E702" s="7">
        <v>45317</v>
      </c>
      <c r="F702" s="7">
        <v>45682</v>
      </c>
      <c r="G702" t="s">
        <v>135</v>
      </c>
      <c r="H702" t="s">
        <v>109</v>
      </c>
      <c r="I702" t="s">
        <v>101</v>
      </c>
      <c r="J702">
        <v>7422.4</v>
      </c>
      <c r="K702">
        <v>1000000</v>
      </c>
    </row>
    <row r="703" spans="1:11" ht="12.75" customHeight="1" x14ac:dyDescent="0.2">
      <c r="A703" t="s">
        <v>1641</v>
      </c>
      <c r="B703" t="s">
        <v>448</v>
      </c>
      <c r="C703">
        <v>2024</v>
      </c>
      <c r="D703">
        <v>2023</v>
      </c>
      <c r="E703" s="7">
        <v>45317</v>
      </c>
      <c r="F703" s="7">
        <v>45682</v>
      </c>
      <c r="G703" t="s">
        <v>135</v>
      </c>
      <c r="H703" t="s">
        <v>103</v>
      </c>
      <c r="I703" t="s">
        <v>101</v>
      </c>
      <c r="J703">
        <v>9765.5300000000007</v>
      </c>
      <c r="K703">
        <v>1500000</v>
      </c>
    </row>
    <row r="704" spans="1:11" ht="12.75" customHeight="1" x14ac:dyDescent="0.2">
      <c r="A704" t="s">
        <v>1643</v>
      </c>
      <c r="B704" t="s">
        <v>7982</v>
      </c>
      <c r="C704">
        <v>2024</v>
      </c>
      <c r="D704">
        <v>2023</v>
      </c>
      <c r="E704" s="7">
        <v>45317</v>
      </c>
      <c r="F704" s="7">
        <v>45682</v>
      </c>
      <c r="G704" t="s">
        <v>135</v>
      </c>
      <c r="H704" t="s">
        <v>105</v>
      </c>
      <c r="I704" t="s">
        <v>101</v>
      </c>
      <c r="J704">
        <v>7784.96</v>
      </c>
      <c r="K704">
        <v>1000000</v>
      </c>
    </row>
    <row r="705" spans="1:11" ht="12.75" customHeight="1" x14ac:dyDescent="0.2">
      <c r="A705" t="s">
        <v>1644</v>
      </c>
      <c r="B705" t="s">
        <v>7983</v>
      </c>
      <c r="C705">
        <v>2024</v>
      </c>
      <c r="D705">
        <v>2023</v>
      </c>
      <c r="E705" s="7">
        <v>45317</v>
      </c>
      <c r="F705" s="7">
        <v>45682</v>
      </c>
      <c r="G705" t="s">
        <v>135</v>
      </c>
      <c r="H705" t="s">
        <v>106</v>
      </c>
      <c r="I705" t="s">
        <v>101</v>
      </c>
      <c r="J705">
        <v>85279.66</v>
      </c>
      <c r="K705">
        <v>10000000</v>
      </c>
    </row>
    <row r="706" spans="1:11" ht="12.75" customHeight="1" x14ac:dyDescent="0.2">
      <c r="A706" t="s">
        <v>1645</v>
      </c>
      <c r="B706" t="s">
        <v>7984</v>
      </c>
      <c r="C706">
        <v>2024</v>
      </c>
      <c r="D706">
        <v>2023</v>
      </c>
      <c r="E706" s="7">
        <v>45317</v>
      </c>
      <c r="F706" s="7">
        <v>45682</v>
      </c>
      <c r="G706" t="s">
        <v>135</v>
      </c>
      <c r="H706" t="s">
        <v>106</v>
      </c>
      <c r="I706" t="s">
        <v>101</v>
      </c>
      <c r="J706">
        <v>4646.18</v>
      </c>
      <c r="K706">
        <v>500000</v>
      </c>
    </row>
    <row r="707" spans="1:11" ht="12.75" customHeight="1" x14ac:dyDescent="0.2">
      <c r="A707" t="s">
        <v>1646</v>
      </c>
      <c r="B707" t="s">
        <v>1436</v>
      </c>
      <c r="C707">
        <v>2024</v>
      </c>
      <c r="D707">
        <v>2023</v>
      </c>
      <c r="E707" s="7">
        <v>45318</v>
      </c>
      <c r="F707" s="7">
        <v>45683</v>
      </c>
      <c r="G707" t="s">
        <v>99</v>
      </c>
      <c r="H707" t="s">
        <v>107</v>
      </c>
      <c r="I707" t="s">
        <v>101</v>
      </c>
      <c r="J707">
        <v>77388.179999999993</v>
      </c>
      <c r="K707">
        <v>10000000</v>
      </c>
    </row>
    <row r="708" spans="1:11" ht="12.75" customHeight="1" x14ac:dyDescent="0.2">
      <c r="A708" t="s">
        <v>1647</v>
      </c>
      <c r="B708" t="s">
        <v>1438</v>
      </c>
      <c r="C708">
        <v>2024</v>
      </c>
      <c r="D708">
        <v>2023</v>
      </c>
      <c r="E708" s="7">
        <v>45318</v>
      </c>
      <c r="F708" s="7">
        <v>45683</v>
      </c>
      <c r="G708" t="s">
        <v>99</v>
      </c>
      <c r="H708" t="s">
        <v>6348</v>
      </c>
      <c r="I708" t="s">
        <v>101</v>
      </c>
      <c r="J708">
        <v>10745.39</v>
      </c>
      <c r="K708">
        <v>1500000</v>
      </c>
    </row>
    <row r="709" spans="1:11" ht="12.75" customHeight="1" x14ac:dyDescent="0.2">
      <c r="A709" t="s">
        <v>1648</v>
      </c>
      <c r="B709" t="s">
        <v>1449</v>
      </c>
      <c r="C709">
        <v>2024</v>
      </c>
      <c r="D709">
        <v>2023</v>
      </c>
      <c r="E709" s="7">
        <v>45318</v>
      </c>
      <c r="F709" s="7">
        <v>45683</v>
      </c>
      <c r="G709" t="s">
        <v>99</v>
      </c>
      <c r="H709" t="s">
        <v>107</v>
      </c>
      <c r="I709" t="s">
        <v>101</v>
      </c>
      <c r="J709">
        <v>10013.92</v>
      </c>
      <c r="K709">
        <v>1500000</v>
      </c>
    </row>
    <row r="710" spans="1:11" ht="12.75" customHeight="1" x14ac:dyDescent="0.2">
      <c r="A710" t="s">
        <v>1649</v>
      </c>
      <c r="B710" t="s">
        <v>712</v>
      </c>
      <c r="C710">
        <v>2024</v>
      </c>
      <c r="D710">
        <v>2023</v>
      </c>
      <c r="E710" s="7">
        <v>45318</v>
      </c>
      <c r="F710" s="7">
        <v>45683</v>
      </c>
      <c r="G710" t="s">
        <v>135</v>
      </c>
      <c r="H710" t="s">
        <v>106</v>
      </c>
      <c r="I710" t="s">
        <v>104</v>
      </c>
      <c r="J710">
        <v>14523.94</v>
      </c>
      <c r="K710">
        <v>2000000</v>
      </c>
    </row>
    <row r="711" spans="1:11" ht="12.75" customHeight="1" x14ac:dyDescent="0.2">
      <c r="A711" t="s">
        <v>1650</v>
      </c>
      <c r="B711" t="s">
        <v>7985</v>
      </c>
      <c r="C711">
        <v>2024</v>
      </c>
      <c r="D711">
        <v>2023</v>
      </c>
      <c r="E711" s="7">
        <v>45318</v>
      </c>
      <c r="F711" s="7">
        <v>45683</v>
      </c>
      <c r="G711" t="s">
        <v>135</v>
      </c>
      <c r="H711" t="s">
        <v>107</v>
      </c>
      <c r="I711" t="s">
        <v>104</v>
      </c>
      <c r="J711">
        <v>5847.29</v>
      </c>
      <c r="K711">
        <v>1000000</v>
      </c>
    </row>
    <row r="712" spans="1:11" ht="12.75" customHeight="1" x14ac:dyDescent="0.2">
      <c r="A712" t="s">
        <v>1651</v>
      </c>
      <c r="B712" t="s">
        <v>7986</v>
      </c>
      <c r="C712">
        <v>2024</v>
      </c>
      <c r="D712">
        <v>2023</v>
      </c>
      <c r="E712" s="7">
        <v>45318</v>
      </c>
      <c r="F712" s="7">
        <v>45683</v>
      </c>
      <c r="G712" t="s">
        <v>135</v>
      </c>
      <c r="H712" t="s">
        <v>102</v>
      </c>
      <c r="I712" t="s">
        <v>104</v>
      </c>
      <c r="J712">
        <v>10545.11</v>
      </c>
      <c r="K712">
        <v>2000000</v>
      </c>
    </row>
    <row r="713" spans="1:11" ht="12.75" customHeight="1" x14ac:dyDescent="0.2">
      <c r="A713" t="s">
        <v>1652</v>
      </c>
      <c r="B713" t="s">
        <v>7987</v>
      </c>
      <c r="C713">
        <v>2024</v>
      </c>
      <c r="D713">
        <v>2023</v>
      </c>
      <c r="E713" s="7">
        <v>45318</v>
      </c>
      <c r="F713" s="7">
        <v>45683</v>
      </c>
      <c r="G713" t="s">
        <v>135</v>
      </c>
      <c r="H713" t="s">
        <v>115</v>
      </c>
      <c r="I713" t="s">
        <v>101</v>
      </c>
      <c r="J713">
        <v>3388.7</v>
      </c>
      <c r="K713">
        <v>500000</v>
      </c>
    </row>
    <row r="714" spans="1:11" ht="12.75" customHeight="1" x14ac:dyDescent="0.2">
      <c r="A714" t="s">
        <v>1653</v>
      </c>
      <c r="B714" t="s">
        <v>6396</v>
      </c>
      <c r="C714">
        <v>2024</v>
      </c>
      <c r="D714">
        <v>2023</v>
      </c>
      <c r="E714" s="7">
        <v>45318</v>
      </c>
      <c r="F714" s="7">
        <v>45683</v>
      </c>
      <c r="G714" t="s">
        <v>135</v>
      </c>
      <c r="H714" t="s">
        <v>102</v>
      </c>
      <c r="I714" t="s">
        <v>101</v>
      </c>
      <c r="J714">
        <v>10177.61</v>
      </c>
      <c r="K714">
        <v>1500000</v>
      </c>
    </row>
    <row r="715" spans="1:11" ht="12.75" customHeight="1" x14ac:dyDescent="0.2">
      <c r="A715" t="s">
        <v>1654</v>
      </c>
      <c r="B715" t="s">
        <v>244</v>
      </c>
      <c r="C715">
        <v>2024</v>
      </c>
      <c r="D715">
        <v>2023</v>
      </c>
      <c r="E715" s="7">
        <v>45318</v>
      </c>
      <c r="F715" s="7">
        <v>45683</v>
      </c>
      <c r="G715" t="s">
        <v>135</v>
      </c>
      <c r="H715" t="s">
        <v>113</v>
      </c>
      <c r="I715" t="s">
        <v>104</v>
      </c>
      <c r="J715">
        <v>60692.69</v>
      </c>
      <c r="K715">
        <v>10000000</v>
      </c>
    </row>
    <row r="716" spans="1:11" ht="12.75" customHeight="1" x14ac:dyDescent="0.2">
      <c r="A716" t="s">
        <v>1656</v>
      </c>
      <c r="B716" t="s">
        <v>7988</v>
      </c>
      <c r="C716">
        <v>2024</v>
      </c>
      <c r="D716">
        <v>2023</v>
      </c>
      <c r="E716" s="7">
        <v>45318</v>
      </c>
      <c r="F716" s="7">
        <v>45683</v>
      </c>
      <c r="G716" t="s">
        <v>135</v>
      </c>
      <c r="H716" t="s">
        <v>102</v>
      </c>
      <c r="I716" t="s">
        <v>101</v>
      </c>
      <c r="J716">
        <v>10578.73</v>
      </c>
      <c r="K716">
        <v>1500000</v>
      </c>
    </row>
    <row r="717" spans="1:11" ht="12.75" customHeight="1" x14ac:dyDescent="0.2">
      <c r="A717" t="s">
        <v>1658</v>
      </c>
      <c r="B717" t="s">
        <v>7989</v>
      </c>
      <c r="C717">
        <v>2024</v>
      </c>
      <c r="D717">
        <v>2023</v>
      </c>
      <c r="E717" s="7">
        <v>45318</v>
      </c>
      <c r="F717" s="7">
        <v>45683</v>
      </c>
      <c r="G717" t="s">
        <v>135</v>
      </c>
      <c r="H717" t="s">
        <v>102</v>
      </c>
      <c r="I717" t="s">
        <v>101</v>
      </c>
      <c r="J717">
        <v>3666.37</v>
      </c>
      <c r="K717">
        <v>500000</v>
      </c>
    </row>
    <row r="718" spans="1:11" ht="12.75" customHeight="1" x14ac:dyDescent="0.2">
      <c r="A718" t="s">
        <v>1660</v>
      </c>
      <c r="B718" t="s">
        <v>7990</v>
      </c>
      <c r="C718">
        <v>2024</v>
      </c>
      <c r="D718">
        <v>2023</v>
      </c>
      <c r="E718" s="7">
        <v>45318</v>
      </c>
      <c r="F718" s="7">
        <v>45683</v>
      </c>
      <c r="G718" t="s">
        <v>135</v>
      </c>
      <c r="H718" t="s">
        <v>112</v>
      </c>
      <c r="I718" t="s">
        <v>101</v>
      </c>
      <c r="J718">
        <v>8368.76</v>
      </c>
      <c r="K718">
        <v>1000000</v>
      </c>
    </row>
    <row r="719" spans="1:11" ht="12.75" customHeight="1" x14ac:dyDescent="0.2">
      <c r="A719" t="s">
        <v>1662</v>
      </c>
      <c r="B719" t="s">
        <v>1451</v>
      </c>
      <c r="C719">
        <v>2024</v>
      </c>
      <c r="D719">
        <v>2023</v>
      </c>
      <c r="E719" s="7">
        <v>45319</v>
      </c>
      <c r="F719" s="7">
        <v>45684</v>
      </c>
      <c r="G719" t="s">
        <v>99</v>
      </c>
      <c r="H719" t="s">
        <v>111</v>
      </c>
      <c r="I719" t="s">
        <v>101</v>
      </c>
      <c r="J719">
        <v>6682.81</v>
      </c>
      <c r="K719">
        <v>1000000</v>
      </c>
    </row>
    <row r="720" spans="1:11" ht="12.75" customHeight="1" x14ac:dyDescent="0.2">
      <c r="A720" t="s">
        <v>1664</v>
      </c>
      <c r="B720" t="s">
        <v>714</v>
      </c>
      <c r="C720">
        <v>2024</v>
      </c>
      <c r="D720">
        <v>2023</v>
      </c>
      <c r="E720" s="7">
        <v>45319</v>
      </c>
      <c r="F720" s="7">
        <v>45684</v>
      </c>
      <c r="G720" t="s">
        <v>135</v>
      </c>
      <c r="H720" t="s">
        <v>105</v>
      </c>
      <c r="I720" t="s">
        <v>101</v>
      </c>
      <c r="J720">
        <v>11374.52</v>
      </c>
      <c r="K720">
        <v>1500000</v>
      </c>
    </row>
    <row r="721" spans="1:11" ht="12.75" customHeight="1" x14ac:dyDescent="0.2">
      <c r="A721" t="s">
        <v>1666</v>
      </c>
      <c r="B721" t="s">
        <v>7991</v>
      </c>
      <c r="C721">
        <v>2024</v>
      </c>
      <c r="D721">
        <v>2023</v>
      </c>
      <c r="E721" s="7">
        <v>45319</v>
      </c>
      <c r="F721" s="7">
        <v>45684</v>
      </c>
      <c r="G721" t="s">
        <v>135</v>
      </c>
      <c r="H721" t="s">
        <v>106</v>
      </c>
      <c r="I721" t="s">
        <v>104</v>
      </c>
      <c r="J721">
        <v>3551.76</v>
      </c>
      <c r="K721">
        <v>500000</v>
      </c>
    </row>
    <row r="722" spans="1:11" ht="12.75" customHeight="1" x14ac:dyDescent="0.2">
      <c r="A722" t="s">
        <v>1667</v>
      </c>
      <c r="B722" t="s">
        <v>7992</v>
      </c>
      <c r="C722">
        <v>2024</v>
      </c>
      <c r="D722">
        <v>2023</v>
      </c>
      <c r="E722" s="7">
        <v>45319</v>
      </c>
      <c r="F722" s="7">
        <v>45684</v>
      </c>
      <c r="G722" t="s">
        <v>135</v>
      </c>
      <c r="H722" t="s">
        <v>6337</v>
      </c>
      <c r="I722" t="s">
        <v>104</v>
      </c>
      <c r="J722">
        <v>12321.79</v>
      </c>
      <c r="K722">
        <v>2000000</v>
      </c>
    </row>
    <row r="723" spans="1:11" ht="12.75" customHeight="1" x14ac:dyDescent="0.2">
      <c r="A723" t="s">
        <v>1668</v>
      </c>
      <c r="B723" t="s">
        <v>449</v>
      </c>
      <c r="C723">
        <v>2024</v>
      </c>
      <c r="D723">
        <v>2023</v>
      </c>
      <c r="E723" s="7">
        <v>45319</v>
      </c>
      <c r="F723" s="7">
        <v>45684</v>
      </c>
      <c r="G723" t="s">
        <v>135</v>
      </c>
      <c r="H723" t="s">
        <v>102</v>
      </c>
      <c r="I723" t="s">
        <v>101</v>
      </c>
      <c r="J723">
        <v>6662.75</v>
      </c>
      <c r="K723">
        <v>1000000</v>
      </c>
    </row>
    <row r="724" spans="1:11" ht="12.75" customHeight="1" x14ac:dyDescent="0.2">
      <c r="A724" t="s">
        <v>1669</v>
      </c>
      <c r="B724" t="s">
        <v>713</v>
      </c>
      <c r="C724">
        <v>2024</v>
      </c>
      <c r="D724">
        <v>2023</v>
      </c>
      <c r="E724" s="7">
        <v>45319</v>
      </c>
      <c r="F724" s="7">
        <v>45684</v>
      </c>
      <c r="G724" t="s">
        <v>135</v>
      </c>
      <c r="H724" t="s">
        <v>102</v>
      </c>
      <c r="I724" t="s">
        <v>104</v>
      </c>
      <c r="J724">
        <v>28678.02</v>
      </c>
      <c r="K724">
        <v>5000000</v>
      </c>
    </row>
    <row r="725" spans="1:11" ht="12.75" customHeight="1" x14ac:dyDescent="0.2">
      <c r="A725" t="s">
        <v>1670</v>
      </c>
      <c r="B725" t="s">
        <v>7993</v>
      </c>
      <c r="C725">
        <v>2024</v>
      </c>
      <c r="D725">
        <v>2023</v>
      </c>
      <c r="E725" s="7">
        <v>45319</v>
      </c>
      <c r="F725" s="7">
        <v>45684</v>
      </c>
      <c r="G725" t="s">
        <v>135</v>
      </c>
      <c r="H725" t="s">
        <v>103</v>
      </c>
      <c r="I725" t="s">
        <v>101</v>
      </c>
      <c r="J725">
        <v>3781.42</v>
      </c>
      <c r="K725">
        <v>500000</v>
      </c>
    </row>
    <row r="726" spans="1:11" ht="12.75" customHeight="1" x14ac:dyDescent="0.2">
      <c r="A726" t="s">
        <v>1671</v>
      </c>
      <c r="B726" t="s">
        <v>450</v>
      </c>
      <c r="C726">
        <v>2024</v>
      </c>
      <c r="D726">
        <v>2023</v>
      </c>
      <c r="E726" s="7">
        <v>45319</v>
      </c>
      <c r="F726" s="7">
        <v>45684</v>
      </c>
      <c r="G726" t="s">
        <v>135</v>
      </c>
      <c r="H726" t="s">
        <v>6337</v>
      </c>
      <c r="I726" t="s">
        <v>104</v>
      </c>
      <c r="J726">
        <v>7949.05</v>
      </c>
      <c r="K726">
        <v>1500000</v>
      </c>
    </row>
    <row r="727" spans="1:11" ht="12.75" customHeight="1" x14ac:dyDescent="0.2">
      <c r="A727" t="s">
        <v>1672</v>
      </c>
      <c r="B727" t="s">
        <v>7994</v>
      </c>
      <c r="C727">
        <v>2024</v>
      </c>
      <c r="D727">
        <v>2023</v>
      </c>
      <c r="E727" s="7">
        <v>45319</v>
      </c>
      <c r="F727" s="7">
        <v>45684</v>
      </c>
      <c r="G727" t="s">
        <v>135</v>
      </c>
      <c r="H727" t="s">
        <v>108</v>
      </c>
      <c r="I727" t="s">
        <v>104</v>
      </c>
      <c r="J727">
        <v>14130.1</v>
      </c>
      <c r="K727">
        <v>2000000</v>
      </c>
    </row>
    <row r="728" spans="1:11" ht="12.75" customHeight="1" x14ac:dyDescent="0.2">
      <c r="A728" t="s">
        <v>1673</v>
      </c>
      <c r="B728" t="s">
        <v>6413</v>
      </c>
      <c r="C728">
        <v>2024</v>
      </c>
      <c r="D728">
        <v>2023</v>
      </c>
      <c r="E728" s="7">
        <v>45319</v>
      </c>
      <c r="F728" s="7">
        <v>45684</v>
      </c>
      <c r="G728" t="s">
        <v>135</v>
      </c>
      <c r="H728" t="s">
        <v>6337</v>
      </c>
      <c r="I728" t="s">
        <v>101</v>
      </c>
      <c r="J728">
        <v>6904.9</v>
      </c>
      <c r="K728">
        <v>1000000</v>
      </c>
    </row>
    <row r="729" spans="1:11" ht="12.75" customHeight="1" x14ac:dyDescent="0.2">
      <c r="A729" t="s">
        <v>1674</v>
      </c>
      <c r="B729" t="s">
        <v>715</v>
      </c>
      <c r="C729">
        <v>2024</v>
      </c>
      <c r="D729">
        <v>2023</v>
      </c>
      <c r="E729" s="7">
        <v>45319</v>
      </c>
      <c r="F729" s="7">
        <v>45684</v>
      </c>
      <c r="G729" t="s">
        <v>135</v>
      </c>
      <c r="H729" t="s">
        <v>6334</v>
      </c>
      <c r="I729" t="s">
        <v>104</v>
      </c>
      <c r="J729">
        <v>12454.51</v>
      </c>
      <c r="K729">
        <v>2000000</v>
      </c>
    </row>
    <row r="730" spans="1:11" ht="12.75" customHeight="1" x14ac:dyDescent="0.2">
      <c r="A730" t="s">
        <v>1675</v>
      </c>
      <c r="B730" t="s">
        <v>7995</v>
      </c>
      <c r="C730">
        <v>2024</v>
      </c>
      <c r="D730">
        <v>2023</v>
      </c>
      <c r="E730" s="7">
        <v>45319</v>
      </c>
      <c r="F730" s="7">
        <v>45684</v>
      </c>
      <c r="G730" t="s">
        <v>135</v>
      </c>
      <c r="H730" t="s">
        <v>106</v>
      </c>
      <c r="I730" t="s">
        <v>104</v>
      </c>
      <c r="J730">
        <v>6681.58</v>
      </c>
      <c r="K730">
        <v>1000000</v>
      </c>
    </row>
    <row r="731" spans="1:11" ht="12.75" customHeight="1" x14ac:dyDescent="0.2">
      <c r="A731" t="s">
        <v>1676</v>
      </c>
      <c r="B731" t="s">
        <v>7996</v>
      </c>
      <c r="C731">
        <v>2024</v>
      </c>
      <c r="D731">
        <v>2023</v>
      </c>
      <c r="E731" s="7">
        <v>45319</v>
      </c>
      <c r="F731" s="7">
        <v>45684</v>
      </c>
      <c r="G731" t="s">
        <v>135</v>
      </c>
      <c r="H731" t="s">
        <v>6334</v>
      </c>
      <c r="I731" t="s">
        <v>104</v>
      </c>
      <c r="J731">
        <v>11185</v>
      </c>
      <c r="K731">
        <v>2000000</v>
      </c>
    </row>
    <row r="732" spans="1:11" ht="12.75" customHeight="1" x14ac:dyDescent="0.2">
      <c r="A732" t="s">
        <v>1677</v>
      </c>
      <c r="B732" t="s">
        <v>7997</v>
      </c>
      <c r="C732">
        <v>2024</v>
      </c>
      <c r="D732">
        <v>2023</v>
      </c>
      <c r="E732" s="7">
        <v>45319</v>
      </c>
      <c r="F732" s="7">
        <v>45684</v>
      </c>
      <c r="G732" t="s">
        <v>135</v>
      </c>
      <c r="H732" t="s">
        <v>107</v>
      </c>
      <c r="I732" t="s">
        <v>104</v>
      </c>
      <c r="J732">
        <v>12411.7</v>
      </c>
      <c r="K732">
        <v>2000000</v>
      </c>
    </row>
    <row r="733" spans="1:11" ht="12.75" customHeight="1" x14ac:dyDescent="0.2">
      <c r="A733" t="s">
        <v>1678</v>
      </c>
      <c r="B733" t="s">
        <v>7998</v>
      </c>
      <c r="C733">
        <v>2024</v>
      </c>
      <c r="D733">
        <v>2023</v>
      </c>
      <c r="E733" s="7">
        <v>45319</v>
      </c>
      <c r="F733" s="7">
        <v>45684</v>
      </c>
      <c r="G733" t="s">
        <v>135</v>
      </c>
      <c r="H733" t="s">
        <v>107</v>
      </c>
      <c r="I733" t="s">
        <v>104</v>
      </c>
      <c r="J733">
        <v>6024.48</v>
      </c>
      <c r="K733">
        <v>1000000</v>
      </c>
    </row>
    <row r="734" spans="1:11" ht="12.75" customHeight="1" x14ac:dyDescent="0.2">
      <c r="A734" t="s">
        <v>1679</v>
      </c>
      <c r="B734" t="s">
        <v>7999</v>
      </c>
      <c r="C734">
        <v>2024</v>
      </c>
      <c r="D734">
        <v>2023</v>
      </c>
      <c r="E734" s="7">
        <v>45319</v>
      </c>
      <c r="F734" s="7">
        <v>45684</v>
      </c>
      <c r="G734" t="s">
        <v>135</v>
      </c>
      <c r="H734" t="s">
        <v>106</v>
      </c>
      <c r="I734" t="s">
        <v>101</v>
      </c>
      <c r="J734">
        <v>4648.75</v>
      </c>
      <c r="K734">
        <v>500000</v>
      </c>
    </row>
    <row r="735" spans="1:11" ht="12.75" customHeight="1" x14ac:dyDescent="0.2">
      <c r="A735" t="s">
        <v>1680</v>
      </c>
      <c r="B735" t="s">
        <v>245</v>
      </c>
      <c r="C735">
        <v>2024</v>
      </c>
      <c r="D735">
        <v>2023</v>
      </c>
      <c r="E735" s="7">
        <v>45319</v>
      </c>
      <c r="F735" s="7">
        <v>45684</v>
      </c>
      <c r="G735" t="s">
        <v>135</v>
      </c>
      <c r="H735" t="s">
        <v>108</v>
      </c>
      <c r="I735" t="s">
        <v>101</v>
      </c>
      <c r="J735">
        <v>8613.34</v>
      </c>
      <c r="K735">
        <v>1000000</v>
      </c>
    </row>
    <row r="736" spans="1:11" ht="12.75" customHeight="1" x14ac:dyDescent="0.2">
      <c r="A736" t="s">
        <v>1682</v>
      </c>
      <c r="B736" t="s">
        <v>1453</v>
      </c>
      <c r="C736">
        <v>2024</v>
      </c>
      <c r="D736">
        <v>2023</v>
      </c>
      <c r="E736" s="7">
        <v>45320</v>
      </c>
      <c r="F736" s="7">
        <v>45685</v>
      </c>
      <c r="G736" t="s">
        <v>99</v>
      </c>
      <c r="H736" t="s">
        <v>107</v>
      </c>
      <c r="I736" t="s">
        <v>101</v>
      </c>
      <c r="J736">
        <v>6757.55</v>
      </c>
      <c r="K736">
        <v>1000000</v>
      </c>
    </row>
    <row r="737" spans="1:11" ht="12.75" customHeight="1" x14ac:dyDescent="0.2">
      <c r="A737" t="s">
        <v>1684</v>
      </c>
      <c r="B737" t="s">
        <v>247</v>
      </c>
      <c r="C737">
        <v>2024</v>
      </c>
      <c r="D737">
        <v>2023</v>
      </c>
      <c r="E737" s="7">
        <v>45320</v>
      </c>
      <c r="F737" s="7">
        <v>45685</v>
      </c>
      <c r="G737" t="s">
        <v>135</v>
      </c>
      <c r="H737" t="s">
        <v>107</v>
      </c>
      <c r="I737" t="s">
        <v>101</v>
      </c>
      <c r="J737">
        <v>7357.89</v>
      </c>
      <c r="K737">
        <v>1000000</v>
      </c>
    </row>
    <row r="738" spans="1:11" ht="12.75" customHeight="1" x14ac:dyDescent="0.2">
      <c r="A738" t="s">
        <v>1685</v>
      </c>
      <c r="B738" t="s">
        <v>8000</v>
      </c>
      <c r="C738">
        <v>2024</v>
      </c>
      <c r="D738">
        <v>2023</v>
      </c>
      <c r="E738" s="7">
        <v>45320</v>
      </c>
      <c r="F738" s="7">
        <v>45685</v>
      </c>
      <c r="G738" t="s">
        <v>135</v>
      </c>
      <c r="H738" t="s">
        <v>109</v>
      </c>
      <c r="I738" t="s">
        <v>104</v>
      </c>
      <c r="J738">
        <v>6032.25</v>
      </c>
      <c r="K738">
        <v>1000000</v>
      </c>
    </row>
    <row r="739" spans="1:11" ht="12.75" customHeight="1" x14ac:dyDescent="0.2">
      <c r="A739" t="s">
        <v>1686</v>
      </c>
      <c r="B739" t="s">
        <v>451</v>
      </c>
      <c r="C739">
        <v>2024</v>
      </c>
      <c r="D739">
        <v>2023</v>
      </c>
      <c r="E739" s="7">
        <v>45320</v>
      </c>
      <c r="F739" s="7">
        <v>45685</v>
      </c>
      <c r="G739" t="s">
        <v>135</v>
      </c>
      <c r="H739" t="s">
        <v>107</v>
      </c>
      <c r="I739" t="s">
        <v>101</v>
      </c>
      <c r="J739">
        <v>14622.21</v>
      </c>
      <c r="K739">
        <v>2000000</v>
      </c>
    </row>
    <row r="740" spans="1:11" ht="12.75" customHeight="1" x14ac:dyDescent="0.2">
      <c r="A740" t="s">
        <v>1687</v>
      </c>
      <c r="B740" t="s">
        <v>8001</v>
      </c>
      <c r="C740">
        <v>2024</v>
      </c>
      <c r="D740">
        <v>2023</v>
      </c>
      <c r="E740" s="7">
        <v>45320</v>
      </c>
      <c r="F740" s="7">
        <v>45685</v>
      </c>
      <c r="G740" t="s">
        <v>135</v>
      </c>
      <c r="H740" t="s">
        <v>102</v>
      </c>
      <c r="I740" t="s">
        <v>104</v>
      </c>
      <c r="J740">
        <v>2725.52</v>
      </c>
      <c r="K740">
        <v>500000</v>
      </c>
    </row>
    <row r="741" spans="1:11" ht="12.75" customHeight="1" x14ac:dyDescent="0.2">
      <c r="A741" t="s">
        <v>1688</v>
      </c>
      <c r="B741" t="s">
        <v>8002</v>
      </c>
      <c r="C741">
        <v>2024</v>
      </c>
      <c r="D741">
        <v>2023</v>
      </c>
      <c r="E741" s="7">
        <v>45320</v>
      </c>
      <c r="F741" s="7">
        <v>45685</v>
      </c>
      <c r="G741" t="s">
        <v>135</v>
      </c>
      <c r="H741" t="s">
        <v>114</v>
      </c>
      <c r="I741" t="s">
        <v>104</v>
      </c>
      <c r="J741">
        <v>52430.37</v>
      </c>
      <c r="K741">
        <v>10000000</v>
      </c>
    </row>
    <row r="742" spans="1:11" ht="12.75" customHeight="1" x14ac:dyDescent="0.2">
      <c r="A742" t="s">
        <v>1689</v>
      </c>
      <c r="B742" t="s">
        <v>8003</v>
      </c>
      <c r="C742">
        <v>2024</v>
      </c>
      <c r="D742">
        <v>2023</v>
      </c>
      <c r="E742" s="7">
        <v>45320</v>
      </c>
      <c r="F742" s="7">
        <v>45685</v>
      </c>
      <c r="G742" t="s">
        <v>135</v>
      </c>
      <c r="H742" t="s">
        <v>102</v>
      </c>
      <c r="I742" t="s">
        <v>101</v>
      </c>
      <c r="J742">
        <v>10535.66</v>
      </c>
      <c r="K742">
        <v>1500000</v>
      </c>
    </row>
    <row r="743" spans="1:11" ht="12.75" customHeight="1" x14ac:dyDescent="0.2">
      <c r="A743" t="s">
        <v>1690</v>
      </c>
      <c r="B743" t="s">
        <v>8004</v>
      </c>
      <c r="C743">
        <v>2024</v>
      </c>
      <c r="D743">
        <v>2023</v>
      </c>
      <c r="E743" s="7">
        <v>45320</v>
      </c>
      <c r="F743" s="7">
        <v>45685</v>
      </c>
      <c r="G743" t="s">
        <v>135</v>
      </c>
      <c r="H743" t="s">
        <v>110</v>
      </c>
      <c r="I743" t="s">
        <v>101</v>
      </c>
      <c r="J743">
        <v>4814.42</v>
      </c>
      <c r="K743">
        <v>500000</v>
      </c>
    </row>
    <row r="744" spans="1:11" ht="12.75" customHeight="1" x14ac:dyDescent="0.2">
      <c r="A744" t="s">
        <v>1691</v>
      </c>
      <c r="B744" t="s">
        <v>6410</v>
      </c>
      <c r="C744">
        <v>2024</v>
      </c>
      <c r="D744">
        <v>2023</v>
      </c>
      <c r="E744" s="7">
        <v>45320</v>
      </c>
      <c r="F744" s="7">
        <v>45685</v>
      </c>
      <c r="G744" t="s">
        <v>135</v>
      </c>
      <c r="H744" t="s">
        <v>102</v>
      </c>
      <c r="I744" t="s">
        <v>101</v>
      </c>
      <c r="J744">
        <v>3496.39</v>
      </c>
      <c r="K744">
        <v>500000</v>
      </c>
    </row>
    <row r="745" spans="1:11" ht="12.75" customHeight="1" x14ac:dyDescent="0.2">
      <c r="A745" t="s">
        <v>1693</v>
      </c>
      <c r="B745" t="s">
        <v>716</v>
      </c>
      <c r="C745">
        <v>2024</v>
      </c>
      <c r="D745">
        <v>2023</v>
      </c>
      <c r="E745" s="7">
        <v>45320</v>
      </c>
      <c r="F745" s="7">
        <v>45685</v>
      </c>
      <c r="G745" t="s">
        <v>135</v>
      </c>
      <c r="H745" t="s">
        <v>106</v>
      </c>
      <c r="I745" t="s">
        <v>101</v>
      </c>
      <c r="J745">
        <v>8339.82</v>
      </c>
      <c r="K745">
        <v>1000000</v>
      </c>
    </row>
    <row r="746" spans="1:11" ht="12.75" customHeight="1" x14ac:dyDescent="0.2">
      <c r="A746" t="s">
        <v>1695</v>
      </c>
      <c r="B746" t="s">
        <v>246</v>
      </c>
      <c r="C746">
        <v>2024</v>
      </c>
      <c r="D746">
        <v>2023</v>
      </c>
      <c r="E746" s="7">
        <v>45320</v>
      </c>
      <c r="F746" s="7">
        <v>45685</v>
      </c>
      <c r="G746" t="s">
        <v>135</v>
      </c>
      <c r="H746" t="s">
        <v>102</v>
      </c>
      <c r="I746" t="s">
        <v>101</v>
      </c>
      <c r="J746">
        <v>6835.93</v>
      </c>
      <c r="K746">
        <v>1000000</v>
      </c>
    </row>
    <row r="747" spans="1:11" ht="12.75" customHeight="1" x14ac:dyDescent="0.2">
      <c r="A747" t="s">
        <v>1697</v>
      </c>
      <c r="B747" t="s">
        <v>717</v>
      </c>
      <c r="C747">
        <v>2024</v>
      </c>
      <c r="D747">
        <v>2023</v>
      </c>
      <c r="E747" s="7">
        <v>45320</v>
      </c>
      <c r="F747" s="7">
        <v>45685</v>
      </c>
      <c r="G747" t="s">
        <v>135</v>
      </c>
      <c r="H747" t="s">
        <v>102</v>
      </c>
      <c r="I747" t="s">
        <v>101</v>
      </c>
      <c r="J747">
        <v>7487.79</v>
      </c>
      <c r="K747">
        <v>1000000</v>
      </c>
    </row>
    <row r="748" spans="1:11" ht="12.75" customHeight="1" x14ac:dyDescent="0.2">
      <c r="A748" t="s">
        <v>1699</v>
      </c>
      <c r="B748" t="s">
        <v>6415</v>
      </c>
      <c r="C748">
        <v>2024</v>
      </c>
      <c r="D748">
        <v>2023</v>
      </c>
      <c r="E748" s="7">
        <v>45320</v>
      </c>
      <c r="F748" s="7">
        <v>45685</v>
      </c>
      <c r="G748" t="s">
        <v>135</v>
      </c>
      <c r="H748" t="s">
        <v>114</v>
      </c>
      <c r="I748" t="s">
        <v>101</v>
      </c>
      <c r="J748">
        <v>10439.540000000001</v>
      </c>
      <c r="K748">
        <v>1500000</v>
      </c>
    </row>
    <row r="749" spans="1:11" ht="12.75" customHeight="1" x14ac:dyDescent="0.2">
      <c r="A749" t="s">
        <v>1700</v>
      </c>
      <c r="B749" t="s">
        <v>1455</v>
      </c>
      <c r="C749">
        <v>2024</v>
      </c>
      <c r="D749">
        <v>2023</v>
      </c>
      <c r="E749" s="7">
        <v>45321</v>
      </c>
      <c r="F749" s="7">
        <v>45686</v>
      </c>
      <c r="G749" t="s">
        <v>99</v>
      </c>
      <c r="H749" t="s">
        <v>102</v>
      </c>
      <c r="I749" t="s">
        <v>101</v>
      </c>
      <c r="J749">
        <v>14635.34</v>
      </c>
      <c r="K749">
        <v>2000000</v>
      </c>
    </row>
    <row r="750" spans="1:11" ht="12.75" customHeight="1" x14ac:dyDescent="0.2">
      <c r="A750" t="s">
        <v>1701</v>
      </c>
      <c r="B750" t="s">
        <v>1463</v>
      </c>
      <c r="C750">
        <v>2024</v>
      </c>
      <c r="D750">
        <v>2023</v>
      </c>
      <c r="E750" s="7">
        <v>45321</v>
      </c>
      <c r="F750" s="7">
        <v>45686</v>
      </c>
      <c r="G750" t="s">
        <v>99</v>
      </c>
      <c r="H750" t="s">
        <v>115</v>
      </c>
      <c r="I750" t="s">
        <v>101</v>
      </c>
      <c r="J750">
        <v>-382.47</v>
      </c>
      <c r="K750">
        <v>500000</v>
      </c>
    </row>
    <row r="751" spans="1:11" ht="12.75" customHeight="1" x14ac:dyDescent="0.2">
      <c r="A751" t="s">
        <v>1702</v>
      </c>
      <c r="B751" t="s">
        <v>8005</v>
      </c>
      <c r="C751">
        <v>2024</v>
      </c>
      <c r="D751">
        <v>2023</v>
      </c>
      <c r="E751" s="7">
        <v>45321</v>
      </c>
      <c r="F751" s="7">
        <v>45686</v>
      </c>
      <c r="G751" t="s">
        <v>135</v>
      </c>
      <c r="H751" t="s">
        <v>6334</v>
      </c>
      <c r="I751" t="s">
        <v>101</v>
      </c>
      <c r="J751">
        <v>11127.73</v>
      </c>
      <c r="K751">
        <v>1500000</v>
      </c>
    </row>
    <row r="752" spans="1:11" ht="12.75" customHeight="1" x14ac:dyDescent="0.2">
      <c r="A752" t="s">
        <v>1703</v>
      </c>
      <c r="B752" t="s">
        <v>6424</v>
      </c>
      <c r="C752">
        <v>2024</v>
      </c>
      <c r="D752">
        <v>2023</v>
      </c>
      <c r="E752" s="7">
        <v>45321</v>
      </c>
      <c r="F752" s="7">
        <v>45686</v>
      </c>
      <c r="G752" t="s">
        <v>135</v>
      </c>
      <c r="H752" t="s">
        <v>107</v>
      </c>
      <c r="I752" t="s">
        <v>101</v>
      </c>
      <c r="J752">
        <v>32531.32</v>
      </c>
      <c r="K752">
        <v>5000000</v>
      </c>
    </row>
    <row r="753" spans="1:11" ht="12.75" customHeight="1" x14ac:dyDescent="0.2">
      <c r="A753" t="s">
        <v>1704</v>
      </c>
      <c r="B753" t="s">
        <v>6400</v>
      </c>
      <c r="C753">
        <v>2024</v>
      </c>
      <c r="D753">
        <v>2023</v>
      </c>
      <c r="E753" s="7">
        <v>45321</v>
      </c>
      <c r="F753" s="7">
        <v>45686</v>
      </c>
      <c r="G753" t="s">
        <v>135</v>
      </c>
      <c r="H753" t="s">
        <v>107</v>
      </c>
      <c r="I753" t="s">
        <v>104</v>
      </c>
      <c r="J753">
        <v>5383.8</v>
      </c>
      <c r="K753">
        <v>1000000</v>
      </c>
    </row>
    <row r="754" spans="1:11" ht="12.75" customHeight="1" x14ac:dyDescent="0.2">
      <c r="A754" t="s">
        <v>1705</v>
      </c>
      <c r="B754" t="s">
        <v>6425</v>
      </c>
      <c r="C754">
        <v>2024</v>
      </c>
      <c r="D754">
        <v>2023</v>
      </c>
      <c r="E754" s="7">
        <v>45321</v>
      </c>
      <c r="F754" s="7">
        <v>45686</v>
      </c>
      <c r="G754" t="s">
        <v>135</v>
      </c>
      <c r="H754" t="s">
        <v>106</v>
      </c>
      <c r="I754" t="s">
        <v>104</v>
      </c>
      <c r="J754">
        <v>15313.11</v>
      </c>
      <c r="K754">
        <v>2000000</v>
      </c>
    </row>
    <row r="755" spans="1:11" ht="12.75" customHeight="1" x14ac:dyDescent="0.2">
      <c r="A755" t="s">
        <v>1706</v>
      </c>
      <c r="B755" t="s">
        <v>8006</v>
      </c>
      <c r="C755">
        <v>2024</v>
      </c>
      <c r="D755">
        <v>2023</v>
      </c>
      <c r="E755" s="7">
        <v>45321</v>
      </c>
      <c r="F755" s="7">
        <v>45686</v>
      </c>
      <c r="G755" t="s">
        <v>135</v>
      </c>
      <c r="H755" t="s">
        <v>113</v>
      </c>
      <c r="I755" t="s">
        <v>101</v>
      </c>
      <c r="J755">
        <v>37890.11</v>
      </c>
      <c r="K755">
        <v>5000000</v>
      </c>
    </row>
    <row r="756" spans="1:11" ht="12.75" customHeight="1" x14ac:dyDescent="0.2">
      <c r="A756" t="s">
        <v>1708</v>
      </c>
      <c r="B756" t="s">
        <v>8007</v>
      </c>
      <c r="C756">
        <v>2024</v>
      </c>
      <c r="D756">
        <v>2023</v>
      </c>
      <c r="E756" s="7">
        <v>45321</v>
      </c>
      <c r="F756" s="7">
        <v>45686</v>
      </c>
      <c r="G756" t="s">
        <v>135</v>
      </c>
      <c r="H756" t="s">
        <v>108</v>
      </c>
      <c r="I756" t="s">
        <v>104</v>
      </c>
      <c r="J756">
        <v>12934.73</v>
      </c>
      <c r="K756">
        <v>2000000</v>
      </c>
    </row>
    <row r="757" spans="1:11" ht="12.75" customHeight="1" x14ac:dyDescent="0.2">
      <c r="A757" t="s">
        <v>1710</v>
      </c>
      <c r="B757" t="s">
        <v>6423</v>
      </c>
      <c r="C757">
        <v>2024</v>
      </c>
      <c r="D757">
        <v>2023</v>
      </c>
      <c r="E757" s="7">
        <v>45321</v>
      </c>
      <c r="F757" s="7">
        <v>45686</v>
      </c>
      <c r="G757" t="s">
        <v>135</v>
      </c>
      <c r="H757" t="s">
        <v>106</v>
      </c>
      <c r="I757" t="s">
        <v>101</v>
      </c>
      <c r="J757">
        <v>44053.09</v>
      </c>
      <c r="K757">
        <v>5000000</v>
      </c>
    </row>
    <row r="758" spans="1:11" ht="12.75" customHeight="1" x14ac:dyDescent="0.2">
      <c r="A758" t="s">
        <v>1712</v>
      </c>
      <c r="B758" t="s">
        <v>6401</v>
      </c>
      <c r="C758">
        <v>2024</v>
      </c>
      <c r="D758">
        <v>2023</v>
      </c>
      <c r="E758" s="7">
        <v>45321</v>
      </c>
      <c r="F758" s="7">
        <v>45686</v>
      </c>
      <c r="G758" t="s">
        <v>135</v>
      </c>
      <c r="H758" t="s">
        <v>107</v>
      </c>
      <c r="I758" t="s">
        <v>104</v>
      </c>
      <c r="J758">
        <v>59145.68</v>
      </c>
      <c r="K758">
        <v>10000000</v>
      </c>
    </row>
    <row r="759" spans="1:11" ht="12.75" customHeight="1" x14ac:dyDescent="0.2">
      <c r="A759" t="s">
        <v>1714</v>
      </c>
      <c r="B759" t="s">
        <v>1465</v>
      </c>
      <c r="C759">
        <v>2024</v>
      </c>
      <c r="D759">
        <v>2023</v>
      </c>
      <c r="E759" s="7">
        <v>45322</v>
      </c>
      <c r="F759" s="7">
        <v>45687</v>
      </c>
      <c r="G759" t="s">
        <v>99</v>
      </c>
      <c r="H759" t="s">
        <v>102</v>
      </c>
      <c r="I759" t="s">
        <v>104</v>
      </c>
      <c r="J759">
        <v>11041.61</v>
      </c>
      <c r="K759">
        <v>2000000</v>
      </c>
    </row>
    <row r="760" spans="1:11" ht="12.75" customHeight="1" x14ac:dyDescent="0.2">
      <c r="A760" t="s">
        <v>1716</v>
      </c>
      <c r="B760" t="s">
        <v>1467</v>
      </c>
      <c r="C760">
        <v>2024</v>
      </c>
      <c r="D760">
        <v>2023</v>
      </c>
      <c r="E760" s="7">
        <v>45322</v>
      </c>
      <c r="F760" s="7">
        <v>45687</v>
      </c>
      <c r="G760" t="s">
        <v>99</v>
      </c>
      <c r="H760" t="s">
        <v>102</v>
      </c>
      <c r="I760" t="s">
        <v>101</v>
      </c>
      <c r="J760">
        <v>10190.07</v>
      </c>
      <c r="K760">
        <v>1500000</v>
      </c>
    </row>
    <row r="761" spans="1:11" ht="12.75" customHeight="1" x14ac:dyDescent="0.2">
      <c r="A761" t="s">
        <v>1718</v>
      </c>
      <c r="B761" t="s">
        <v>1469</v>
      </c>
      <c r="C761">
        <v>2024</v>
      </c>
      <c r="D761">
        <v>2023</v>
      </c>
      <c r="E761" s="7">
        <v>45322</v>
      </c>
      <c r="F761" s="7">
        <v>45687</v>
      </c>
      <c r="G761" t="s">
        <v>99</v>
      </c>
      <c r="H761" t="s">
        <v>100</v>
      </c>
      <c r="I761" t="s">
        <v>101</v>
      </c>
      <c r="J761">
        <v>12976.42</v>
      </c>
      <c r="K761">
        <v>2000000</v>
      </c>
    </row>
    <row r="762" spans="1:11" ht="12.75" customHeight="1" x14ac:dyDescent="0.2">
      <c r="A762" t="s">
        <v>1719</v>
      </c>
      <c r="B762" t="s">
        <v>8008</v>
      </c>
      <c r="C762">
        <v>2024</v>
      </c>
      <c r="D762">
        <v>2023</v>
      </c>
      <c r="E762" s="7">
        <v>45322</v>
      </c>
      <c r="F762" s="7">
        <v>45687</v>
      </c>
      <c r="G762" t="s">
        <v>135</v>
      </c>
      <c r="H762" t="s">
        <v>107</v>
      </c>
      <c r="I762" t="s">
        <v>104</v>
      </c>
      <c r="J762">
        <v>11392.63</v>
      </c>
      <c r="K762">
        <v>2000000</v>
      </c>
    </row>
    <row r="763" spans="1:11" ht="12.75" customHeight="1" x14ac:dyDescent="0.2">
      <c r="A763" t="s">
        <v>1720</v>
      </c>
      <c r="B763" t="s">
        <v>248</v>
      </c>
      <c r="C763">
        <v>2024</v>
      </c>
      <c r="D763">
        <v>2023</v>
      </c>
      <c r="E763" s="7">
        <v>45322</v>
      </c>
      <c r="F763" s="7">
        <v>45687</v>
      </c>
      <c r="G763" t="s">
        <v>135</v>
      </c>
      <c r="H763" t="s">
        <v>106</v>
      </c>
      <c r="I763" t="s">
        <v>104</v>
      </c>
      <c r="J763">
        <v>75661.47</v>
      </c>
      <c r="K763">
        <v>10000000</v>
      </c>
    </row>
    <row r="764" spans="1:11" ht="12.75" customHeight="1" x14ac:dyDescent="0.2">
      <c r="A764" t="s">
        <v>1721</v>
      </c>
      <c r="B764" t="s">
        <v>6432</v>
      </c>
      <c r="C764">
        <v>2024</v>
      </c>
      <c r="D764">
        <v>2023</v>
      </c>
      <c r="E764" s="7">
        <v>45322</v>
      </c>
      <c r="F764" s="7">
        <v>45687</v>
      </c>
      <c r="G764" t="s">
        <v>135</v>
      </c>
      <c r="H764" t="s">
        <v>113</v>
      </c>
      <c r="I764" t="s">
        <v>104</v>
      </c>
      <c r="J764">
        <v>7858.18</v>
      </c>
      <c r="K764">
        <v>1500000</v>
      </c>
    </row>
    <row r="765" spans="1:11" ht="12.75" customHeight="1" x14ac:dyDescent="0.2">
      <c r="A765" t="s">
        <v>1722</v>
      </c>
      <c r="B765" t="s">
        <v>6428</v>
      </c>
      <c r="C765">
        <v>2024</v>
      </c>
      <c r="D765">
        <v>2023</v>
      </c>
      <c r="E765" s="7">
        <v>45322</v>
      </c>
      <c r="F765" s="7">
        <v>45687</v>
      </c>
      <c r="G765" t="s">
        <v>135</v>
      </c>
      <c r="H765" t="s">
        <v>115</v>
      </c>
      <c r="I765" t="s">
        <v>101</v>
      </c>
      <c r="J765">
        <v>13264.83</v>
      </c>
      <c r="K765">
        <v>2000000</v>
      </c>
    </row>
    <row r="766" spans="1:11" ht="12.75" customHeight="1" x14ac:dyDescent="0.2">
      <c r="A766" t="s">
        <v>1723</v>
      </c>
      <c r="B766" t="s">
        <v>186</v>
      </c>
      <c r="C766">
        <v>2024</v>
      </c>
      <c r="D766">
        <v>2023</v>
      </c>
      <c r="E766" s="7">
        <v>45322</v>
      </c>
      <c r="F766" s="7">
        <v>45687</v>
      </c>
      <c r="G766" t="s">
        <v>135</v>
      </c>
      <c r="H766" t="s">
        <v>106</v>
      </c>
      <c r="I766" t="s">
        <v>104</v>
      </c>
      <c r="J766">
        <v>14529.51</v>
      </c>
      <c r="K766">
        <v>2000000</v>
      </c>
    </row>
    <row r="767" spans="1:11" ht="12.75" customHeight="1" x14ac:dyDescent="0.2">
      <c r="A767" t="s">
        <v>1724</v>
      </c>
      <c r="B767" t="s">
        <v>452</v>
      </c>
      <c r="C767">
        <v>2024</v>
      </c>
      <c r="D767">
        <v>2023</v>
      </c>
      <c r="E767" s="7">
        <v>45322</v>
      </c>
      <c r="F767" s="7">
        <v>45687</v>
      </c>
      <c r="G767" t="s">
        <v>135</v>
      </c>
      <c r="H767" t="s">
        <v>108</v>
      </c>
      <c r="I767" t="s">
        <v>104</v>
      </c>
      <c r="J767">
        <v>3282.88</v>
      </c>
      <c r="K767">
        <v>500000</v>
      </c>
    </row>
    <row r="768" spans="1:11" ht="12.75" customHeight="1" x14ac:dyDescent="0.2">
      <c r="A768" t="s">
        <v>1725</v>
      </c>
      <c r="B768" t="s">
        <v>6420</v>
      </c>
      <c r="C768">
        <v>2024</v>
      </c>
      <c r="D768">
        <v>2023</v>
      </c>
      <c r="E768" s="7">
        <v>45322</v>
      </c>
      <c r="F768" s="7">
        <v>45687</v>
      </c>
      <c r="G768" t="s">
        <v>135</v>
      </c>
      <c r="H768" t="s">
        <v>102</v>
      </c>
      <c r="I768" t="s">
        <v>101</v>
      </c>
      <c r="J768">
        <v>13607.11</v>
      </c>
      <c r="K768">
        <v>2000000</v>
      </c>
    </row>
    <row r="769" spans="1:11" ht="12.75" customHeight="1" x14ac:dyDescent="0.2">
      <c r="A769" t="s">
        <v>1726</v>
      </c>
      <c r="B769" t="s">
        <v>6405</v>
      </c>
      <c r="C769">
        <v>2024</v>
      </c>
      <c r="D769">
        <v>2023</v>
      </c>
      <c r="E769" s="7">
        <v>45322</v>
      </c>
      <c r="F769" s="7">
        <v>45687</v>
      </c>
      <c r="G769" t="s">
        <v>135</v>
      </c>
      <c r="H769" t="s">
        <v>113</v>
      </c>
      <c r="I769" t="s">
        <v>104</v>
      </c>
      <c r="J769">
        <v>5710.06</v>
      </c>
      <c r="K769">
        <v>1000000</v>
      </c>
    </row>
    <row r="770" spans="1:11" ht="12.75" customHeight="1" x14ac:dyDescent="0.2">
      <c r="A770" t="s">
        <v>1727</v>
      </c>
      <c r="B770" t="s">
        <v>1479</v>
      </c>
      <c r="C770">
        <v>2024</v>
      </c>
      <c r="D770">
        <v>2023</v>
      </c>
      <c r="E770" s="7">
        <v>45323</v>
      </c>
      <c r="F770" s="7">
        <v>45688</v>
      </c>
      <c r="G770" t="s">
        <v>99</v>
      </c>
      <c r="H770" t="s">
        <v>106</v>
      </c>
      <c r="I770" t="s">
        <v>104</v>
      </c>
      <c r="J770">
        <v>7888.43</v>
      </c>
      <c r="K770">
        <v>1000000</v>
      </c>
    </row>
    <row r="771" spans="1:11" ht="12.75" customHeight="1" x14ac:dyDescent="0.2">
      <c r="A771" t="s">
        <v>1728</v>
      </c>
      <c r="B771" t="s">
        <v>1481</v>
      </c>
      <c r="C771">
        <v>2024</v>
      </c>
      <c r="D771">
        <v>2023</v>
      </c>
      <c r="E771" s="7">
        <v>45323</v>
      </c>
      <c r="F771" s="7">
        <v>45688</v>
      </c>
      <c r="G771" t="s">
        <v>99</v>
      </c>
      <c r="H771" t="s">
        <v>6348</v>
      </c>
      <c r="I771" t="s">
        <v>104</v>
      </c>
      <c r="J771">
        <v>5341.92</v>
      </c>
      <c r="K771">
        <v>1000000</v>
      </c>
    </row>
    <row r="772" spans="1:11" ht="12.75" customHeight="1" x14ac:dyDescent="0.2">
      <c r="A772" t="s">
        <v>1729</v>
      </c>
      <c r="B772" t="s">
        <v>1483</v>
      </c>
      <c r="C772">
        <v>2024</v>
      </c>
      <c r="D772">
        <v>2023</v>
      </c>
      <c r="E772" s="7">
        <v>45323</v>
      </c>
      <c r="F772" s="7">
        <v>45688</v>
      </c>
      <c r="G772" t="s">
        <v>99</v>
      </c>
      <c r="H772" t="s">
        <v>102</v>
      </c>
      <c r="I772" t="s">
        <v>104</v>
      </c>
      <c r="J772">
        <v>5679.35</v>
      </c>
      <c r="K772">
        <v>1000000</v>
      </c>
    </row>
    <row r="773" spans="1:11" ht="12.75" customHeight="1" x14ac:dyDescent="0.2">
      <c r="A773" t="s">
        <v>1731</v>
      </c>
      <c r="B773" t="s">
        <v>719</v>
      </c>
      <c r="C773">
        <v>2024</v>
      </c>
      <c r="D773">
        <v>2023</v>
      </c>
      <c r="E773" s="7">
        <v>45323</v>
      </c>
      <c r="F773" s="7">
        <v>45688</v>
      </c>
      <c r="G773" t="s">
        <v>135</v>
      </c>
      <c r="H773" t="s">
        <v>102</v>
      </c>
      <c r="I773" t="s">
        <v>104</v>
      </c>
      <c r="J773">
        <v>52373.79</v>
      </c>
      <c r="K773">
        <v>10000000</v>
      </c>
    </row>
    <row r="774" spans="1:11" ht="12.75" customHeight="1" x14ac:dyDescent="0.2">
      <c r="A774" t="s">
        <v>1733</v>
      </c>
      <c r="B774" t="s">
        <v>8009</v>
      </c>
      <c r="C774">
        <v>2024</v>
      </c>
      <c r="D774">
        <v>2023</v>
      </c>
      <c r="E774" s="7">
        <v>45323</v>
      </c>
      <c r="F774" s="7">
        <v>45688</v>
      </c>
      <c r="G774" t="s">
        <v>135</v>
      </c>
      <c r="H774" t="s">
        <v>102</v>
      </c>
      <c r="I774" t="s">
        <v>101</v>
      </c>
      <c r="J774">
        <v>14351.71</v>
      </c>
      <c r="K774">
        <v>2000000</v>
      </c>
    </row>
    <row r="775" spans="1:11" ht="12.75" customHeight="1" x14ac:dyDescent="0.2">
      <c r="A775" t="s">
        <v>1735</v>
      </c>
      <c r="B775" t="s">
        <v>8010</v>
      </c>
      <c r="C775">
        <v>2024</v>
      </c>
      <c r="D775">
        <v>2023</v>
      </c>
      <c r="E775" s="7">
        <v>45323</v>
      </c>
      <c r="F775" s="7">
        <v>45688</v>
      </c>
      <c r="G775" t="s">
        <v>135</v>
      </c>
      <c r="H775" t="s">
        <v>107</v>
      </c>
      <c r="I775" t="s">
        <v>101</v>
      </c>
      <c r="J775">
        <v>3761.4</v>
      </c>
      <c r="K775">
        <v>500000</v>
      </c>
    </row>
    <row r="776" spans="1:11" ht="12.75" customHeight="1" x14ac:dyDescent="0.2">
      <c r="A776" t="s">
        <v>1737</v>
      </c>
      <c r="B776" t="s">
        <v>8011</v>
      </c>
      <c r="C776">
        <v>2024</v>
      </c>
      <c r="D776">
        <v>2023</v>
      </c>
      <c r="E776" s="7">
        <v>45323</v>
      </c>
      <c r="F776" s="7">
        <v>45688</v>
      </c>
      <c r="G776" t="s">
        <v>135</v>
      </c>
      <c r="H776" t="s">
        <v>108</v>
      </c>
      <c r="I776" t="s">
        <v>101</v>
      </c>
      <c r="J776">
        <v>14032.98</v>
      </c>
      <c r="K776">
        <v>1500000</v>
      </c>
    </row>
    <row r="777" spans="1:11" ht="12.75" customHeight="1" x14ac:dyDescent="0.2">
      <c r="A777" t="s">
        <v>1738</v>
      </c>
      <c r="B777" t="s">
        <v>8012</v>
      </c>
      <c r="C777">
        <v>2024</v>
      </c>
      <c r="D777">
        <v>2023</v>
      </c>
      <c r="E777" s="7">
        <v>45323</v>
      </c>
      <c r="F777" s="7">
        <v>45688</v>
      </c>
      <c r="G777" t="s">
        <v>135</v>
      </c>
      <c r="H777" t="s">
        <v>102</v>
      </c>
      <c r="I777" t="s">
        <v>101</v>
      </c>
      <c r="J777">
        <v>77127.83</v>
      </c>
      <c r="K777">
        <v>10000000</v>
      </c>
    </row>
    <row r="778" spans="1:11" ht="12.75" customHeight="1" x14ac:dyDescent="0.2">
      <c r="A778" t="s">
        <v>1739</v>
      </c>
      <c r="B778" t="s">
        <v>8013</v>
      </c>
      <c r="C778">
        <v>2024</v>
      </c>
      <c r="D778">
        <v>2023</v>
      </c>
      <c r="E778" s="7">
        <v>45323</v>
      </c>
      <c r="F778" s="7">
        <v>45688</v>
      </c>
      <c r="G778" t="s">
        <v>135</v>
      </c>
      <c r="H778" t="s">
        <v>112</v>
      </c>
      <c r="I778" t="s">
        <v>104</v>
      </c>
      <c r="J778">
        <v>73360.800000000003</v>
      </c>
      <c r="K778">
        <v>10000000</v>
      </c>
    </row>
    <row r="779" spans="1:11" ht="12.75" customHeight="1" x14ac:dyDescent="0.2">
      <c r="A779" t="s">
        <v>1740</v>
      </c>
      <c r="B779" t="s">
        <v>249</v>
      </c>
      <c r="C779">
        <v>2024</v>
      </c>
      <c r="D779">
        <v>2023</v>
      </c>
      <c r="E779" s="7">
        <v>45323</v>
      </c>
      <c r="F779" s="7">
        <v>45688</v>
      </c>
      <c r="G779" t="s">
        <v>135</v>
      </c>
      <c r="H779" t="s">
        <v>103</v>
      </c>
      <c r="I779" t="s">
        <v>104</v>
      </c>
      <c r="J779">
        <v>5927.63</v>
      </c>
      <c r="K779">
        <v>1000000</v>
      </c>
    </row>
    <row r="780" spans="1:11" ht="12.75" customHeight="1" x14ac:dyDescent="0.2">
      <c r="A780" t="s">
        <v>1741</v>
      </c>
      <c r="B780" t="s">
        <v>6435</v>
      </c>
      <c r="C780">
        <v>2024</v>
      </c>
      <c r="D780">
        <v>2023</v>
      </c>
      <c r="E780" s="7">
        <v>45323</v>
      </c>
      <c r="F780" s="7">
        <v>45688</v>
      </c>
      <c r="G780" t="s">
        <v>135</v>
      </c>
      <c r="H780" t="s">
        <v>106</v>
      </c>
      <c r="I780" t="s">
        <v>101</v>
      </c>
      <c r="J780">
        <v>9542.98</v>
      </c>
      <c r="K780">
        <v>1000000</v>
      </c>
    </row>
    <row r="781" spans="1:11" ht="12.75" customHeight="1" x14ac:dyDescent="0.2">
      <c r="A781" t="s">
        <v>1742</v>
      </c>
      <c r="B781" t="s">
        <v>720</v>
      </c>
      <c r="C781">
        <v>2024</v>
      </c>
      <c r="D781">
        <v>2023</v>
      </c>
      <c r="E781" s="7">
        <v>45323</v>
      </c>
      <c r="F781" s="7">
        <v>45688</v>
      </c>
      <c r="G781" t="s">
        <v>135</v>
      </c>
      <c r="H781" t="s">
        <v>111</v>
      </c>
      <c r="I781" t="s">
        <v>101</v>
      </c>
      <c r="J781">
        <v>7771.79</v>
      </c>
      <c r="K781">
        <v>1000000</v>
      </c>
    </row>
    <row r="782" spans="1:11" ht="12.75" customHeight="1" x14ac:dyDescent="0.2">
      <c r="A782" t="s">
        <v>1743</v>
      </c>
      <c r="B782" t="s">
        <v>8014</v>
      </c>
      <c r="C782">
        <v>2024</v>
      </c>
      <c r="D782">
        <v>2023</v>
      </c>
      <c r="E782" s="7">
        <v>45323</v>
      </c>
      <c r="F782" s="7">
        <v>45688</v>
      </c>
      <c r="G782" t="s">
        <v>135</v>
      </c>
      <c r="H782" t="s">
        <v>116</v>
      </c>
      <c r="I782" t="s">
        <v>104</v>
      </c>
      <c r="J782">
        <v>5974.15</v>
      </c>
      <c r="K782">
        <v>1000000</v>
      </c>
    </row>
    <row r="783" spans="1:11" ht="12.75" customHeight="1" x14ac:dyDescent="0.2">
      <c r="A783" t="s">
        <v>1744</v>
      </c>
      <c r="B783" t="s">
        <v>8015</v>
      </c>
      <c r="C783">
        <v>2024</v>
      </c>
      <c r="D783">
        <v>2023</v>
      </c>
      <c r="E783" s="7">
        <v>45323</v>
      </c>
      <c r="F783" s="7">
        <v>45688</v>
      </c>
      <c r="G783" t="s">
        <v>135</v>
      </c>
      <c r="H783" t="s">
        <v>108</v>
      </c>
      <c r="I783" t="s">
        <v>104</v>
      </c>
      <c r="J783">
        <v>11166.87</v>
      </c>
      <c r="K783">
        <v>1500000</v>
      </c>
    </row>
    <row r="784" spans="1:11" ht="12.75" customHeight="1" x14ac:dyDescent="0.2">
      <c r="A784" t="s">
        <v>1745</v>
      </c>
      <c r="B784" t="s">
        <v>718</v>
      </c>
      <c r="C784">
        <v>2024</v>
      </c>
      <c r="D784">
        <v>2023</v>
      </c>
      <c r="E784" s="7">
        <v>45323</v>
      </c>
      <c r="F784" s="7">
        <v>45688</v>
      </c>
      <c r="G784" t="s">
        <v>135</v>
      </c>
      <c r="H784" t="s">
        <v>108</v>
      </c>
      <c r="I784" t="s">
        <v>104</v>
      </c>
      <c r="J784">
        <v>7433.58</v>
      </c>
      <c r="K784">
        <v>1000000</v>
      </c>
    </row>
    <row r="785" spans="1:11" ht="12.75" customHeight="1" x14ac:dyDescent="0.2">
      <c r="A785" t="s">
        <v>1746</v>
      </c>
      <c r="B785" t="s">
        <v>1485</v>
      </c>
      <c r="C785">
        <v>2024</v>
      </c>
      <c r="D785">
        <v>2023</v>
      </c>
      <c r="E785" s="7">
        <v>45324</v>
      </c>
      <c r="F785" s="7">
        <v>45689</v>
      </c>
      <c r="G785" t="s">
        <v>99</v>
      </c>
      <c r="H785" t="s">
        <v>102</v>
      </c>
      <c r="I785" t="s">
        <v>101</v>
      </c>
      <c r="J785">
        <v>11079.62</v>
      </c>
      <c r="K785">
        <v>1500000</v>
      </c>
    </row>
    <row r="786" spans="1:11" ht="12.75" customHeight="1" x14ac:dyDescent="0.2">
      <c r="A786" t="s">
        <v>1747</v>
      </c>
      <c r="B786" t="s">
        <v>1487</v>
      </c>
      <c r="C786">
        <v>2024</v>
      </c>
      <c r="D786">
        <v>2023</v>
      </c>
      <c r="E786" s="7">
        <v>45324</v>
      </c>
      <c r="F786" s="7">
        <v>45689</v>
      </c>
      <c r="G786" t="s">
        <v>99</v>
      </c>
      <c r="H786" t="s">
        <v>115</v>
      </c>
      <c r="I786" t="s">
        <v>101</v>
      </c>
      <c r="J786">
        <v>15109.53</v>
      </c>
      <c r="K786">
        <v>2000000</v>
      </c>
    </row>
    <row r="787" spans="1:11" ht="12.75" customHeight="1" x14ac:dyDescent="0.2">
      <c r="A787" t="s">
        <v>1748</v>
      </c>
      <c r="B787" t="s">
        <v>1489</v>
      </c>
      <c r="C787">
        <v>2024</v>
      </c>
      <c r="D787">
        <v>2023</v>
      </c>
      <c r="E787" s="7">
        <v>45324</v>
      </c>
      <c r="F787" s="7">
        <v>45689</v>
      </c>
      <c r="G787" t="s">
        <v>99</v>
      </c>
      <c r="H787" t="s">
        <v>106</v>
      </c>
      <c r="I787" t="s">
        <v>101</v>
      </c>
      <c r="J787">
        <v>9133.26</v>
      </c>
      <c r="K787">
        <v>1000000</v>
      </c>
    </row>
    <row r="788" spans="1:11" ht="12.75" customHeight="1" x14ac:dyDescent="0.2">
      <c r="A788" t="s">
        <v>1749</v>
      </c>
      <c r="B788" t="s">
        <v>6427</v>
      </c>
      <c r="C788">
        <v>2024</v>
      </c>
      <c r="D788">
        <v>2023</v>
      </c>
      <c r="E788" s="7">
        <v>45324</v>
      </c>
      <c r="F788" s="7">
        <v>45689</v>
      </c>
      <c r="G788" t="s">
        <v>135</v>
      </c>
      <c r="H788" t="s">
        <v>102</v>
      </c>
      <c r="I788" t="s">
        <v>101</v>
      </c>
      <c r="J788">
        <v>7012</v>
      </c>
      <c r="K788">
        <v>1000000</v>
      </c>
    </row>
    <row r="789" spans="1:11" ht="12.75" customHeight="1" x14ac:dyDescent="0.2">
      <c r="A789" t="s">
        <v>1750</v>
      </c>
      <c r="B789" t="s">
        <v>187</v>
      </c>
      <c r="C789">
        <v>2024</v>
      </c>
      <c r="D789">
        <v>2023</v>
      </c>
      <c r="E789" s="7">
        <v>45324</v>
      </c>
      <c r="F789" s="7">
        <v>45689</v>
      </c>
      <c r="G789" t="s">
        <v>135</v>
      </c>
      <c r="H789" t="s">
        <v>110</v>
      </c>
      <c r="I789" t="s">
        <v>104</v>
      </c>
      <c r="J789">
        <v>15046.11</v>
      </c>
      <c r="K789">
        <v>2000000</v>
      </c>
    </row>
    <row r="790" spans="1:11" ht="12.75" customHeight="1" x14ac:dyDescent="0.2">
      <c r="A790" t="s">
        <v>1751</v>
      </c>
      <c r="B790" t="s">
        <v>6436</v>
      </c>
      <c r="C790">
        <v>2024</v>
      </c>
      <c r="D790">
        <v>2023</v>
      </c>
      <c r="E790" s="7">
        <v>45324</v>
      </c>
      <c r="F790" s="7">
        <v>45689</v>
      </c>
      <c r="G790" t="s">
        <v>135</v>
      </c>
      <c r="H790" t="s">
        <v>103</v>
      </c>
      <c r="I790" t="s">
        <v>104</v>
      </c>
      <c r="J790">
        <v>7787.21</v>
      </c>
      <c r="K790">
        <v>1500000</v>
      </c>
    </row>
    <row r="791" spans="1:11" ht="12.75" customHeight="1" x14ac:dyDescent="0.2">
      <c r="A791" t="s">
        <v>1752</v>
      </c>
      <c r="B791" t="s">
        <v>6416</v>
      </c>
      <c r="C791">
        <v>2024</v>
      </c>
      <c r="D791">
        <v>2023</v>
      </c>
      <c r="E791" s="7">
        <v>45324</v>
      </c>
      <c r="F791" s="7">
        <v>45689</v>
      </c>
      <c r="G791" t="s">
        <v>135</v>
      </c>
      <c r="H791" t="s">
        <v>102</v>
      </c>
      <c r="I791" t="s">
        <v>101</v>
      </c>
      <c r="J791">
        <v>7665.37</v>
      </c>
      <c r="K791">
        <v>1000000</v>
      </c>
    </row>
    <row r="792" spans="1:11" ht="12.75" customHeight="1" x14ac:dyDescent="0.2">
      <c r="A792" t="s">
        <v>1753</v>
      </c>
      <c r="B792" t="s">
        <v>6437</v>
      </c>
      <c r="C792">
        <v>2024</v>
      </c>
      <c r="D792">
        <v>2023</v>
      </c>
      <c r="E792" s="7">
        <v>45324</v>
      </c>
      <c r="F792" s="7">
        <v>45689</v>
      </c>
      <c r="G792" t="s">
        <v>135</v>
      </c>
      <c r="H792" t="s">
        <v>106</v>
      </c>
      <c r="I792" t="s">
        <v>101</v>
      </c>
      <c r="J792">
        <v>14209.92</v>
      </c>
      <c r="K792">
        <v>1500000</v>
      </c>
    </row>
    <row r="793" spans="1:11" ht="12.75" customHeight="1" x14ac:dyDescent="0.2">
      <c r="A793" t="s">
        <v>1754</v>
      </c>
      <c r="B793" t="s">
        <v>8016</v>
      </c>
      <c r="C793">
        <v>2024</v>
      </c>
      <c r="D793">
        <v>2023</v>
      </c>
      <c r="E793" s="7">
        <v>45324</v>
      </c>
      <c r="F793" s="7">
        <v>45689</v>
      </c>
      <c r="G793" t="s">
        <v>135</v>
      </c>
      <c r="H793" t="s">
        <v>113</v>
      </c>
      <c r="I793" t="s">
        <v>101</v>
      </c>
      <c r="J793">
        <v>6488.22</v>
      </c>
      <c r="K793">
        <v>1000000</v>
      </c>
    </row>
    <row r="794" spans="1:11" ht="12.75" customHeight="1" x14ac:dyDescent="0.2">
      <c r="A794" t="s">
        <v>1755</v>
      </c>
      <c r="B794" t="s">
        <v>8017</v>
      </c>
      <c r="C794">
        <v>2024</v>
      </c>
      <c r="D794">
        <v>2023</v>
      </c>
      <c r="E794" s="7">
        <v>45324</v>
      </c>
      <c r="F794" s="7">
        <v>45689</v>
      </c>
      <c r="G794" t="s">
        <v>135</v>
      </c>
      <c r="H794" t="s">
        <v>6337</v>
      </c>
      <c r="I794" t="s">
        <v>104</v>
      </c>
      <c r="J794">
        <v>11931.38</v>
      </c>
      <c r="K794">
        <v>2000000</v>
      </c>
    </row>
    <row r="795" spans="1:11" ht="12.75" customHeight="1" x14ac:dyDescent="0.2">
      <c r="A795" t="s">
        <v>1756</v>
      </c>
      <c r="B795" t="s">
        <v>8018</v>
      </c>
      <c r="C795">
        <v>2024</v>
      </c>
      <c r="D795">
        <v>2023</v>
      </c>
      <c r="E795" s="7">
        <v>45324</v>
      </c>
      <c r="F795" s="7">
        <v>45689</v>
      </c>
      <c r="G795" t="s">
        <v>135</v>
      </c>
      <c r="H795" t="s">
        <v>105</v>
      </c>
      <c r="I795" t="s">
        <v>101</v>
      </c>
      <c r="J795">
        <v>13898.88</v>
      </c>
      <c r="K795">
        <v>2000000</v>
      </c>
    </row>
    <row r="796" spans="1:11" ht="12.75" customHeight="1" x14ac:dyDescent="0.2">
      <c r="A796" t="s">
        <v>1757</v>
      </c>
      <c r="B796" t="s">
        <v>721</v>
      </c>
      <c r="C796">
        <v>2024</v>
      </c>
      <c r="D796">
        <v>2023</v>
      </c>
      <c r="E796" s="7">
        <v>45324</v>
      </c>
      <c r="F796" s="7">
        <v>45689</v>
      </c>
      <c r="G796" t="s">
        <v>135</v>
      </c>
      <c r="H796" t="s">
        <v>105</v>
      </c>
      <c r="I796" t="s">
        <v>104</v>
      </c>
      <c r="J796">
        <v>5624.67</v>
      </c>
      <c r="K796">
        <v>1000000</v>
      </c>
    </row>
    <row r="797" spans="1:11" ht="12.75" customHeight="1" x14ac:dyDescent="0.2">
      <c r="A797" t="s">
        <v>1758</v>
      </c>
      <c r="B797" t="s">
        <v>6438</v>
      </c>
      <c r="C797">
        <v>2024</v>
      </c>
      <c r="D797">
        <v>2023</v>
      </c>
      <c r="E797" s="7">
        <v>45324</v>
      </c>
      <c r="F797" s="7">
        <v>45689</v>
      </c>
      <c r="G797" t="s">
        <v>135</v>
      </c>
      <c r="H797" t="s">
        <v>108</v>
      </c>
      <c r="I797" t="s">
        <v>101</v>
      </c>
      <c r="J797">
        <v>12634.27</v>
      </c>
      <c r="K797">
        <v>1500000</v>
      </c>
    </row>
    <row r="798" spans="1:11" ht="12.75" customHeight="1" x14ac:dyDescent="0.2">
      <c r="A798" t="s">
        <v>1759</v>
      </c>
      <c r="B798" t="s">
        <v>723</v>
      </c>
      <c r="C798">
        <v>2024</v>
      </c>
      <c r="D798">
        <v>2023</v>
      </c>
      <c r="E798" s="7">
        <v>45324</v>
      </c>
      <c r="F798" s="7">
        <v>45689</v>
      </c>
      <c r="G798" t="s">
        <v>135</v>
      </c>
      <c r="H798" t="s">
        <v>105</v>
      </c>
      <c r="I798" t="s">
        <v>101</v>
      </c>
      <c r="J798">
        <v>14253.19</v>
      </c>
      <c r="K798">
        <v>2000000</v>
      </c>
    </row>
    <row r="799" spans="1:11" ht="12.75" customHeight="1" x14ac:dyDescent="0.2">
      <c r="A799" t="s">
        <v>1761</v>
      </c>
      <c r="B799" t="s">
        <v>8019</v>
      </c>
      <c r="C799">
        <v>2024</v>
      </c>
      <c r="D799">
        <v>2023</v>
      </c>
      <c r="E799" s="7">
        <v>45324</v>
      </c>
      <c r="F799" s="7">
        <v>45689</v>
      </c>
      <c r="G799" t="s">
        <v>135</v>
      </c>
      <c r="H799" t="s">
        <v>115</v>
      </c>
      <c r="I799" t="s">
        <v>101</v>
      </c>
      <c r="J799">
        <v>14131.05</v>
      </c>
      <c r="K799">
        <v>2000000</v>
      </c>
    </row>
    <row r="800" spans="1:11" ht="12.75" customHeight="1" x14ac:dyDescent="0.2">
      <c r="A800" t="s">
        <v>1763</v>
      </c>
      <c r="B800" t="s">
        <v>8020</v>
      </c>
      <c r="C800">
        <v>2024</v>
      </c>
      <c r="D800">
        <v>2023</v>
      </c>
      <c r="E800" s="7">
        <v>45324</v>
      </c>
      <c r="F800" s="7">
        <v>45689</v>
      </c>
      <c r="G800" t="s">
        <v>135</v>
      </c>
      <c r="H800" t="s">
        <v>106</v>
      </c>
      <c r="I800" t="s">
        <v>101</v>
      </c>
      <c r="J800">
        <v>9049.2199999999993</v>
      </c>
      <c r="K800">
        <v>1000000</v>
      </c>
    </row>
    <row r="801" spans="1:11" ht="12.75" customHeight="1" x14ac:dyDescent="0.2">
      <c r="A801" t="s">
        <v>1765</v>
      </c>
      <c r="B801" t="s">
        <v>722</v>
      </c>
      <c r="C801">
        <v>2024</v>
      </c>
      <c r="D801">
        <v>2023</v>
      </c>
      <c r="E801" s="7">
        <v>45324</v>
      </c>
      <c r="F801" s="7">
        <v>45689</v>
      </c>
      <c r="G801" t="s">
        <v>135</v>
      </c>
      <c r="H801" t="s">
        <v>103</v>
      </c>
      <c r="I801" t="s">
        <v>104</v>
      </c>
      <c r="J801">
        <v>2606.5100000000002</v>
      </c>
      <c r="K801">
        <v>500000</v>
      </c>
    </row>
    <row r="802" spans="1:11" ht="12.75" customHeight="1" x14ac:dyDescent="0.2">
      <c r="A802" t="s">
        <v>1766</v>
      </c>
      <c r="B802" t="s">
        <v>6412</v>
      </c>
      <c r="C802">
        <v>2024</v>
      </c>
      <c r="D802">
        <v>2023</v>
      </c>
      <c r="E802" s="7">
        <v>45324</v>
      </c>
      <c r="F802" s="7">
        <v>45689</v>
      </c>
      <c r="G802" t="s">
        <v>135</v>
      </c>
      <c r="H802" t="s">
        <v>102</v>
      </c>
      <c r="I802" t="s">
        <v>101</v>
      </c>
      <c r="J802">
        <v>15175.23</v>
      </c>
      <c r="K802">
        <v>2000000</v>
      </c>
    </row>
    <row r="803" spans="1:11" ht="12.75" customHeight="1" x14ac:dyDescent="0.2">
      <c r="A803" t="s">
        <v>1767</v>
      </c>
      <c r="B803" t="s">
        <v>724</v>
      </c>
      <c r="C803">
        <v>2024</v>
      </c>
      <c r="D803">
        <v>2023</v>
      </c>
      <c r="E803" s="7">
        <v>45324</v>
      </c>
      <c r="F803" s="7">
        <v>45689</v>
      </c>
      <c r="G803" t="s">
        <v>135</v>
      </c>
      <c r="H803" t="s">
        <v>106</v>
      </c>
      <c r="I803" t="s">
        <v>101</v>
      </c>
      <c r="J803">
        <v>14670.98</v>
      </c>
      <c r="K803">
        <v>1500000</v>
      </c>
    </row>
    <row r="804" spans="1:11" ht="12.75" customHeight="1" x14ac:dyDescent="0.2">
      <c r="A804" t="s">
        <v>1768</v>
      </c>
      <c r="B804" t="s">
        <v>1491</v>
      </c>
      <c r="C804">
        <v>2024</v>
      </c>
      <c r="D804">
        <v>2023</v>
      </c>
      <c r="E804" s="7">
        <v>45325</v>
      </c>
      <c r="F804" s="7">
        <v>45690</v>
      </c>
      <c r="G804" t="s">
        <v>99</v>
      </c>
      <c r="H804" t="s">
        <v>106</v>
      </c>
      <c r="I804" t="s">
        <v>101</v>
      </c>
      <c r="J804">
        <v>8858.6</v>
      </c>
      <c r="K804">
        <v>1000000</v>
      </c>
    </row>
    <row r="805" spans="1:11" ht="12.75" customHeight="1" x14ac:dyDescent="0.2">
      <c r="A805" t="s">
        <v>1769</v>
      </c>
      <c r="B805" t="s">
        <v>1503</v>
      </c>
      <c r="C805">
        <v>2024</v>
      </c>
      <c r="D805">
        <v>2023</v>
      </c>
      <c r="E805" s="7">
        <v>45325</v>
      </c>
      <c r="F805" s="7">
        <v>45690</v>
      </c>
      <c r="G805" t="s">
        <v>99</v>
      </c>
      <c r="H805" t="s">
        <v>108</v>
      </c>
      <c r="I805" t="s">
        <v>101</v>
      </c>
      <c r="J805">
        <v>86727.12</v>
      </c>
      <c r="K805">
        <v>10000000</v>
      </c>
    </row>
    <row r="806" spans="1:11" ht="12.75" customHeight="1" x14ac:dyDescent="0.2">
      <c r="A806" t="s">
        <v>1770</v>
      </c>
      <c r="B806" t="s">
        <v>1505</v>
      </c>
      <c r="C806">
        <v>2024</v>
      </c>
      <c r="D806">
        <v>2023</v>
      </c>
      <c r="E806" s="7">
        <v>45325</v>
      </c>
      <c r="F806" s="7">
        <v>45690</v>
      </c>
      <c r="G806" t="s">
        <v>99</v>
      </c>
      <c r="H806" t="s">
        <v>109</v>
      </c>
      <c r="I806" t="s">
        <v>101</v>
      </c>
      <c r="J806">
        <v>7718.4</v>
      </c>
      <c r="K806">
        <v>1000000</v>
      </c>
    </row>
    <row r="807" spans="1:11" ht="12.75" customHeight="1" x14ac:dyDescent="0.2">
      <c r="A807" t="s">
        <v>1771</v>
      </c>
      <c r="B807" t="s">
        <v>1514</v>
      </c>
      <c r="C807">
        <v>2024</v>
      </c>
      <c r="D807">
        <v>2023</v>
      </c>
      <c r="E807" s="7">
        <v>45325</v>
      </c>
      <c r="F807" s="7">
        <v>45690</v>
      </c>
      <c r="G807" t="s">
        <v>99</v>
      </c>
      <c r="H807" t="s">
        <v>102</v>
      </c>
      <c r="I807" t="s">
        <v>104</v>
      </c>
      <c r="J807">
        <v>8052.04</v>
      </c>
      <c r="K807">
        <v>1500000</v>
      </c>
    </row>
    <row r="808" spans="1:11" ht="12.75" customHeight="1" x14ac:dyDescent="0.2">
      <c r="A808" t="s">
        <v>1772</v>
      </c>
      <c r="B808" t="s">
        <v>8021</v>
      </c>
      <c r="C808">
        <v>2024</v>
      </c>
      <c r="D808">
        <v>2023</v>
      </c>
      <c r="E808" s="7">
        <v>45325</v>
      </c>
      <c r="F808" s="7">
        <v>45690</v>
      </c>
      <c r="G808" t="s">
        <v>135</v>
      </c>
      <c r="H808" t="s">
        <v>108</v>
      </c>
      <c r="I808" t="s">
        <v>104</v>
      </c>
      <c r="J808">
        <v>14519.49</v>
      </c>
      <c r="K808">
        <v>2000000</v>
      </c>
    </row>
    <row r="809" spans="1:11" ht="12.75" customHeight="1" x14ac:dyDescent="0.2">
      <c r="A809" t="s">
        <v>1773</v>
      </c>
      <c r="B809" t="s">
        <v>6439</v>
      </c>
      <c r="C809">
        <v>2024</v>
      </c>
      <c r="D809">
        <v>2023</v>
      </c>
      <c r="E809" s="7">
        <v>45325</v>
      </c>
      <c r="F809" s="7">
        <v>45690</v>
      </c>
      <c r="G809" t="s">
        <v>135</v>
      </c>
      <c r="H809" t="s">
        <v>107</v>
      </c>
      <c r="I809" t="s">
        <v>104</v>
      </c>
      <c r="J809">
        <v>10601.31</v>
      </c>
      <c r="K809">
        <v>2000000</v>
      </c>
    </row>
    <row r="810" spans="1:11" ht="12.75" customHeight="1" x14ac:dyDescent="0.2">
      <c r="A810" t="s">
        <v>1774</v>
      </c>
      <c r="B810" t="s">
        <v>8022</v>
      </c>
      <c r="C810">
        <v>2024</v>
      </c>
      <c r="D810">
        <v>2023</v>
      </c>
      <c r="E810" s="7">
        <v>45325</v>
      </c>
      <c r="F810" s="7">
        <v>45690</v>
      </c>
      <c r="G810" t="s">
        <v>135</v>
      </c>
      <c r="H810" t="s">
        <v>102</v>
      </c>
      <c r="I810" t="s">
        <v>101</v>
      </c>
      <c r="J810">
        <v>7304.39</v>
      </c>
      <c r="K810">
        <v>1000000</v>
      </c>
    </row>
    <row r="811" spans="1:11" ht="12.75" customHeight="1" x14ac:dyDescent="0.2">
      <c r="A811" t="s">
        <v>1776</v>
      </c>
      <c r="B811" t="s">
        <v>8023</v>
      </c>
      <c r="C811">
        <v>2024</v>
      </c>
      <c r="D811">
        <v>2023</v>
      </c>
      <c r="E811" s="7">
        <v>45325</v>
      </c>
      <c r="F811" s="7">
        <v>45690</v>
      </c>
      <c r="G811" t="s">
        <v>135</v>
      </c>
      <c r="H811" t="s">
        <v>109</v>
      </c>
      <c r="I811" t="s">
        <v>101</v>
      </c>
      <c r="J811">
        <v>39209.86</v>
      </c>
      <c r="K811">
        <v>5000000</v>
      </c>
    </row>
    <row r="812" spans="1:11" ht="12.75" customHeight="1" x14ac:dyDescent="0.2">
      <c r="A812" t="s">
        <v>1778</v>
      </c>
      <c r="B812" t="s">
        <v>453</v>
      </c>
      <c r="C812">
        <v>2024</v>
      </c>
      <c r="D812">
        <v>2023</v>
      </c>
      <c r="E812" s="7">
        <v>45325</v>
      </c>
      <c r="F812" s="7">
        <v>45690</v>
      </c>
      <c r="G812" t="s">
        <v>135</v>
      </c>
      <c r="H812" t="s">
        <v>106</v>
      </c>
      <c r="I812" t="s">
        <v>104</v>
      </c>
      <c r="J812">
        <v>7612.2</v>
      </c>
      <c r="K812">
        <v>1000000</v>
      </c>
    </row>
    <row r="813" spans="1:11" ht="12.75" customHeight="1" x14ac:dyDescent="0.2">
      <c r="A813" t="s">
        <v>1780</v>
      </c>
      <c r="B813" t="s">
        <v>725</v>
      </c>
      <c r="C813">
        <v>2024</v>
      </c>
      <c r="D813">
        <v>2023</v>
      </c>
      <c r="E813" s="7">
        <v>45325</v>
      </c>
      <c r="F813" s="7">
        <v>45690</v>
      </c>
      <c r="G813" t="s">
        <v>135</v>
      </c>
      <c r="H813" t="s">
        <v>107</v>
      </c>
      <c r="I813" t="s">
        <v>104</v>
      </c>
      <c r="J813">
        <v>12183.47</v>
      </c>
      <c r="K813">
        <v>2000000</v>
      </c>
    </row>
    <row r="814" spans="1:11" ht="12.75" customHeight="1" x14ac:dyDescent="0.2">
      <c r="A814" t="s">
        <v>1782</v>
      </c>
      <c r="B814" t="s">
        <v>6408</v>
      </c>
      <c r="C814">
        <v>2024</v>
      </c>
      <c r="D814">
        <v>2023</v>
      </c>
      <c r="E814" s="7">
        <v>45325</v>
      </c>
      <c r="F814" s="7">
        <v>45690</v>
      </c>
      <c r="G814" t="s">
        <v>135</v>
      </c>
      <c r="H814" t="s">
        <v>102</v>
      </c>
      <c r="I814" t="s">
        <v>104</v>
      </c>
      <c r="J814">
        <v>5305.98</v>
      </c>
      <c r="K814">
        <v>1000000</v>
      </c>
    </row>
    <row r="815" spans="1:11" ht="12.75" customHeight="1" x14ac:dyDescent="0.2">
      <c r="A815" t="s">
        <v>1784</v>
      </c>
      <c r="B815" t="s">
        <v>726</v>
      </c>
      <c r="C815">
        <v>2024</v>
      </c>
      <c r="D815">
        <v>2023</v>
      </c>
      <c r="E815" s="7">
        <v>45325</v>
      </c>
      <c r="F815" s="7">
        <v>45690</v>
      </c>
      <c r="G815" t="s">
        <v>135</v>
      </c>
      <c r="H815" t="s">
        <v>113</v>
      </c>
      <c r="I815" t="s">
        <v>101</v>
      </c>
      <c r="J815">
        <v>7046.63</v>
      </c>
      <c r="K815">
        <v>1000000</v>
      </c>
    </row>
    <row r="816" spans="1:11" ht="12.75" customHeight="1" x14ac:dyDescent="0.2">
      <c r="A816" t="s">
        <v>1785</v>
      </c>
      <c r="B816" t="s">
        <v>6441</v>
      </c>
      <c r="C816">
        <v>2024</v>
      </c>
      <c r="D816">
        <v>2023</v>
      </c>
      <c r="E816" s="7">
        <v>45325</v>
      </c>
      <c r="F816" s="7">
        <v>45690</v>
      </c>
      <c r="G816" t="s">
        <v>135</v>
      </c>
      <c r="H816" t="s">
        <v>106</v>
      </c>
      <c r="I816" t="s">
        <v>104</v>
      </c>
      <c r="J816">
        <v>7377.48</v>
      </c>
      <c r="K816">
        <v>1000000</v>
      </c>
    </row>
    <row r="817" spans="1:11" ht="12.75" customHeight="1" x14ac:dyDescent="0.2">
      <c r="A817" t="s">
        <v>1786</v>
      </c>
      <c r="B817" t="s">
        <v>1516</v>
      </c>
      <c r="C817">
        <v>2024</v>
      </c>
      <c r="D817">
        <v>2023</v>
      </c>
      <c r="E817" s="7">
        <v>45326</v>
      </c>
      <c r="F817" s="7">
        <v>45691</v>
      </c>
      <c r="G817" t="s">
        <v>99</v>
      </c>
      <c r="H817" t="s">
        <v>108</v>
      </c>
      <c r="I817" t="s">
        <v>104</v>
      </c>
      <c r="J817">
        <v>10631</v>
      </c>
      <c r="K817">
        <v>1500000</v>
      </c>
    </row>
    <row r="818" spans="1:11" ht="12.75" customHeight="1" x14ac:dyDescent="0.2">
      <c r="A818" t="s">
        <v>1787</v>
      </c>
      <c r="B818" t="s">
        <v>1518</v>
      </c>
      <c r="C818">
        <v>2024</v>
      </c>
      <c r="D818">
        <v>2023</v>
      </c>
      <c r="E818" s="7">
        <v>45326</v>
      </c>
      <c r="F818" s="7">
        <v>45691</v>
      </c>
      <c r="G818" t="s">
        <v>99</v>
      </c>
      <c r="H818" t="s">
        <v>102</v>
      </c>
      <c r="I818" t="s">
        <v>101</v>
      </c>
      <c r="J818">
        <v>7672.49</v>
      </c>
      <c r="K818">
        <v>1000000</v>
      </c>
    </row>
    <row r="819" spans="1:11" ht="12.75" customHeight="1" x14ac:dyDescent="0.2">
      <c r="A819" t="s">
        <v>1788</v>
      </c>
      <c r="B819" t="s">
        <v>1526</v>
      </c>
      <c r="C819">
        <v>2024</v>
      </c>
      <c r="D819">
        <v>2023</v>
      </c>
      <c r="E819" s="7">
        <v>45326</v>
      </c>
      <c r="F819" s="7">
        <v>45691</v>
      </c>
      <c r="G819" t="s">
        <v>99</v>
      </c>
      <c r="H819" t="s">
        <v>108</v>
      </c>
      <c r="I819" t="s">
        <v>101</v>
      </c>
      <c r="J819">
        <v>17114.45</v>
      </c>
      <c r="K819">
        <v>2000000</v>
      </c>
    </row>
    <row r="820" spans="1:11" ht="12.75" customHeight="1" x14ac:dyDescent="0.2">
      <c r="A820" t="s">
        <v>1789</v>
      </c>
      <c r="B820" t="s">
        <v>6421</v>
      </c>
      <c r="C820">
        <v>2024</v>
      </c>
      <c r="D820">
        <v>2023</v>
      </c>
      <c r="E820" s="7">
        <v>45326</v>
      </c>
      <c r="F820" s="7">
        <v>45691</v>
      </c>
      <c r="G820" t="s">
        <v>135</v>
      </c>
      <c r="H820" t="s">
        <v>106</v>
      </c>
      <c r="I820" t="s">
        <v>101</v>
      </c>
      <c r="J820">
        <v>16473.66</v>
      </c>
      <c r="K820">
        <v>2000000</v>
      </c>
    </row>
    <row r="821" spans="1:11" ht="12.75" customHeight="1" x14ac:dyDescent="0.2">
      <c r="A821" t="s">
        <v>1790</v>
      </c>
      <c r="B821" t="s">
        <v>8024</v>
      </c>
      <c r="C821">
        <v>2024</v>
      </c>
      <c r="D821">
        <v>2023</v>
      </c>
      <c r="E821" s="7">
        <v>45326</v>
      </c>
      <c r="F821" s="7">
        <v>45691</v>
      </c>
      <c r="G821" t="s">
        <v>135</v>
      </c>
      <c r="H821" t="s">
        <v>6337</v>
      </c>
      <c r="I821" t="s">
        <v>104</v>
      </c>
      <c r="J821">
        <v>54433.63</v>
      </c>
      <c r="K821">
        <v>10000000</v>
      </c>
    </row>
    <row r="822" spans="1:11" ht="12.75" customHeight="1" x14ac:dyDescent="0.2">
      <c r="A822" t="s">
        <v>1791</v>
      </c>
      <c r="B822" t="s">
        <v>8025</v>
      </c>
      <c r="C822">
        <v>2024</v>
      </c>
      <c r="D822">
        <v>2023</v>
      </c>
      <c r="E822" s="7">
        <v>45326</v>
      </c>
      <c r="F822" s="7">
        <v>45691</v>
      </c>
      <c r="G822" t="s">
        <v>135</v>
      </c>
      <c r="H822" t="s">
        <v>111</v>
      </c>
      <c r="I822" t="s">
        <v>104</v>
      </c>
      <c r="J822">
        <v>2782.24</v>
      </c>
      <c r="K822">
        <v>500000</v>
      </c>
    </row>
    <row r="823" spans="1:11" ht="12.75" customHeight="1" x14ac:dyDescent="0.2">
      <c r="A823" t="s">
        <v>1793</v>
      </c>
      <c r="B823" t="s">
        <v>8026</v>
      </c>
      <c r="C823">
        <v>2024</v>
      </c>
      <c r="D823">
        <v>2023</v>
      </c>
      <c r="E823" s="7">
        <v>45326</v>
      </c>
      <c r="F823" s="7">
        <v>45691</v>
      </c>
      <c r="G823" t="s">
        <v>135</v>
      </c>
      <c r="H823" t="s">
        <v>106</v>
      </c>
      <c r="I823" t="s">
        <v>104</v>
      </c>
      <c r="J823">
        <v>11060.51</v>
      </c>
      <c r="K823">
        <v>1500000</v>
      </c>
    </row>
    <row r="824" spans="1:11" ht="12.75" customHeight="1" x14ac:dyDescent="0.2">
      <c r="A824" t="s">
        <v>1795</v>
      </c>
      <c r="B824" t="s">
        <v>250</v>
      </c>
      <c r="C824">
        <v>2024</v>
      </c>
      <c r="D824">
        <v>2023</v>
      </c>
      <c r="E824" s="7">
        <v>45326</v>
      </c>
      <c r="F824" s="7">
        <v>45691</v>
      </c>
      <c r="G824" t="s">
        <v>135</v>
      </c>
      <c r="H824" t="s">
        <v>102</v>
      </c>
      <c r="I824" t="s">
        <v>104</v>
      </c>
      <c r="J824">
        <v>6223.93</v>
      </c>
      <c r="K824">
        <v>1000000</v>
      </c>
    </row>
    <row r="825" spans="1:11" ht="12.75" customHeight="1" x14ac:dyDescent="0.2">
      <c r="A825" t="s">
        <v>1797</v>
      </c>
      <c r="B825" t="s">
        <v>7284</v>
      </c>
      <c r="C825">
        <v>2024</v>
      </c>
      <c r="D825">
        <v>2023</v>
      </c>
      <c r="E825" s="7">
        <v>45326</v>
      </c>
      <c r="F825" s="7">
        <v>45691</v>
      </c>
      <c r="G825" t="s">
        <v>135</v>
      </c>
      <c r="H825" t="s">
        <v>102</v>
      </c>
      <c r="I825" t="s">
        <v>101</v>
      </c>
      <c r="J825">
        <v>13433.77</v>
      </c>
      <c r="K825">
        <v>2000000</v>
      </c>
    </row>
    <row r="826" spans="1:11" ht="12.75" customHeight="1" x14ac:dyDescent="0.2">
      <c r="A826" t="s">
        <v>1799</v>
      </c>
      <c r="B826" t="s">
        <v>251</v>
      </c>
      <c r="C826">
        <v>2024</v>
      </c>
      <c r="D826">
        <v>2023</v>
      </c>
      <c r="E826" s="7">
        <v>45326</v>
      </c>
      <c r="F826" s="7">
        <v>45691</v>
      </c>
      <c r="G826" t="s">
        <v>135</v>
      </c>
      <c r="H826" t="s">
        <v>115</v>
      </c>
      <c r="I826" t="s">
        <v>101</v>
      </c>
      <c r="J826">
        <v>7481.09</v>
      </c>
      <c r="K826">
        <v>1000000</v>
      </c>
    </row>
    <row r="827" spans="1:11" ht="12.75" customHeight="1" x14ac:dyDescent="0.2">
      <c r="A827" t="s">
        <v>1801</v>
      </c>
      <c r="B827" t="s">
        <v>6414</v>
      </c>
      <c r="C827">
        <v>2024</v>
      </c>
      <c r="D827">
        <v>2023</v>
      </c>
      <c r="E827" s="7">
        <v>45326</v>
      </c>
      <c r="F827" s="7">
        <v>45691</v>
      </c>
      <c r="G827" t="s">
        <v>135</v>
      </c>
      <c r="H827" t="s">
        <v>107</v>
      </c>
      <c r="I827" t="s">
        <v>104</v>
      </c>
      <c r="J827">
        <v>5640.56</v>
      </c>
      <c r="K827">
        <v>1000000</v>
      </c>
    </row>
    <row r="828" spans="1:11" ht="12.75" customHeight="1" x14ac:dyDescent="0.2">
      <c r="A828" t="s">
        <v>1803</v>
      </c>
      <c r="B828" t="s">
        <v>8027</v>
      </c>
      <c r="C828">
        <v>2024</v>
      </c>
      <c r="D828">
        <v>2023</v>
      </c>
      <c r="E828" s="7">
        <v>45326</v>
      </c>
      <c r="F828" s="7">
        <v>45691</v>
      </c>
      <c r="G828" t="s">
        <v>135</v>
      </c>
      <c r="H828" t="s">
        <v>106</v>
      </c>
      <c r="I828" t="s">
        <v>101</v>
      </c>
      <c r="J828">
        <v>8926.57</v>
      </c>
      <c r="K828">
        <v>1000000</v>
      </c>
    </row>
    <row r="829" spans="1:11" ht="12.75" customHeight="1" x14ac:dyDescent="0.2">
      <c r="A829" t="s">
        <v>1804</v>
      </c>
      <c r="B829" t="s">
        <v>8028</v>
      </c>
      <c r="C829">
        <v>2024</v>
      </c>
      <c r="D829">
        <v>2023</v>
      </c>
      <c r="E829" s="7">
        <v>45326</v>
      </c>
      <c r="F829" s="7">
        <v>45691</v>
      </c>
      <c r="G829" t="s">
        <v>135</v>
      </c>
      <c r="H829" t="s">
        <v>105</v>
      </c>
      <c r="I829" t="s">
        <v>101</v>
      </c>
      <c r="J829">
        <v>34741.839999999997</v>
      </c>
      <c r="K829">
        <v>5000000</v>
      </c>
    </row>
    <row r="830" spans="1:11" ht="12.75" customHeight="1" x14ac:dyDescent="0.2">
      <c r="A830" t="s">
        <v>1805</v>
      </c>
      <c r="B830" t="s">
        <v>8029</v>
      </c>
      <c r="C830">
        <v>2024</v>
      </c>
      <c r="D830">
        <v>2023</v>
      </c>
      <c r="E830" s="7">
        <v>45326</v>
      </c>
      <c r="F830" s="7">
        <v>45691</v>
      </c>
      <c r="G830" t="s">
        <v>135</v>
      </c>
      <c r="H830" t="s">
        <v>105</v>
      </c>
      <c r="I830" t="s">
        <v>104</v>
      </c>
      <c r="J830">
        <v>12087.75</v>
      </c>
      <c r="K830">
        <v>2000000</v>
      </c>
    </row>
    <row r="831" spans="1:11" ht="12.75" customHeight="1" x14ac:dyDescent="0.2">
      <c r="A831" t="s">
        <v>1806</v>
      </c>
      <c r="B831" t="s">
        <v>1528</v>
      </c>
      <c r="C831">
        <v>2024</v>
      </c>
      <c r="D831">
        <v>2023</v>
      </c>
      <c r="E831" s="7">
        <v>45327</v>
      </c>
      <c r="F831" s="7">
        <v>45692</v>
      </c>
      <c r="G831" t="s">
        <v>99</v>
      </c>
      <c r="H831" t="s">
        <v>108</v>
      </c>
      <c r="I831" t="s">
        <v>101</v>
      </c>
      <c r="J831">
        <v>8676.9699999999993</v>
      </c>
      <c r="K831">
        <v>1000000</v>
      </c>
    </row>
    <row r="832" spans="1:11" ht="12.75" customHeight="1" x14ac:dyDescent="0.2">
      <c r="A832" t="s">
        <v>1807</v>
      </c>
      <c r="B832" t="s">
        <v>1530</v>
      </c>
      <c r="C832">
        <v>2024</v>
      </c>
      <c r="D832">
        <v>2023</v>
      </c>
      <c r="E832" s="7">
        <v>45327</v>
      </c>
      <c r="F832" s="7">
        <v>45692</v>
      </c>
      <c r="G832" t="s">
        <v>99</v>
      </c>
      <c r="H832" t="s">
        <v>102</v>
      </c>
      <c r="I832" t="s">
        <v>104</v>
      </c>
      <c r="J832">
        <v>9283.66</v>
      </c>
      <c r="K832">
        <v>1500000</v>
      </c>
    </row>
    <row r="833" spans="1:11" ht="12.75" customHeight="1" x14ac:dyDescent="0.2">
      <c r="A833" t="s">
        <v>1808</v>
      </c>
      <c r="B833" t="s">
        <v>1532</v>
      </c>
      <c r="C833">
        <v>2024</v>
      </c>
      <c r="D833">
        <v>2023</v>
      </c>
      <c r="E833" s="7">
        <v>45327</v>
      </c>
      <c r="F833" s="7">
        <v>45692</v>
      </c>
      <c r="G833" t="s">
        <v>99</v>
      </c>
      <c r="H833" t="s">
        <v>102</v>
      </c>
      <c r="I833" t="s">
        <v>104</v>
      </c>
      <c r="J833">
        <v>5640.89</v>
      </c>
      <c r="K833">
        <v>1000000</v>
      </c>
    </row>
    <row r="834" spans="1:11" ht="12.75" customHeight="1" x14ac:dyDescent="0.2">
      <c r="A834" t="s">
        <v>1809</v>
      </c>
      <c r="B834" t="s">
        <v>1543</v>
      </c>
      <c r="C834">
        <v>2024</v>
      </c>
      <c r="D834">
        <v>2023</v>
      </c>
      <c r="E834" s="7">
        <v>45327</v>
      </c>
      <c r="F834" s="7">
        <v>45692</v>
      </c>
      <c r="G834" t="s">
        <v>99</v>
      </c>
      <c r="H834" t="s">
        <v>111</v>
      </c>
      <c r="I834" t="s">
        <v>104</v>
      </c>
      <c r="J834">
        <v>8321.82</v>
      </c>
      <c r="K834">
        <v>1500000</v>
      </c>
    </row>
    <row r="835" spans="1:11" ht="12.75" customHeight="1" x14ac:dyDescent="0.2">
      <c r="A835" t="s">
        <v>1810</v>
      </c>
      <c r="B835" t="s">
        <v>1545</v>
      </c>
      <c r="C835">
        <v>2024</v>
      </c>
      <c r="D835">
        <v>2023</v>
      </c>
      <c r="E835" s="7">
        <v>45327</v>
      </c>
      <c r="F835" s="7">
        <v>45692</v>
      </c>
      <c r="G835" t="s">
        <v>99</v>
      </c>
      <c r="H835" t="s">
        <v>107</v>
      </c>
      <c r="I835" t="s">
        <v>101</v>
      </c>
      <c r="J835">
        <v>9692.02</v>
      </c>
      <c r="K835">
        <v>1500000</v>
      </c>
    </row>
    <row r="836" spans="1:11" ht="12.75" customHeight="1" x14ac:dyDescent="0.2">
      <c r="A836" t="s">
        <v>1811</v>
      </c>
      <c r="B836" t="s">
        <v>8030</v>
      </c>
      <c r="C836">
        <v>2024</v>
      </c>
      <c r="D836">
        <v>2023</v>
      </c>
      <c r="E836" s="7">
        <v>45327</v>
      </c>
      <c r="F836" s="7">
        <v>45692</v>
      </c>
      <c r="G836" t="s">
        <v>135</v>
      </c>
      <c r="H836" t="s">
        <v>114</v>
      </c>
      <c r="I836" t="s">
        <v>101</v>
      </c>
      <c r="J836">
        <v>15373.63</v>
      </c>
      <c r="K836">
        <v>2000000</v>
      </c>
    </row>
    <row r="837" spans="1:11" ht="12.75" customHeight="1" x14ac:dyDescent="0.2">
      <c r="A837" t="s">
        <v>1812</v>
      </c>
      <c r="B837" t="s">
        <v>7265</v>
      </c>
      <c r="C837">
        <v>2024</v>
      </c>
      <c r="D837">
        <v>2023</v>
      </c>
      <c r="E837" s="7">
        <v>45327</v>
      </c>
      <c r="F837" s="7">
        <v>45692</v>
      </c>
      <c r="G837" t="s">
        <v>135</v>
      </c>
      <c r="H837" t="s">
        <v>107</v>
      </c>
      <c r="I837" t="s">
        <v>101</v>
      </c>
      <c r="J837">
        <v>6480.43</v>
      </c>
      <c r="K837">
        <v>1000000</v>
      </c>
    </row>
    <row r="838" spans="1:11" ht="12.75" customHeight="1" x14ac:dyDescent="0.2">
      <c r="A838" t="s">
        <v>1813</v>
      </c>
      <c r="B838" t="s">
        <v>6443</v>
      </c>
      <c r="C838">
        <v>2024</v>
      </c>
      <c r="D838">
        <v>2023</v>
      </c>
      <c r="E838" s="7">
        <v>45327</v>
      </c>
      <c r="F838" s="7">
        <v>45692</v>
      </c>
      <c r="G838" t="s">
        <v>135</v>
      </c>
      <c r="H838" t="s">
        <v>105</v>
      </c>
      <c r="I838" t="s">
        <v>104</v>
      </c>
      <c r="J838">
        <v>5543.33</v>
      </c>
      <c r="K838">
        <v>1000000</v>
      </c>
    </row>
    <row r="839" spans="1:11" ht="12.75" customHeight="1" x14ac:dyDescent="0.2">
      <c r="A839" t="s">
        <v>1814</v>
      </c>
      <c r="B839" t="s">
        <v>728</v>
      </c>
      <c r="C839">
        <v>2024</v>
      </c>
      <c r="D839">
        <v>2023</v>
      </c>
      <c r="E839" s="7">
        <v>45327</v>
      </c>
      <c r="F839" s="7">
        <v>45692</v>
      </c>
      <c r="G839" t="s">
        <v>135</v>
      </c>
      <c r="H839" t="s">
        <v>6334</v>
      </c>
      <c r="I839" t="s">
        <v>104</v>
      </c>
      <c r="J839">
        <v>26425.13</v>
      </c>
      <c r="K839">
        <v>5000000</v>
      </c>
    </row>
    <row r="840" spans="1:11" ht="12.75" customHeight="1" x14ac:dyDescent="0.2">
      <c r="A840" t="s">
        <v>1815</v>
      </c>
      <c r="B840" t="s">
        <v>727</v>
      </c>
      <c r="C840">
        <v>2024</v>
      </c>
      <c r="D840">
        <v>2023</v>
      </c>
      <c r="E840" s="7">
        <v>45327</v>
      </c>
      <c r="F840" s="7">
        <v>45692</v>
      </c>
      <c r="G840" t="s">
        <v>135</v>
      </c>
      <c r="H840" t="s">
        <v>106</v>
      </c>
      <c r="I840" t="s">
        <v>104</v>
      </c>
      <c r="J840">
        <v>7537.28</v>
      </c>
      <c r="K840">
        <v>1000000</v>
      </c>
    </row>
    <row r="841" spans="1:11" ht="12.75" customHeight="1" x14ac:dyDescent="0.2">
      <c r="A841" t="s">
        <v>1817</v>
      </c>
      <c r="B841" t="s">
        <v>139</v>
      </c>
      <c r="C841">
        <v>2024</v>
      </c>
      <c r="D841">
        <v>2023</v>
      </c>
      <c r="E841" s="7">
        <v>45327</v>
      </c>
      <c r="F841" s="7">
        <v>45692</v>
      </c>
      <c r="G841" t="s">
        <v>135</v>
      </c>
      <c r="H841" t="s">
        <v>105</v>
      </c>
      <c r="I841" t="s">
        <v>104</v>
      </c>
      <c r="J841">
        <v>54856.76</v>
      </c>
      <c r="K841">
        <v>10000000</v>
      </c>
    </row>
    <row r="842" spans="1:11" ht="12.75" customHeight="1" x14ac:dyDescent="0.2">
      <c r="A842" t="s">
        <v>1819</v>
      </c>
      <c r="B842" t="s">
        <v>1547</v>
      </c>
      <c r="C842">
        <v>2024</v>
      </c>
      <c r="D842">
        <v>2023</v>
      </c>
      <c r="E842" s="7">
        <v>45328</v>
      </c>
      <c r="F842" s="7">
        <v>45693</v>
      </c>
      <c r="G842" t="s">
        <v>99</v>
      </c>
      <c r="H842" t="s">
        <v>106</v>
      </c>
      <c r="I842" t="s">
        <v>104</v>
      </c>
      <c r="J842">
        <v>6524.88</v>
      </c>
      <c r="K842">
        <v>1000000</v>
      </c>
    </row>
    <row r="843" spans="1:11" ht="12.75" customHeight="1" x14ac:dyDescent="0.2">
      <c r="A843" t="s">
        <v>1820</v>
      </c>
      <c r="B843" t="s">
        <v>252</v>
      </c>
      <c r="C843">
        <v>2024</v>
      </c>
      <c r="D843">
        <v>2023</v>
      </c>
      <c r="E843" s="7">
        <v>45328</v>
      </c>
      <c r="F843" s="7">
        <v>45693</v>
      </c>
      <c r="G843" t="s">
        <v>135</v>
      </c>
      <c r="H843" t="s">
        <v>105</v>
      </c>
      <c r="I843" t="s">
        <v>101</v>
      </c>
      <c r="J843">
        <v>3903.33</v>
      </c>
      <c r="K843">
        <v>500000</v>
      </c>
    </row>
    <row r="844" spans="1:11" ht="12.75" customHeight="1" x14ac:dyDescent="0.2">
      <c r="A844" t="s">
        <v>1821</v>
      </c>
      <c r="B844" t="s">
        <v>8031</v>
      </c>
      <c r="C844">
        <v>2024</v>
      </c>
      <c r="D844">
        <v>2023</v>
      </c>
      <c r="E844" s="7">
        <v>45328</v>
      </c>
      <c r="F844" s="7">
        <v>45693</v>
      </c>
      <c r="G844" t="s">
        <v>135</v>
      </c>
      <c r="H844" t="s">
        <v>105</v>
      </c>
      <c r="I844" t="s">
        <v>101</v>
      </c>
      <c r="J844">
        <v>3804.68</v>
      </c>
      <c r="K844">
        <v>500000</v>
      </c>
    </row>
    <row r="845" spans="1:11" ht="12.75" customHeight="1" x14ac:dyDescent="0.2">
      <c r="A845" t="s">
        <v>1822</v>
      </c>
      <c r="B845" t="s">
        <v>8032</v>
      </c>
      <c r="C845">
        <v>2024</v>
      </c>
      <c r="D845">
        <v>2023</v>
      </c>
      <c r="E845" s="7">
        <v>45328</v>
      </c>
      <c r="F845" s="7">
        <v>45693</v>
      </c>
      <c r="G845" t="s">
        <v>135</v>
      </c>
      <c r="H845" t="s">
        <v>102</v>
      </c>
      <c r="I845" t="s">
        <v>101</v>
      </c>
      <c r="J845">
        <v>37097.49</v>
      </c>
      <c r="K845">
        <v>5000000</v>
      </c>
    </row>
    <row r="846" spans="1:11" ht="12.75" customHeight="1" x14ac:dyDescent="0.2">
      <c r="A846" t="s">
        <v>1823</v>
      </c>
      <c r="B846" t="s">
        <v>8033</v>
      </c>
      <c r="C846">
        <v>2024</v>
      </c>
      <c r="D846">
        <v>2023</v>
      </c>
      <c r="E846" s="7">
        <v>45328</v>
      </c>
      <c r="F846" s="7">
        <v>45693</v>
      </c>
      <c r="G846" t="s">
        <v>135</v>
      </c>
      <c r="H846" t="s">
        <v>6337</v>
      </c>
      <c r="I846" t="s">
        <v>104</v>
      </c>
      <c r="J846">
        <v>6161.38</v>
      </c>
      <c r="K846">
        <v>1000000</v>
      </c>
    </row>
    <row r="847" spans="1:11" ht="12.75" customHeight="1" x14ac:dyDescent="0.2">
      <c r="A847" t="s">
        <v>1824</v>
      </c>
      <c r="B847" t="s">
        <v>6446</v>
      </c>
      <c r="C847">
        <v>2024</v>
      </c>
      <c r="D847">
        <v>2023</v>
      </c>
      <c r="E847" s="7">
        <v>45328</v>
      </c>
      <c r="F847" s="7">
        <v>45693</v>
      </c>
      <c r="G847" t="s">
        <v>135</v>
      </c>
      <c r="H847" t="s">
        <v>113</v>
      </c>
      <c r="I847" t="s">
        <v>104</v>
      </c>
      <c r="J847">
        <v>54744.57</v>
      </c>
      <c r="K847">
        <v>10000000</v>
      </c>
    </row>
    <row r="848" spans="1:11" ht="12.75" customHeight="1" x14ac:dyDescent="0.2">
      <c r="A848" t="s">
        <v>1825</v>
      </c>
      <c r="B848" t="s">
        <v>8034</v>
      </c>
      <c r="C848">
        <v>2024</v>
      </c>
      <c r="D848">
        <v>2023</v>
      </c>
      <c r="E848" s="7">
        <v>45328</v>
      </c>
      <c r="F848" s="7">
        <v>45693</v>
      </c>
      <c r="G848" t="s">
        <v>135</v>
      </c>
      <c r="H848" t="s">
        <v>106</v>
      </c>
      <c r="I848" t="s">
        <v>104</v>
      </c>
      <c r="J848">
        <v>14722.28</v>
      </c>
      <c r="K848">
        <v>2000000</v>
      </c>
    </row>
    <row r="849" spans="1:11" ht="12.75" customHeight="1" x14ac:dyDescent="0.2">
      <c r="A849" t="s">
        <v>1827</v>
      </c>
      <c r="B849" t="s">
        <v>729</v>
      </c>
      <c r="C849">
        <v>2024</v>
      </c>
      <c r="D849">
        <v>2023</v>
      </c>
      <c r="E849" s="7">
        <v>45328</v>
      </c>
      <c r="F849" s="7">
        <v>45693</v>
      </c>
      <c r="G849" t="s">
        <v>135</v>
      </c>
      <c r="H849" t="s">
        <v>102</v>
      </c>
      <c r="I849" t="s">
        <v>104</v>
      </c>
      <c r="J849">
        <v>6156.77</v>
      </c>
      <c r="K849">
        <v>1000000</v>
      </c>
    </row>
    <row r="850" spans="1:11" ht="12.75" customHeight="1" x14ac:dyDescent="0.2">
      <c r="A850" t="s">
        <v>1830</v>
      </c>
      <c r="B850" t="s">
        <v>140</v>
      </c>
      <c r="C850">
        <v>2024</v>
      </c>
      <c r="D850">
        <v>2023</v>
      </c>
      <c r="E850" s="7">
        <v>45328</v>
      </c>
      <c r="F850" s="7">
        <v>45693</v>
      </c>
      <c r="G850" t="s">
        <v>135</v>
      </c>
      <c r="H850" t="s">
        <v>116</v>
      </c>
      <c r="I850" t="s">
        <v>104</v>
      </c>
      <c r="J850">
        <v>8542.2800000000007</v>
      </c>
      <c r="K850">
        <v>1500000</v>
      </c>
    </row>
    <row r="851" spans="1:11" ht="12.75" customHeight="1" x14ac:dyDescent="0.2">
      <c r="A851" t="s">
        <v>1832</v>
      </c>
      <c r="B851" t="s">
        <v>1549</v>
      </c>
      <c r="C851">
        <v>2024</v>
      </c>
      <c r="D851">
        <v>2023</v>
      </c>
      <c r="E851" s="7">
        <v>45329</v>
      </c>
      <c r="F851" s="7">
        <v>45694</v>
      </c>
      <c r="G851" t="s">
        <v>99</v>
      </c>
      <c r="H851" t="s">
        <v>108</v>
      </c>
      <c r="I851" t="s">
        <v>101</v>
      </c>
      <c r="J851">
        <v>43317.89</v>
      </c>
      <c r="K851">
        <v>5000000</v>
      </c>
    </row>
    <row r="852" spans="1:11" ht="12.75" customHeight="1" x14ac:dyDescent="0.2">
      <c r="A852" t="s">
        <v>1833</v>
      </c>
      <c r="B852" t="s">
        <v>8035</v>
      </c>
      <c r="C852">
        <v>2024</v>
      </c>
      <c r="D852">
        <v>2023</v>
      </c>
      <c r="E852" s="7">
        <v>45329</v>
      </c>
      <c r="F852" s="7">
        <v>45694</v>
      </c>
      <c r="G852" t="s">
        <v>135</v>
      </c>
      <c r="H852" t="s">
        <v>108</v>
      </c>
      <c r="I852" t="s">
        <v>101</v>
      </c>
      <c r="J852">
        <v>13534.61</v>
      </c>
      <c r="K852">
        <v>1500000</v>
      </c>
    </row>
    <row r="853" spans="1:11" ht="12.75" customHeight="1" x14ac:dyDescent="0.2">
      <c r="A853" t="s">
        <v>1834</v>
      </c>
      <c r="B853" t="s">
        <v>8036</v>
      </c>
      <c r="C853">
        <v>2024</v>
      </c>
      <c r="D853">
        <v>2023</v>
      </c>
      <c r="E853" s="7">
        <v>45329</v>
      </c>
      <c r="F853" s="7">
        <v>45694</v>
      </c>
      <c r="G853" t="s">
        <v>135</v>
      </c>
      <c r="H853" t="s">
        <v>103</v>
      </c>
      <c r="I853" t="s">
        <v>101</v>
      </c>
      <c r="J853">
        <v>10491.18</v>
      </c>
      <c r="K853">
        <v>1500000</v>
      </c>
    </row>
    <row r="854" spans="1:11" ht="12.75" customHeight="1" x14ac:dyDescent="0.2">
      <c r="A854" t="s">
        <v>1835</v>
      </c>
      <c r="B854" t="s">
        <v>8037</v>
      </c>
      <c r="C854">
        <v>2024</v>
      </c>
      <c r="D854">
        <v>2023</v>
      </c>
      <c r="E854" s="7">
        <v>45329</v>
      </c>
      <c r="F854" s="7">
        <v>45694</v>
      </c>
      <c r="G854" t="s">
        <v>135</v>
      </c>
      <c r="H854" t="s">
        <v>105</v>
      </c>
      <c r="I854" t="s">
        <v>101</v>
      </c>
      <c r="J854">
        <v>7573.49</v>
      </c>
      <c r="K854">
        <v>1000000</v>
      </c>
    </row>
    <row r="855" spans="1:11" ht="12.75" customHeight="1" x14ac:dyDescent="0.2">
      <c r="A855" t="s">
        <v>1837</v>
      </c>
      <c r="B855" t="s">
        <v>6429</v>
      </c>
      <c r="C855">
        <v>2024</v>
      </c>
      <c r="D855">
        <v>2023</v>
      </c>
      <c r="E855" s="7">
        <v>45329</v>
      </c>
      <c r="F855" s="7">
        <v>45694</v>
      </c>
      <c r="G855" t="s">
        <v>135</v>
      </c>
      <c r="H855" t="s">
        <v>115</v>
      </c>
      <c r="I855" t="s">
        <v>104</v>
      </c>
      <c r="J855">
        <v>60845.06</v>
      </c>
      <c r="K855">
        <v>10000000</v>
      </c>
    </row>
    <row r="856" spans="1:11" ht="12.75" customHeight="1" x14ac:dyDescent="0.2">
      <c r="A856" t="s">
        <v>1839</v>
      </c>
      <c r="B856" t="s">
        <v>8038</v>
      </c>
      <c r="C856">
        <v>2024</v>
      </c>
      <c r="D856">
        <v>2023</v>
      </c>
      <c r="E856" s="7">
        <v>45329</v>
      </c>
      <c r="F856" s="7">
        <v>45694</v>
      </c>
      <c r="G856" t="s">
        <v>135</v>
      </c>
      <c r="H856" t="s">
        <v>106</v>
      </c>
      <c r="I856" t="s">
        <v>104</v>
      </c>
      <c r="J856">
        <v>7729.2</v>
      </c>
      <c r="K856">
        <v>1000000</v>
      </c>
    </row>
    <row r="857" spans="1:11" ht="12.75" customHeight="1" x14ac:dyDescent="0.2">
      <c r="A857" t="s">
        <v>1841</v>
      </c>
      <c r="B857" t="s">
        <v>8039</v>
      </c>
      <c r="C857">
        <v>2024</v>
      </c>
      <c r="D857">
        <v>2023</v>
      </c>
      <c r="E857" s="7">
        <v>45329</v>
      </c>
      <c r="F857" s="7">
        <v>45694</v>
      </c>
      <c r="G857" t="s">
        <v>135</v>
      </c>
      <c r="H857" t="s">
        <v>107</v>
      </c>
      <c r="I857" t="s">
        <v>101</v>
      </c>
      <c r="J857">
        <v>14462.67</v>
      </c>
      <c r="K857">
        <v>2000000</v>
      </c>
    </row>
    <row r="858" spans="1:11" ht="12.75" customHeight="1" x14ac:dyDescent="0.2">
      <c r="A858" t="s">
        <v>1843</v>
      </c>
      <c r="B858" t="s">
        <v>7251</v>
      </c>
      <c r="C858">
        <v>2024</v>
      </c>
      <c r="D858">
        <v>2023</v>
      </c>
      <c r="E858" s="7">
        <v>45329</v>
      </c>
      <c r="F858" s="7">
        <v>45694</v>
      </c>
      <c r="G858" t="s">
        <v>135</v>
      </c>
      <c r="H858" t="s">
        <v>103</v>
      </c>
      <c r="I858" t="s">
        <v>101</v>
      </c>
      <c r="J858">
        <v>39389.26</v>
      </c>
      <c r="K858">
        <v>5000000</v>
      </c>
    </row>
    <row r="859" spans="1:11" ht="12.75" customHeight="1" x14ac:dyDescent="0.2">
      <c r="A859" t="s">
        <v>1844</v>
      </c>
      <c r="B859" t="s">
        <v>6407</v>
      </c>
      <c r="C859">
        <v>2024</v>
      </c>
      <c r="D859">
        <v>2023</v>
      </c>
      <c r="E859" s="7">
        <v>45329</v>
      </c>
      <c r="F859" s="7">
        <v>45694</v>
      </c>
      <c r="G859" t="s">
        <v>135</v>
      </c>
      <c r="H859" t="s">
        <v>102</v>
      </c>
      <c r="I859" t="s">
        <v>101</v>
      </c>
      <c r="J859">
        <v>3548.17</v>
      </c>
      <c r="K859">
        <v>500000</v>
      </c>
    </row>
    <row r="860" spans="1:11" ht="12.75" customHeight="1" x14ac:dyDescent="0.2">
      <c r="A860" t="s">
        <v>1845</v>
      </c>
      <c r="B860" t="s">
        <v>8040</v>
      </c>
      <c r="C860">
        <v>2024</v>
      </c>
      <c r="D860">
        <v>2023</v>
      </c>
      <c r="E860" s="7">
        <v>45329</v>
      </c>
      <c r="F860" s="7">
        <v>45694</v>
      </c>
      <c r="G860" t="s">
        <v>135</v>
      </c>
      <c r="H860" t="s">
        <v>109</v>
      </c>
      <c r="I860" t="s">
        <v>104</v>
      </c>
      <c r="J860">
        <v>12240.16</v>
      </c>
      <c r="K860">
        <v>2000000</v>
      </c>
    </row>
    <row r="861" spans="1:11" ht="12.75" customHeight="1" x14ac:dyDescent="0.2">
      <c r="A861" t="s">
        <v>1846</v>
      </c>
      <c r="B861" t="s">
        <v>730</v>
      </c>
      <c r="C861">
        <v>2024</v>
      </c>
      <c r="D861">
        <v>2023</v>
      </c>
      <c r="E861" s="7">
        <v>45329</v>
      </c>
      <c r="F861" s="7">
        <v>45694</v>
      </c>
      <c r="G861" t="s">
        <v>135</v>
      </c>
      <c r="H861" t="s">
        <v>116</v>
      </c>
      <c r="I861" t="s">
        <v>104</v>
      </c>
      <c r="J861">
        <v>28921.09</v>
      </c>
      <c r="K861">
        <v>5000000</v>
      </c>
    </row>
    <row r="862" spans="1:11" ht="12.75" customHeight="1" x14ac:dyDescent="0.2">
      <c r="A862" t="s">
        <v>1847</v>
      </c>
      <c r="B862" t="s">
        <v>6433</v>
      </c>
      <c r="C862">
        <v>2024</v>
      </c>
      <c r="D862">
        <v>2023</v>
      </c>
      <c r="E862" s="7">
        <v>45329</v>
      </c>
      <c r="F862" s="7">
        <v>45694</v>
      </c>
      <c r="G862" t="s">
        <v>135</v>
      </c>
      <c r="H862" t="s">
        <v>110</v>
      </c>
      <c r="I862" t="s">
        <v>104</v>
      </c>
      <c r="J862">
        <v>6503.12</v>
      </c>
      <c r="K862">
        <v>1000000</v>
      </c>
    </row>
    <row r="863" spans="1:11" ht="12.75" customHeight="1" x14ac:dyDescent="0.2">
      <c r="A863" t="s">
        <v>1848</v>
      </c>
      <c r="B863" t="s">
        <v>253</v>
      </c>
      <c r="C863">
        <v>2024</v>
      </c>
      <c r="D863">
        <v>2023</v>
      </c>
      <c r="E863" s="7">
        <v>45329</v>
      </c>
      <c r="F863" s="7">
        <v>45694</v>
      </c>
      <c r="G863" t="s">
        <v>135</v>
      </c>
      <c r="H863" t="s">
        <v>103</v>
      </c>
      <c r="I863" t="s">
        <v>101</v>
      </c>
      <c r="J863">
        <v>35743.49</v>
      </c>
      <c r="K863">
        <v>5000000</v>
      </c>
    </row>
    <row r="864" spans="1:11" ht="12.75" customHeight="1" x14ac:dyDescent="0.2">
      <c r="A864" t="s">
        <v>1849</v>
      </c>
      <c r="B864" t="s">
        <v>7301</v>
      </c>
      <c r="C864">
        <v>2024</v>
      </c>
      <c r="D864">
        <v>2023</v>
      </c>
      <c r="E864" s="7">
        <v>45329</v>
      </c>
      <c r="F864" s="7">
        <v>45694</v>
      </c>
      <c r="G864" t="s">
        <v>135</v>
      </c>
      <c r="H864" t="s">
        <v>107</v>
      </c>
      <c r="I864" t="s">
        <v>101</v>
      </c>
      <c r="J864">
        <v>10327.86</v>
      </c>
      <c r="K864">
        <v>1500000</v>
      </c>
    </row>
    <row r="865" spans="1:11" ht="12.75" customHeight="1" x14ac:dyDescent="0.2">
      <c r="A865" t="s">
        <v>1850</v>
      </c>
      <c r="B865" t="s">
        <v>1551</v>
      </c>
      <c r="C865">
        <v>2024</v>
      </c>
      <c r="D865">
        <v>2023</v>
      </c>
      <c r="E865" s="7">
        <v>45330</v>
      </c>
      <c r="F865" s="7">
        <v>45695</v>
      </c>
      <c r="G865" t="s">
        <v>99</v>
      </c>
      <c r="H865" t="s">
        <v>107</v>
      </c>
      <c r="I865" t="s">
        <v>101</v>
      </c>
      <c r="J865">
        <v>3447.59</v>
      </c>
      <c r="K865">
        <v>500000</v>
      </c>
    </row>
    <row r="866" spans="1:11" ht="12.75" customHeight="1" x14ac:dyDescent="0.2">
      <c r="A866" t="s">
        <v>1851</v>
      </c>
      <c r="B866" t="s">
        <v>1553</v>
      </c>
      <c r="C866">
        <v>2024</v>
      </c>
      <c r="D866">
        <v>2023</v>
      </c>
      <c r="E866" s="7">
        <v>45330</v>
      </c>
      <c r="F866" s="7">
        <v>45695</v>
      </c>
      <c r="G866" t="s">
        <v>99</v>
      </c>
      <c r="H866" t="s">
        <v>110</v>
      </c>
      <c r="I866" t="s">
        <v>104</v>
      </c>
      <c r="J866">
        <v>15583.83</v>
      </c>
      <c r="K866">
        <v>2000000</v>
      </c>
    </row>
    <row r="867" spans="1:11" ht="12.75" customHeight="1" x14ac:dyDescent="0.2">
      <c r="A867" t="s">
        <v>1852</v>
      </c>
      <c r="B867" t="s">
        <v>1566</v>
      </c>
      <c r="C867">
        <v>2024</v>
      </c>
      <c r="D867">
        <v>2023</v>
      </c>
      <c r="E867" s="7">
        <v>45330</v>
      </c>
      <c r="F867" s="7">
        <v>45695</v>
      </c>
      <c r="G867" t="s">
        <v>99</v>
      </c>
      <c r="H867" t="s">
        <v>109</v>
      </c>
      <c r="I867" t="s">
        <v>101</v>
      </c>
      <c r="J867">
        <v>6795.55</v>
      </c>
      <c r="K867">
        <v>1000000</v>
      </c>
    </row>
    <row r="868" spans="1:11" ht="12.75" customHeight="1" x14ac:dyDescent="0.2">
      <c r="A868" t="s">
        <v>1853</v>
      </c>
      <c r="B868" t="s">
        <v>1568</v>
      </c>
      <c r="C868">
        <v>2024</v>
      </c>
      <c r="D868">
        <v>2023</v>
      </c>
      <c r="E868" s="7">
        <v>45330</v>
      </c>
      <c r="F868" s="7">
        <v>45695</v>
      </c>
      <c r="G868" t="s">
        <v>99</v>
      </c>
      <c r="H868" t="s">
        <v>107</v>
      </c>
      <c r="I868" t="s">
        <v>101</v>
      </c>
      <c r="J868">
        <v>7568.17</v>
      </c>
      <c r="K868">
        <v>1000000</v>
      </c>
    </row>
    <row r="869" spans="1:11" ht="12.75" customHeight="1" x14ac:dyDescent="0.2">
      <c r="A869" t="s">
        <v>1854</v>
      </c>
      <c r="B869" t="s">
        <v>454</v>
      </c>
      <c r="C869">
        <v>2024</v>
      </c>
      <c r="D869">
        <v>2023</v>
      </c>
      <c r="E869" s="7">
        <v>45330</v>
      </c>
      <c r="F869" s="7">
        <v>45695</v>
      </c>
      <c r="G869" t="s">
        <v>135</v>
      </c>
      <c r="H869" t="s">
        <v>106</v>
      </c>
      <c r="I869" t="s">
        <v>101</v>
      </c>
      <c r="J869">
        <v>13663.56</v>
      </c>
      <c r="K869">
        <v>1500000</v>
      </c>
    </row>
    <row r="870" spans="1:11" ht="12.75" customHeight="1" x14ac:dyDescent="0.2">
      <c r="A870" t="s">
        <v>1855</v>
      </c>
      <c r="B870" t="s">
        <v>254</v>
      </c>
      <c r="C870">
        <v>2024</v>
      </c>
      <c r="D870">
        <v>2023</v>
      </c>
      <c r="E870" s="7">
        <v>45330</v>
      </c>
      <c r="F870" s="7">
        <v>45695</v>
      </c>
      <c r="G870" t="s">
        <v>135</v>
      </c>
      <c r="H870" t="s">
        <v>112</v>
      </c>
      <c r="I870" t="s">
        <v>104</v>
      </c>
      <c r="J870">
        <v>14684.01</v>
      </c>
      <c r="K870">
        <v>2000000</v>
      </c>
    </row>
    <row r="871" spans="1:11" ht="12.75" customHeight="1" x14ac:dyDescent="0.2">
      <c r="A871" t="s">
        <v>1856</v>
      </c>
      <c r="B871" t="s">
        <v>6434</v>
      </c>
      <c r="C871">
        <v>2024</v>
      </c>
      <c r="D871">
        <v>2023</v>
      </c>
      <c r="E871" s="7">
        <v>45330</v>
      </c>
      <c r="F871" s="7">
        <v>45695</v>
      </c>
      <c r="G871" t="s">
        <v>135</v>
      </c>
      <c r="H871" t="s">
        <v>6332</v>
      </c>
      <c r="I871" t="s">
        <v>101</v>
      </c>
      <c r="J871">
        <v>7103.9</v>
      </c>
      <c r="K871">
        <v>1000000</v>
      </c>
    </row>
    <row r="872" spans="1:11" ht="12.75" customHeight="1" x14ac:dyDescent="0.2">
      <c r="A872" t="s">
        <v>1857</v>
      </c>
      <c r="B872" t="s">
        <v>8041</v>
      </c>
      <c r="C872">
        <v>2024</v>
      </c>
      <c r="D872">
        <v>2023</v>
      </c>
      <c r="E872" s="7">
        <v>45330</v>
      </c>
      <c r="F872" s="7">
        <v>45695</v>
      </c>
      <c r="G872" t="s">
        <v>135</v>
      </c>
      <c r="H872" t="s">
        <v>111</v>
      </c>
      <c r="I872" t="s">
        <v>104</v>
      </c>
      <c r="J872">
        <v>8671.69</v>
      </c>
      <c r="K872">
        <v>1500000</v>
      </c>
    </row>
    <row r="873" spans="1:11" ht="12.75" customHeight="1" x14ac:dyDescent="0.2">
      <c r="A873" t="s">
        <v>1858</v>
      </c>
      <c r="B873" t="s">
        <v>455</v>
      </c>
      <c r="C873">
        <v>2024</v>
      </c>
      <c r="D873">
        <v>2023</v>
      </c>
      <c r="E873" s="7">
        <v>45330</v>
      </c>
      <c r="F873" s="7">
        <v>45695</v>
      </c>
      <c r="G873" t="s">
        <v>135</v>
      </c>
      <c r="H873" t="s">
        <v>106</v>
      </c>
      <c r="I873" t="s">
        <v>104</v>
      </c>
      <c r="J873">
        <v>15338.51</v>
      </c>
      <c r="K873">
        <v>2000000</v>
      </c>
    </row>
    <row r="874" spans="1:11" ht="12.75" customHeight="1" x14ac:dyDescent="0.2">
      <c r="A874" t="s">
        <v>1860</v>
      </c>
      <c r="B874" t="s">
        <v>8042</v>
      </c>
      <c r="C874">
        <v>2024</v>
      </c>
      <c r="D874">
        <v>2023</v>
      </c>
      <c r="E874" s="7">
        <v>45330</v>
      </c>
      <c r="F874" s="7">
        <v>45695</v>
      </c>
      <c r="G874" t="s">
        <v>135</v>
      </c>
      <c r="H874" t="s">
        <v>100</v>
      </c>
      <c r="I874" t="s">
        <v>104</v>
      </c>
      <c r="J874">
        <v>27921.45</v>
      </c>
      <c r="K874">
        <v>5000000</v>
      </c>
    </row>
    <row r="875" spans="1:11" ht="12.75" customHeight="1" x14ac:dyDescent="0.2">
      <c r="A875" t="s">
        <v>1862</v>
      </c>
      <c r="B875" t="s">
        <v>8043</v>
      </c>
      <c r="C875">
        <v>2024</v>
      </c>
      <c r="D875">
        <v>2023</v>
      </c>
      <c r="E875" s="7">
        <v>45330</v>
      </c>
      <c r="F875" s="7">
        <v>45695</v>
      </c>
      <c r="G875" t="s">
        <v>135</v>
      </c>
      <c r="H875" t="s">
        <v>107</v>
      </c>
      <c r="I875" t="s">
        <v>104</v>
      </c>
      <c r="J875">
        <v>10942.58</v>
      </c>
      <c r="K875">
        <v>2000000</v>
      </c>
    </row>
    <row r="876" spans="1:11" ht="12.75" customHeight="1" x14ac:dyDescent="0.2">
      <c r="A876" t="s">
        <v>1864</v>
      </c>
      <c r="B876" t="s">
        <v>6418</v>
      </c>
      <c r="C876">
        <v>2024</v>
      </c>
      <c r="D876">
        <v>2023</v>
      </c>
      <c r="E876" s="7">
        <v>45330</v>
      </c>
      <c r="F876" s="7">
        <v>45695</v>
      </c>
      <c r="G876" t="s">
        <v>135</v>
      </c>
      <c r="H876" t="s">
        <v>102</v>
      </c>
      <c r="I876" t="s">
        <v>104</v>
      </c>
      <c r="J876">
        <v>11088.3</v>
      </c>
      <c r="K876">
        <v>2000000</v>
      </c>
    </row>
    <row r="877" spans="1:11" ht="12.75" customHeight="1" x14ac:dyDescent="0.2">
      <c r="A877" t="s">
        <v>1866</v>
      </c>
      <c r="B877" t="s">
        <v>731</v>
      </c>
      <c r="C877">
        <v>2024</v>
      </c>
      <c r="D877">
        <v>2023</v>
      </c>
      <c r="E877" s="7">
        <v>45330</v>
      </c>
      <c r="F877" s="7">
        <v>45695</v>
      </c>
      <c r="G877" t="s">
        <v>135</v>
      </c>
      <c r="H877" t="s">
        <v>102</v>
      </c>
      <c r="I877" t="s">
        <v>101</v>
      </c>
      <c r="J877">
        <v>69056.28</v>
      </c>
      <c r="K877">
        <v>10000000</v>
      </c>
    </row>
    <row r="878" spans="1:11" ht="12.75" customHeight="1" x14ac:dyDescent="0.2">
      <c r="A878" t="s">
        <v>1868</v>
      </c>
      <c r="B878" t="s">
        <v>6460</v>
      </c>
      <c r="C878">
        <v>2024</v>
      </c>
      <c r="D878">
        <v>2023</v>
      </c>
      <c r="E878" s="7">
        <v>45331</v>
      </c>
      <c r="F878" s="7">
        <v>45696</v>
      </c>
      <c r="G878" t="s">
        <v>135</v>
      </c>
      <c r="H878" t="s">
        <v>109</v>
      </c>
      <c r="I878" t="s">
        <v>101</v>
      </c>
      <c r="J878">
        <v>34882.26</v>
      </c>
      <c r="K878">
        <v>5000000</v>
      </c>
    </row>
    <row r="879" spans="1:11" ht="12.75" customHeight="1" x14ac:dyDescent="0.2">
      <c r="A879" t="s">
        <v>1870</v>
      </c>
      <c r="B879" t="s">
        <v>733</v>
      </c>
      <c r="C879">
        <v>2024</v>
      </c>
      <c r="D879">
        <v>2023</v>
      </c>
      <c r="E879" s="7">
        <v>45331</v>
      </c>
      <c r="F879" s="7">
        <v>45696</v>
      </c>
      <c r="G879" t="s">
        <v>135</v>
      </c>
      <c r="H879" t="s">
        <v>106</v>
      </c>
      <c r="I879" t="s">
        <v>101</v>
      </c>
      <c r="J879">
        <v>4897.78</v>
      </c>
      <c r="K879">
        <v>500000</v>
      </c>
    </row>
    <row r="880" spans="1:11" ht="12.75" customHeight="1" x14ac:dyDescent="0.2">
      <c r="A880" t="s">
        <v>1871</v>
      </c>
      <c r="B880" t="s">
        <v>255</v>
      </c>
      <c r="C880">
        <v>2024</v>
      </c>
      <c r="D880">
        <v>2023</v>
      </c>
      <c r="E880" s="7">
        <v>45331</v>
      </c>
      <c r="F880" s="7">
        <v>45696</v>
      </c>
      <c r="G880" t="s">
        <v>135</v>
      </c>
      <c r="H880" t="s">
        <v>6334</v>
      </c>
      <c r="I880" t="s">
        <v>101</v>
      </c>
      <c r="J880">
        <v>11268.04</v>
      </c>
      <c r="K880">
        <v>1500000</v>
      </c>
    </row>
    <row r="881" spans="1:11" ht="12.75" customHeight="1" x14ac:dyDescent="0.2">
      <c r="A881" t="s">
        <v>1872</v>
      </c>
      <c r="B881" t="s">
        <v>8044</v>
      </c>
      <c r="C881">
        <v>2024</v>
      </c>
      <c r="D881">
        <v>2023</v>
      </c>
      <c r="E881" s="7">
        <v>45331</v>
      </c>
      <c r="F881" s="7">
        <v>45696</v>
      </c>
      <c r="G881" t="s">
        <v>135</v>
      </c>
      <c r="H881" t="s">
        <v>107</v>
      </c>
      <c r="I881" t="s">
        <v>104</v>
      </c>
      <c r="J881">
        <v>8378.6299999999992</v>
      </c>
      <c r="K881">
        <v>1500000</v>
      </c>
    </row>
    <row r="882" spans="1:11" ht="12.75" customHeight="1" x14ac:dyDescent="0.2">
      <c r="A882" t="s">
        <v>1873</v>
      </c>
      <c r="B882" t="s">
        <v>8045</v>
      </c>
      <c r="C882">
        <v>2024</v>
      </c>
      <c r="D882">
        <v>2023</v>
      </c>
      <c r="E882" s="7">
        <v>45331</v>
      </c>
      <c r="F882" s="7">
        <v>45696</v>
      </c>
      <c r="G882" t="s">
        <v>135</v>
      </c>
      <c r="H882" t="s">
        <v>107</v>
      </c>
      <c r="I882" t="s">
        <v>101</v>
      </c>
      <c r="J882">
        <v>7332.16</v>
      </c>
      <c r="K882">
        <v>1000000</v>
      </c>
    </row>
    <row r="883" spans="1:11" ht="12.75" customHeight="1" x14ac:dyDescent="0.2">
      <c r="A883" t="s">
        <v>1874</v>
      </c>
      <c r="B883" t="s">
        <v>732</v>
      </c>
      <c r="C883">
        <v>2024</v>
      </c>
      <c r="D883">
        <v>2023</v>
      </c>
      <c r="E883" s="7">
        <v>45331</v>
      </c>
      <c r="F883" s="7">
        <v>45696</v>
      </c>
      <c r="G883" t="s">
        <v>135</v>
      </c>
      <c r="H883" t="s">
        <v>106</v>
      </c>
      <c r="I883" t="s">
        <v>101</v>
      </c>
      <c r="J883">
        <v>14546.3</v>
      </c>
      <c r="K883">
        <v>1500000</v>
      </c>
    </row>
    <row r="884" spans="1:11" ht="12.75" customHeight="1" x14ac:dyDescent="0.2">
      <c r="A884" t="s">
        <v>1875</v>
      </c>
      <c r="B884" t="s">
        <v>6430</v>
      </c>
      <c r="C884">
        <v>2024</v>
      </c>
      <c r="D884">
        <v>2023</v>
      </c>
      <c r="E884" s="7">
        <v>45331</v>
      </c>
      <c r="F884" s="7">
        <v>45696</v>
      </c>
      <c r="G884" t="s">
        <v>135</v>
      </c>
      <c r="H884" t="s">
        <v>102</v>
      </c>
      <c r="I884" t="s">
        <v>104</v>
      </c>
      <c r="J884">
        <v>10351.51</v>
      </c>
      <c r="K884">
        <v>2000000</v>
      </c>
    </row>
    <row r="885" spans="1:11" ht="12.75" customHeight="1" x14ac:dyDescent="0.2">
      <c r="A885" t="s">
        <v>1876</v>
      </c>
      <c r="B885" t="s">
        <v>456</v>
      </c>
      <c r="C885">
        <v>2024</v>
      </c>
      <c r="D885">
        <v>2023</v>
      </c>
      <c r="E885" s="7">
        <v>45331</v>
      </c>
      <c r="F885" s="7">
        <v>45696</v>
      </c>
      <c r="G885" t="s">
        <v>135</v>
      </c>
      <c r="H885" t="s">
        <v>107</v>
      </c>
      <c r="I885" t="s">
        <v>101</v>
      </c>
      <c r="J885">
        <v>7066.58</v>
      </c>
      <c r="K885">
        <v>1000000</v>
      </c>
    </row>
    <row r="886" spans="1:11" ht="12.75" customHeight="1" x14ac:dyDescent="0.2">
      <c r="A886" t="s">
        <v>1877</v>
      </c>
      <c r="B886" t="s">
        <v>6426</v>
      </c>
      <c r="C886">
        <v>2024</v>
      </c>
      <c r="D886">
        <v>2023</v>
      </c>
      <c r="E886" s="7">
        <v>45331</v>
      </c>
      <c r="F886" s="7">
        <v>45696</v>
      </c>
      <c r="G886" t="s">
        <v>135</v>
      </c>
      <c r="H886" t="s">
        <v>106</v>
      </c>
      <c r="I886" t="s">
        <v>104</v>
      </c>
      <c r="J886">
        <v>7488.88</v>
      </c>
      <c r="K886">
        <v>1000000</v>
      </c>
    </row>
    <row r="887" spans="1:11" ht="12.75" customHeight="1" x14ac:dyDescent="0.2">
      <c r="A887" t="s">
        <v>1878</v>
      </c>
      <c r="B887" t="s">
        <v>8046</v>
      </c>
      <c r="C887">
        <v>2024</v>
      </c>
      <c r="D887">
        <v>2023</v>
      </c>
      <c r="E887" s="7">
        <v>45331</v>
      </c>
      <c r="F887" s="7">
        <v>45696</v>
      </c>
      <c r="G887" t="s">
        <v>135</v>
      </c>
      <c r="H887" t="s">
        <v>107</v>
      </c>
      <c r="I887" t="s">
        <v>101</v>
      </c>
      <c r="J887">
        <v>6759.76</v>
      </c>
      <c r="K887">
        <v>1000000</v>
      </c>
    </row>
    <row r="888" spans="1:11" ht="12.75" customHeight="1" x14ac:dyDescent="0.2">
      <c r="A888" t="s">
        <v>1879</v>
      </c>
      <c r="B888" t="s">
        <v>256</v>
      </c>
      <c r="C888">
        <v>2024</v>
      </c>
      <c r="D888">
        <v>2023</v>
      </c>
      <c r="E888" s="7">
        <v>45331</v>
      </c>
      <c r="F888" s="7">
        <v>45696</v>
      </c>
      <c r="G888" t="s">
        <v>135</v>
      </c>
      <c r="H888" t="s">
        <v>106</v>
      </c>
      <c r="I888" t="s">
        <v>104</v>
      </c>
      <c r="J888">
        <v>3917.83</v>
      </c>
      <c r="K888">
        <v>500000</v>
      </c>
    </row>
    <row r="889" spans="1:11" ht="12.75" customHeight="1" x14ac:dyDescent="0.2">
      <c r="A889" t="s">
        <v>1881</v>
      </c>
      <c r="B889" t="s">
        <v>1570</v>
      </c>
      <c r="C889">
        <v>2024</v>
      </c>
      <c r="D889">
        <v>2023</v>
      </c>
      <c r="E889" s="7">
        <v>45332</v>
      </c>
      <c r="F889" s="7">
        <v>45697</v>
      </c>
      <c r="G889" t="s">
        <v>99</v>
      </c>
      <c r="H889" t="s">
        <v>103</v>
      </c>
      <c r="I889" t="s">
        <v>101</v>
      </c>
      <c r="J889">
        <v>3726.66</v>
      </c>
      <c r="K889">
        <v>500000</v>
      </c>
    </row>
    <row r="890" spans="1:11" ht="12.75" customHeight="1" x14ac:dyDescent="0.2">
      <c r="A890" t="s">
        <v>1883</v>
      </c>
      <c r="B890" t="s">
        <v>1572</v>
      </c>
      <c r="C890">
        <v>2024</v>
      </c>
      <c r="D890">
        <v>2023</v>
      </c>
      <c r="E890" s="7">
        <v>45332</v>
      </c>
      <c r="F890" s="7">
        <v>45697</v>
      </c>
      <c r="G890" t="s">
        <v>99</v>
      </c>
      <c r="H890" t="s">
        <v>110</v>
      </c>
      <c r="I890" t="s">
        <v>104</v>
      </c>
      <c r="J890">
        <v>7738.93</v>
      </c>
      <c r="K890">
        <v>1000000</v>
      </c>
    </row>
    <row r="891" spans="1:11" ht="12.75" customHeight="1" x14ac:dyDescent="0.2">
      <c r="A891" t="s">
        <v>1885</v>
      </c>
      <c r="B891" t="s">
        <v>1574</v>
      </c>
      <c r="C891">
        <v>2024</v>
      </c>
      <c r="D891">
        <v>2023</v>
      </c>
      <c r="E891" s="7">
        <v>45332</v>
      </c>
      <c r="F891" s="7">
        <v>45697</v>
      </c>
      <c r="G891" t="s">
        <v>99</v>
      </c>
      <c r="H891" t="s">
        <v>111</v>
      </c>
      <c r="I891" t="s">
        <v>101</v>
      </c>
      <c r="J891">
        <v>14485.6</v>
      </c>
      <c r="K891">
        <v>2000000</v>
      </c>
    </row>
    <row r="892" spans="1:11" ht="12.75" customHeight="1" x14ac:dyDescent="0.2">
      <c r="A892" t="s">
        <v>1886</v>
      </c>
      <c r="B892" t="s">
        <v>6463</v>
      </c>
      <c r="C892">
        <v>2024</v>
      </c>
      <c r="D892">
        <v>2023</v>
      </c>
      <c r="E892" s="7">
        <v>45332</v>
      </c>
      <c r="F892" s="7">
        <v>45697</v>
      </c>
      <c r="G892" t="s">
        <v>135</v>
      </c>
      <c r="H892" t="s">
        <v>103</v>
      </c>
      <c r="I892" t="s">
        <v>101</v>
      </c>
      <c r="J892">
        <v>6881.81</v>
      </c>
      <c r="K892">
        <v>1000000</v>
      </c>
    </row>
    <row r="893" spans="1:11" ht="12.75" customHeight="1" x14ac:dyDescent="0.2">
      <c r="A893" t="s">
        <v>1887</v>
      </c>
      <c r="B893" t="s">
        <v>8047</v>
      </c>
      <c r="C893">
        <v>2024</v>
      </c>
      <c r="D893">
        <v>2023</v>
      </c>
      <c r="E893" s="7">
        <v>45332</v>
      </c>
      <c r="F893" s="7">
        <v>45697</v>
      </c>
      <c r="G893" t="s">
        <v>135</v>
      </c>
      <c r="H893" t="s">
        <v>116</v>
      </c>
      <c r="I893" t="s">
        <v>101</v>
      </c>
      <c r="J893">
        <v>14520.17</v>
      </c>
      <c r="K893">
        <v>2000000</v>
      </c>
    </row>
    <row r="894" spans="1:11" ht="12.75" customHeight="1" x14ac:dyDescent="0.2">
      <c r="A894" t="s">
        <v>1888</v>
      </c>
      <c r="B894" t="s">
        <v>8048</v>
      </c>
      <c r="C894">
        <v>2024</v>
      </c>
      <c r="D894">
        <v>2023</v>
      </c>
      <c r="E894" s="7">
        <v>45332</v>
      </c>
      <c r="F894" s="7">
        <v>45697</v>
      </c>
      <c r="G894" t="s">
        <v>135</v>
      </c>
      <c r="H894" t="s">
        <v>106</v>
      </c>
      <c r="I894" t="s">
        <v>104</v>
      </c>
      <c r="J894">
        <v>65399.05</v>
      </c>
      <c r="K894">
        <v>10000000</v>
      </c>
    </row>
    <row r="895" spans="1:11" ht="12.75" customHeight="1" x14ac:dyDescent="0.2">
      <c r="A895" t="s">
        <v>1889</v>
      </c>
      <c r="B895" t="s">
        <v>188</v>
      </c>
      <c r="C895">
        <v>2024</v>
      </c>
      <c r="D895">
        <v>2023</v>
      </c>
      <c r="E895" s="7">
        <v>45332</v>
      </c>
      <c r="F895" s="7">
        <v>45697</v>
      </c>
      <c r="G895" t="s">
        <v>135</v>
      </c>
      <c r="H895" t="s">
        <v>106</v>
      </c>
      <c r="I895" t="s">
        <v>104</v>
      </c>
      <c r="J895">
        <v>72898.36</v>
      </c>
      <c r="K895">
        <v>10000000</v>
      </c>
    </row>
    <row r="896" spans="1:11" ht="12.75" customHeight="1" x14ac:dyDescent="0.2">
      <c r="A896" t="s">
        <v>1890</v>
      </c>
      <c r="B896" t="s">
        <v>8049</v>
      </c>
      <c r="C896">
        <v>2024</v>
      </c>
      <c r="D896">
        <v>2023</v>
      </c>
      <c r="E896" s="7">
        <v>45332</v>
      </c>
      <c r="F896" s="7">
        <v>45697</v>
      </c>
      <c r="G896" t="s">
        <v>135</v>
      </c>
      <c r="H896" t="s">
        <v>106</v>
      </c>
      <c r="I896" t="s">
        <v>104</v>
      </c>
      <c r="J896">
        <v>70838.929999999993</v>
      </c>
      <c r="K896">
        <v>10000000</v>
      </c>
    </row>
    <row r="897" spans="1:11" ht="12.75" customHeight="1" x14ac:dyDescent="0.2">
      <c r="A897" t="s">
        <v>1891</v>
      </c>
      <c r="B897" t="s">
        <v>6417</v>
      </c>
      <c r="C897">
        <v>2024</v>
      </c>
      <c r="D897">
        <v>2023</v>
      </c>
      <c r="E897" s="7">
        <v>45332</v>
      </c>
      <c r="F897" s="7">
        <v>45697</v>
      </c>
      <c r="G897" t="s">
        <v>135</v>
      </c>
      <c r="H897" t="s">
        <v>106</v>
      </c>
      <c r="I897" t="s">
        <v>101</v>
      </c>
      <c r="J897">
        <v>97303.23</v>
      </c>
      <c r="K897">
        <v>10000000</v>
      </c>
    </row>
    <row r="898" spans="1:11" ht="12.75" customHeight="1" x14ac:dyDescent="0.2">
      <c r="A898" t="s">
        <v>1892</v>
      </c>
      <c r="B898" t="s">
        <v>734</v>
      </c>
      <c r="C898">
        <v>2024</v>
      </c>
      <c r="D898">
        <v>2023</v>
      </c>
      <c r="E898" s="7">
        <v>45332</v>
      </c>
      <c r="F898" s="7">
        <v>45697</v>
      </c>
      <c r="G898" t="s">
        <v>135</v>
      </c>
      <c r="H898" t="s">
        <v>109</v>
      </c>
      <c r="I898" t="s">
        <v>101</v>
      </c>
      <c r="J898">
        <v>13918.01</v>
      </c>
      <c r="K898">
        <v>2000000</v>
      </c>
    </row>
    <row r="899" spans="1:11" ht="12.75" customHeight="1" x14ac:dyDescent="0.2">
      <c r="A899" t="s">
        <v>1893</v>
      </c>
      <c r="B899" t="s">
        <v>6419</v>
      </c>
      <c r="C899">
        <v>2024</v>
      </c>
      <c r="D899">
        <v>2023</v>
      </c>
      <c r="E899" s="7">
        <v>45332</v>
      </c>
      <c r="F899" s="7">
        <v>45697</v>
      </c>
      <c r="G899" t="s">
        <v>135</v>
      </c>
      <c r="H899" t="s">
        <v>106</v>
      </c>
      <c r="I899" t="s">
        <v>104</v>
      </c>
      <c r="J899">
        <v>14461.4</v>
      </c>
      <c r="K899">
        <v>2000000</v>
      </c>
    </row>
    <row r="900" spans="1:11" ht="12.75" customHeight="1" x14ac:dyDescent="0.2">
      <c r="A900" t="s">
        <v>1894</v>
      </c>
      <c r="B900" t="s">
        <v>8050</v>
      </c>
      <c r="C900">
        <v>2024</v>
      </c>
      <c r="D900">
        <v>2023</v>
      </c>
      <c r="E900" s="7">
        <v>45332</v>
      </c>
      <c r="F900" s="7">
        <v>45697</v>
      </c>
      <c r="G900" t="s">
        <v>135</v>
      </c>
      <c r="H900" t="s">
        <v>106</v>
      </c>
      <c r="I900" t="s">
        <v>101</v>
      </c>
      <c r="J900">
        <v>8908.18</v>
      </c>
      <c r="K900">
        <v>1000000</v>
      </c>
    </row>
    <row r="901" spans="1:11" ht="12.75" customHeight="1" x14ac:dyDescent="0.2">
      <c r="A901" t="s">
        <v>1895</v>
      </c>
      <c r="B901" t="s">
        <v>8051</v>
      </c>
      <c r="C901">
        <v>2024</v>
      </c>
      <c r="D901">
        <v>2023</v>
      </c>
      <c r="E901" s="7">
        <v>45332</v>
      </c>
      <c r="F901" s="7">
        <v>45697</v>
      </c>
      <c r="G901" t="s">
        <v>135</v>
      </c>
      <c r="H901" t="s">
        <v>107</v>
      </c>
      <c r="I901" t="s">
        <v>104</v>
      </c>
      <c r="J901">
        <v>5863.71</v>
      </c>
      <c r="K901">
        <v>1000000</v>
      </c>
    </row>
    <row r="902" spans="1:11" ht="12.75" customHeight="1" x14ac:dyDescent="0.2">
      <c r="A902" t="s">
        <v>1896</v>
      </c>
      <c r="B902" t="s">
        <v>8052</v>
      </c>
      <c r="C902">
        <v>2024</v>
      </c>
      <c r="D902">
        <v>2023</v>
      </c>
      <c r="E902" s="7">
        <v>45332</v>
      </c>
      <c r="F902" s="7">
        <v>45697</v>
      </c>
      <c r="G902" t="s">
        <v>135</v>
      </c>
      <c r="H902" t="s">
        <v>107</v>
      </c>
      <c r="I902" t="s">
        <v>104</v>
      </c>
      <c r="J902">
        <v>3115.27</v>
      </c>
      <c r="K902">
        <v>500000</v>
      </c>
    </row>
    <row r="903" spans="1:11" ht="12.75" customHeight="1" x14ac:dyDescent="0.2">
      <c r="A903" t="s">
        <v>1898</v>
      </c>
      <c r="B903" t="s">
        <v>6461</v>
      </c>
      <c r="C903">
        <v>2024</v>
      </c>
      <c r="D903">
        <v>2023</v>
      </c>
      <c r="E903" s="7">
        <v>45332</v>
      </c>
      <c r="F903" s="7">
        <v>45697</v>
      </c>
      <c r="G903" t="s">
        <v>135</v>
      </c>
      <c r="H903" t="s">
        <v>102</v>
      </c>
      <c r="I903" t="s">
        <v>104</v>
      </c>
      <c r="J903">
        <v>28969.47</v>
      </c>
      <c r="K903">
        <v>5000000</v>
      </c>
    </row>
    <row r="904" spans="1:11" ht="12.75" customHeight="1" x14ac:dyDescent="0.2">
      <c r="A904" t="s">
        <v>1900</v>
      </c>
      <c r="B904" t="s">
        <v>141</v>
      </c>
      <c r="C904">
        <v>2024</v>
      </c>
      <c r="D904">
        <v>2023</v>
      </c>
      <c r="E904" s="7">
        <v>45332</v>
      </c>
      <c r="F904" s="7">
        <v>45697</v>
      </c>
      <c r="G904" t="s">
        <v>135</v>
      </c>
      <c r="H904" t="s">
        <v>106</v>
      </c>
      <c r="I904" t="s">
        <v>101</v>
      </c>
      <c r="J904">
        <v>13752.68</v>
      </c>
      <c r="K904">
        <v>1500000</v>
      </c>
    </row>
    <row r="905" spans="1:11" ht="12.75" customHeight="1" x14ac:dyDescent="0.2">
      <c r="A905" t="s">
        <v>1902</v>
      </c>
      <c r="B905" t="s">
        <v>457</v>
      </c>
      <c r="C905">
        <v>2024</v>
      </c>
      <c r="D905">
        <v>2023</v>
      </c>
      <c r="E905" s="7">
        <v>45332</v>
      </c>
      <c r="F905" s="7">
        <v>45697</v>
      </c>
      <c r="G905" t="s">
        <v>135</v>
      </c>
      <c r="H905" t="s">
        <v>102</v>
      </c>
      <c r="I905" t="s">
        <v>101</v>
      </c>
      <c r="J905">
        <v>11464.38</v>
      </c>
      <c r="K905">
        <v>1500000</v>
      </c>
    </row>
    <row r="906" spans="1:11" ht="12.75" customHeight="1" x14ac:dyDescent="0.2">
      <c r="A906" t="s">
        <v>1904</v>
      </c>
      <c r="B906" t="s">
        <v>458</v>
      </c>
      <c r="C906">
        <v>2024</v>
      </c>
      <c r="D906">
        <v>2023</v>
      </c>
      <c r="E906" s="7">
        <v>45332</v>
      </c>
      <c r="F906" s="7">
        <v>45697</v>
      </c>
      <c r="G906" t="s">
        <v>135</v>
      </c>
      <c r="H906" t="s">
        <v>108</v>
      </c>
      <c r="I906" t="s">
        <v>104</v>
      </c>
      <c r="J906">
        <v>13608.87</v>
      </c>
      <c r="K906">
        <v>2000000</v>
      </c>
    </row>
    <row r="907" spans="1:11" ht="12.75" customHeight="1" x14ac:dyDescent="0.2">
      <c r="A907" t="s">
        <v>1906</v>
      </c>
      <c r="B907" t="s">
        <v>8053</v>
      </c>
      <c r="C907">
        <v>2024</v>
      </c>
      <c r="D907">
        <v>2023</v>
      </c>
      <c r="E907" s="7">
        <v>45332</v>
      </c>
      <c r="F907" s="7">
        <v>45697</v>
      </c>
      <c r="G907" t="s">
        <v>135</v>
      </c>
      <c r="H907" t="s">
        <v>110</v>
      </c>
      <c r="I907" t="s">
        <v>104</v>
      </c>
      <c r="J907">
        <v>70783.77</v>
      </c>
      <c r="K907">
        <v>10000000</v>
      </c>
    </row>
    <row r="908" spans="1:11" ht="12.75" customHeight="1" x14ac:dyDescent="0.2">
      <c r="A908" t="s">
        <v>1907</v>
      </c>
      <c r="B908" t="s">
        <v>1576</v>
      </c>
      <c r="C908">
        <v>2024</v>
      </c>
      <c r="D908">
        <v>2023</v>
      </c>
      <c r="E908" s="7">
        <v>45333</v>
      </c>
      <c r="F908" s="7">
        <v>45698</v>
      </c>
      <c r="G908" t="s">
        <v>99</v>
      </c>
      <c r="H908" t="s">
        <v>110</v>
      </c>
      <c r="I908" t="s">
        <v>101</v>
      </c>
      <c r="J908">
        <v>14672.53</v>
      </c>
      <c r="K908">
        <v>1500000</v>
      </c>
    </row>
    <row r="909" spans="1:11" ht="12.75" customHeight="1" x14ac:dyDescent="0.2">
      <c r="A909" t="s">
        <v>1908</v>
      </c>
      <c r="B909" t="s">
        <v>6445</v>
      </c>
      <c r="C909">
        <v>2024</v>
      </c>
      <c r="D909">
        <v>2023</v>
      </c>
      <c r="E909" s="7">
        <v>45333</v>
      </c>
      <c r="F909" s="7">
        <v>45698</v>
      </c>
      <c r="G909" t="s">
        <v>135</v>
      </c>
      <c r="H909" t="s">
        <v>110</v>
      </c>
      <c r="I909" t="s">
        <v>101</v>
      </c>
      <c r="J909">
        <v>12433.66</v>
      </c>
      <c r="K909">
        <v>1500000</v>
      </c>
    </row>
    <row r="910" spans="1:11" ht="12.75" customHeight="1" x14ac:dyDescent="0.2">
      <c r="A910" t="s">
        <v>1909</v>
      </c>
      <c r="B910" t="s">
        <v>8054</v>
      </c>
      <c r="C910">
        <v>2024</v>
      </c>
      <c r="D910">
        <v>2023</v>
      </c>
      <c r="E910" s="7">
        <v>45333</v>
      </c>
      <c r="F910" s="7">
        <v>45698</v>
      </c>
      <c r="G910" t="s">
        <v>135</v>
      </c>
      <c r="H910" t="s">
        <v>106</v>
      </c>
      <c r="I910" t="s">
        <v>104</v>
      </c>
      <c r="J910">
        <v>15142.72</v>
      </c>
      <c r="K910">
        <v>2000000</v>
      </c>
    </row>
    <row r="911" spans="1:11" ht="12.75" customHeight="1" x14ac:dyDescent="0.2">
      <c r="A911" t="s">
        <v>1910</v>
      </c>
      <c r="B911" t="s">
        <v>8055</v>
      </c>
      <c r="C911">
        <v>2024</v>
      </c>
      <c r="D911">
        <v>2023</v>
      </c>
      <c r="E911" s="7">
        <v>45333</v>
      </c>
      <c r="F911" s="7">
        <v>45698</v>
      </c>
      <c r="G911" t="s">
        <v>135</v>
      </c>
      <c r="H911" t="s">
        <v>115</v>
      </c>
      <c r="I911" t="s">
        <v>101</v>
      </c>
      <c r="J911">
        <v>3760.24</v>
      </c>
      <c r="K911">
        <v>500000</v>
      </c>
    </row>
    <row r="912" spans="1:11" ht="12.75" customHeight="1" x14ac:dyDescent="0.2">
      <c r="A912" t="s">
        <v>1911</v>
      </c>
      <c r="B912" t="s">
        <v>8056</v>
      </c>
      <c r="C912">
        <v>2024</v>
      </c>
      <c r="D912">
        <v>2023</v>
      </c>
      <c r="E912" s="7">
        <v>45333</v>
      </c>
      <c r="F912" s="7">
        <v>45698</v>
      </c>
      <c r="G912" t="s">
        <v>135</v>
      </c>
      <c r="H912" t="s">
        <v>115</v>
      </c>
      <c r="I912" t="s">
        <v>101</v>
      </c>
      <c r="J912">
        <v>38553.199999999997</v>
      </c>
      <c r="K912">
        <v>5000000</v>
      </c>
    </row>
    <row r="913" spans="1:11" ht="12.75" customHeight="1" x14ac:dyDescent="0.2">
      <c r="A913" t="s">
        <v>1912</v>
      </c>
      <c r="B913" t="s">
        <v>8057</v>
      </c>
      <c r="C913">
        <v>2024</v>
      </c>
      <c r="D913">
        <v>2023</v>
      </c>
      <c r="E913" s="7">
        <v>45333</v>
      </c>
      <c r="F913" s="7">
        <v>45698</v>
      </c>
      <c r="G913" t="s">
        <v>135</v>
      </c>
      <c r="H913" t="s">
        <v>103</v>
      </c>
      <c r="I913" t="s">
        <v>104</v>
      </c>
      <c r="J913">
        <v>5953.38</v>
      </c>
      <c r="K913">
        <v>1000000</v>
      </c>
    </row>
    <row r="914" spans="1:11" ht="12.75" customHeight="1" x14ac:dyDescent="0.2">
      <c r="A914" t="s">
        <v>1913</v>
      </c>
      <c r="B914" t="s">
        <v>8058</v>
      </c>
      <c r="C914">
        <v>2024</v>
      </c>
      <c r="D914">
        <v>2023</v>
      </c>
      <c r="E914" s="7">
        <v>45333</v>
      </c>
      <c r="F914" s="7">
        <v>45698</v>
      </c>
      <c r="G914" t="s">
        <v>135</v>
      </c>
      <c r="H914" t="s">
        <v>102</v>
      </c>
      <c r="I914" t="s">
        <v>101</v>
      </c>
      <c r="J914">
        <v>10802.09</v>
      </c>
      <c r="K914">
        <v>1500000</v>
      </c>
    </row>
    <row r="915" spans="1:11" ht="12.75" customHeight="1" x14ac:dyDescent="0.2">
      <c r="A915" t="s">
        <v>1915</v>
      </c>
      <c r="B915" t="s">
        <v>8059</v>
      </c>
      <c r="C915">
        <v>2024</v>
      </c>
      <c r="D915">
        <v>2023</v>
      </c>
      <c r="E915" s="7">
        <v>45333</v>
      </c>
      <c r="F915" s="7">
        <v>45698</v>
      </c>
      <c r="G915" t="s">
        <v>135</v>
      </c>
      <c r="H915" t="s">
        <v>106</v>
      </c>
      <c r="I915" t="s">
        <v>104</v>
      </c>
      <c r="J915">
        <v>14302.54</v>
      </c>
      <c r="K915">
        <v>2000000</v>
      </c>
    </row>
    <row r="916" spans="1:11" ht="12.75" customHeight="1" x14ac:dyDescent="0.2">
      <c r="A916" t="s">
        <v>1917</v>
      </c>
      <c r="B916" t="s">
        <v>8060</v>
      </c>
      <c r="C916">
        <v>2024</v>
      </c>
      <c r="D916">
        <v>2023</v>
      </c>
      <c r="E916" s="7">
        <v>45333</v>
      </c>
      <c r="F916" s="7">
        <v>45698</v>
      </c>
      <c r="G916" t="s">
        <v>135</v>
      </c>
      <c r="H916" t="s">
        <v>106</v>
      </c>
      <c r="I916" t="s">
        <v>104</v>
      </c>
      <c r="J916">
        <v>13952.31</v>
      </c>
      <c r="K916">
        <v>2000000</v>
      </c>
    </row>
    <row r="917" spans="1:11" ht="12.75" customHeight="1" x14ac:dyDescent="0.2">
      <c r="A917" t="s">
        <v>1918</v>
      </c>
      <c r="B917" t="s">
        <v>8061</v>
      </c>
      <c r="C917">
        <v>2024</v>
      </c>
      <c r="D917">
        <v>2023</v>
      </c>
      <c r="E917" s="7">
        <v>45333</v>
      </c>
      <c r="F917" s="7">
        <v>45698</v>
      </c>
      <c r="G917" t="s">
        <v>135</v>
      </c>
      <c r="H917" t="s">
        <v>106</v>
      </c>
      <c r="I917" t="s">
        <v>104</v>
      </c>
      <c r="J917">
        <v>7315.21</v>
      </c>
      <c r="K917">
        <v>1000000</v>
      </c>
    </row>
    <row r="918" spans="1:11" ht="12.75" customHeight="1" x14ac:dyDescent="0.2">
      <c r="A918" t="s">
        <v>1919</v>
      </c>
      <c r="B918" t="s">
        <v>8062</v>
      </c>
      <c r="C918">
        <v>2024</v>
      </c>
      <c r="D918">
        <v>2023</v>
      </c>
      <c r="E918" s="7">
        <v>45333</v>
      </c>
      <c r="F918" s="7">
        <v>45698</v>
      </c>
      <c r="G918" t="s">
        <v>135</v>
      </c>
      <c r="H918" t="s">
        <v>112</v>
      </c>
      <c r="I918" t="s">
        <v>101</v>
      </c>
      <c r="J918">
        <v>41247.839999999997</v>
      </c>
      <c r="K918">
        <v>5000000</v>
      </c>
    </row>
    <row r="919" spans="1:11" ht="12.75" customHeight="1" x14ac:dyDescent="0.2">
      <c r="A919" t="s">
        <v>1920</v>
      </c>
      <c r="B919" t="s">
        <v>8063</v>
      </c>
      <c r="C919">
        <v>2024</v>
      </c>
      <c r="D919">
        <v>2023</v>
      </c>
      <c r="E919" s="7">
        <v>45333</v>
      </c>
      <c r="F919" s="7">
        <v>45698</v>
      </c>
      <c r="G919" t="s">
        <v>135</v>
      </c>
      <c r="H919" t="s">
        <v>109</v>
      </c>
      <c r="I919" t="s">
        <v>101</v>
      </c>
      <c r="J919">
        <v>68825.320000000007</v>
      </c>
      <c r="K919">
        <v>10000000</v>
      </c>
    </row>
    <row r="920" spans="1:11" ht="12.75" customHeight="1" x14ac:dyDescent="0.2">
      <c r="A920" t="s">
        <v>1921</v>
      </c>
      <c r="B920" t="s">
        <v>257</v>
      </c>
      <c r="C920">
        <v>2024</v>
      </c>
      <c r="D920">
        <v>2023</v>
      </c>
      <c r="E920" s="7">
        <v>45333</v>
      </c>
      <c r="F920" s="7">
        <v>45698</v>
      </c>
      <c r="G920" t="s">
        <v>135</v>
      </c>
      <c r="H920" t="s">
        <v>102</v>
      </c>
      <c r="I920" t="s">
        <v>101</v>
      </c>
      <c r="J920">
        <v>13707.5</v>
      </c>
      <c r="K920">
        <v>2000000</v>
      </c>
    </row>
    <row r="921" spans="1:11" ht="12.75" customHeight="1" x14ac:dyDescent="0.2">
      <c r="A921" t="s">
        <v>1923</v>
      </c>
      <c r="B921" t="s">
        <v>459</v>
      </c>
      <c r="C921">
        <v>2024</v>
      </c>
      <c r="D921">
        <v>2023</v>
      </c>
      <c r="E921" s="7">
        <v>45333</v>
      </c>
      <c r="F921" s="7">
        <v>45698</v>
      </c>
      <c r="G921" t="s">
        <v>135</v>
      </c>
      <c r="H921" t="s">
        <v>113</v>
      </c>
      <c r="I921" t="s">
        <v>104</v>
      </c>
      <c r="J921">
        <v>8967.2900000000009</v>
      </c>
      <c r="K921">
        <v>1500000</v>
      </c>
    </row>
    <row r="922" spans="1:11" ht="12.75" customHeight="1" x14ac:dyDescent="0.2">
      <c r="A922" t="s">
        <v>1925</v>
      </c>
      <c r="B922" t="s">
        <v>735</v>
      </c>
      <c r="C922">
        <v>2024</v>
      </c>
      <c r="D922">
        <v>2023</v>
      </c>
      <c r="E922" s="7">
        <v>45333</v>
      </c>
      <c r="F922" s="7">
        <v>45698</v>
      </c>
      <c r="G922" t="s">
        <v>135</v>
      </c>
      <c r="H922" t="s">
        <v>108</v>
      </c>
      <c r="I922" t="s">
        <v>101</v>
      </c>
      <c r="J922">
        <v>85383.89</v>
      </c>
      <c r="K922">
        <v>10000000</v>
      </c>
    </row>
    <row r="923" spans="1:11" ht="12.75" customHeight="1" x14ac:dyDescent="0.2">
      <c r="A923" t="s">
        <v>1927</v>
      </c>
      <c r="B923" t="s">
        <v>8064</v>
      </c>
      <c r="C923">
        <v>2024</v>
      </c>
      <c r="D923">
        <v>2023</v>
      </c>
      <c r="E923" s="7">
        <v>45333</v>
      </c>
      <c r="F923" s="7">
        <v>45698</v>
      </c>
      <c r="G923" t="s">
        <v>135</v>
      </c>
      <c r="H923" t="s">
        <v>106</v>
      </c>
      <c r="I923" t="s">
        <v>101</v>
      </c>
      <c r="J923">
        <v>8188.74</v>
      </c>
      <c r="K923">
        <v>1000000</v>
      </c>
    </row>
    <row r="924" spans="1:11" ht="12.75" customHeight="1" x14ac:dyDescent="0.2">
      <c r="A924" t="s">
        <v>1928</v>
      </c>
      <c r="B924" t="s">
        <v>1596</v>
      </c>
      <c r="C924">
        <v>2024</v>
      </c>
      <c r="D924">
        <v>2023</v>
      </c>
      <c r="E924" s="7">
        <v>45334</v>
      </c>
      <c r="F924" s="7">
        <v>45699</v>
      </c>
      <c r="G924" t="s">
        <v>99</v>
      </c>
      <c r="H924" t="s">
        <v>103</v>
      </c>
      <c r="I924" t="s">
        <v>101</v>
      </c>
      <c r="J924">
        <v>7704.57</v>
      </c>
      <c r="K924">
        <v>1000000</v>
      </c>
    </row>
    <row r="925" spans="1:11" ht="12.75" customHeight="1" x14ac:dyDescent="0.2">
      <c r="A925" t="s">
        <v>1929</v>
      </c>
      <c r="B925" t="s">
        <v>1598</v>
      </c>
      <c r="C925">
        <v>2024</v>
      </c>
      <c r="D925">
        <v>2023</v>
      </c>
      <c r="E925" s="7">
        <v>45334</v>
      </c>
      <c r="F925" s="7">
        <v>45699</v>
      </c>
      <c r="G925" t="s">
        <v>99</v>
      </c>
      <c r="H925" t="s">
        <v>100</v>
      </c>
      <c r="I925" t="s">
        <v>101</v>
      </c>
      <c r="J925">
        <v>3265.57</v>
      </c>
      <c r="K925">
        <v>500000</v>
      </c>
    </row>
    <row r="926" spans="1:11" ht="12.75" customHeight="1" x14ac:dyDescent="0.2">
      <c r="A926" t="s">
        <v>1930</v>
      </c>
      <c r="B926" t="s">
        <v>1600</v>
      </c>
      <c r="C926">
        <v>2024</v>
      </c>
      <c r="D926">
        <v>2023</v>
      </c>
      <c r="E926" s="7">
        <v>45334</v>
      </c>
      <c r="F926" s="7">
        <v>45699</v>
      </c>
      <c r="G926" t="s">
        <v>99</v>
      </c>
      <c r="H926" t="s">
        <v>102</v>
      </c>
      <c r="I926" t="s">
        <v>101</v>
      </c>
      <c r="J926">
        <v>7231.35</v>
      </c>
      <c r="K926">
        <v>1000000</v>
      </c>
    </row>
    <row r="927" spans="1:11" ht="12.75" customHeight="1" x14ac:dyDescent="0.2">
      <c r="A927" t="s">
        <v>1931</v>
      </c>
      <c r="B927" t="s">
        <v>1602</v>
      </c>
      <c r="C927">
        <v>2024</v>
      </c>
      <c r="D927">
        <v>2023</v>
      </c>
      <c r="E927" s="7">
        <v>45334</v>
      </c>
      <c r="F927" s="7">
        <v>45699</v>
      </c>
      <c r="G927" t="s">
        <v>99</v>
      </c>
      <c r="H927" t="s">
        <v>102</v>
      </c>
      <c r="I927" t="s">
        <v>101</v>
      </c>
      <c r="J927">
        <v>11350.86</v>
      </c>
      <c r="K927">
        <v>1500000</v>
      </c>
    </row>
    <row r="928" spans="1:11" ht="12.75" customHeight="1" x14ac:dyDescent="0.2">
      <c r="A928" t="s">
        <v>1932</v>
      </c>
      <c r="B928" t="s">
        <v>8065</v>
      </c>
      <c r="C928">
        <v>2024</v>
      </c>
      <c r="D928">
        <v>2023</v>
      </c>
      <c r="E928" s="7">
        <v>45334</v>
      </c>
      <c r="F928" s="7">
        <v>45699</v>
      </c>
      <c r="G928" t="s">
        <v>135</v>
      </c>
      <c r="H928" t="s">
        <v>6334</v>
      </c>
      <c r="I928" t="s">
        <v>101</v>
      </c>
      <c r="J928">
        <v>7515.15</v>
      </c>
      <c r="K928">
        <v>1000000</v>
      </c>
    </row>
    <row r="929" spans="1:11" ht="12.75" customHeight="1" x14ac:dyDescent="0.2">
      <c r="A929" t="s">
        <v>1933</v>
      </c>
      <c r="B929" t="s">
        <v>8066</v>
      </c>
      <c r="C929">
        <v>2024</v>
      </c>
      <c r="D929">
        <v>2023</v>
      </c>
      <c r="E929" s="7">
        <v>45334</v>
      </c>
      <c r="F929" s="7">
        <v>45699</v>
      </c>
      <c r="G929" t="s">
        <v>135</v>
      </c>
      <c r="H929" t="s">
        <v>107</v>
      </c>
      <c r="I929" t="s">
        <v>101</v>
      </c>
      <c r="J929">
        <v>7655.35</v>
      </c>
      <c r="K929">
        <v>1000000</v>
      </c>
    </row>
    <row r="930" spans="1:11" ht="12.75" customHeight="1" x14ac:dyDescent="0.2">
      <c r="A930" t="s">
        <v>1934</v>
      </c>
      <c r="B930" t="s">
        <v>8067</v>
      </c>
      <c r="C930">
        <v>2024</v>
      </c>
      <c r="D930">
        <v>2023</v>
      </c>
      <c r="E930" s="7">
        <v>45334</v>
      </c>
      <c r="F930" s="7">
        <v>45699</v>
      </c>
      <c r="G930" t="s">
        <v>135</v>
      </c>
      <c r="H930" t="s">
        <v>111</v>
      </c>
      <c r="I930" t="s">
        <v>101</v>
      </c>
      <c r="J930">
        <v>9877.07</v>
      </c>
      <c r="K930">
        <v>1500000</v>
      </c>
    </row>
    <row r="931" spans="1:11" ht="12.75" customHeight="1" x14ac:dyDescent="0.2">
      <c r="A931" t="s">
        <v>1935</v>
      </c>
      <c r="B931" t="s">
        <v>8068</v>
      </c>
      <c r="C931">
        <v>2024</v>
      </c>
      <c r="D931">
        <v>2023</v>
      </c>
      <c r="E931" s="7">
        <v>45334</v>
      </c>
      <c r="F931" s="7">
        <v>45699</v>
      </c>
      <c r="G931" t="s">
        <v>135</v>
      </c>
      <c r="H931" t="s">
        <v>106</v>
      </c>
      <c r="I931" t="s">
        <v>101</v>
      </c>
      <c r="J931">
        <v>18206.77</v>
      </c>
      <c r="K931">
        <v>2000000</v>
      </c>
    </row>
    <row r="932" spans="1:11" ht="12.75" customHeight="1" x14ac:dyDescent="0.2">
      <c r="A932" t="s">
        <v>1936</v>
      </c>
      <c r="B932" t="s">
        <v>8069</v>
      </c>
      <c r="C932">
        <v>2024</v>
      </c>
      <c r="D932">
        <v>2023</v>
      </c>
      <c r="E932" s="7">
        <v>45334</v>
      </c>
      <c r="F932" s="7">
        <v>45699</v>
      </c>
      <c r="G932" t="s">
        <v>135</v>
      </c>
      <c r="H932" t="s">
        <v>106</v>
      </c>
      <c r="I932" t="s">
        <v>104</v>
      </c>
      <c r="J932">
        <v>7435.19</v>
      </c>
      <c r="K932">
        <v>1000000</v>
      </c>
    </row>
    <row r="933" spans="1:11" ht="12.75" customHeight="1" x14ac:dyDescent="0.2">
      <c r="A933" t="s">
        <v>1937</v>
      </c>
      <c r="B933" t="s">
        <v>117</v>
      </c>
      <c r="C933">
        <v>2024</v>
      </c>
      <c r="D933">
        <v>2023</v>
      </c>
      <c r="E933" s="7">
        <v>45334</v>
      </c>
      <c r="F933" s="7">
        <v>45699</v>
      </c>
      <c r="G933" t="s">
        <v>135</v>
      </c>
      <c r="H933" t="s">
        <v>102</v>
      </c>
      <c r="I933" t="s">
        <v>104</v>
      </c>
      <c r="J933">
        <v>11935.68</v>
      </c>
      <c r="K933">
        <v>2000000</v>
      </c>
    </row>
    <row r="934" spans="1:11" ht="12.75" customHeight="1" x14ac:dyDescent="0.2">
      <c r="A934" t="s">
        <v>1939</v>
      </c>
      <c r="B934" t="s">
        <v>8070</v>
      </c>
      <c r="C934">
        <v>2024</v>
      </c>
      <c r="D934">
        <v>2023</v>
      </c>
      <c r="E934" s="7">
        <v>45334</v>
      </c>
      <c r="F934" s="7">
        <v>45699</v>
      </c>
      <c r="G934" t="s">
        <v>135</v>
      </c>
      <c r="H934" t="s">
        <v>107</v>
      </c>
      <c r="I934" t="s">
        <v>104</v>
      </c>
      <c r="J934">
        <v>26526.57</v>
      </c>
      <c r="K934">
        <v>5000000</v>
      </c>
    </row>
    <row r="935" spans="1:11" ht="12.75" customHeight="1" x14ac:dyDescent="0.2">
      <c r="A935" t="s">
        <v>1941</v>
      </c>
      <c r="B935" t="s">
        <v>8071</v>
      </c>
      <c r="C935">
        <v>2024</v>
      </c>
      <c r="D935">
        <v>2023</v>
      </c>
      <c r="E935" s="7">
        <v>45334</v>
      </c>
      <c r="F935" s="7">
        <v>45699</v>
      </c>
      <c r="G935" t="s">
        <v>135</v>
      </c>
      <c r="H935" t="s">
        <v>106</v>
      </c>
      <c r="I935" t="s">
        <v>104</v>
      </c>
      <c r="J935">
        <v>75956.25</v>
      </c>
      <c r="K935">
        <v>10000000</v>
      </c>
    </row>
    <row r="936" spans="1:11" ht="12.75" customHeight="1" x14ac:dyDescent="0.2">
      <c r="A936" t="s">
        <v>1943</v>
      </c>
      <c r="B936" t="s">
        <v>8072</v>
      </c>
      <c r="C936">
        <v>2024</v>
      </c>
      <c r="D936">
        <v>2023</v>
      </c>
      <c r="E936" s="7">
        <v>45334</v>
      </c>
      <c r="F936" s="7">
        <v>45699</v>
      </c>
      <c r="G936" t="s">
        <v>135</v>
      </c>
      <c r="H936" t="s">
        <v>106</v>
      </c>
      <c r="I936" t="s">
        <v>101</v>
      </c>
      <c r="J936">
        <v>9166.98</v>
      </c>
      <c r="K936">
        <v>1000000</v>
      </c>
    </row>
    <row r="937" spans="1:11" ht="12.75" customHeight="1" x14ac:dyDescent="0.2">
      <c r="A937" t="s">
        <v>1945</v>
      </c>
      <c r="B937" t="s">
        <v>8073</v>
      </c>
      <c r="C937">
        <v>2024</v>
      </c>
      <c r="D937">
        <v>2023</v>
      </c>
      <c r="E937" s="7">
        <v>45334</v>
      </c>
      <c r="F937" s="7">
        <v>45699</v>
      </c>
      <c r="G937" t="s">
        <v>135</v>
      </c>
      <c r="H937" t="s">
        <v>107</v>
      </c>
      <c r="I937" t="s">
        <v>101</v>
      </c>
      <c r="J937">
        <v>37480.339999999997</v>
      </c>
      <c r="K937">
        <v>5000000</v>
      </c>
    </row>
    <row r="938" spans="1:11" ht="12.75" customHeight="1" x14ac:dyDescent="0.2">
      <c r="A938" t="s">
        <v>1947</v>
      </c>
      <c r="B938" t="s">
        <v>736</v>
      </c>
      <c r="C938">
        <v>2024</v>
      </c>
      <c r="D938">
        <v>2023</v>
      </c>
      <c r="E938" s="7">
        <v>45334</v>
      </c>
      <c r="F938" s="7">
        <v>45699</v>
      </c>
      <c r="G938" t="s">
        <v>135</v>
      </c>
      <c r="H938" t="s">
        <v>6334</v>
      </c>
      <c r="I938" t="s">
        <v>104</v>
      </c>
      <c r="J938">
        <v>55331.14</v>
      </c>
      <c r="K938">
        <v>10000000</v>
      </c>
    </row>
    <row r="939" spans="1:11" ht="12.75" customHeight="1" x14ac:dyDescent="0.2">
      <c r="A939" t="s">
        <v>1949</v>
      </c>
      <c r="B939" t="s">
        <v>737</v>
      </c>
      <c r="C939">
        <v>2024</v>
      </c>
      <c r="D939">
        <v>2023</v>
      </c>
      <c r="E939" s="7">
        <v>45334</v>
      </c>
      <c r="F939" s="7">
        <v>45699</v>
      </c>
      <c r="G939" t="s">
        <v>135</v>
      </c>
      <c r="H939" t="s">
        <v>109</v>
      </c>
      <c r="I939" t="s">
        <v>104</v>
      </c>
      <c r="J939">
        <v>27041.5</v>
      </c>
      <c r="K939">
        <v>5000000</v>
      </c>
    </row>
    <row r="940" spans="1:11" ht="12.75" customHeight="1" x14ac:dyDescent="0.2">
      <c r="A940" t="s">
        <v>1950</v>
      </c>
      <c r="B940" t="s">
        <v>6462</v>
      </c>
      <c r="C940">
        <v>2024</v>
      </c>
      <c r="D940">
        <v>2023</v>
      </c>
      <c r="E940" s="7">
        <v>45334</v>
      </c>
      <c r="F940" s="7">
        <v>45699</v>
      </c>
      <c r="G940" t="s">
        <v>135</v>
      </c>
      <c r="H940" t="s">
        <v>106</v>
      </c>
      <c r="I940" t="s">
        <v>101</v>
      </c>
      <c r="J940">
        <v>88950.94</v>
      </c>
      <c r="K940">
        <v>10000000</v>
      </c>
    </row>
    <row r="941" spans="1:11" ht="12.75" customHeight="1" x14ac:dyDescent="0.2">
      <c r="A941" t="s">
        <v>1951</v>
      </c>
      <c r="B941" t="s">
        <v>6440</v>
      </c>
      <c r="C941">
        <v>2024</v>
      </c>
      <c r="D941">
        <v>2023</v>
      </c>
      <c r="E941" s="7">
        <v>45334</v>
      </c>
      <c r="F941" s="7">
        <v>45699</v>
      </c>
      <c r="G941" t="s">
        <v>135</v>
      </c>
      <c r="H941" t="s">
        <v>113</v>
      </c>
      <c r="I941" t="s">
        <v>101</v>
      </c>
      <c r="J941">
        <v>7670.79</v>
      </c>
      <c r="K941">
        <v>1000000</v>
      </c>
    </row>
    <row r="942" spans="1:11" ht="12.75" customHeight="1" x14ac:dyDescent="0.2">
      <c r="A942" t="s">
        <v>1952</v>
      </c>
      <c r="B942" t="s">
        <v>6447</v>
      </c>
      <c r="C942">
        <v>2024</v>
      </c>
      <c r="D942">
        <v>2023</v>
      </c>
      <c r="E942" s="7">
        <v>45334</v>
      </c>
      <c r="F942" s="7">
        <v>45699</v>
      </c>
      <c r="G942" t="s">
        <v>135</v>
      </c>
      <c r="H942" t="s">
        <v>113</v>
      </c>
      <c r="I942" t="s">
        <v>101</v>
      </c>
      <c r="J942">
        <v>15267.47</v>
      </c>
      <c r="K942">
        <v>2000000</v>
      </c>
    </row>
    <row r="943" spans="1:11" ht="12.75" customHeight="1" x14ac:dyDescent="0.2">
      <c r="A943" t="s">
        <v>1953</v>
      </c>
      <c r="B943" t="s">
        <v>1615</v>
      </c>
      <c r="C943">
        <v>2024</v>
      </c>
      <c r="D943">
        <v>2023</v>
      </c>
      <c r="E943" s="7">
        <v>45335</v>
      </c>
      <c r="F943" s="7">
        <v>45700</v>
      </c>
      <c r="G943" t="s">
        <v>99</v>
      </c>
      <c r="H943" t="s">
        <v>109</v>
      </c>
      <c r="I943" t="s">
        <v>104</v>
      </c>
      <c r="J943">
        <v>5729.12</v>
      </c>
      <c r="K943">
        <v>1000000</v>
      </c>
    </row>
    <row r="944" spans="1:11" ht="12.75" customHeight="1" x14ac:dyDescent="0.2">
      <c r="A944" t="s">
        <v>1954</v>
      </c>
      <c r="B944" t="s">
        <v>1617</v>
      </c>
      <c r="C944">
        <v>2024</v>
      </c>
      <c r="D944">
        <v>2023</v>
      </c>
      <c r="E944" s="7">
        <v>45335</v>
      </c>
      <c r="F944" s="7">
        <v>45700</v>
      </c>
      <c r="G944" t="s">
        <v>99</v>
      </c>
      <c r="H944" t="s">
        <v>113</v>
      </c>
      <c r="I944" t="s">
        <v>104</v>
      </c>
      <c r="J944">
        <v>5493.56</v>
      </c>
      <c r="K944">
        <v>1000000</v>
      </c>
    </row>
    <row r="945" spans="1:11" ht="12.75" customHeight="1" x14ac:dyDescent="0.2">
      <c r="A945" t="s">
        <v>1955</v>
      </c>
      <c r="B945" t="s">
        <v>738</v>
      </c>
      <c r="C945">
        <v>2024</v>
      </c>
      <c r="D945">
        <v>2023</v>
      </c>
      <c r="E945" s="7">
        <v>45335</v>
      </c>
      <c r="F945" s="7">
        <v>45700</v>
      </c>
      <c r="G945" t="s">
        <v>135</v>
      </c>
      <c r="H945" t="s">
        <v>115</v>
      </c>
      <c r="I945" t="s">
        <v>101</v>
      </c>
      <c r="J945">
        <v>75461.89</v>
      </c>
      <c r="K945">
        <v>10000000</v>
      </c>
    </row>
    <row r="946" spans="1:11" ht="12.75" customHeight="1" x14ac:dyDescent="0.2">
      <c r="A946" t="s">
        <v>1956</v>
      </c>
      <c r="B946" t="s">
        <v>6422</v>
      </c>
      <c r="C946">
        <v>2024</v>
      </c>
      <c r="D946">
        <v>2023</v>
      </c>
      <c r="E946" s="7">
        <v>45335</v>
      </c>
      <c r="F946" s="7">
        <v>45700</v>
      </c>
      <c r="G946" t="s">
        <v>135</v>
      </c>
      <c r="H946" t="s">
        <v>108</v>
      </c>
      <c r="I946" t="s">
        <v>104</v>
      </c>
      <c r="J946">
        <v>14452.16</v>
      </c>
      <c r="K946">
        <v>2000000</v>
      </c>
    </row>
    <row r="947" spans="1:11" ht="12.75" customHeight="1" x14ac:dyDescent="0.2">
      <c r="A947" t="s">
        <v>1957</v>
      </c>
      <c r="B947" t="s">
        <v>740</v>
      </c>
      <c r="C947">
        <v>2024</v>
      </c>
      <c r="D947">
        <v>2023</v>
      </c>
      <c r="E947" s="7">
        <v>45335</v>
      </c>
      <c r="F947" s="7">
        <v>45700</v>
      </c>
      <c r="G947" t="s">
        <v>135</v>
      </c>
      <c r="H947" t="s">
        <v>109</v>
      </c>
      <c r="I947" t="s">
        <v>101</v>
      </c>
      <c r="J947">
        <v>3597.15</v>
      </c>
      <c r="K947">
        <v>500000</v>
      </c>
    </row>
    <row r="948" spans="1:11" ht="12.75" customHeight="1" x14ac:dyDescent="0.2">
      <c r="A948" t="s">
        <v>1959</v>
      </c>
      <c r="B948" t="s">
        <v>8074</v>
      </c>
      <c r="C948">
        <v>2024</v>
      </c>
      <c r="D948">
        <v>2023</v>
      </c>
      <c r="E948" s="7">
        <v>45335</v>
      </c>
      <c r="F948" s="7">
        <v>45700</v>
      </c>
      <c r="G948" t="s">
        <v>135</v>
      </c>
      <c r="H948" t="s">
        <v>106</v>
      </c>
      <c r="I948" t="s">
        <v>104</v>
      </c>
      <c r="J948">
        <v>15751.35</v>
      </c>
      <c r="K948">
        <v>2000000</v>
      </c>
    </row>
    <row r="949" spans="1:11" ht="12.75" customHeight="1" x14ac:dyDescent="0.2">
      <c r="A949" t="s">
        <v>1961</v>
      </c>
      <c r="B949" t="s">
        <v>741</v>
      </c>
      <c r="C949">
        <v>2024</v>
      </c>
      <c r="D949">
        <v>2023</v>
      </c>
      <c r="E949" s="7">
        <v>45335</v>
      </c>
      <c r="F949" s="7">
        <v>45700</v>
      </c>
      <c r="G949" t="s">
        <v>135</v>
      </c>
      <c r="H949" t="s">
        <v>106</v>
      </c>
      <c r="I949" t="s">
        <v>104</v>
      </c>
      <c r="J949">
        <v>76388.820000000007</v>
      </c>
      <c r="K949">
        <v>10000000</v>
      </c>
    </row>
    <row r="950" spans="1:11" ht="12.75" customHeight="1" x14ac:dyDescent="0.2">
      <c r="A950" t="s">
        <v>1963</v>
      </c>
      <c r="B950" t="s">
        <v>7250</v>
      </c>
      <c r="C950">
        <v>2024</v>
      </c>
      <c r="D950">
        <v>2023</v>
      </c>
      <c r="E950" s="7">
        <v>45335</v>
      </c>
      <c r="F950" s="7">
        <v>45700</v>
      </c>
      <c r="G950" t="s">
        <v>135</v>
      </c>
      <c r="H950" t="s">
        <v>105</v>
      </c>
      <c r="I950" t="s">
        <v>101</v>
      </c>
      <c r="J950">
        <v>15672.33</v>
      </c>
      <c r="K950">
        <v>2000000</v>
      </c>
    </row>
    <row r="951" spans="1:11" ht="12.75" customHeight="1" x14ac:dyDescent="0.2">
      <c r="A951" t="s">
        <v>1964</v>
      </c>
      <c r="B951" t="s">
        <v>258</v>
      </c>
      <c r="C951">
        <v>2024</v>
      </c>
      <c r="D951">
        <v>2023</v>
      </c>
      <c r="E951" s="7">
        <v>45335</v>
      </c>
      <c r="F951" s="7">
        <v>45700</v>
      </c>
      <c r="G951" t="s">
        <v>135</v>
      </c>
      <c r="H951" t="s">
        <v>102</v>
      </c>
      <c r="I951" t="s">
        <v>104</v>
      </c>
      <c r="J951">
        <v>11515.05</v>
      </c>
      <c r="K951">
        <v>2000000</v>
      </c>
    </row>
    <row r="952" spans="1:11" ht="12.75" customHeight="1" x14ac:dyDescent="0.2">
      <c r="A952" t="s">
        <v>1965</v>
      </c>
      <c r="B952" t="s">
        <v>8075</v>
      </c>
      <c r="C952">
        <v>2024</v>
      </c>
      <c r="D952">
        <v>2023</v>
      </c>
      <c r="E952" s="7">
        <v>45335</v>
      </c>
      <c r="F952" s="7">
        <v>45700</v>
      </c>
      <c r="G952" t="s">
        <v>135</v>
      </c>
      <c r="H952" t="s">
        <v>106</v>
      </c>
      <c r="I952" t="s">
        <v>104</v>
      </c>
      <c r="J952">
        <v>35872.730000000003</v>
      </c>
      <c r="K952">
        <v>5000000</v>
      </c>
    </row>
    <row r="953" spans="1:11" ht="12.75" customHeight="1" x14ac:dyDescent="0.2">
      <c r="A953" t="s">
        <v>1966</v>
      </c>
      <c r="B953" t="s">
        <v>8076</v>
      </c>
      <c r="C953">
        <v>2024</v>
      </c>
      <c r="D953">
        <v>2023</v>
      </c>
      <c r="E953" s="7">
        <v>45335</v>
      </c>
      <c r="F953" s="7">
        <v>45700</v>
      </c>
      <c r="G953" t="s">
        <v>135</v>
      </c>
      <c r="H953" t="s">
        <v>108</v>
      </c>
      <c r="I953" t="s">
        <v>101</v>
      </c>
      <c r="J953">
        <v>48486.83</v>
      </c>
      <c r="K953">
        <v>5000000</v>
      </c>
    </row>
    <row r="954" spans="1:11" ht="12.75" customHeight="1" x14ac:dyDescent="0.2">
      <c r="A954" t="s">
        <v>1967</v>
      </c>
      <c r="B954" t="s">
        <v>260</v>
      </c>
      <c r="C954">
        <v>2024</v>
      </c>
      <c r="D954">
        <v>2023</v>
      </c>
      <c r="E954" s="7">
        <v>45335</v>
      </c>
      <c r="F954" s="7">
        <v>45700</v>
      </c>
      <c r="G954" t="s">
        <v>135</v>
      </c>
      <c r="H954" t="s">
        <v>116</v>
      </c>
      <c r="I954" t="s">
        <v>104</v>
      </c>
      <c r="J954">
        <v>26770.27</v>
      </c>
      <c r="K954">
        <v>5000000</v>
      </c>
    </row>
    <row r="955" spans="1:11" ht="12.75" customHeight="1" x14ac:dyDescent="0.2">
      <c r="A955" t="s">
        <v>1968</v>
      </c>
      <c r="B955" t="s">
        <v>739</v>
      </c>
      <c r="C955">
        <v>2024</v>
      </c>
      <c r="D955">
        <v>2023</v>
      </c>
      <c r="E955" s="7">
        <v>45335</v>
      </c>
      <c r="F955" s="7">
        <v>45700</v>
      </c>
      <c r="G955" t="s">
        <v>135</v>
      </c>
      <c r="H955" t="s">
        <v>115</v>
      </c>
      <c r="I955" t="s">
        <v>101</v>
      </c>
      <c r="J955">
        <v>7498.89</v>
      </c>
      <c r="K955">
        <v>1000000</v>
      </c>
    </row>
    <row r="956" spans="1:11" ht="12.75" customHeight="1" x14ac:dyDescent="0.2">
      <c r="A956" t="s">
        <v>1970</v>
      </c>
      <c r="B956" t="s">
        <v>6452</v>
      </c>
      <c r="C956">
        <v>2024</v>
      </c>
      <c r="D956">
        <v>2023</v>
      </c>
      <c r="E956" s="7">
        <v>45335</v>
      </c>
      <c r="F956" s="7">
        <v>45700</v>
      </c>
      <c r="G956" t="s">
        <v>135</v>
      </c>
      <c r="H956" t="s">
        <v>107</v>
      </c>
      <c r="I956" t="s">
        <v>104</v>
      </c>
      <c r="J956">
        <v>28999.88</v>
      </c>
      <c r="K956">
        <v>5000000</v>
      </c>
    </row>
    <row r="957" spans="1:11" ht="12.75" customHeight="1" x14ac:dyDescent="0.2">
      <c r="A957" t="s">
        <v>1972</v>
      </c>
      <c r="B957" t="s">
        <v>460</v>
      </c>
      <c r="C957">
        <v>2024</v>
      </c>
      <c r="D957">
        <v>2023</v>
      </c>
      <c r="E957" s="7">
        <v>45335</v>
      </c>
      <c r="F957" s="7">
        <v>45700</v>
      </c>
      <c r="G957" t="s">
        <v>135</v>
      </c>
      <c r="H957" t="s">
        <v>105</v>
      </c>
      <c r="I957" t="s">
        <v>101</v>
      </c>
      <c r="J957">
        <v>14829.63</v>
      </c>
      <c r="K957">
        <v>2000000</v>
      </c>
    </row>
    <row r="958" spans="1:11" ht="12.75" customHeight="1" x14ac:dyDescent="0.2">
      <c r="A958" t="s">
        <v>1974</v>
      </c>
      <c r="B958" t="s">
        <v>259</v>
      </c>
      <c r="C958">
        <v>2024</v>
      </c>
      <c r="D958">
        <v>2023</v>
      </c>
      <c r="E958" s="7">
        <v>45335</v>
      </c>
      <c r="F958" s="7">
        <v>45700</v>
      </c>
      <c r="G958" t="s">
        <v>135</v>
      </c>
      <c r="H958" t="s">
        <v>106</v>
      </c>
      <c r="I958" t="s">
        <v>104</v>
      </c>
      <c r="J958">
        <v>37129.17</v>
      </c>
      <c r="K958">
        <v>5000000</v>
      </c>
    </row>
    <row r="959" spans="1:11" ht="12.75" customHeight="1" x14ac:dyDescent="0.2">
      <c r="A959" t="s">
        <v>1975</v>
      </c>
      <c r="B959" t="s">
        <v>1619</v>
      </c>
      <c r="C959">
        <v>2024</v>
      </c>
      <c r="D959">
        <v>2023</v>
      </c>
      <c r="E959" s="7">
        <v>45336</v>
      </c>
      <c r="F959" s="7">
        <v>45701</v>
      </c>
      <c r="G959" t="s">
        <v>99</v>
      </c>
      <c r="H959" t="s">
        <v>106</v>
      </c>
      <c r="I959" t="s">
        <v>101</v>
      </c>
      <c r="J959">
        <v>18925.72</v>
      </c>
      <c r="K959">
        <v>2000000</v>
      </c>
    </row>
    <row r="960" spans="1:11" ht="12.75" customHeight="1" x14ac:dyDescent="0.2">
      <c r="A960" t="s">
        <v>1976</v>
      </c>
      <c r="B960" t="s">
        <v>1621</v>
      </c>
      <c r="C960">
        <v>2024</v>
      </c>
      <c r="D960">
        <v>2023</v>
      </c>
      <c r="E960" s="7">
        <v>45336</v>
      </c>
      <c r="F960" s="7">
        <v>45701</v>
      </c>
      <c r="G960" t="s">
        <v>99</v>
      </c>
      <c r="H960" t="s">
        <v>102</v>
      </c>
      <c r="I960" t="s">
        <v>101</v>
      </c>
      <c r="J960">
        <v>37783.480000000003</v>
      </c>
      <c r="K960">
        <v>5000000</v>
      </c>
    </row>
    <row r="961" spans="1:11" ht="12.75" customHeight="1" x14ac:dyDescent="0.2">
      <c r="A961" t="s">
        <v>1977</v>
      </c>
      <c r="B961" t="s">
        <v>1640</v>
      </c>
      <c r="C961">
        <v>2024</v>
      </c>
      <c r="D961">
        <v>2023</v>
      </c>
      <c r="E961" s="7">
        <v>45336</v>
      </c>
      <c r="F961" s="7">
        <v>45701</v>
      </c>
      <c r="G961" t="s">
        <v>99</v>
      </c>
      <c r="H961" t="s">
        <v>107</v>
      </c>
      <c r="I961" t="s">
        <v>101</v>
      </c>
      <c r="J961">
        <v>10981.79</v>
      </c>
      <c r="K961">
        <v>1500000</v>
      </c>
    </row>
    <row r="962" spans="1:11" ht="12.75" customHeight="1" x14ac:dyDescent="0.2">
      <c r="A962" t="s">
        <v>1978</v>
      </c>
      <c r="B962" t="s">
        <v>6469</v>
      </c>
      <c r="C962">
        <v>2024</v>
      </c>
      <c r="D962">
        <v>2023</v>
      </c>
      <c r="E962" s="7">
        <v>45336</v>
      </c>
      <c r="F962" s="7">
        <v>45701</v>
      </c>
      <c r="G962" t="s">
        <v>135</v>
      </c>
      <c r="H962" t="s">
        <v>106</v>
      </c>
      <c r="I962" t="s">
        <v>101</v>
      </c>
      <c r="J962">
        <v>4847.47</v>
      </c>
      <c r="K962">
        <v>500000</v>
      </c>
    </row>
    <row r="963" spans="1:11" ht="12.75" customHeight="1" x14ac:dyDescent="0.2">
      <c r="A963" t="s">
        <v>1979</v>
      </c>
      <c r="B963" t="s">
        <v>742</v>
      </c>
      <c r="C963">
        <v>2024</v>
      </c>
      <c r="D963">
        <v>2023</v>
      </c>
      <c r="E963" s="7">
        <v>45336</v>
      </c>
      <c r="F963" s="7">
        <v>45701</v>
      </c>
      <c r="G963" t="s">
        <v>135</v>
      </c>
      <c r="H963" t="s">
        <v>105</v>
      </c>
      <c r="I963" t="s">
        <v>101</v>
      </c>
      <c r="J963">
        <v>7695.73</v>
      </c>
      <c r="K963">
        <v>1000000</v>
      </c>
    </row>
    <row r="964" spans="1:11" ht="12.75" customHeight="1" x14ac:dyDescent="0.2">
      <c r="A964" t="s">
        <v>1980</v>
      </c>
      <c r="B964" t="s">
        <v>261</v>
      </c>
      <c r="C964">
        <v>2024</v>
      </c>
      <c r="D964">
        <v>2023</v>
      </c>
      <c r="E964" s="7">
        <v>45336</v>
      </c>
      <c r="F964" s="7">
        <v>45701</v>
      </c>
      <c r="G964" t="s">
        <v>135</v>
      </c>
      <c r="H964" t="s">
        <v>102</v>
      </c>
      <c r="I964" t="s">
        <v>104</v>
      </c>
      <c r="J964">
        <v>61654.48</v>
      </c>
      <c r="K964">
        <v>10000000</v>
      </c>
    </row>
    <row r="965" spans="1:11" ht="12.75" customHeight="1" x14ac:dyDescent="0.2">
      <c r="A965" t="s">
        <v>1982</v>
      </c>
      <c r="B965" t="s">
        <v>743</v>
      </c>
      <c r="C965">
        <v>2024</v>
      </c>
      <c r="D965">
        <v>2023</v>
      </c>
      <c r="E965" s="7">
        <v>45336</v>
      </c>
      <c r="F965" s="7">
        <v>45701</v>
      </c>
      <c r="G965" t="s">
        <v>135</v>
      </c>
      <c r="H965" t="s">
        <v>106</v>
      </c>
      <c r="I965" t="s">
        <v>104</v>
      </c>
      <c r="J965">
        <v>11580.28</v>
      </c>
      <c r="K965">
        <v>1500000</v>
      </c>
    </row>
    <row r="966" spans="1:11" ht="12.75" customHeight="1" x14ac:dyDescent="0.2">
      <c r="A966" t="s">
        <v>1984</v>
      </c>
      <c r="B966" t="s">
        <v>6465</v>
      </c>
      <c r="C966">
        <v>2024</v>
      </c>
      <c r="D966">
        <v>2023</v>
      </c>
      <c r="E966" s="7">
        <v>45336</v>
      </c>
      <c r="F966" s="7">
        <v>45701</v>
      </c>
      <c r="G966" t="s">
        <v>135</v>
      </c>
      <c r="H966" t="s">
        <v>106</v>
      </c>
      <c r="I966" t="s">
        <v>101</v>
      </c>
      <c r="J966">
        <v>16686.79</v>
      </c>
      <c r="K966">
        <v>2000000</v>
      </c>
    </row>
    <row r="967" spans="1:11" ht="12.75" customHeight="1" x14ac:dyDescent="0.2">
      <c r="A967" t="s">
        <v>1986</v>
      </c>
      <c r="B967" t="s">
        <v>6468</v>
      </c>
      <c r="C967">
        <v>2024</v>
      </c>
      <c r="D967">
        <v>2023</v>
      </c>
      <c r="E967" s="7">
        <v>45336</v>
      </c>
      <c r="F967" s="7">
        <v>45701</v>
      </c>
      <c r="G967" t="s">
        <v>135</v>
      </c>
      <c r="H967" t="s">
        <v>107</v>
      </c>
      <c r="I967" t="s">
        <v>101</v>
      </c>
      <c r="J967">
        <v>7137.08</v>
      </c>
      <c r="K967">
        <v>1000000</v>
      </c>
    </row>
    <row r="968" spans="1:11" ht="12.75" customHeight="1" x14ac:dyDescent="0.2">
      <c r="A968" t="s">
        <v>1988</v>
      </c>
      <c r="B968" t="s">
        <v>6457</v>
      </c>
      <c r="C968">
        <v>2024</v>
      </c>
      <c r="D968">
        <v>2023</v>
      </c>
      <c r="E968" s="7">
        <v>45336</v>
      </c>
      <c r="F968" s="7">
        <v>45701</v>
      </c>
      <c r="G968" t="s">
        <v>135</v>
      </c>
      <c r="H968" t="s">
        <v>115</v>
      </c>
      <c r="I968" t="s">
        <v>101</v>
      </c>
      <c r="J968">
        <v>76202.149999999994</v>
      </c>
      <c r="K968">
        <v>10000000</v>
      </c>
    </row>
    <row r="969" spans="1:11" ht="12.75" customHeight="1" x14ac:dyDescent="0.2">
      <c r="A969" t="s">
        <v>1990</v>
      </c>
      <c r="B969" t="s">
        <v>1642</v>
      </c>
      <c r="C969">
        <v>2024</v>
      </c>
      <c r="D969">
        <v>2023</v>
      </c>
      <c r="E969" s="7">
        <v>45337</v>
      </c>
      <c r="F969" s="7">
        <v>45702</v>
      </c>
      <c r="G969" t="s">
        <v>99</v>
      </c>
      <c r="H969" t="s">
        <v>108</v>
      </c>
      <c r="I969" t="s">
        <v>101</v>
      </c>
      <c r="J969">
        <v>9817.19</v>
      </c>
      <c r="K969">
        <v>1000000</v>
      </c>
    </row>
    <row r="970" spans="1:11" ht="12.75" customHeight="1" x14ac:dyDescent="0.2">
      <c r="A970" t="s">
        <v>1992</v>
      </c>
      <c r="B970" t="s">
        <v>1655</v>
      </c>
      <c r="C970">
        <v>2024</v>
      </c>
      <c r="D970">
        <v>2023</v>
      </c>
      <c r="E970" s="7">
        <v>45337</v>
      </c>
      <c r="F970" s="7">
        <v>45702</v>
      </c>
      <c r="G970" t="s">
        <v>99</v>
      </c>
      <c r="H970" t="s">
        <v>109</v>
      </c>
      <c r="I970" t="s">
        <v>104</v>
      </c>
      <c r="J970">
        <v>11837.97</v>
      </c>
      <c r="K970">
        <v>2000000</v>
      </c>
    </row>
    <row r="971" spans="1:11" ht="12.75" customHeight="1" x14ac:dyDescent="0.2">
      <c r="A971" t="s">
        <v>1993</v>
      </c>
      <c r="B971" t="s">
        <v>1657</v>
      </c>
      <c r="C971">
        <v>2024</v>
      </c>
      <c r="D971">
        <v>2023</v>
      </c>
      <c r="E971" s="7">
        <v>45337</v>
      </c>
      <c r="F971" s="7">
        <v>45702</v>
      </c>
      <c r="G971" t="s">
        <v>99</v>
      </c>
      <c r="H971" t="s">
        <v>106</v>
      </c>
      <c r="I971" t="s">
        <v>104</v>
      </c>
      <c r="J971">
        <v>3685.97</v>
      </c>
      <c r="K971">
        <v>500000</v>
      </c>
    </row>
    <row r="972" spans="1:11" ht="12.75" customHeight="1" x14ac:dyDescent="0.2">
      <c r="A972" t="s">
        <v>1994</v>
      </c>
      <c r="B972" t="s">
        <v>8077</v>
      </c>
      <c r="C972">
        <v>2024</v>
      </c>
      <c r="D972">
        <v>2023</v>
      </c>
      <c r="E972" s="7">
        <v>45337</v>
      </c>
      <c r="F972" s="7">
        <v>45702</v>
      </c>
      <c r="G972" t="s">
        <v>135</v>
      </c>
      <c r="H972" t="s">
        <v>107</v>
      </c>
      <c r="I972" t="s">
        <v>104</v>
      </c>
      <c r="J972">
        <v>56365.58</v>
      </c>
      <c r="K972">
        <v>10000000</v>
      </c>
    </row>
    <row r="973" spans="1:11" ht="12.75" customHeight="1" x14ac:dyDescent="0.2">
      <c r="A973" t="s">
        <v>1995</v>
      </c>
      <c r="B973" t="s">
        <v>8078</v>
      </c>
      <c r="C973">
        <v>2024</v>
      </c>
      <c r="D973">
        <v>2023</v>
      </c>
      <c r="E973" s="7">
        <v>45337</v>
      </c>
      <c r="F973" s="7">
        <v>45702</v>
      </c>
      <c r="G973" t="s">
        <v>135</v>
      </c>
      <c r="H973" t="s">
        <v>106</v>
      </c>
      <c r="I973" t="s">
        <v>104</v>
      </c>
      <c r="J973">
        <v>11058.58</v>
      </c>
      <c r="K973">
        <v>1500000</v>
      </c>
    </row>
    <row r="974" spans="1:11" ht="12.75" customHeight="1" x14ac:dyDescent="0.2">
      <c r="A974" t="s">
        <v>1996</v>
      </c>
      <c r="B974" t="s">
        <v>8079</v>
      </c>
      <c r="C974">
        <v>2024</v>
      </c>
      <c r="D974">
        <v>2023</v>
      </c>
      <c r="E974" s="7">
        <v>45337</v>
      </c>
      <c r="F974" s="7">
        <v>45702</v>
      </c>
      <c r="G974" t="s">
        <v>135</v>
      </c>
      <c r="H974" t="s">
        <v>106</v>
      </c>
      <c r="I974" t="s">
        <v>101</v>
      </c>
      <c r="J974">
        <v>13027.3</v>
      </c>
      <c r="K974">
        <v>1500000</v>
      </c>
    </row>
    <row r="975" spans="1:11" ht="12.75" customHeight="1" x14ac:dyDescent="0.2">
      <c r="A975" t="s">
        <v>1997</v>
      </c>
      <c r="B975" t="s">
        <v>461</v>
      </c>
      <c r="C975">
        <v>2024</v>
      </c>
      <c r="D975">
        <v>2023</v>
      </c>
      <c r="E975" s="7">
        <v>45337</v>
      </c>
      <c r="F975" s="7">
        <v>45702</v>
      </c>
      <c r="G975" t="s">
        <v>135</v>
      </c>
      <c r="H975" t="s">
        <v>102</v>
      </c>
      <c r="I975" t="s">
        <v>101</v>
      </c>
      <c r="J975">
        <v>10098.33</v>
      </c>
      <c r="K975">
        <v>1500000</v>
      </c>
    </row>
    <row r="976" spans="1:11" ht="12.75" customHeight="1" x14ac:dyDescent="0.2">
      <c r="A976" t="s">
        <v>1998</v>
      </c>
      <c r="B976" t="s">
        <v>118</v>
      </c>
      <c r="C976">
        <v>2024</v>
      </c>
      <c r="D976">
        <v>2023</v>
      </c>
      <c r="E976" s="7">
        <v>45337</v>
      </c>
      <c r="F976" s="7">
        <v>45702</v>
      </c>
      <c r="G976" t="s">
        <v>135</v>
      </c>
      <c r="H976" t="s">
        <v>106</v>
      </c>
      <c r="I976" t="s">
        <v>104</v>
      </c>
      <c r="J976">
        <v>68760.429999999993</v>
      </c>
      <c r="K976">
        <v>10000000</v>
      </c>
    </row>
    <row r="977" spans="1:11" ht="12.75" customHeight="1" x14ac:dyDescent="0.2">
      <c r="A977" t="s">
        <v>1999</v>
      </c>
      <c r="B977" t="s">
        <v>8080</v>
      </c>
      <c r="C977">
        <v>2024</v>
      </c>
      <c r="D977">
        <v>2023</v>
      </c>
      <c r="E977" s="7">
        <v>45337</v>
      </c>
      <c r="F977" s="7">
        <v>45702</v>
      </c>
      <c r="G977" t="s">
        <v>135</v>
      </c>
      <c r="H977" t="s">
        <v>103</v>
      </c>
      <c r="I977" t="s">
        <v>101</v>
      </c>
      <c r="J977">
        <v>10629.32</v>
      </c>
      <c r="K977">
        <v>1500000</v>
      </c>
    </row>
    <row r="978" spans="1:11" ht="12.75" customHeight="1" x14ac:dyDescent="0.2">
      <c r="A978" t="s">
        <v>2000</v>
      </c>
      <c r="B978" t="s">
        <v>8081</v>
      </c>
      <c r="C978">
        <v>2024</v>
      </c>
      <c r="D978">
        <v>2023</v>
      </c>
      <c r="E978" s="7">
        <v>45337</v>
      </c>
      <c r="F978" s="7">
        <v>45702</v>
      </c>
      <c r="G978" t="s">
        <v>135</v>
      </c>
      <c r="H978" t="s">
        <v>108</v>
      </c>
      <c r="I978" t="s">
        <v>104</v>
      </c>
      <c r="J978">
        <v>14970.95</v>
      </c>
      <c r="K978">
        <v>2000000</v>
      </c>
    </row>
    <row r="979" spans="1:11" ht="12.75" customHeight="1" x14ac:dyDescent="0.2">
      <c r="A979" t="s">
        <v>2001</v>
      </c>
      <c r="B979" t="s">
        <v>1659</v>
      </c>
      <c r="C979">
        <v>2024</v>
      </c>
      <c r="D979">
        <v>2023</v>
      </c>
      <c r="E979" s="7">
        <v>45338</v>
      </c>
      <c r="F979" s="7">
        <v>45703</v>
      </c>
      <c r="G979" t="s">
        <v>99</v>
      </c>
      <c r="H979" t="s">
        <v>113</v>
      </c>
      <c r="I979" t="s">
        <v>104</v>
      </c>
      <c r="J979">
        <v>5742.35</v>
      </c>
      <c r="K979">
        <v>1000000</v>
      </c>
    </row>
    <row r="980" spans="1:11" ht="12.75" customHeight="1" x14ac:dyDescent="0.2">
      <c r="A980" t="s">
        <v>2002</v>
      </c>
      <c r="B980" t="s">
        <v>1661</v>
      </c>
      <c r="C980">
        <v>2024</v>
      </c>
      <c r="D980">
        <v>2023</v>
      </c>
      <c r="E980" s="7">
        <v>45338</v>
      </c>
      <c r="F980" s="7">
        <v>45703</v>
      </c>
      <c r="G980" t="s">
        <v>99</v>
      </c>
      <c r="H980" t="s">
        <v>109</v>
      </c>
      <c r="I980" t="s">
        <v>101</v>
      </c>
      <c r="J980">
        <v>6989.72</v>
      </c>
      <c r="K980">
        <v>1000000</v>
      </c>
    </row>
    <row r="981" spans="1:11" ht="12.75" customHeight="1" x14ac:dyDescent="0.2">
      <c r="A981" t="s">
        <v>2003</v>
      </c>
      <c r="B981" t="s">
        <v>1663</v>
      </c>
      <c r="C981">
        <v>2024</v>
      </c>
      <c r="D981">
        <v>2023</v>
      </c>
      <c r="E981" s="7">
        <v>45338</v>
      </c>
      <c r="F981" s="7">
        <v>45703</v>
      </c>
      <c r="G981" t="s">
        <v>99</v>
      </c>
      <c r="H981" t="s">
        <v>106</v>
      </c>
      <c r="I981" t="s">
        <v>101</v>
      </c>
      <c r="J981">
        <v>16726.810000000001</v>
      </c>
      <c r="K981">
        <v>2000000</v>
      </c>
    </row>
    <row r="982" spans="1:11" ht="12.75" customHeight="1" x14ac:dyDescent="0.2">
      <c r="A982" t="s">
        <v>2004</v>
      </c>
      <c r="B982" t="s">
        <v>1665</v>
      </c>
      <c r="C982">
        <v>2024</v>
      </c>
      <c r="D982">
        <v>2023</v>
      </c>
      <c r="E982" s="7">
        <v>45338</v>
      </c>
      <c r="F982" s="7">
        <v>45703</v>
      </c>
      <c r="G982" t="s">
        <v>99</v>
      </c>
      <c r="H982" t="s">
        <v>102</v>
      </c>
      <c r="I982" t="s">
        <v>104</v>
      </c>
      <c r="J982">
        <v>5656.7</v>
      </c>
      <c r="K982">
        <v>1000000</v>
      </c>
    </row>
    <row r="983" spans="1:11" ht="12.75" customHeight="1" x14ac:dyDescent="0.2">
      <c r="A983" t="s">
        <v>2005</v>
      </c>
      <c r="B983" t="s">
        <v>8082</v>
      </c>
      <c r="C983">
        <v>2024</v>
      </c>
      <c r="D983">
        <v>2023</v>
      </c>
      <c r="E983" s="7">
        <v>45338</v>
      </c>
      <c r="F983" s="7">
        <v>45703</v>
      </c>
      <c r="G983" t="s">
        <v>135</v>
      </c>
      <c r="H983" t="s">
        <v>6334</v>
      </c>
      <c r="I983" t="s">
        <v>101</v>
      </c>
      <c r="J983">
        <v>3695.76</v>
      </c>
      <c r="K983">
        <v>500000</v>
      </c>
    </row>
    <row r="984" spans="1:11" ht="12.75" customHeight="1" x14ac:dyDescent="0.2">
      <c r="A984" t="s">
        <v>2006</v>
      </c>
      <c r="B984" t="s">
        <v>745</v>
      </c>
      <c r="C984">
        <v>2024</v>
      </c>
      <c r="D984">
        <v>2023</v>
      </c>
      <c r="E984" s="7">
        <v>45338</v>
      </c>
      <c r="F984" s="7">
        <v>45703</v>
      </c>
      <c r="G984" t="s">
        <v>135</v>
      </c>
      <c r="H984" t="s">
        <v>108</v>
      </c>
      <c r="I984" t="s">
        <v>101</v>
      </c>
      <c r="J984">
        <v>8298.64</v>
      </c>
      <c r="K984">
        <v>1000000</v>
      </c>
    </row>
    <row r="985" spans="1:11" ht="15" customHeight="1" x14ac:dyDescent="0.2">
      <c r="A985" t="s">
        <v>2007</v>
      </c>
      <c r="B985" t="s">
        <v>6431</v>
      </c>
      <c r="C985">
        <v>2024</v>
      </c>
      <c r="D985">
        <v>2023</v>
      </c>
      <c r="E985" s="7">
        <v>45338</v>
      </c>
      <c r="F985" s="7">
        <v>45703</v>
      </c>
      <c r="G985" t="s">
        <v>135</v>
      </c>
      <c r="H985" t="s">
        <v>102</v>
      </c>
      <c r="I985" t="s">
        <v>104</v>
      </c>
      <c r="J985">
        <v>5643.45</v>
      </c>
      <c r="K985">
        <v>1000000</v>
      </c>
    </row>
    <row r="986" spans="1:11" ht="15" customHeight="1" x14ac:dyDescent="0.2">
      <c r="A986" t="s">
        <v>2008</v>
      </c>
      <c r="B986" t="s">
        <v>8083</v>
      </c>
      <c r="C986">
        <v>2024</v>
      </c>
      <c r="D986">
        <v>2023</v>
      </c>
      <c r="E986" s="7">
        <v>45338</v>
      </c>
      <c r="F986" s="7">
        <v>45703</v>
      </c>
      <c r="G986" t="s">
        <v>135</v>
      </c>
      <c r="H986" t="s">
        <v>107</v>
      </c>
      <c r="I986" t="s">
        <v>101</v>
      </c>
      <c r="J986">
        <v>14243.93</v>
      </c>
      <c r="K986">
        <v>2000000</v>
      </c>
    </row>
    <row r="987" spans="1:11" ht="15" customHeight="1" x14ac:dyDescent="0.2">
      <c r="A987" t="s">
        <v>2009</v>
      </c>
      <c r="B987" t="s">
        <v>8084</v>
      </c>
      <c r="C987">
        <v>2024</v>
      </c>
      <c r="D987">
        <v>2023</v>
      </c>
      <c r="E987" s="7">
        <v>45338</v>
      </c>
      <c r="F987" s="7">
        <v>45703</v>
      </c>
      <c r="G987" t="s">
        <v>135</v>
      </c>
      <c r="H987" t="s">
        <v>103</v>
      </c>
      <c r="I987" t="s">
        <v>101</v>
      </c>
      <c r="J987">
        <v>14554.59</v>
      </c>
      <c r="K987">
        <v>2000000</v>
      </c>
    </row>
    <row r="988" spans="1:11" ht="15" customHeight="1" x14ac:dyDescent="0.2">
      <c r="A988" t="s">
        <v>2010</v>
      </c>
      <c r="B988" t="s">
        <v>6454</v>
      </c>
      <c r="C988">
        <v>2024</v>
      </c>
      <c r="D988">
        <v>2023</v>
      </c>
      <c r="E988" s="7">
        <v>45338</v>
      </c>
      <c r="F988" s="7">
        <v>45703</v>
      </c>
      <c r="G988" t="s">
        <v>135</v>
      </c>
      <c r="H988" t="s">
        <v>106</v>
      </c>
      <c r="I988" t="s">
        <v>104</v>
      </c>
      <c r="J988">
        <v>7774.46</v>
      </c>
      <c r="K988">
        <v>1000000</v>
      </c>
    </row>
    <row r="989" spans="1:11" ht="15" customHeight="1" x14ac:dyDescent="0.2">
      <c r="A989" t="s">
        <v>2011</v>
      </c>
      <c r="B989" t="s">
        <v>8085</v>
      </c>
      <c r="C989">
        <v>2024</v>
      </c>
      <c r="D989">
        <v>2023</v>
      </c>
      <c r="E989" s="7">
        <v>45338</v>
      </c>
      <c r="F989" s="7">
        <v>45703</v>
      </c>
      <c r="G989" t="s">
        <v>135</v>
      </c>
      <c r="H989" t="s">
        <v>107</v>
      </c>
      <c r="I989" t="s">
        <v>101</v>
      </c>
      <c r="J989">
        <v>15172.49</v>
      </c>
      <c r="K989">
        <v>2000000</v>
      </c>
    </row>
    <row r="990" spans="1:11" ht="15" customHeight="1" x14ac:dyDescent="0.2">
      <c r="A990" t="s">
        <v>2012</v>
      </c>
      <c r="B990" t="s">
        <v>8086</v>
      </c>
      <c r="C990">
        <v>2024</v>
      </c>
      <c r="D990">
        <v>2023</v>
      </c>
      <c r="E990" s="7">
        <v>45338</v>
      </c>
      <c r="F990" s="7">
        <v>45703</v>
      </c>
      <c r="G990" t="s">
        <v>135</v>
      </c>
      <c r="H990" t="s">
        <v>103</v>
      </c>
      <c r="I990" t="s">
        <v>104</v>
      </c>
      <c r="J990">
        <v>62596.98</v>
      </c>
      <c r="K990">
        <v>10000000</v>
      </c>
    </row>
    <row r="991" spans="1:11" ht="15" customHeight="1" x14ac:dyDescent="0.2">
      <c r="A991" t="s">
        <v>2013</v>
      </c>
      <c r="B991" t="s">
        <v>744</v>
      </c>
      <c r="C991">
        <v>2024</v>
      </c>
      <c r="D991">
        <v>2023</v>
      </c>
      <c r="E991" s="7">
        <v>45338</v>
      </c>
      <c r="F991" s="7">
        <v>45703</v>
      </c>
      <c r="G991" t="s">
        <v>135</v>
      </c>
      <c r="H991" t="s">
        <v>105</v>
      </c>
      <c r="I991" t="s">
        <v>101</v>
      </c>
      <c r="J991">
        <v>34848.29</v>
      </c>
      <c r="K991">
        <v>5000000</v>
      </c>
    </row>
    <row r="992" spans="1:11" ht="15" customHeight="1" x14ac:dyDescent="0.2">
      <c r="A992" t="s">
        <v>2014</v>
      </c>
      <c r="B992" t="s">
        <v>8087</v>
      </c>
      <c r="C992">
        <v>2024</v>
      </c>
      <c r="D992">
        <v>2023</v>
      </c>
      <c r="E992" s="7">
        <v>45338</v>
      </c>
      <c r="F992" s="7">
        <v>45703</v>
      </c>
      <c r="G992" t="s">
        <v>135</v>
      </c>
      <c r="H992" t="s">
        <v>107</v>
      </c>
      <c r="I992" t="s">
        <v>104</v>
      </c>
      <c r="J992">
        <v>31403.78</v>
      </c>
      <c r="K992">
        <v>5000000</v>
      </c>
    </row>
    <row r="993" spans="1:11" ht="15" customHeight="1" x14ac:dyDescent="0.2">
      <c r="A993" t="s">
        <v>2015</v>
      </c>
      <c r="B993" t="s">
        <v>8088</v>
      </c>
      <c r="C993">
        <v>2024</v>
      </c>
      <c r="D993">
        <v>2023</v>
      </c>
      <c r="E993" s="7">
        <v>45338</v>
      </c>
      <c r="F993" s="7">
        <v>45703</v>
      </c>
      <c r="G993" t="s">
        <v>135</v>
      </c>
      <c r="H993" t="s">
        <v>113</v>
      </c>
      <c r="I993" t="s">
        <v>101</v>
      </c>
      <c r="J993">
        <v>6895.29</v>
      </c>
      <c r="K993">
        <v>1000000</v>
      </c>
    </row>
    <row r="994" spans="1:11" ht="15" customHeight="1" x14ac:dyDescent="0.2">
      <c r="A994" t="s">
        <v>2017</v>
      </c>
      <c r="B994" t="s">
        <v>1681</v>
      </c>
      <c r="C994">
        <v>2024</v>
      </c>
      <c r="D994">
        <v>2023</v>
      </c>
      <c r="E994" s="7">
        <v>45339</v>
      </c>
      <c r="F994" s="7">
        <v>45704</v>
      </c>
      <c r="G994" t="s">
        <v>99</v>
      </c>
      <c r="H994" t="s">
        <v>106</v>
      </c>
      <c r="I994" t="s">
        <v>104</v>
      </c>
      <c r="J994">
        <v>11589.74</v>
      </c>
      <c r="K994">
        <v>1500000</v>
      </c>
    </row>
    <row r="995" spans="1:11" ht="15" customHeight="1" x14ac:dyDescent="0.2">
      <c r="A995" t="s">
        <v>2019</v>
      </c>
      <c r="B995" t="s">
        <v>1683</v>
      </c>
      <c r="C995">
        <v>2024</v>
      </c>
      <c r="D995">
        <v>2023</v>
      </c>
      <c r="E995" s="7">
        <v>45339</v>
      </c>
      <c r="F995" s="7">
        <v>45704</v>
      </c>
      <c r="G995" t="s">
        <v>99</v>
      </c>
      <c r="H995" t="s">
        <v>116</v>
      </c>
      <c r="I995" t="s">
        <v>101</v>
      </c>
      <c r="J995">
        <v>7789.58</v>
      </c>
      <c r="K995">
        <v>1000000</v>
      </c>
    </row>
    <row r="996" spans="1:11" ht="15" customHeight="1" x14ac:dyDescent="0.2">
      <c r="A996" t="s">
        <v>2021</v>
      </c>
      <c r="B996" t="s">
        <v>6470</v>
      </c>
      <c r="C996">
        <v>2024</v>
      </c>
      <c r="D996">
        <v>2023</v>
      </c>
      <c r="E996" s="7">
        <v>45339</v>
      </c>
      <c r="F996" s="7">
        <v>45704</v>
      </c>
      <c r="G996" t="s">
        <v>135</v>
      </c>
      <c r="H996" t="s">
        <v>107</v>
      </c>
      <c r="I996" t="s">
        <v>104</v>
      </c>
      <c r="J996">
        <v>11063.85</v>
      </c>
      <c r="K996">
        <v>2000000</v>
      </c>
    </row>
    <row r="997" spans="1:11" ht="15" customHeight="1" x14ac:dyDescent="0.2">
      <c r="A997" t="s">
        <v>2023</v>
      </c>
      <c r="B997" t="s">
        <v>8089</v>
      </c>
      <c r="C997">
        <v>2024</v>
      </c>
      <c r="D997">
        <v>2023</v>
      </c>
      <c r="E997" s="7">
        <v>45339</v>
      </c>
      <c r="F997" s="7">
        <v>45704</v>
      </c>
      <c r="G997" t="s">
        <v>135</v>
      </c>
      <c r="H997" t="s">
        <v>116</v>
      </c>
      <c r="I997" t="s">
        <v>101</v>
      </c>
      <c r="J997">
        <v>7863.6</v>
      </c>
      <c r="K997">
        <v>1000000</v>
      </c>
    </row>
    <row r="998" spans="1:11" ht="15" customHeight="1" x14ac:dyDescent="0.2">
      <c r="A998" t="s">
        <v>2025</v>
      </c>
      <c r="B998" t="s">
        <v>8090</v>
      </c>
      <c r="C998">
        <v>2024</v>
      </c>
      <c r="D998">
        <v>2023</v>
      </c>
      <c r="E998" s="7">
        <v>45339</v>
      </c>
      <c r="F998" s="7">
        <v>45704</v>
      </c>
      <c r="G998" t="s">
        <v>135</v>
      </c>
      <c r="H998" t="s">
        <v>6334</v>
      </c>
      <c r="I998" t="s">
        <v>101</v>
      </c>
      <c r="J998">
        <v>13986.11</v>
      </c>
      <c r="K998">
        <v>2000000</v>
      </c>
    </row>
    <row r="999" spans="1:11" ht="15" customHeight="1" x14ac:dyDescent="0.2">
      <c r="A999" t="s">
        <v>2026</v>
      </c>
      <c r="B999" t="s">
        <v>6442</v>
      </c>
      <c r="C999">
        <v>2024</v>
      </c>
      <c r="D999">
        <v>2023</v>
      </c>
      <c r="E999" s="7">
        <v>45339</v>
      </c>
      <c r="F999" s="7">
        <v>45704</v>
      </c>
      <c r="G999" t="s">
        <v>135</v>
      </c>
      <c r="H999" t="s">
        <v>102</v>
      </c>
      <c r="I999" t="s">
        <v>104</v>
      </c>
      <c r="J999">
        <v>10473.030000000001</v>
      </c>
      <c r="K999">
        <v>2000000</v>
      </c>
    </row>
    <row r="1000" spans="1:11" ht="15" customHeight="1" x14ac:dyDescent="0.2">
      <c r="A1000" t="s">
        <v>2027</v>
      </c>
      <c r="B1000" t="s">
        <v>6444</v>
      </c>
      <c r="C1000">
        <v>2024</v>
      </c>
      <c r="D1000">
        <v>2023</v>
      </c>
      <c r="E1000" s="7">
        <v>45339</v>
      </c>
      <c r="F1000" s="7">
        <v>45704</v>
      </c>
      <c r="G1000" t="s">
        <v>135</v>
      </c>
      <c r="H1000" t="s">
        <v>103</v>
      </c>
      <c r="I1000" t="s">
        <v>101</v>
      </c>
      <c r="J1000">
        <v>13697.7</v>
      </c>
      <c r="K1000">
        <v>2000000</v>
      </c>
    </row>
    <row r="1001" spans="1:11" ht="15" customHeight="1" x14ac:dyDescent="0.2">
      <c r="A1001" t="s">
        <v>2028</v>
      </c>
      <c r="B1001" t="s">
        <v>6484</v>
      </c>
      <c r="C1001">
        <v>2024</v>
      </c>
      <c r="D1001">
        <v>2023</v>
      </c>
      <c r="E1001" s="7">
        <v>45339</v>
      </c>
      <c r="F1001" s="7">
        <v>45704</v>
      </c>
      <c r="G1001" t="s">
        <v>135</v>
      </c>
      <c r="H1001" t="s">
        <v>108</v>
      </c>
      <c r="I1001" t="s">
        <v>101</v>
      </c>
      <c r="J1001">
        <v>13709.96</v>
      </c>
      <c r="K1001">
        <v>1500000</v>
      </c>
    </row>
    <row r="1002" spans="1:11" ht="15" customHeight="1" x14ac:dyDescent="0.2">
      <c r="A1002" t="s">
        <v>2029</v>
      </c>
      <c r="B1002" t="s">
        <v>746</v>
      </c>
      <c r="C1002">
        <v>2024</v>
      </c>
      <c r="D1002">
        <v>2023</v>
      </c>
      <c r="E1002" s="7">
        <v>45339</v>
      </c>
      <c r="F1002" s="7">
        <v>45704</v>
      </c>
      <c r="G1002" t="s">
        <v>135</v>
      </c>
      <c r="H1002" t="s">
        <v>107</v>
      </c>
      <c r="I1002" t="s">
        <v>101</v>
      </c>
      <c r="J1002">
        <v>15623.51</v>
      </c>
      <c r="K1002">
        <v>2000000</v>
      </c>
    </row>
    <row r="1003" spans="1:11" ht="15" customHeight="1" x14ac:dyDescent="0.2">
      <c r="A1003" t="s">
        <v>2030</v>
      </c>
      <c r="B1003" t="s">
        <v>8091</v>
      </c>
      <c r="C1003">
        <v>2024</v>
      </c>
      <c r="D1003">
        <v>2023</v>
      </c>
      <c r="E1003" s="7">
        <v>45339</v>
      </c>
      <c r="F1003" s="7">
        <v>45704</v>
      </c>
      <c r="G1003" t="s">
        <v>135</v>
      </c>
      <c r="H1003" t="s">
        <v>106</v>
      </c>
      <c r="I1003" t="s">
        <v>101</v>
      </c>
      <c r="J1003">
        <v>14039.05</v>
      </c>
      <c r="K1003">
        <v>1500000</v>
      </c>
    </row>
    <row r="1004" spans="1:11" ht="15" customHeight="1" x14ac:dyDescent="0.2">
      <c r="A1004" t="s">
        <v>2031</v>
      </c>
      <c r="B1004" t="s">
        <v>8092</v>
      </c>
      <c r="C1004">
        <v>2024</v>
      </c>
      <c r="D1004">
        <v>2023</v>
      </c>
      <c r="E1004" s="7">
        <v>45340</v>
      </c>
      <c r="F1004" s="7">
        <v>45705</v>
      </c>
      <c r="G1004" t="s">
        <v>135</v>
      </c>
      <c r="H1004" t="s">
        <v>6337</v>
      </c>
      <c r="I1004" t="s">
        <v>101</v>
      </c>
      <c r="J1004">
        <v>11312.85</v>
      </c>
      <c r="K1004">
        <v>1500000</v>
      </c>
    </row>
    <row r="1005" spans="1:11" ht="15" customHeight="1" x14ac:dyDescent="0.2">
      <c r="A1005" t="s">
        <v>2032</v>
      </c>
      <c r="B1005" t="s">
        <v>748</v>
      </c>
      <c r="C1005">
        <v>2024</v>
      </c>
      <c r="D1005">
        <v>2023</v>
      </c>
      <c r="E1005" s="7">
        <v>45340</v>
      </c>
      <c r="F1005" s="7">
        <v>45705</v>
      </c>
      <c r="G1005" t="s">
        <v>135</v>
      </c>
      <c r="H1005" t="s">
        <v>106</v>
      </c>
      <c r="I1005" t="s">
        <v>101</v>
      </c>
      <c r="J1005">
        <v>13381.11</v>
      </c>
      <c r="K1005">
        <v>1500000</v>
      </c>
    </row>
    <row r="1006" spans="1:11" ht="15" customHeight="1" x14ac:dyDescent="0.2">
      <c r="A1006" t="s">
        <v>2033</v>
      </c>
      <c r="B1006" t="s">
        <v>462</v>
      </c>
      <c r="C1006">
        <v>2024</v>
      </c>
      <c r="D1006">
        <v>2023</v>
      </c>
      <c r="E1006" s="7">
        <v>45340</v>
      </c>
      <c r="F1006" s="7">
        <v>45705</v>
      </c>
      <c r="G1006" t="s">
        <v>135</v>
      </c>
      <c r="H1006" t="s">
        <v>102</v>
      </c>
      <c r="I1006" t="s">
        <v>101</v>
      </c>
      <c r="J1006">
        <v>7272.45</v>
      </c>
      <c r="K1006">
        <v>1000000</v>
      </c>
    </row>
    <row r="1007" spans="1:11" ht="15" customHeight="1" x14ac:dyDescent="0.2">
      <c r="A1007" t="s">
        <v>2034</v>
      </c>
      <c r="B1007" t="s">
        <v>750</v>
      </c>
      <c r="C1007">
        <v>2024</v>
      </c>
      <c r="D1007">
        <v>2023</v>
      </c>
      <c r="E1007" s="7">
        <v>45340</v>
      </c>
      <c r="F1007" s="7">
        <v>45705</v>
      </c>
      <c r="G1007" t="s">
        <v>135</v>
      </c>
      <c r="H1007" t="s">
        <v>102</v>
      </c>
      <c r="I1007" t="s">
        <v>101</v>
      </c>
      <c r="J1007">
        <v>15461.03</v>
      </c>
      <c r="K1007">
        <v>2000000</v>
      </c>
    </row>
    <row r="1008" spans="1:11" ht="15" customHeight="1" x14ac:dyDescent="0.2">
      <c r="A1008" t="s">
        <v>2035</v>
      </c>
      <c r="B1008" t="s">
        <v>8093</v>
      </c>
      <c r="C1008">
        <v>2024</v>
      </c>
      <c r="D1008">
        <v>2023</v>
      </c>
      <c r="E1008" s="7">
        <v>45340</v>
      </c>
      <c r="F1008" s="7">
        <v>45705</v>
      </c>
      <c r="G1008" t="s">
        <v>135</v>
      </c>
      <c r="H1008" t="s">
        <v>114</v>
      </c>
      <c r="I1008" t="s">
        <v>101</v>
      </c>
      <c r="J1008">
        <v>9735.41</v>
      </c>
      <c r="K1008">
        <v>1500000</v>
      </c>
    </row>
    <row r="1009" spans="1:11" ht="15" customHeight="1" x14ac:dyDescent="0.2">
      <c r="A1009" t="s">
        <v>2037</v>
      </c>
      <c r="B1009" t="s">
        <v>8094</v>
      </c>
      <c r="C1009">
        <v>2024</v>
      </c>
      <c r="D1009">
        <v>2023</v>
      </c>
      <c r="E1009" s="7">
        <v>45340</v>
      </c>
      <c r="F1009" s="7">
        <v>45705</v>
      </c>
      <c r="G1009" t="s">
        <v>135</v>
      </c>
      <c r="H1009" t="s">
        <v>107</v>
      </c>
      <c r="I1009" t="s">
        <v>101</v>
      </c>
      <c r="J1009">
        <v>37751.86</v>
      </c>
      <c r="K1009">
        <v>5000000</v>
      </c>
    </row>
    <row r="1010" spans="1:11" ht="15" customHeight="1" x14ac:dyDescent="0.2">
      <c r="A1010" t="s">
        <v>2039</v>
      </c>
      <c r="B1010" t="s">
        <v>8095</v>
      </c>
      <c r="C1010">
        <v>2024</v>
      </c>
      <c r="D1010">
        <v>2023</v>
      </c>
      <c r="E1010" s="7">
        <v>45340</v>
      </c>
      <c r="F1010" s="7">
        <v>45705</v>
      </c>
      <c r="G1010" t="s">
        <v>135</v>
      </c>
      <c r="H1010" t="s">
        <v>108</v>
      </c>
      <c r="I1010" t="s">
        <v>104</v>
      </c>
      <c r="J1010">
        <v>13388.15</v>
      </c>
      <c r="K1010">
        <v>2000000</v>
      </c>
    </row>
    <row r="1011" spans="1:11" ht="15" customHeight="1" x14ac:dyDescent="0.2">
      <c r="A1011" t="s">
        <v>2040</v>
      </c>
      <c r="B1011" t="s">
        <v>6449</v>
      </c>
      <c r="C1011">
        <v>2024</v>
      </c>
      <c r="D1011">
        <v>2023</v>
      </c>
      <c r="E1011" s="7">
        <v>45340</v>
      </c>
      <c r="F1011" s="7">
        <v>45705</v>
      </c>
      <c r="G1011" t="s">
        <v>135</v>
      </c>
      <c r="H1011" t="s">
        <v>109</v>
      </c>
      <c r="I1011" t="s">
        <v>104</v>
      </c>
      <c r="J1011">
        <v>5430.06</v>
      </c>
      <c r="K1011">
        <v>1000000</v>
      </c>
    </row>
    <row r="1012" spans="1:11" ht="15" customHeight="1" x14ac:dyDescent="0.2">
      <c r="A1012" t="s">
        <v>2041</v>
      </c>
      <c r="B1012" t="s">
        <v>747</v>
      </c>
      <c r="C1012">
        <v>2024</v>
      </c>
      <c r="D1012">
        <v>2023</v>
      </c>
      <c r="E1012" s="7">
        <v>45340</v>
      </c>
      <c r="F1012" s="7">
        <v>45705</v>
      </c>
      <c r="G1012" t="s">
        <v>135</v>
      </c>
      <c r="H1012" t="s">
        <v>106</v>
      </c>
      <c r="I1012" t="s">
        <v>101</v>
      </c>
      <c r="J1012">
        <v>9321.14</v>
      </c>
      <c r="K1012">
        <v>1000000</v>
      </c>
    </row>
    <row r="1013" spans="1:11" ht="15" customHeight="1" x14ac:dyDescent="0.2">
      <c r="A1013" t="s">
        <v>2043</v>
      </c>
      <c r="B1013" t="s">
        <v>6450</v>
      </c>
      <c r="C1013">
        <v>2024</v>
      </c>
      <c r="D1013">
        <v>2023</v>
      </c>
      <c r="E1013" s="7">
        <v>45340</v>
      </c>
      <c r="F1013" s="7">
        <v>45705</v>
      </c>
      <c r="G1013" t="s">
        <v>135</v>
      </c>
      <c r="H1013" t="s">
        <v>102</v>
      </c>
      <c r="I1013" t="s">
        <v>101</v>
      </c>
      <c r="J1013">
        <v>9745.0400000000009</v>
      </c>
      <c r="K1013">
        <v>1500000</v>
      </c>
    </row>
    <row r="1014" spans="1:11" ht="15" customHeight="1" x14ac:dyDescent="0.2">
      <c r="A1014" t="s">
        <v>2045</v>
      </c>
      <c r="B1014" t="s">
        <v>6467</v>
      </c>
      <c r="C1014">
        <v>2024</v>
      </c>
      <c r="D1014">
        <v>2023</v>
      </c>
      <c r="E1014" s="7">
        <v>45340</v>
      </c>
      <c r="F1014" s="7">
        <v>45705</v>
      </c>
      <c r="G1014" t="s">
        <v>135</v>
      </c>
      <c r="H1014" t="s">
        <v>110</v>
      </c>
      <c r="I1014" t="s">
        <v>101</v>
      </c>
      <c r="J1014">
        <v>44150.97</v>
      </c>
      <c r="K1014">
        <v>5000000</v>
      </c>
    </row>
    <row r="1015" spans="1:11" ht="15" customHeight="1" x14ac:dyDescent="0.2">
      <c r="A1015" t="s">
        <v>2046</v>
      </c>
      <c r="B1015" t="s">
        <v>8096</v>
      </c>
      <c r="C1015">
        <v>2024</v>
      </c>
      <c r="D1015">
        <v>2023</v>
      </c>
      <c r="E1015" s="7">
        <v>45340</v>
      </c>
      <c r="F1015" s="7">
        <v>45705</v>
      </c>
      <c r="G1015" t="s">
        <v>135</v>
      </c>
      <c r="H1015" t="s">
        <v>107</v>
      </c>
      <c r="I1015" t="s">
        <v>101</v>
      </c>
      <c r="J1015">
        <v>13980.39</v>
      </c>
      <c r="K1015">
        <v>2000000</v>
      </c>
    </row>
    <row r="1016" spans="1:11" ht="15" customHeight="1" x14ac:dyDescent="0.2">
      <c r="A1016" t="s">
        <v>2047</v>
      </c>
      <c r="B1016" t="s">
        <v>749</v>
      </c>
      <c r="C1016">
        <v>2024</v>
      </c>
      <c r="D1016">
        <v>2023</v>
      </c>
      <c r="E1016" s="7">
        <v>45340</v>
      </c>
      <c r="F1016" s="7">
        <v>45705</v>
      </c>
      <c r="G1016" t="s">
        <v>135</v>
      </c>
      <c r="H1016" t="s">
        <v>110</v>
      </c>
      <c r="I1016" t="s">
        <v>101</v>
      </c>
      <c r="J1016">
        <v>13422.35</v>
      </c>
      <c r="K1016">
        <v>1500000</v>
      </c>
    </row>
    <row r="1017" spans="1:11" ht="15" customHeight="1" x14ac:dyDescent="0.2">
      <c r="A1017" t="s">
        <v>2048</v>
      </c>
      <c r="B1017" t="s">
        <v>751</v>
      </c>
      <c r="C1017">
        <v>2024</v>
      </c>
      <c r="D1017">
        <v>2023</v>
      </c>
      <c r="E1017" s="7">
        <v>45340</v>
      </c>
      <c r="F1017" s="7">
        <v>45705</v>
      </c>
      <c r="G1017" t="s">
        <v>135</v>
      </c>
      <c r="H1017" t="s">
        <v>102</v>
      </c>
      <c r="I1017" t="s">
        <v>101</v>
      </c>
      <c r="J1017">
        <v>70088.12</v>
      </c>
      <c r="K1017">
        <v>10000000</v>
      </c>
    </row>
    <row r="1018" spans="1:11" ht="15" customHeight="1" x14ac:dyDescent="0.2">
      <c r="A1018" t="s">
        <v>2049</v>
      </c>
      <c r="B1018" t="s">
        <v>752</v>
      </c>
      <c r="C1018">
        <v>2024</v>
      </c>
      <c r="D1018">
        <v>2023</v>
      </c>
      <c r="E1018" s="7">
        <v>45340</v>
      </c>
      <c r="F1018" s="7">
        <v>45705</v>
      </c>
      <c r="G1018" t="s">
        <v>135</v>
      </c>
      <c r="H1018" t="s">
        <v>115</v>
      </c>
      <c r="I1018" t="s">
        <v>104</v>
      </c>
      <c r="J1018">
        <v>31534.37</v>
      </c>
      <c r="K1018">
        <v>5000000</v>
      </c>
    </row>
    <row r="1019" spans="1:11" ht="15" customHeight="1" x14ac:dyDescent="0.2">
      <c r="A1019" t="s">
        <v>2050</v>
      </c>
      <c r="B1019" t="s">
        <v>8097</v>
      </c>
      <c r="C1019">
        <v>2024</v>
      </c>
      <c r="D1019">
        <v>2023</v>
      </c>
      <c r="E1019" s="7">
        <v>45340</v>
      </c>
      <c r="F1019" s="7">
        <v>45705</v>
      </c>
      <c r="G1019" t="s">
        <v>135</v>
      </c>
      <c r="H1019" t="s">
        <v>109</v>
      </c>
      <c r="I1019" t="s">
        <v>104</v>
      </c>
      <c r="J1019">
        <v>2802.54</v>
      </c>
      <c r="K1019">
        <v>500000</v>
      </c>
    </row>
    <row r="1020" spans="1:11" ht="15" customHeight="1" x14ac:dyDescent="0.2">
      <c r="A1020" t="s">
        <v>2051</v>
      </c>
      <c r="B1020" t="s">
        <v>8098</v>
      </c>
      <c r="C1020">
        <v>2024</v>
      </c>
      <c r="D1020">
        <v>2023</v>
      </c>
      <c r="E1020" s="7">
        <v>45340</v>
      </c>
      <c r="F1020" s="7">
        <v>45705</v>
      </c>
      <c r="G1020" t="s">
        <v>135</v>
      </c>
      <c r="H1020" t="s">
        <v>102</v>
      </c>
      <c r="I1020" t="s">
        <v>101</v>
      </c>
      <c r="J1020">
        <v>3233.48</v>
      </c>
      <c r="K1020">
        <v>500000</v>
      </c>
    </row>
    <row r="1021" spans="1:11" ht="15" customHeight="1" x14ac:dyDescent="0.2">
      <c r="A1021" t="s">
        <v>2053</v>
      </c>
      <c r="B1021" t="s">
        <v>6448</v>
      </c>
      <c r="C1021">
        <v>2024</v>
      </c>
      <c r="D1021">
        <v>2023</v>
      </c>
      <c r="E1021" s="7">
        <v>45340</v>
      </c>
      <c r="F1021" s="7">
        <v>45705</v>
      </c>
      <c r="G1021" t="s">
        <v>135</v>
      </c>
      <c r="H1021" t="s">
        <v>107</v>
      </c>
      <c r="I1021" t="s">
        <v>101</v>
      </c>
      <c r="J1021">
        <v>14419.44</v>
      </c>
      <c r="K1021">
        <v>2000000</v>
      </c>
    </row>
    <row r="1022" spans="1:11" ht="15" customHeight="1" x14ac:dyDescent="0.2">
      <c r="A1022" t="s">
        <v>2055</v>
      </c>
      <c r="B1022" t="s">
        <v>1692</v>
      </c>
      <c r="C1022">
        <v>2024</v>
      </c>
      <c r="D1022">
        <v>2023</v>
      </c>
      <c r="E1022" s="7">
        <v>45341</v>
      </c>
      <c r="F1022" s="7">
        <v>45706</v>
      </c>
      <c r="G1022" t="s">
        <v>99</v>
      </c>
      <c r="H1022" t="s">
        <v>102</v>
      </c>
      <c r="I1022" t="s">
        <v>101</v>
      </c>
      <c r="J1022">
        <v>65956.58</v>
      </c>
      <c r="K1022">
        <v>10000000</v>
      </c>
    </row>
    <row r="1023" spans="1:11" ht="15" customHeight="1" x14ac:dyDescent="0.2">
      <c r="A1023" t="s">
        <v>2057</v>
      </c>
      <c r="B1023" t="s">
        <v>1694</v>
      </c>
      <c r="C1023">
        <v>2024</v>
      </c>
      <c r="D1023">
        <v>2023</v>
      </c>
      <c r="E1023" s="7">
        <v>45341</v>
      </c>
      <c r="F1023" s="7">
        <v>45706</v>
      </c>
      <c r="G1023" t="s">
        <v>99</v>
      </c>
      <c r="H1023" t="s">
        <v>115</v>
      </c>
      <c r="I1023" t="s">
        <v>101</v>
      </c>
      <c r="J1023">
        <v>6763.11</v>
      </c>
      <c r="K1023">
        <v>1000000</v>
      </c>
    </row>
    <row r="1024" spans="1:11" ht="15" customHeight="1" x14ac:dyDescent="0.2">
      <c r="A1024" t="s">
        <v>2059</v>
      </c>
      <c r="B1024" t="s">
        <v>1696</v>
      </c>
      <c r="C1024">
        <v>2024</v>
      </c>
      <c r="D1024">
        <v>2023</v>
      </c>
      <c r="E1024" s="7">
        <v>45341</v>
      </c>
      <c r="F1024" s="7">
        <v>45706</v>
      </c>
      <c r="G1024" t="s">
        <v>99</v>
      </c>
      <c r="H1024" t="s">
        <v>113</v>
      </c>
      <c r="I1024" t="s">
        <v>104</v>
      </c>
      <c r="J1024">
        <v>9343.83</v>
      </c>
      <c r="K1024">
        <v>1500000</v>
      </c>
    </row>
    <row r="1025" spans="1:11" ht="15" customHeight="1" x14ac:dyDescent="0.2">
      <c r="A1025" t="s">
        <v>2061</v>
      </c>
      <c r="B1025" t="s">
        <v>1698</v>
      </c>
      <c r="C1025">
        <v>2024</v>
      </c>
      <c r="D1025">
        <v>2023</v>
      </c>
      <c r="E1025" s="7">
        <v>45341</v>
      </c>
      <c r="F1025" s="7">
        <v>45706</v>
      </c>
      <c r="G1025" t="s">
        <v>99</v>
      </c>
      <c r="H1025" t="s">
        <v>107</v>
      </c>
      <c r="I1025" t="s">
        <v>101</v>
      </c>
      <c r="J1025">
        <v>7583.01</v>
      </c>
      <c r="K1025">
        <v>1000000</v>
      </c>
    </row>
    <row r="1026" spans="1:11" ht="15" customHeight="1" x14ac:dyDescent="0.2">
      <c r="A1026" t="s">
        <v>2063</v>
      </c>
      <c r="B1026" t="s">
        <v>8099</v>
      </c>
      <c r="C1026">
        <v>2024</v>
      </c>
      <c r="D1026">
        <v>2023</v>
      </c>
      <c r="E1026" s="7">
        <v>45341</v>
      </c>
      <c r="F1026" s="7">
        <v>45706</v>
      </c>
      <c r="G1026" t="s">
        <v>135</v>
      </c>
      <c r="H1026" t="s">
        <v>115</v>
      </c>
      <c r="I1026" t="s">
        <v>104</v>
      </c>
      <c r="J1026">
        <v>8067.97</v>
      </c>
      <c r="K1026">
        <v>1500000</v>
      </c>
    </row>
    <row r="1027" spans="1:11" ht="15" customHeight="1" x14ac:dyDescent="0.2">
      <c r="A1027" t="s">
        <v>2064</v>
      </c>
      <c r="B1027" t="s">
        <v>8100</v>
      </c>
      <c r="C1027">
        <v>2024</v>
      </c>
      <c r="D1027">
        <v>2023</v>
      </c>
      <c r="E1027" s="7">
        <v>45341</v>
      </c>
      <c r="F1027" s="7">
        <v>45706</v>
      </c>
      <c r="G1027" t="s">
        <v>135</v>
      </c>
      <c r="H1027" t="s">
        <v>106</v>
      </c>
      <c r="I1027" t="s">
        <v>101</v>
      </c>
      <c r="J1027">
        <v>4541.07</v>
      </c>
      <c r="K1027">
        <v>500000</v>
      </c>
    </row>
    <row r="1028" spans="1:11" ht="15" customHeight="1" x14ac:dyDescent="0.2">
      <c r="A1028" t="s">
        <v>2065</v>
      </c>
      <c r="B1028" t="s">
        <v>262</v>
      </c>
      <c r="C1028">
        <v>2024</v>
      </c>
      <c r="D1028">
        <v>2023</v>
      </c>
      <c r="E1028" s="7">
        <v>45341</v>
      </c>
      <c r="F1028" s="7">
        <v>45706</v>
      </c>
      <c r="G1028" t="s">
        <v>135</v>
      </c>
      <c r="H1028" t="s">
        <v>111</v>
      </c>
      <c r="I1028" t="s">
        <v>101</v>
      </c>
      <c r="J1028">
        <v>7632.07</v>
      </c>
      <c r="K1028">
        <v>1000000</v>
      </c>
    </row>
    <row r="1029" spans="1:11" ht="15" customHeight="1" x14ac:dyDescent="0.2">
      <c r="A1029" t="s">
        <v>2066</v>
      </c>
      <c r="B1029" t="s">
        <v>753</v>
      </c>
      <c r="C1029">
        <v>2024</v>
      </c>
      <c r="D1029">
        <v>2023</v>
      </c>
      <c r="E1029" s="7">
        <v>45341</v>
      </c>
      <c r="F1029" s="7">
        <v>45706</v>
      </c>
      <c r="G1029" t="s">
        <v>135</v>
      </c>
      <c r="H1029" t="s">
        <v>108</v>
      </c>
      <c r="I1029" t="s">
        <v>101</v>
      </c>
      <c r="J1029">
        <v>8415.86</v>
      </c>
      <c r="K1029">
        <v>1000000</v>
      </c>
    </row>
    <row r="1030" spans="1:11" ht="15" customHeight="1" x14ac:dyDescent="0.2">
      <c r="A1030" t="s">
        <v>2067</v>
      </c>
      <c r="B1030" t="s">
        <v>463</v>
      </c>
      <c r="C1030">
        <v>2024</v>
      </c>
      <c r="D1030">
        <v>2023</v>
      </c>
      <c r="E1030" s="7">
        <v>45341</v>
      </c>
      <c r="F1030" s="7">
        <v>45706</v>
      </c>
      <c r="G1030" t="s">
        <v>135</v>
      </c>
      <c r="H1030" t="s">
        <v>107</v>
      </c>
      <c r="I1030" t="s">
        <v>104</v>
      </c>
      <c r="J1030">
        <v>5493.65</v>
      </c>
      <c r="K1030">
        <v>1000000</v>
      </c>
    </row>
    <row r="1031" spans="1:11" ht="15" customHeight="1" x14ac:dyDescent="0.2">
      <c r="A1031" t="s">
        <v>2068</v>
      </c>
      <c r="B1031" t="s">
        <v>8101</v>
      </c>
      <c r="C1031">
        <v>2024</v>
      </c>
      <c r="D1031">
        <v>2023</v>
      </c>
      <c r="E1031" s="7">
        <v>45341</v>
      </c>
      <c r="F1031" s="7">
        <v>45706</v>
      </c>
      <c r="G1031" t="s">
        <v>135</v>
      </c>
      <c r="H1031" t="s">
        <v>102</v>
      </c>
      <c r="I1031" t="s">
        <v>104</v>
      </c>
      <c r="J1031">
        <v>2901.3</v>
      </c>
      <c r="K1031">
        <v>500000</v>
      </c>
    </row>
    <row r="1032" spans="1:11" ht="15" customHeight="1" x14ac:dyDescent="0.2">
      <c r="A1032" t="s">
        <v>2069</v>
      </c>
      <c r="B1032" t="s">
        <v>6476</v>
      </c>
      <c r="C1032">
        <v>2024</v>
      </c>
      <c r="D1032">
        <v>2023</v>
      </c>
      <c r="E1032" s="7">
        <v>45341</v>
      </c>
      <c r="F1032" s="7">
        <v>45706</v>
      </c>
      <c r="G1032" t="s">
        <v>135</v>
      </c>
      <c r="H1032" t="s">
        <v>107</v>
      </c>
      <c r="I1032" t="s">
        <v>101</v>
      </c>
      <c r="J1032">
        <v>3344.96</v>
      </c>
      <c r="K1032">
        <v>500000</v>
      </c>
    </row>
    <row r="1033" spans="1:11" ht="15" customHeight="1" x14ac:dyDescent="0.2">
      <c r="A1033" t="s">
        <v>2070</v>
      </c>
      <c r="B1033" t="s">
        <v>8102</v>
      </c>
      <c r="C1033">
        <v>2024</v>
      </c>
      <c r="D1033">
        <v>2023</v>
      </c>
      <c r="E1033" s="7">
        <v>45341</v>
      </c>
      <c r="F1033" s="7">
        <v>45706</v>
      </c>
      <c r="G1033" t="s">
        <v>135</v>
      </c>
      <c r="H1033" t="s">
        <v>109</v>
      </c>
      <c r="I1033" t="s">
        <v>104</v>
      </c>
      <c r="J1033">
        <v>12345.57</v>
      </c>
      <c r="K1033">
        <v>2000000</v>
      </c>
    </row>
    <row r="1034" spans="1:11" ht="15" customHeight="1" x14ac:dyDescent="0.2">
      <c r="A1034" t="s">
        <v>2071</v>
      </c>
      <c r="B1034" t="s">
        <v>6455</v>
      </c>
      <c r="C1034">
        <v>2024</v>
      </c>
      <c r="D1034">
        <v>2023</v>
      </c>
      <c r="E1034" s="7">
        <v>45341</v>
      </c>
      <c r="F1034" s="7">
        <v>45706</v>
      </c>
      <c r="G1034" t="s">
        <v>135</v>
      </c>
      <c r="H1034" t="s">
        <v>105</v>
      </c>
      <c r="I1034" t="s">
        <v>104</v>
      </c>
      <c r="J1034">
        <v>10592.03</v>
      </c>
      <c r="K1034">
        <v>2000000</v>
      </c>
    </row>
    <row r="1035" spans="1:11" ht="15" customHeight="1" x14ac:dyDescent="0.2">
      <c r="A1035" t="s">
        <v>2073</v>
      </c>
      <c r="B1035" t="s">
        <v>6471</v>
      </c>
      <c r="C1035">
        <v>2024</v>
      </c>
      <c r="D1035">
        <v>2023</v>
      </c>
      <c r="E1035" s="7">
        <v>45341</v>
      </c>
      <c r="F1035" s="7">
        <v>45706</v>
      </c>
      <c r="G1035" t="s">
        <v>135</v>
      </c>
      <c r="H1035" t="s">
        <v>6334</v>
      </c>
      <c r="I1035" t="s">
        <v>101</v>
      </c>
      <c r="J1035">
        <v>3926.1</v>
      </c>
      <c r="K1035">
        <v>500000</v>
      </c>
    </row>
    <row r="1036" spans="1:11" ht="15" customHeight="1" x14ac:dyDescent="0.2">
      <c r="A1036" t="s">
        <v>2075</v>
      </c>
      <c r="B1036" t="s">
        <v>1707</v>
      </c>
      <c r="C1036">
        <v>2024</v>
      </c>
      <c r="D1036">
        <v>2023</v>
      </c>
      <c r="E1036" s="7">
        <v>45342</v>
      </c>
      <c r="F1036" s="7">
        <v>45707</v>
      </c>
      <c r="G1036" t="s">
        <v>99</v>
      </c>
      <c r="H1036" t="s">
        <v>106</v>
      </c>
      <c r="I1036" t="s">
        <v>101</v>
      </c>
      <c r="J1036">
        <v>8234.2099999999991</v>
      </c>
      <c r="K1036">
        <v>1000000</v>
      </c>
    </row>
    <row r="1037" spans="1:11" ht="15" customHeight="1" x14ac:dyDescent="0.2">
      <c r="A1037" t="s">
        <v>2077</v>
      </c>
      <c r="B1037" t="s">
        <v>1709</v>
      </c>
      <c r="C1037">
        <v>2024</v>
      </c>
      <c r="D1037">
        <v>2023</v>
      </c>
      <c r="E1037" s="7">
        <v>45342</v>
      </c>
      <c r="F1037" s="7">
        <v>45707</v>
      </c>
      <c r="G1037" t="s">
        <v>99</v>
      </c>
      <c r="H1037" t="s">
        <v>108</v>
      </c>
      <c r="I1037" t="s">
        <v>104</v>
      </c>
      <c r="J1037">
        <v>32757.34</v>
      </c>
      <c r="K1037">
        <v>5000000</v>
      </c>
    </row>
    <row r="1038" spans="1:11" ht="15" customHeight="1" x14ac:dyDescent="0.2">
      <c r="A1038" t="s">
        <v>2079</v>
      </c>
      <c r="B1038" t="s">
        <v>6453</v>
      </c>
      <c r="C1038">
        <v>2024</v>
      </c>
      <c r="D1038">
        <v>2023</v>
      </c>
      <c r="E1038" s="7">
        <v>45342</v>
      </c>
      <c r="F1038" s="7">
        <v>45707</v>
      </c>
      <c r="G1038" t="s">
        <v>135</v>
      </c>
      <c r="H1038" t="s">
        <v>106</v>
      </c>
      <c r="I1038" t="s">
        <v>104</v>
      </c>
      <c r="J1038">
        <v>7680.44</v>
      </c>
      <c r="K1038">
        <v>1000000</v>
      </c>
    </row>
    <row r="1039" spans="1:11" ht="15" customHeight="1" x14ac:dyDescent="0.2">
      <c r="A1039" t="s">
        <v>2081</v>
      </c>
      <c r="B1039" t="s">
        <v>6477</v>
      </c>
      <c r="C1039">
        <v>2024</v>
      </c>
      <c r="D1039">
        <v>2023</v>
      </c>
      <c r="E1039" s="7">
        <v>45342</v>
      </c>
      <c r="F1039" s="7">
        <v>45707</v>
      </c>
      <c r="G1039" t="s">
        <v>135</v>
      </c>
      <c r="H1039" t="s">
        <v>107</v>
      </c>
      <c r="I1039" t="s">
        <v>101</v>
      </c>
      <c r="J1039">
        <v>11207.16</v>
      </c>
      <c r="K1039">
        <v>1500000</v>
      </c>
    </row>
    <row r="1040" spans="1:11" ht="15" customHeight="1" x14ac:dyDescent="0.2">
      <c r="A1040" t="s">
        <v>2082</v>
      </c>
      <c r="B1040" t="s">
        <v>756</v>
      </c>
      <c r="C1040">
        <v>2024</v>
      </c>
      <c r="D1040">
        <v>2023</v>
      </c>
      <c r="E1040" s="7">
        <v>45342</v>
      </c>
      <c r="F1040" s="7">
        <v>45707</v>
      </c>
      <c r="G1040" t="s">
        <v>135</v>
      </c>
      <c r="H1040" t="s">
        <v>106</v>
      </c>
      <c r="I1040" t="s">
        <v>101</v>
      </c>
      <c r="J1040">
        <v>43349.82</v>
      </c>
      <c r="K1040">
        <v>5000000</v>
      </c>
    </row>
    <row r="1041" spans="1:11" ht="15" customHeight="1" x14ac:dyDescent="0.2">
      <c r="A1041" t="s">
        <v>2083</v>
      </c>
      <c r="B1041" t="s">
        <v>6451</v>
      </c>
      <c r="C1041">
        <v>2024</v>
      </c>
      <c r="D1041">
        <v>2023</v>
      </c>
      <c r="E1041" s="7">
        <v>45342</v>
      </c>
      <c r="F1041" s="7">
        <v>45707</v>
      </c>
      <c r="G1041" t="s">
        <v>135</v>
      </c>
      <c r="H1041" t="s">
        <v>6332</v>
      </c>
      <c r="I1041" t="s">
        <v>101</v>
      </c>
      <c r="J1041">
        <v>3345.18</v>
      </c>
      <c r="K1041">
        <v>500000</v>
      </c>
    </row>
    <row r="1042" spans="1:11" ht="15" customHeight="1" x14ac:dyDescent="0.2">
      <c r="A1042" t="s">
        <v>2084</v>
      </c>
      <c r="B1042" t="s">
        <v>8103</v>
      </c>
      <c r="C1042">
        <v>2024</v>
      </c>
      <c r="D1042">
        <v>2023</v>
      </c>
      <c r="E1042" s="7">
        <v>45342</v>
      </c>
      <c r="F1042" s="7">
        <v>45707</v>
      </c>
      <c r="G1042" t="s">
        <v>135</v>
      </c>
      <c r="H1042" t="s">
        <v>108</v>
      </c>
      <c r="I1042" t="s">
        <v>104</v>
      </c>
      <c r="J1042">
        <v>6834.38</v>
      </c>
      <c r="K1042">
        <v>1000000</v>
      </c>
    </row>
    <row r="1043" spans="1:11" ht="15" customHeight="1" x14ac:dyDescent="0.2">
      <c r="A1043" t="s">
        <v>2085</v>
      </c>
      <c r="B1043" t="s">
        <v>754</v>
      </c>
      <c r="C1043">
        <v>2024</v>
      </c>
      <c r="D1043">
        <v>2023</v>
      </c>
      <c r="E1043" s="7">
        <v>45342</v>
      </c>
      <c r="F1043" s="7">
        <v>45707</v>
      </c>
      <c r="G1043" t="s">
        <v>135</v>
      </c>
      <c r="H1043" t="s">
        <v>112</v>
      </c>
      <c r="I1043" t="s">
        <v>104</v>
      </c>
      <c r="J1043">
        <v>14932.51</v>
      </c>
      <c r="K1043">
        <v>2000000</v>
      </c>
    </row>
    <row r="1044" spans="1:11" ht="15" customHeight="1" x14ac:dyDescent="0.2">
      <c r="A1044" t="s">
        <v>2086</v>
      </c>
      <c r="B1044" t="s">
        <v>755</v>
      </c>
      <c r="C1044">
        <v>2024</v>
      </c>
      <c r="D1044">
        <v>2023</v>
      </c>
      <c r="E1044" s="7">
        <v>45342</v>
      </c>
      <c r="F1044" s="7">
        <v>45707</v>
      </c>
      <c r="G1044" t="s">
        <v>135</v>
      </c>
      <c r="H1044" t="s">
        <v>107</v>
      </c>
      <c r="I1044" t="s">
        <v>101</v>
      </c>
      <c r="J1044">
        <v>7623.95</v>
      </c>
      <c r="K1044">
        <v>1000000</v>
      </c>
    </row>
    <row r="1045" spans="1:11" ht="15" customHeight="1" x14ac:dyDescent="0.2">
      <c r="A1045" t="s">
        <v>2087</v>
      </c>
      <c r="B1045" t="s">
        <v>1711</v>
      </c>
      <c r="C1045">
        <v>2024</v>
      </c>
      <c r="D1045">
        <v>2023</v>
      </c>
      <c r="E1045" s="7">
        <v>45343</v>
      </c>
      <c r="F1045" s="7">
        <v>45708</v>
      </c>
      <c r="G1045" t="s">
        <v>99</v>
      </c>
      <c r="H1045" t="s">
        <v>105</v>
      </c>
      <c r="I1045" t="s">
        <v>104</v>
      </c>
      <c r="J1045">
        <v>11677.49</v>
      </c>
      <c r="K1045">
        <v>2000000</v>
      </c>
    </row>
    <row r="1046" spans="1:11" ht="15" customHeight="1" x14ac:dyDescent="0.2">
      <c r="A1046" t="s">
        <v>2088</v>
      </c>
      <c r="B1046" t="s">
        <v>1713</v>
      </c>
      <c r="C1046">
        <v>2024</v>
      </c>
      <c r="D1046">
        <v>2023</v>
      </c>
      <c r="E1046" s="7">
        <v>45343</v>
      </c>
      <c r="F1046" s="7">
        <v>45708</v>
      </c>
      <c r="G1046" t="s">
        <v>99</v>
      </c>
      <c r="H1046" t="s">
        <v>106</v>
      </c>
      <c r="I1046" t="s">
        <v>101</v>
      </c>
      <c r="J1046">
        <v>9363.5499999999993</v>
      </c>
      <c r="K1046">
        <v>1000000</v>
      </c>
    </row>
    <row r="1047" spans="1:11" ht="15" customHeight="1" x14ac:dyDescent="0.2">
      <c r="A1047" t="s">
        <v>2089</v>
      </c>
      <c r="B1047" t="s">
        <v>6456</v>
      </c>
      <c r="C1047">
        <v>2024</v>
      </c>
      <c r="D1047">
        <v>2023</v>
      </c>
      <c r="E1047" s="7">
        <v>45343</v>
      </c>
      <c r="F1047" s="7">
        <v>45708</v>
      </c>
      <c r="G1047" t="s">
        <v>135</v>
      </c>
      <c r="H1047" t="s">
        <v>6332</v>
      </c>
      <c r="I1047" t="s">
        <v>104</v>
      </c>
      <c r="J1047">
        <v>5272.66</v>
      </c>
      <c r="K1047">
        <v>1000000</v>
      </c>
    </row>
    <row r="1048" spans="1:11" ht="15" customHeight="1" x14ac:dyDescent="0.2">
      <c r="A1048" t="s">
        <v>2091</v>
      </c>
      <c r="B1048" t="s">
        <v>6458</v>
      </c>
      <c r="C1048">
        <v>2024</v>
      </c>
      <c r="D1048">
        <v>2023</v>
      </c>
      <c r="E1048" s="7">
        <v>45343</v>
      </c>
      <c r="F1048" s="7">
        <v>45708</v>
      </c>
      <c r="G1048" t="s">
        <v>135</v>
      </c>
      <c r="H1048" t="s">
        <v>115</v>
      </c>
      <c r="I1048" t="s">
        <v>101</v>
      </c>
      <c r="J1048">
        <v>15567.88</v>
      </c>
      <c r="K1048">
        <v>2000000</v>
      </c>
    </row>
    <row r="1049" spans="1:11" ht="15" customHeight="1" x14ac:dyDescent="0.2">
      <c r="A1049" t="s">
        <v>2092</v>
      </c>
      <c r="B1049" t="s">
        <v>757</v>
      </c>
      <c r="C1049">
        <v>2024</v>
      </c>
      <c r="D1049">
        <v>2023</v>
      </c>
      <c r="E1049" s="7">
        <v>45343</v>
      </c>
      <c r="F1049" s="7">
        <v>45708</v>
      </c>
      <c r="G1049" t="s">
        <v>135</v>
      </c>
      <c r="H1049" t="s">
        <v>109</v>
      </c>
      <c r="I1049" t="s">
        <v>101</v>
      </c>
      <c r="J1049">
        <v>3888.33</v>
      </c>
      <c r="K1049">
        <v>500000</v>
      </c>
    </row>
    <row r="1050" spans="1:11" ht="15" customHeight="1" x14ac:dyDescent="0.2">
      <c r="A1050" t="s">
        <v>2093</v>
      </c>
      <c r="B1050" t="s">
        <v>8104</v>
      </c>
      <c r="C1050">
        <v>2024</v>
      </c>
      <c r="D1050">
        <v>2023</v>
      </c>
      <c r="E1050" s="7">
        <v>45343</v>
      </c>
      <c r="F1050" s="7">
        <v>45708</v>
      </c>
      <c r="G1050" t="s">
        <v>135</v>
      </c>
      <c r="H1050" t="s">
        <v>106</v>
      </c>
      <c r="I1050" t="s">
        <v>104</v>
      </c>
      <c r="J1050">
        <v>76826.48</v>
      </c>
      <c r="K1050">
        <v>10000000</v>
      </c>
    </row>
    <row r="1051" spans="1:11" ht="15" customHeight="1" x14ac:dyDescent="0.2">
      <c r="A1051" t="s">
        <v>2094</v>
      </c>
      <c r="B1051" t="s">
        <v>264</v>
      </c>
      <c r="C1051">
        <v>2024</v>
      </c>
      <c r="D1051">
        <v>2023</v>
      </c>
      <c r="E1051" s="7">
        <v>45343</v>
      </c>
      <c r="F1051" s="7">
        <v>45708</v>
      </c>
      <c r="G1051" t="s">
        <v>135</v>
      </c>
      <c r="H1051" t="s">
        <v>6334</v>
      </c>
      <c r="I1051" t="s">
        <v>101</v>
      </c>
      <c r="J1051">
        <v>7501.7</v>
      </c>
      <c r="K1051">
        <v>1000000</v>
      </c>
    </row>
    <row r="1052" spans="1:11" ht="15" customHeight="1" x14ac:dyDescent="0.2">
      <c r="A1052" t="s">
        <v>2095</v>
      </c>
      <c r="B1052" t="s">
        <v>464</v>
      </c>
      <c r="C1052">
        <v>2024</v>
      </c>
      <c r="D1052">
        <v>2023</v>
      </c>
      <c r="E1052" s="7">
        <v>45343</v>
      </c>
      <c r="F1052" s="7">
        <v>45708</v>
      </c>
      <c r="G1052" t="s">
        <v>135</v>
      </c>
      <c r="H1052" t="s">
        <v>108</v>
      </c>
      <c r="I1052" t="s">
        <v>101</v>
      </c>
      <c r="J1052">
        <v>87450.92</v>
      </c>
      <c r="K1052">
        <v>10000000</v>
      </c>
    </row>
    <row r="1053" spans="1:11" ht="15" customHeight="1" x14ac:dyDescent="0.2">
      <c r="A1053" t="s">
        <v>2096</v>
      </c>
      <c r="B1053" t="s">
        <v>6473</v>
      </c>
      <c r="C1053">
        <v>2024</v>
      </c>
      <c r="D1053">
        <v>2023</v>
      </c>
      <c r="E1053" s="7">
        <v>45343</v>
      </c>
      <c r="F1053" s="7">
        <v>45708</v>
      </c>
      <c r="G1053" t="s">
        <v>135</v>
      </c>
      <c r="H1053" t="s">
        <v>106</v>
      </c>
      <c r="I1053" t="s">
        <v>101</v>
      </c>
      <c r="J1053">
        <v>9686.11</v>
      </c>
      <c r="K1053">
        <v>1000000</v>
      </c>
    </row>
    <row r="1054" spans="1:11" ht="15" customHeight="1" x14ac:dyDescent="0.2">
      <c r="A1054" t="s">
        <v>2097</v>
      </c>
      <c r="B1054" t="s">
        <v>8105</v>
      </c>
      <c r="C1054">
        <v>2024</v>
      </c>
      <c r="D1054">
        <v>2023</v>
      </c>
      <c r="E1054" s="7">
        <v>45343</v>
      </c>
      <c r="F1054" s="7">
        <v>45708</v>
      </c>
      <c r="G1054" t="s">
        <v>135</v>
      </c>
      <c r="H1054" t="s">
        <v>106</v>
      </c>
      <c r="I1054" t="s">
        <v>101</v>
      </c>
      <c r="J1054">
        <v>8190.84</v>
      </c>
      <c r="K1054">
        <v>1000000</v>
      </c>
    </row>
    <row r="1055" spans="1:11" ht="15" customHeight="1" x14ac:dyDescent="0.2">
      <c r="A1055" t="s">
        <v>2098</v>
      </c>
      <c r="B1055" t="s">
        <v>758</v>
      </c>
      <c r="C1055">
        <v>2024</v>
      </c>
      <c r="D1055">
        <v>2023</v>
      </c>
      <c r="E1055" s="7">
        <v>45343</v>
      </c>
      <c r="F1055" s="7">
        <v>45708</v>
      </c>
      <c r="G1055" t="s">
        <v>135</v>
      </c>
      <c r="H1055" t="s">
        <v>108</v>
      </c>
      <c r="I1055" t="s">
        <v>101</v>
      </c>
      <c r="J1055">
        <v>8772.82</v>
      </c>
      <c r="K1055">
        <v>1000000</v>
      </c>
    </row>
    <row r="1056" spans="1:11" ht="15" customHeight="1" x14ac:dyDescent="0.2">
      <c r="A1056" t="s">
        <v>2099</v>
      </c>
      <c r="B1056" t="s">
        <v>1715</v>
      </c>
      <c r="C1056">
        <v>2024</v>
      </c>
      <c r="D1056">
        <v>2023</v>
      </c>
      <c r="E1056" s="7">
        <v>45344</v>
      </c>
      <c r="F1056" s="7">
        <v>45709</v>
      </c>
      <c r="G1056" t="s">
        <v>99</v>
      </c>
      <c r="H1056" t="s">
        <v>100</v>
      </c>
      <c r="I1056" t="s">
        <v>104</v>
      </c>
      <c r="J1056">
        <v>11912.93</v>
      </c>
      <c r="K1056">
        <v>2000000</v>
      </c>
    </row>
    <row r="1057" spans="1:11" ht="15" customHeight="1" x14ac:dyDescent="0.2">
      <c r="A1057" t="s">
        <v>2100</v>
      </c>
      <c r="B1057" t="s">
        <v>467</v>
      </c>
      <c r="C1057">
        <v>2024</v>
      </c>
      <c r="D1057">
        <v>2023</v>
      </c>
      <c r="E1057" s="7">
        <v>45344</v>
      </c>
      <c r="F1057" s="7">
        <v>45709</v>
      </c>
      <c r="G1057" t="s">
        <v>135</v>
      </c>
      <c r="H1057" t="s">
        <v>106</v>
      </c>
      <c r="I1057" t="s">
        <v>101</v>
      </c>
      <c r="J1057">
        <v>13014.71</v>
      </c>
      <c r="K1057">
        <v>1500000</v>
      </c>
    </row>
    <row r="1058" spans="1:11" ht="15" customHeight="1" x14ac:dyDescent="0.2">
      <c r="A1058" t="s">
        <v>2101</v>
      </c>
      <c r="B1058" t="s">
        <v>6464</v>
      </c>
      <c r="C1058">
        <v>2024</v>
      </c>
      <c r="D1058">
        <v>2023</v>
      </c>
      <c r="E1058" s="7">
        <v>45344</v>
      </c>
      <c r="F1058" s="7">
        <v>45709</v>
      </c>
      <c r="G1058" t="s">
        <v>135</v>
      </c>
      <c r="H1058" t="s">
        <v>100</v>
      </c>
      <c r="I1058" t="s">
        <v>104</v>
      </c>
      <c r="J1058">
        <v>9343.52</v>
      </c>
      <c r="K1058">
        <v>1500000</v>
      </c>
    </row>
    <row r="1059" spans="1:11" ht="15" customHeight="1" x14ac:dyDescent="0.2">
      <c r="A1059" t="s">
        <v>2102</v>
      </c>
      <c r="B1059" t="s">
        <v>8106</v>
      </c>
      <c r="C1059">
        <v>2024</v>
      </c>
      <c r="D1059">
        <v>2023</v>
      </c>
      <c r="E1059" s="7">
        <v>45344</v>
      </c>
      <c r="F1059" s="7">
        <v>45709</v>
      </c>
      <c r="G1059" t="s">
        <v>135</v>
      </c>
      <c r="H1059" t="s">
        <v>106</v>
      </c>
      <c r="I1059" t="s">
        <v>104</v>
      </c>
      <c r="J1059">
        <v>7820.05</v>
      </c>
      <c r="K1059">
        <v>1000000</v>
      </c>
    </row>
    <row r="1060" spans="1:11" ht="15" customHeight="1" x14ac:dyDescent="0.2">
      <c r="A1060" t="s">
        <v>2103</v>
      </c>
      <c r="B1060" t="s">
        <v>8107</v>
      </c>
      <c r="C1060">
        <v>2024</v>
      </c>
      <c r="D1060">
        <v>2023</v>
      </c>
      <c r="E1060" s="7">
        <v>45344</v>
      </c>
      <c r="F1060" s="7">
        <v>45709</v>
      </c>
      <c r="G1060" t="s">
        <v>135</v>
      </c>
      <c r="H1060" t="s">
        <v>113</v>
      </c>
      <c r="I1060" t="s">
        <v>101</v>
      </c>
      <c r="J1060">
        <v>71979</v>
      </c>
      <c r="K1060">
        <v>10000000</v>
      </c>
    </row>
    <row r="1061" spans="1:11" ht="15" customHeight="1" x14ac:dyDescent="0.2">
      <c r="A1061" t="s">
        <v>2104</v>
      </c>
      <c r="B1061" t="s">
        <v>8108</v>
      </c>
      <c r="C1061">
        <v>2024</v>
      </c>
      <c r="D1061">
        <v>2023</v>
      </c>
      <c r="E1061" s="7">
        <v>45344</v>
      </c>
      <c r="F1061" s="7">
        <v>45709</v>
      </c>
      <c r="G1061" t="s">
        <v>135</v>
      </c>
      <c r="H1061" t="s">
        <v>106</v>
      </c>
      <c r="I1061" t="s">
        <v>101</v>
      </c>
      <c r="J1061">
        <v>9145.1200000000008</v>
      </c>
      <c r="K1061">
        <v>1000000</v>
      </c>
    </row>
    <row r="1062" spans="1:11" ht="15" customHeight="1" x14ac:dyDescent="0.2">
      <c r="A1062" t="s">
        <v>2105</v>
      </c>
      <c r="B1062" t="s">
        <v>142</v>
      </c>
      <c r="C1062">
        <v>2024</v>
      </c>
      <c r="D1062">
        <v>2023</v>
      </c>
      <c r="E1062" s="7">
        <v>45344</v>
      </c>
      <c r="F1062" s="7">
        <v>45709</v>
      </c>
      <c r="G1062" t="s">
        <v>135</v>
      </c>
      <c r="H1062" t="s">
        <v>113</v>
      </c>
      <c r="I1062" t="s">
        <v>101</v>
      </c>
      <c r="J1062">
        <v>14973.89</v>
      </c>
      <c r="K1062">
        <v>2000000</v>
      </c>
    </row>
    <row r="1063" spans="1:11" ht="15" customHeight="1" x14ac:dyDescent="0.2">
      <c r="A1063" t="s">
        <v>2107</v>
      </c>
      <c r="B1063" t="s">
        <v>8109</v>
      </c>
      <c r="C1063">
        <v>2024</v>
      </c>
      <c r="D1063">
        <v>2023</v>
      </c>
      <c r="E1063" s="7">
        <v>45344</v>
      </c>
      <c r="F1063" s="7">
        <v>45709</v>
      </c>
      <c r="G1063" t="s">
        <v>135</v>
      </c>
      <c r="H1063" t="s">
        <v>102</v>
      </c>
      <c r="I1063" t="s">
        <v>101</v>
      </c>
      <c r="J1063">
        <v>7391.09</v>
      </c>
      <c r="K1063">
        <v>1000000</v>
      </c>
    </row>
    <row r="1064" spans="1:11" ht="15" customHeight="1" x14ac:dyDescent="0.2">
      <c r="A1064" t="s">
        <v>2109</v>
      </c>
      <c r="B1064" t="s">
        <v>466</v>
      </c>
      <c r="C1064">
        <v>2024</v>
      </c>
      <c r="D1064">
        <v>2023</v>
      </c>
      <c r="E1064" s="7">
        <v>45344</v>
      </c>
      <c r="F1064" s="7">
        <v>45709</v>
      </c>
      <c r="G1064" t="s">
        <v>135</v>
      </c>
      <c r="H1064" t="s">
        <v>105</v>
      </c>
      <c r="I1064" t="s">
        <v>101</v>
      </c>
      <c r="J1064">
        <v>68288.460000000006</v>
      </c>
      <c r="K1064">
        <v>10000000</v>
      </c>
    </row>
    <row r="1065" spans="1:11" ht="15" customHeight="1" x14ac:dyDescent="0.2">
      <c r="A1065" t="s">
        <v>2111</v>
      </c>
      <c r="B1065" t="s">
        <v>8110</v>
      </c>
      <c r="C1065">
        <v>2024</v>
      </c>
      <c r="D1065">
        <v>2023</v>
      </c>
      <c r="E1065" s="7">
        <v>45344</v>
      </c>
      <c r="F1065" s="7">
        <v>45709</v>
      </c>
      <c r="G1065" t="s">
        <v>135</v>
      </c>
      <c r="H1065" t="s">
        <v>115</v>
      </c>
      <c r="I1065" t="s">
        <v>101</v>
      </c>
      <c r="J1065">
        <v>7172.54</v>
      </c>
      <c r="K1065">
        <v>1000000</v>
      </c>
    </row>
    <row r="1066" spans="1:11" ht="15" customHeight="1" x14ac:dyDescent="0.2">
      <c r="A1066" t="s">
        <v>2113</v>
      </c>
      <c r="B1066" t="s">
        <v>8111</v>
      </c>
      <c r="C1066">
        <v>2024</v>
      </c>
      <c r="D1066">
        <v>2023</v>
      </c>
      <c r="E1066" s="7">
        <v>45344</v>
      </c>
      <c r="F1066" s="7">
        <v>45709</v>
      </c>
      <c r="G1066" t="s">
        <v>135</v>
      </c>
      <c r="H1066" t="s">
        <v>107</v>
      </c>
      <c r="I1066" t="s">
        <v>101</v>
      </c>
      <c r="J1066">
        <v>70919.81</v>
      </c>
      <c r="K1066">
        <v>10000000</v>
      </c>
    </row>
    <row r="1067" spans="1:11" ht="15" customHeight="1" x14ac:dyDescent="0.2">
      <c r="A1067" t="s">
        <v>2115</v>
      </c>
      <c r="B1067" t="s">
        <v>465</v>
      </c>
      <c r="C1067">
        <v>2024</v>
      </c>
      <c r="D1067">
        <v>2023</v>
      </c>
      <c r="E1067" s="7">
        <v>45344</v>
      </c>
      <c r="F1067" s="7">
        <v>45709</v>
      </c>
      <c r="G1067" t="s">
        <v>135</v>
      </c>
      <c r="H1067" t="s">
        <v>106</v>
      </c>
      <c r="I1067" t="s">
        <v>101</v>
      </c>
      <c r="J1067">
        <v>8174.82</v>
      </c>
      <c r="K1067">
        <v>1000000</v>
      </c>
    </row>
    <row r="1068" spans="1:11" ht="15" customHeight="1" x14ac:dyDescent="0.2">
      <c r="A1068" t="s">
        <v>2117</v>
      </c>
      <c r="B1068" t="s">
        <v>759</v>
      </c>
      <c r="C1068">
        <v>2024</v>
      </c>
      <c r="D1068">
        <v>2023</v>
      </c>
      <c r="E1068" s="7">
        <v>45344</v>
      </c>
      <c r="F1068" s="7">
        <v>45709</v>
      </c>
      <c r="G1068" t="s">
        <v>135</v>
      </c>
      <c r="H1068" t="s">
        <v>113</v>
      </c>
      <c r="I1068" t="s">
        <v>104</v>
      </c>
      <c r="J1068">
        <v>3105.73</v>
      </c>
      <c r="K1068">
        <v>500000</v>
      </c>
    </row>
    <row r="1069" spans="1:11" ht="15" customHeight="1" x14ac:dyDescent="0.2">
      <c r="A1069" t="s">
        <v>2119</v>
      </c>
      <c r="B1069" t="s">
        <v>1717</v>
      </c>
      <c r="C1069">
        <v>2024</v>
      </c>
      <c r="D1069">
        <v>2023</v>
      </c>
      <c r="E1069" s="7">
        <v>45345</v>
      </c>
      <c r="F1069" s="7">
        <v>45710</v>
      </c>
      <c r="G1069" t="s">
        <v>99</v>
      </c>
      <c r="H1069" t="s">
        <v>114</v>
      </c>
      <c r="I1069" t="s">
        <v>101</v>
      </c>
      <c r="J1069">
        <v>6677.13</v>
      </c>
      <c r="K1069">
        <v>1000000</v>
      </c>
    </row>
    <row r="1070" spans="1:11" ht="15" customHeight="1" x14ac:dyDescent="0.2">
      <c r="A1070" t="s">
        <v>2121</v>
      </c>
      <c r="B1070" t="s">
        <v>1730</v>
      </c>
      <c r="C1070">
        <v>2024</v>
      </c>
      <c r="D1070">
        <v>2023</v>
      </c>
      <c r="E1070" s="7">
        <v>45345</v>
      </c>
      <c r="F1070" s="7">
        <v>45710</v>
      </c>
      <c r="G1070" t="s">
        <v>99</v>
      </c>
      <c r="H1070" t="s">
        <v>106</v>
      </c>
      <c r="I1070" t="s">
        <v>101</v>
      </c>
      <c r="J1070">
        <v>18278.22</v>
      </c>
      <c r="K1070">
        <v>2000000</v>
      </c>
    </row>
    <row r="1071" spans="1:11" ht="15" customHeight="1" x14ac:dyDescent="0.2">
      <c r="A1071" t="s">
        <v>2123</v>
      </c>
      <c r="B1071" t="s">
        <v>119</v>
      </c>
      <c r="C1071">
        <v>2024</v>
      </c>
      <c r="D1071">
        <v>2023</v>
      </c>
      <c r="E1071" s="7">
        <v>45345</v>
      </c>
      <c r="F1071" s="7">
        <v>45710</v>
      </c>
      <c r="G1071" t="s">
        <v>135</v>
      </c>
      <c r="H1071" t="s">
        <v>102</v>
      </c>
      <c r="I1071" t="s">
        <v>104</v>
      </c>
      <c r="J1071">
        <v>53747.56</v>
      </c>
      <c r="K1071">
        <v>10000000</v>
      </c>
    </row>
    <row r="1072" spans="1:11" ht="15" customHeight="1" x14ac:dyDescent="0.2">
      <c r="A1072" t="s">
        <v>2125</v>
      </c>
      <c r="B1072" t="s">
        <v>7286</v>
      </c>
      <c r="C1072">
        <v>2024</v>
      </c>
      <c r="D1072">
        <v>2023</v>
      </c>
      <c r="E1072" s="7">
        <v>45345</v>
      </c>
      <c r="F1072" s="7">
        <v>45710</v>
      </c>
      <c r="G1072" t="s">
        <v>135</v>
      </c>
      <c r="H1072" t="s">
        <v>105</v>
      </c>
      <c r="I1072" t="s">
        <v>101</v>
      </c>
      <c r="J1072">
        <v>3654.14</v>
      </c>
      <c r="K1072">
        <v>500000</v>
      </c>
    </row>
    <row r="1073" spans="1:11" ht="15" customHeight="1" x14ac:dyDescent="0.2">
      <c r="A1073" t="s">
        <v>2127</v>
      </c>
      <c r="B1073" t="s">
        <v>267</v>
      </c>
      <c r="C1073">
        <v>2024</v>
      </c>
      <c r="D1073">
        <v>2023</v>
      </c>
      <c r="E1073" s="7">
        <v>45345</v>
      </c>
      <c r="F1073" s="7">
        <v>45710</v>
      </c>
      <c r="G1073" t="s">
        <v>135</v>
      </c>
      <c r="H1073" t="s">
        <v>106</v>
      </c>
      <c r="I1073" t="s">
        <v>101</v>
      </c>
      <c r="J1073">
        <v>9371.68</v>
      </c>
      <c r="K1073">
        <v>1000000</v>
      </c>
    </row>
    <row r="1074" spans="1:11" ht="15" customHeight="1" x14ac:dyDescent="0.2">
      <c r="A1074" t="s">
        <v>2129</v>
      </c>
      <c r="B1074" t="s">
        <v>8112</v>
      </c>
      <c r="C1074">
        <v>2024</v>
      </c>
      <c r="D1074">
        <v>2023</v>
      </c>
      <c r="E1074" s="7">
        <v>45345</v>
      </c>
      <c r="F1074" s="7">
        <v>45710</v>
      </c>
      <c r="G1074" t="s">
        <v>135</v>
      </c>
      <c r="H1074" t="s">
        <v>6337</v>
      </c>
      <c r="I1074" t="s">
        <v>101</v>
      </c>
      <c r="J1074">
        <v>15431.83</v>
      </c>
      <c r="K1074">
        <v>2000000</v>
      </c>
    </row>
    <row r="1075" spans="1:11" ht="15" customHeight="1" x14ac:dyDescent="0.2">
      <c r="A1075" t="s">
        <v>2130</v>
      </c>
      <c r="B1075" t="s">
        <v>6478</v>
      </c>
      <c r="C1075">
        <v>2024</v>
      </c>
      <c r="D1075">
        <v>2023</v>
      </c>
      <c r="E1075" s="7">
        <v>45345</v>
      </c>
      <c r="F1075" s="7">
        <v>45710</v>
      </c>
      <c r="G1075" t="s">
        <v>135</v>
      </c>
      <c r="H1075" t="s">
        <v>106</v>
      </c>
      <c r="I1075" t="s">
        <v>104</v>
      </c>
      <c r="J1075">
        <v>9958.52</v>
      </c>
      <c r="K1075">
        <v>1500000</v>
      </c>
    </row>
    <row r="1076" spans="1:11" ht="15" customHeight="1" x14ac:dyDescent="0.2">
      <c r="A1076" t="s">
        <v>2131</v>
      </c>
      <c r="B1076" t="s">
        <v>8113</v>
      </c>
      <c r="C1076">
        <v>2024</v>
      </c>
      <c r="D1076">
        <v>2023</v>
      </c>
      <c r="E1076" s="7">
        <v>45345</v>
      </c>
      <c r="F1076" s="7">
        <v>45710</v>
      </c>
      <c r="G1076" t="s">
        <v>135</v>
      </c>
      <c r="H1076" t="s">
        <v>106</v>
      </c>
      <c r="I1076" t="s">
        <v>101</v>
      </c>
      <c r="J1076">
        <v>41862.15</v>
      </c>
      <c r="K1076">
        <v>5000000</v>
      </c>
    </row>
    <row r="1077" spans="1:11" ht="15" customHeight="1" x14ac:dyDescent="0.2">
      <c r="A1077" t="s">
        <v>2132</v>
      </c>
      <c r="B1077" t="s">
        <v>8114</v>
      </c>
      <c r="C1077">
        <v>2024</v>
      </c>
      <c r="D1077">
        <v>2023</v>
      </c>
      <c r="E1077" s="7">
        <v>45345</v>
      </c>
      <c r="F1077" s="7">
        <v>45710</v>
      </c>
      <c r="G1077" t="s">
        <v>135</v>
      </c>
      <c r="H1077" t="s">
        <v>107</v>
      </c>
      <c r="I1077" t="s">
        <v>101</v>
      </c>
      <c r="J1077">
        <v>10045.219999999999</v>
      </c>
      <c r="K1077">
        <v>1500000</v>
      </c>
    </row>
    <row r="1078" spans="1:11" ht="15" customHeight="1" x14ac:dyDescent="0.2">
      <c r="A1078" t="s">
        <v>2133</v>
      </c>
      <c r="B1078" t="s">
        <v>265</v>
      </c>
      <c r="C1078">
        <v>2024</v>
      </c>
      <c r="D1078">
        <v>2023</v>
      </c>
      <c r="E1078" s="7">
        <v>45345</v>
      </c>
      <c r="F1078" s="7">
        <v>45710</v>
      </c>
      <c r="G1078" t="s">
        <v>135</v>
      </c>
      <c r="H1078" t="s">
        <v>107</v>
      </c>
      <c r="I1078" t="s">
        <v>101</v>
      </c>
      <c r="J1078">
        <v>6864.58</v>
      </c>
      <c r="K1078">
        <v>1000000</v>
      </c>
    </row>
    <row r="1079" spans="1:11" ht="15" customHeight="1" x14ac:dyDescent="0.2">
      <c r="A1079" t="s">
        <v>2134</v>
      </c>
      <c r="B1079" t="s">
        <v>8115</v>
      </c>
      <c r="C1079">
        <v>2024</v>
      </c>
      <c r="D1079">
        <v>2023</v>
      </c>
      <c r="E1079" s="7">
        <v>45345</v>
      </c>
      <c r="F1079" s="7">
        <v>45710</v>
      </c>
      <c r="G1079" t="s">
        <v>135</v>
      </c>
      <c r="H1079" t="s">
        <v>107</v>
      </c>
      <c r="I1079" t="s">
        <v>101</v>
      </c>
      <c r="J1079">
        <v>6860.24</v>
      </c>
      <c r="K1079">
        <v>1000000</v>
      </c>
    </row>
    <row r="1080" spans="1:11" ht="15" customHeight="1" x14ac:dyDescent="0.2">
      <c r="A1080" t="s">
        <v>2135</v>
      </c>
      <c r="B1080" t="s">
        <v>8116</v>
      </c>
      <c r="C1080">
        <v>2024</v>
      </c>
      <c r="D1080">
        <v>2023</v>
      </c>
      <c r="E1080" s="7">
        <v>45345</v>
      </c>
      <c r="F1080" s="7">
        <v>45710</v>
      </c>
      <c r="G1080" t="s">
        <v>135</v>
      </c>
      <c r="H1080" t="s">
        <v>102</v>
      </c>
      <c r="I1080" t="s">
        <v>104</v>
      </c>
      <c r="J1080">
        <v>11636.73</v>
      </c>
      <c r="K1080">
        <v>2000000</v>
      </c>
    </row>
    <row r="1081" spans="1:11" ht="15" customHeight="1" x14ac:dyDescent="0.2">
      <c r="A1081" t="s">
        <v>2136</v>
      </c>
      <c r="B1081" t="s">
        <v>469</v>
      </c>
      <c r="C1081">
        <v>2024</v>
      </c>
      <c r="D1081">
        <v>2023</v>
      </c>
      <c r="E1081" s="7">
        <v>45345</v>
      </c>
      <c r="F1081" s="7">
        <v>45710</v>
      </c>
      <c r="G1081" t="s">
        <v>135</v>
      </c>
      <c r="H1081" t="s">
        <v>114</v>
      </c>
      <c r="I1081" t="s">
        <v>101</v>
      </c>
      <c r="J1081">
        <v>11814.52</v>
      </c>
      <c r="K1081">
        <v>1500000</v>
      </c>
    </row>
    <row r="1082" spans="1:11" ht="15" customHeight="1" x14ac:dyDescent="0.2">
      <c r="A1082" t="s">
        <v>2137</v>
      </c>
      <c r="B1082" t="s">
        <v>8117</v>
      </c>
      <c r="C1082">
        <v>2024</v>
      </c>
      <c r="D1082">
        <v>2023</v>
      </c>
      <c r="E1082" s="7">
        <v>45345</v>
      </c>
      <c r="F1082" s="7">
        <v>45710</v>
      </c>
      <c r="G1082" t="s">
        <v>135</v>
      </c>
      <c r="H1082" t="s">
        <v>6348</v>
      </c>
      <c r="I1082" t="s">
        <v>104</v>
      </c>
      <c r="J1082">
        <v>6238.75</v>
      </c>
      <c r="K1082">
        <v>1000000</v>
      </c>
    </row>
    <row r="1083" spans="1:11" ht="15" customHeight="1" x14ac:dyDescent="0.2">
      <c r="A1083" t="s">
        <v>2138</v>
      </c>
      <c r="B1083" t="s">
        <v>8118</v>
      </c>
      <c r="C1083">
        <v>2024</v>
      </c>
      <c r="D1083">
        <v>2023</v>
      </c>
      <c r="E1083" s="7">
        <v>45345</v>
      </c>
      <c r="F1083" s="7">
        <v>45710</v>
      </c>
      <c r="G1083" t="s">
        <v>135</v>
      </c>
      <c r="H1083" t="s">
        <v>102</v>
      </c>
      <c r="I1083" t="s">
        <v>104</v>
      </c>
      <c r="J1083">
        <v>11555.13</v>
      </c>
      <c r="K1083">
        <v>2000000</v>
      </c>
    </row>
    <row r="1084" spans="1:11" ht="15" customHeight="1" x14ac:dyDescent="0.2">
      <c r="A1084" t="s">
        <v>2139</v>
      </c>
      <c r="B1084" t="s">
        <v>8119</v>
      </c>
      <c r="C1084">
        <v>2024</v>
      </c>
      <c r="D1084">
        <v>2023</v>
      </c>
      <c r="E1084" s="7">
        <v>45345</v>
      </c>
      <c r="F1084" s="7">
        <v>45710</v>
      </c>
      <c r="G1084" t="s">
        <v>135</v>
      </c>
      <c r="H1084" t="s">
        <v>108</v>
      </c>
      <c r="I1084" t="s">
        <v>101</v>
      </c>
      <c r="J1084">
        <v>9399.77</v>
      </c>
      <c r="K1084">
        <v>1000000</v>
      </c>
    </row>
    <row r="1085" spans="1:11" ht="15" customHeight="1" x14ac:dyDescent="0.2">
      <c r="A1085" t="s">
        <v>2140</v>
      </c>
      <c r="B1085" t="s">
        <v>8120</v>
      </c>
      <c r="C1085">
        <v>2024</v>
      </c>
      <c r="D1085">
        <v>2023</v>
      </c>
      <c r="E1085" s="7">
        <v>45345</v>
      </c>
      <c r="F1085" s="7">
        <v>45710</v>
      </c>
      <c r="G1085" t="s">
        <v>135</v>
      </c>
      <c r="H1085" t="s">
        <v>100</v>
      </c>
      <c r="I1085" t="s">
        <v>101</v>
      </c>
      <c r="J1085">
        <v>10059.799999999999</v>
      </c>
      <c r="K1085">
        <v>1500000</v>
      </c>
    </row>
    <row r="1086" spans="1:11" ht="15" customHeight="1" x14ac:dyDescent="0.2">
      <c r="A1086" t="s">
        <v>2141</v>
      </c>
      <c r="B1086" t="s">
        <v>8121</v>
      </c>
      <c r="C1086">
        <v>2024</v>
      </c>
      <c r="D1086">
        <v>2023</v>
      </c>
      <c r="E1086" s="7">
        <v>45345</v>
      </c>
      <c r="F1086" s="7">
        <v>45710</v>
      </c>
      <c r="G1086" t="s">
        <v>135</v>
      </c>
      <c r="H1086" t="s">
        <v>107</v>
      </c>
      <c r="I1086" t="s">
        <v>101</v>
      </c>
      <c r="J1086">
        <v>3380.01</v>
      </c>
      <c r="K1086">
        <v>500000</v>
      </c>
    </row>
    <row r="1087" spans="1:11" ht="15" customHeight="1" x14ac:dyDescent="0.2">
      <c r="A1087" t="s">
        <v>2143</v>
      </c>
      <c r="B1087" t="s">
        <v>468</v>
      </c>
      <c r="C1087">
        <v>2024</v>
      </c>
      <c r="D1087">
        <v>2023</v>
      </c>
      <c r="E1087" s="7">
        <v>45345</v>
      </c>
      <c r="F1087" s="7">
        <v>45710</v>
      </c>
      <c r="G1087" t="s">
        <v>135</v>
      </c>
      <c r="H1087" t="s">
        <v>100</v>
      </c>
      <c r="I1087" t="s">
        <v>104</v>
      </c>
      <c r="J1087">
        <v>28233.24</v>
      </c>
      <c r="K1087">
        <v>5000000</v>
      </c>
    </row>
    <row r="1088" spans="1:11" ht="15" customHeight="1" x14ac:dyDescent="0.2">
      <c r="A1088" t="s">
        <v>2145</v>
      </c>
      <c r="B1088" t="s">
        <v>266</v>
      </c>
      <c r="C1088">
        <v>2024</v>
      </c>
      <c r="D1088">
        <v>2023</v>
      </c>
      <c r="E1088" s="7">
        <v>45345</v>
      </c>
      <c r="F1088" s="7">
        <v>45710</v>
      </c>
      <c r="G1088" t="s">
        <v>135</v>
      </c>
      <c r="H1088" t="s">
        <v>106</v>
      </c>
      <c r="I1088" t="s">
        <v>104</v>
      </c>
      <c r="J1088">
        <v>7793.3</v>
      </c>
      <c r="K1088">
        <v>1000000</v>
      </c>
    </row>
    <row r="1089" spans="1:11" ht="15" customHeight="1" x14ac:dyDescent="0.2">
      <c r="A1089" t="s">
        <v>2147</v>
      </c>
      <c r="B1089" t="s">
        <v>1732</v>
      </c>
      <c r="C1089">
        <v>2024</v>
      </c>
      <c r="D1089">
        <v>2023</v>
      </c>
      <c r="E1089" s="7">
        <v>45346</v>
      </c>
      <c r="F1089" s="7">
        <v>45711</v>
      </c>
      <c r="G1089" t="s">
        <v>99</v>
      </c>
      <c r="H1089" t="s">
        <v>106</v>
      </c>
      <c r="I1089" t="s">
        <v>104</v>
      </c>
      <c r="J1089">
        <v>10681.08</v>
      </c>
      <c r="K1089">
        <v>1500000</v>
      </c>
    </row>
    <row r="1090" spans="1:11" ht="15" customHeight="1" x14ac:dyDescent="0.2">
      <c r="A1090" t="s">
        <v>2149</v>
      </c>
      <c r="B1090" t="s">
        <v>1734</v>
      </c>
      <c r="C1090">
        <v>2024</v>
      </c>
      <c r="D1090">
        <v>2023</v>
      </c>
      <c r="E1090" s="7">
        <v>45346</v>
      </c>
      <c r="F1090" s="7">
        <v>45711</v>
      </c>
      <c r="G1090" t="s">
        <v>99</v>
      </c>
      <c r="H1090" t="s">
        <v>107</v>
      </c>
      <c r="I1090" t="s">
        <v>101</v>
      </c>
      <c r="J1090">
        <v>9997.2900000000009</v>
      </c>
      <c r="K1090">
        <v>1500000</v>
      </c>
    </row>
    <row r="1091" spans="1:11" ht="15" customHeight="1" x14ac:dyDescent="0.2">
      <c r="A1091" t="s">
        <v>2151</v>
      </c>
      <c r="B1091" t="s">
        <v>1736</v>
      </c>
      <c r="C1091">
        <v>2024</v>
      </c>
      <c r="D1091">
        <v>2023</v>
      </c>
      <c r="E1091" s="7">
        <v>45346</v>
      </c>
      <c r="F1091" s="7">
        <v>45711</v>
      </c>
      <c r="G1091" t="s">
        <v>99</v>
      </c>
      <c r="H1091" t="s">
        <v>107</v>
      </c>
      <c r="I1091" t="s">
        <v>104</v>
      </c>
      <c r="J1091">
        <v>8794.99</v>
      </c>
      <c r="K1091">
        <v>1500000</v>
      </c>
    </row>
    <row r="1092" spans="1:11" ht="15" customHeight="1" x14ac:dyDescent="0.2">
      <c r="A1092" t="s">
        <v>2153</v>
      </c>
      <c r="B1092" t="s">
        <v>8122</v>
      </c>
      <c r="C1092">
        <v>2024</v>
      </c>
      <c r="D1092">
        <v>2023</v>
      </c>
      <c r="E1092" s="7">
        <v>45346</v>
      </c>
      <c r="F1092" s="7">
        <v>45711</v>
      </c>
      <c r="G1092" t="s">
        <v>135</v>
      </c>
      <c r="H1092" t="s">
        <v>106</v>
      </c>
      <c r="I1092" t="s">
        <v>101</v>
      </c>
      <c r="J1092">
        <v>12352.46</v>
      </c>
      <c r="K1092">
        <v>1500000</v>
      </c>
    </row>
    <row r="1093" spans="1:11" ht="15" customHeight="1" x14ac:dyDescent="0.2">
      <c r="A1093" t="s">
        <v>2154</v>
      </c>
      <c r="B1093" t="s">
        <v>6482</v>
      </c>
      <c r="C1093">
        <v>2024</v>
      </c>
      <c r="D1093">
        <v>2023</v>
      </c>
      <c r="E1093" s="7">
        <v>45346</v>
      </c>
      <c r="F1093" s="7">
        <v>45711</v>
      </c>
      <c r="G1093" t="s">
        <v>135</v>
      </c>
      <c r="H1093" t="s">
        <v>106</v>
      </c>
      <c r="I1093" t="s">
        <v>104</v>
      </c>
      <c r="J1093">
        <v>7609.15</v>
      </c>
      <c r="K1093">
        <v>1000000</v>
      </c>
    </row>
    <row r="1094" spans="1:11" ht="15" customHeight="1" x14ac:dyDescent="0.2">
      <c r="A1094" t="s">
        <v>2155</v>
      </c>
      <c r="B1094" t="s">
        <v>8123</v>
      </c>
      <c r="C1094">
        <v>2024</v>
      </c>
      <c r="D1094">
        <v>2023</v>
      </c>
      <c r="E1094" s="7">
        <v>45346</v>
      </c>
      <c r="F1094" s="7">
        <v>45711</v>
      </c>
      <c r="G1094" t="s">
        <v>135</v>
      </c>
      <c r="H1094" t="s">
        <v>102</v>
      </c>
      <c r="I1094" t="s">
        <v>104</v>
      </c>
      <c r="J1094">
        <v>5194.63</v>
      </c>
      <c r="K1094">
        <v>1000000</v>
      </c>
    </row>
    <row r="1095" spans="1:11" ht="15" customHeight="1" x14ac:dyDescent="0.2">
      <c r="A1095" t="s">
        <v>2156</v>
      </c>
      <c r="B1095" t="s">
        <v>760</v>
      </c>
      <c r="C1095">
        <v>2024</v>
      </c>
      <c r="D1095">
        <v>2023</v>
      </c>
      <c r="E1095" s="7">
        <v>45346</v>
      </c>
      <c r="F1095" s="7">
        <v>45711</v>
      </c>
      <c r="G1095" t="s">
        <v>135</v>
      </c>
      <c r="H1095" t="s">
        <v>100</v>
      </c>
      <c r="I1095" t="s">
        <v>104</v>
      </c>
      <c r="J1095">
        <v>9465.85</v>
      </c>
      <c r="K1095">
        <v>1500000</v>
      </c>
    </row>
    <row r="1096" spans="1:11" ht="15" customHeight="1" x14ac:dyDescent="0.2">
      <c r="A1096" t="s">
        <v>2157</v>
      </c>
      <c r="B1096" t="s">
        <v>8124</v>
      </c>
      <c r="C1096">
        <v>2024</v>
      </c>
      <c r="D1096">
        <v>2023</v>
      </c>
      <c r="E1096" s="7">
        <v>45346</v>
      </c>
      <c r="F1096" s="7">
        <v>45711</v>
      </c>
      <c r="G1096" t="s">
        <v>135</v>
      </c>
      <c r="H1096" t="s">
        <v>102</v>
      </c>
      <c r="I1096" t="s">
        <v>104</v>
      </c>
      <c r="J1096">
        <v>27139.07</v>
      </c>
      <c r="K1096">
        <v>5000000</v>
      </c>
    </row>
    <row r="1097" spans="1:11" ht="15" customHeight="1" x14ac:dyDescent="0.2">
      <c r="A1097" t="s">
        <v>2158</v>
      </c>
      <c r="B1097" t="s">
        <v>8125</v>
      </c>
      <c r="C1097">
        <v>2024</v>
      </c>
      <c r="D1097">
        <v>2023</v>
      </c>
      <c r="E1097" s="7">
        <v>45346</v>
      </c>
      <c r="F1097" s="7">
        <v>45711</v>
      </c>
      <c r="G1097" t="s">
        <v>135</v>
      </c>
      <c r="H1097" t="s">
        <v>106</v>
      </c>
      <c r="I1097" t="s">
        <v>101</v>
      </c>
      <c r="J1097">
        <v>14459.57</v>
      </c>
      <c r="K1097">
        <v>1500000</v>
      </c>
    </row>
    <row r="1098" spans="1:11" ht="15" customHeight="1" x14ac:dyDescent="0.2">
      <c r="A1098" t="s">
        <v>2159</v>
      </c>
      <c r="B1098" t="s">
        <v>761</v>
      </c>
      <c r="C1098">
        <v>2024</v>
      </c>
      <c r="D1098">
        <v>2023</v>
      </c>
      <c r="E1098" s="7">
        <v>45346</v>
      </c>
      <c r="F1098" s="7">
        <v>45711</v>
      </c>
      <c r="G1098" t="s">
        <v>135</v>
      </c>
      <c r="H1098" t="s">
        <v>102</v>
      </c>
      <c r="I1098" t="s">
        <v>104</v>
      </c>
      <c r="J1098">
        <v>11640</v>
      </c>
      <c r="K1098">
        <v>2000000</v>
      </c>
    </row>
    <row r="1099" spans="1:11" ht="15" customHeight="1" x14ac:dyDescent="0.2">
      <c r="A1099" t="s">
        <v>2160</v>
      </c>
      <c r="B1099" t="s">
        <v>8126</v>
      </c>
      <c r="C1099">
        <v>2024</v>
      </c>
      <c r="D1099">
        <v>2023</v>
      </c>
      <c r="E1099" s="7">
        <v>45346</v>
      </c>
      <c r="F1099" s="7">
        <v>45711</v>
      </c>
      <c r="G1099" t="s">
        <v>135</v>
      </c>
      <c r="H1099" t="s">
        <v>115</v>
      </c>
      <c r="I1099" t="s">
        <v>101</v>
      </c>
      <c r="J1099">
        <v>6923.67</v>
      </c>
      <c r="K1099">
        <v>1000000</v>
      </c>
    </row>
    <row r="1100" spans="1:11" ht="15" customHeight="1" x14ac:dyDescent="0.2">
      <c r="A1100" t="s">
        <v>2161</v>
      </c>
      <c r="B1100" t="s">
        <v>189</v>
      </c>
      <c r="C1100">
        <v>2024</v>
      </c>
      <c r="D1100">
        <v>2023</v>
      </c>
      <c r="E1100" s="7">
        <v>45346</v>
      </c>
      <c r="F1100" s="7">
        <v>45711</v>
      </c>
      <c r="G1100" t="s">
        <v>135</v>
      </c>
      <c r="H1100" t="s">
        <v>108</v>
      </c>
      <c r="I1100" t="s">
        <v>104</v>
      </c>
      <c r="J1100">
        <v>14900.77</v>
      </c>
      <c r="K1100">
        <v>2000000</v>
      </c>
    </row>
    <row r="1101" spans="1:11" ht="15" customHeight="1" x14ac:dyDescent="0.2">
      <c r="A1101" t="s">
        <v>2162</v>
      </c>
      <c r="B1101" t="s">
        <v>143</v>
      </c>
      <c r="C1101">
        <v>2024</v>
      </c>
      <c r="D1101">
        <v>2023</v>
      </c>
      <c r="E1101" s="7">
        <v>45346</v>
      </c>
      <c r="F1101" s="7">
        <v>45711</v>
      </c>
      <c r="G1101" t="s">
        <v>135</v>
      </c>
      <c r="H1101" t="s">
        <v>102</v>
      </c>
      <c r="I1101" t="s">
        <v>104</v>
      </c>
      <c r="J1101">
        <v>12295.3</v>
      </c>
      <c r="K1101">
        <v>2000000</v>
      </c>
    </row>
    <row r="1102" spans="1:11" ht="15" customHeight="1" x14ac:dyDescent="0.2">
      <c r="A1102" t="s">
        <v>2163</v>
      </c>
      <c r="B1102" t="s">
        <v>762</v>
      </c>
      <c r="C1102">
        <v>2024</v>
      </c>
      <c r="D1102">
        <v>2023</v>
      </c>
      <c r="E1102" s="7">
        <v>45346</v>
      </c>
      <c r="F1102" s="7">
        <v>45711</v>
      </c>
      <c r="G1102" t="s">
        <v>135</v>
      </c>
      <c r="H1102" t="s">
        <v>114</v>
      </c>
      <c r="I1102" t="s">
        <v>101</v>
      </c>
      <c r="J1102">
        <v>14251.48</v>
      </c>
      <c r="K1102">
        <v>2000000</v>
      </c>
    </row>
    <row r="1103" spans="1:11" ht="15" customHeight="1" x14ac:dyDescent="0.2">
      <c r="A1103" t="s">
        <v>2164</v>
      </c>
      <c r="B1103" t="s">
        <v>6472</v>
      </c>
      <c r="C1103">
        <v>2024</v>
      </c>
      <c r="D1103">
        <v>2023</v>
      </c>
      <c r="E1103" s="7">
        <v>45346</v>
      </c>
      <c r="F1103" s="7">
        <v>45711</v>
      </c>
      <c r="G1103" t="s">
        <v>135</v>
      </c>
      <c r="H1103" t="s">
        <v>115</v>
      </c>
      <c r="I1103" t="s">
        <v>101</v>
      </c>
      <c r="J1103">
        <v>11515</v>
      </c>
      <c r="K1103">
        <v>1500000</v>
      </c>
    </row>
    <row r="1104" spans="1:11" ht="15" customHeight="1" x14ac:dyDescent="0.2">
      <c r="A1104" t="s">
        <v>2165</v>
      </c>
      <c r="B1104" t="s">
        <v>1760</v>
      </c>
      <c r="C1104">
        <v>2024</v>
      </c>
      <c r="D1104">
        <v>2023</v>
      </c>
      <c r="E1104" s="7">
        <v>45347</v>
      </c>
      <c r="F1104" s="7">
        <v>45712</v>
      </c>
      <c r="G1104" t="s">
        <v>99</v>
      </c>
      <c r="H1104" t="s">
        <v>103</v>
      </c>
      <c r="I1104" t="s">
        <v>101</v>
      </c>
      <c r="J1104">
        <v>15210.63</v>
      </c>
      <c r="K1104">
        <v>2000000</v>
      </c>
    </row>
    <row r="1105" spans="1:11" ht="15" customHeight="1" x14ac:dyDescent="0.2">
      <c r="A1105" t="s">
        <v>2166</v>
      </c>
      <c r="B1105" t="s">
        <v>1762</v>
      </c>
      <c r="C1105">
        <v>2024</v>
      </c>
      <c r="D1105">
        <v>2023</v>
      </c>
      <c r="E1105" s="7">
        <v>45347</v>
      </c>
      <c r="F1105" s="7">
        <v>45712</v>
      </c>
      <c r="G1105" t="s">
        <v>99</v>
      </c>
      <c r="H1105" t="s">
        <v>102</v>
      </c>
      <c r="I1105" t="s">
        <v>101</v>
      </c>
      <c r="J1105">
        <v>7647.58</v>
      </c>
      <c r="K1105">
        <v>1000000</v>
      </c>
    </row>
    <row r="1106" spans="1:11" ht="15" customHeight="1" x14ac:dyDescent="0.2">
      <c r="A1106" t="s">
        <v>2168</v>
      </c>
      <c r="B1106" t="s">
        <v>1764</v>
      </c>
      <c r="C1106">
        <v>2024</v>
      </c>
      <c r="D1106">
        <v>2023</v>
      </c>
      <c r="E1106" s="7">
        <v>45347</v>
      </c>
      <c r="F1106" s="7">
        <v>45712</v>
      </c>
      <c r="G1106" t="s">
        <v>99</v>
      </c>
      <c r="H1106" t="s">
        <v>102</v>
      </c>
      <c r="I1106" t="s">
        <v>104</v>
      </c>
      <c r="J1106">
        <v>11287.7</v>
      </c>
      <c r="K1106">
        <v>2000000</v>
      </c>
    </row>
    <row r="1107" spans="1:11" ht="15" customHeight="1" x14ac:dyDescent="0.2">
      <c r="A1107" t="s">
        <v>2170</v>
      </c>
      <c r="B1107" t="s">
        <v>1775</v>
      </c>
      <c r="C1107">
        <v>2024</v>
      </c>
      <c r="D1107">
        <v>2023</v>
      </c>
      <c r="E1107" s="7">
        <v>45347</v>
      </c>
      <c r="F1107" s="7">
        <v>45712</v>
      </c>
      <c r="G1107" t="s">
        <v>99</v>
      </c>
      <c r="H1107" t="s">
        <v>107</v>
      </c>
      <c r="I1107" t="s">
        <v>101</v>
      </c>
      <c r="J1107">
        <v>14942.99</v>
      </c>
      <c r="K1107">
        <v>2000000</v>
      </c>
    </row>
    <row r="1108" spans="1:11" ht="15" customHeight="1" x14ac:dyDescent="0.2">
      <c r="A1108" t="s">
        <v>2172</v>
      </c>
      <c r="B1108" t="s">
        <v>1777</v>
      </c>
      <c r="C1108">
        <v>2024</v>
      </c>
      <c r="D1108">
        <v>2023</v>
      </c>
      <c r="E1108" s="7">
        <v>45347</v>
      </c>
      <c r="F1108" s="7">
        <v>45712</v>
      </c>
      <c r="G1108" t="s">
        <v>99</v>
      </c>
      <c r="H1108" t="s">
        <v>106</v>
      </c>
      <c r="I1108" t="s">
        <v>104</v>
      </c>
      <c r="J1108">
        <v>36055.5</v>
      </c>
      <c r="K1108">
        <v>5000000</v>
      </c>
    </row>
    <row r="1109" spans="1:11" ht="15" customHeight="1" x14ac:dyDescent="0.2">
      <c r="A1109" t="s">
        <v>2174</v>
      </c>
      <c r="B1109" t="s">
        <v>1779</v>
      </c>
      <c r="C1109">
        <v>2024</v>
      </c>
      <c r="D1109">
        <v>2023</v>
      </c>
      <c r="E1109" s="7">
        <v>45347</v>
      </c>
      <c r="F1109" s="7">
        <v>45712</v>
      </c>
      <c r="G1109" t="s">
        <v>99</v>
      </c>
      <c r="H1109" t="s">
        <v>107</v>
      </c>
      <c r="I1109" t="s">
        <v>101</v>
      </c>
      <c r="J1109">
        <v>68848.259999999995</v>
      </c>
      <c r="K1109">
        <v>10000000</v>
      </c>
    </row>
    <row r="1110" spans="1:11" ht="15" customHeight="1" x14ac:dyDescent="0.2">
      <c r="A1110" t="s">
        <v>2175</v>
      </c>
      <c r="B1110" t="s">
        <v>7242</v>
      </c>
      <c r="C1110">
        <v>2024</v>
      </c>
      <c r="D1110">
        <v>2023</v>
      </c>
      <c r="E1110" s="7">
        <v>45347</v>
      </c>
      <c r="F1110" s="7">
        <v>45712</v>
      </c>
      <c r="G1110" t="s">
        <v>135</v>
      </c>
      <c r="H1110" t="s">
        <v>6348</v>
      </c>
      <c r="I1110" t="s">
        <v>101</v>
      </c>
      <c r="J1110">
        <v>7240.23</v>
      </c>
      <c r="K1110">
        <v>1000000</v>
      </c>
    </row>
    <row r="1111" spans="1:11" ht="15" customHeight="1" x14ac:dyDescent="0.2">
      <c r="A1111" t="s">
        <v>2176</v>
      </c>
      <c r="B1111" t="s">
        <v>8127</v>
      </c>
      <c r="C1111">
        <v>2024</v>
      </c>
      <c r="D1111">
        <v>2023</v>
      </c>
      <c r="E1111" s="7">
        <v>45347</v>
      </c>
      <c r="F1111" s="7">
        <v>45712</v>
      </c>
      <c r="G1111" t="s">
        <v>135</v>
      </c>
      <c r="H1111" t="s">
        <v>6348</v>
      </c>
      <c r="I1111" t="s">
        <v>101</v>
      </c>
      <c r="J1111">
        <v>34518.699999999997</v>
      </c>
      <c r="K1111">
        <v>5000000</v>
      </c>
    </row>
    <row r="1112" spans="1:11" ht="15" customHeight="1" x14ac:dyDescent="0.2">
      <c r="A1112" t="s">
        <v>2177</v>
      </c>
      <c r="B1112" t="s">
        <v>268</v>
      </c>
      <c r="C1112">
        <v>2024</v>
      </c>
      <c r="D1112">
        <v>2023</v>
      </c>
      <c r="E1112" s="7">
        <v>45347</v>
      </c>
      <c r="F1112" s="7">
        <v>45712</v>
      </c>
      <c r="G1112" t="s">
        <v>135</v>
      </c>
      <c r="H1112" t="s">
        <v>6337</v>
      </c>
      <c r="I1112" t="s">
        <v>101</v>
      </c>
      <c r="J1112">
        <v>10278.18</v>
      </c>
      <c r="K1112">
        <v>1500000</v>
      </c>
    </row>
    <row r="1113" spans="1:11" ht="15" customHeight="1" x14ac:dyDescent="0.2">
      <c r="A1113" t="s">
        <v>2178</v>
      </c>
      <c r="B1113" t="s">
        <v>7285</v>
      </c>
      <c r="C1113">
        <v>2024</v>
      </c>
      <c r="D1113">
        <v>2023</v>
      </c>
      <c r="E1113" s="7">
        <v>45347</v>
      </c>
      <c r="F1113" s="7">
        <v>45712</v>
      </c>
      <c r="G1113" t="s">
        <v>135</v>
      </c>
      <c r="H1113" t="s">
        <v>107</v>
      </c>
      <c r="I1113" t="s">
        <v>101</v>
      </c>
      <c r="J1113">
        <v>14948.02</v>
      </c>
      <c r="K1113">
        <v>2000000</v>
      </c>
    </row>
    <row r="1114" spans="1:11" ht="15" customHeight="1" x14ac:dyDescent="0.2">
      <c r="A1114" t="s">
        <v>2179</v>
      </c>
      <c r="B1114" t="s">
        <v>763</v>
      </c>
      <c r="C1114">
        <v>2024</v>
      </c>
      <c r="D1114">
        <v>2023</v>
      </c>
      <c r="E1114" s="7">
        <v>45347</v>
      </c>
      <c r="F1114" s="7">
        <v>45712</v>
      </c>
      <c r="G1114" t="s">
        <v>135</v>
      </c>
      <c r="H1114" t="s">
        <v>116</v>
      </c>
      <c r="I1114" t="s">
        <v>104</v>
      </c>
      <c r="J1114">
        <v>6203.81</v>
      </c>
      <c r="K1114">
        <v>1000000</v>
      </c>
    </row>
    <row r="1115" spans="1:11" ht="15" customHeight="1" x14ac:dyDescent="0.2">
      <c r="A1115" t="s">
        <v>2181</v>
      </c>
      <c r="B1115" t="s">
        <v>269</v>
      </c>
      <c r="C1115">
        <v>2024</v>
      </c>
      <c r="D1115">
        <v>2023</v>
      </c>
      <c r="E1115" s="7">
        <v>45347</v>
      </c>
      <c r="F1115" s="7">
        <v>45712</v>
      </c>
      <c r="G1115" t="s">
        <v>135</v>
      </c>
      <c r="H1115" t="s">
        <v>110</v>
      </c>
      <c r="I1115" t="s">
        <v>101</v>
      </c>
      <c r="J1115">
        <v>19128.169999999998</v>
      </c>
      <c r="K1115">
        <v>2000000</v>
      </c>
    </row>
    <row r="1116" spans="1:11" ht="15" customHeight="1" x14ac:dyDescent="0.2">
      <c r="A1116" t="s">
        <v>2183</v>
      </c>
      <c r="B1116" t="s">
        <v>764</v>
      </c>
      <c r="C1116">
        <v>2024</v>
      </c>
      <c r="D1116">
        <v>2023</v>
      </c>
      <c r="E1116" s="7">
        <v>45347</v>
      </c>
      <c r="F1116" s="7">
        <v>45712</v>
      </c>
      <c r="G1116" t="s">
        <v>135</v>
      </c>
      <c r="H1116" t="s">
        <v>102</v>
      </c>
      <c r="I1116" t="s">
        <v>104</v>
      </c>
      <c r="J1116">
        <v>5838.87</v>
      </c>
      <c r="K1116">
        <v>1000000</v>
      </c>
    </row>
    <row r="1117" spans="1:11" ht="15" customHeight="1" x14ac:dyDescent="0.2">
      <c r="A1117" t="s">
        <v>2185</v>
      </c>
      <c r="B1117" t="s">
        <v>6491</v>
      </c>
      <c r="C1117">
        <v>2024</v>
      </c>
      <c r="D1117">
        <v>2023</v>
      </c>
      <c r="E1117" s="7">
        <v>45348</v>
      </c>
      <c r="F1117" s="7">
        <v>45713</v>
      </c>
      <c r="G1117" t="s">
        <v>135</v>
      </c>
      <c r="H1117" t="s">
        <v>108</v>
      </c>
      <c r="I1117" t="s">
        <v>104</v>
      </c>
      <c r="J1117">
        <v>10759.13</v>
      </c>
      <c r="K1117">
        <v>1500000</v>
      </c>
    </row>
    <row r="1118" spans="1:11" ht="15" customHeight="1" x14ac:dyDescent="0.2">
      <c r="A1118" t="s">
        <v>2187</v>
      </c>
      <c r="B1118" t="s">
        <v>472</v>
      </c>
      <c r="C1118">
        <v>2024</v>
      </c>
      <c r="D1118">
        <v>2023</v>
      </c>
      <c r="E1118" s="7">
        <v>45348</v>
      </c>
      <c r="F1118" s="7">
        <v>45713</v>
      </c>
      <c r="G1118" t="s">
        <v>135</v>
      </c>
      <c r="H1118" t="s">
        <v>105</v>
      </c>
      <c r="I1118" t="s">
        <v>101</v>
      </c>
      <c r="J1118">
        <v>9829.17</v>
      </c>
      <c r="K1118">
        <v>1500000</v>
      </c>
    </row>
    <row r="1119" spans="1:11" ht="15" customHeight="1" x14ac:dyDescent="0.2">
      <c r="A1119" t="s">
        <v>2189</v>
      </c>
      <c r="B1119" t="s">
        <v>8128</v>
      </c>
      <c r="C1119">
        <v>2024</v>
      </c>
      <c r="D1119">
        <v>2023</v>
      </c>
      <c r="E1119" s="7">
        <v>45348</v>
      </c>
      <c r="F1119" s="7">
        <v>45713</v>
      </c>
      <c r="G1119" t="s">
        <v>135</v>
      </c>
      <c r="H1119" t="s">
        <v>110</v>
      </c>
      <c r="I1119" t="s">
        <v>101</v>
      </c>
      <c r="J1119">
        <v>13378.92</v>
      </c>
      <c r="K1119">
        <v>1500000</v>
      </c>
    </row>
    <row r="1120" spans="1:11" ht="15" customHeight="1" x14ac:dyDescent="0.2">
      <c r="A1120" t="s">
        <v>2190</v>
      </c>
      <c r="B1120" t="s">
        <v>8129</v>
      </c>
      <c r="C1120">
        <v>2024</v>
      </c>
      <c r="D1120">
        <v>2023</v>
      </c>
      <c r="E1120" s="7">
        <v>45348</v>
      </c>
      <c r="F1120" s="7">
        <v>45713</v>
      </c>
      <c r="G1120" t="s">
        <v>135</v>
      </c>
      <c r="H1120" t="s">
        <v>102</v>
      </c>
      <c r="I1120" t="s">
        <v>104</v>
      </c>
      <c r="J1120">
        <v>7997.83</v>
      </c>
      <c r="K1120">
        <v>1500000</v>
      </c>
    </row>
    <row r="1121" spans="1:11" ht="15" customHeight="1" x14ac:dyDescent="0.2">
      <c r="A1121" t="s">
        <v>2191</v>
      </c>
      <c r="B1121" t="s">
        <v>473</v>
      </c>
      <c r="C1121">
        <v>2024</v>
      </c>
      <c r="D1121">
        <v>2023</v>
      </c>
      <c r="E1121" s="7">
        <v>45348</v>
      </c>
      <c r="F1121" s="7">
        <v>45713</v>
      </c>
      <c r="G1121" t="s">
        <v>135</v>
      </c>
      <c r="H1121" t="s">
        <v>111</v>
      </c>
      <c r="I1121" t="s">
        <v>101</v>
      </c>
      <c r="J1121">
        <v>13998.13</v>
      </c>
      <c r="K1121">
        <v>2000000</v>
      </c>
    </row>
    <row r="1122" spans="1:11" ht="15" customHeight="1" x14ac:dyDescent="0.2">
      <c r="A1122" t="s">
        <v>2192</v>
      </c>
      <c r="B1122" t="s">
        <v>765</v>
      </c>
      <c r="C1122">
        <v>2024</v>
      </c>
      <c r="D1122">
        <v>2023</v>
      </c>
      <c r="E1122" s="7">
        <v>45348</v>
      </c>
      <c r="F1122" s="7">
        <v>45713</v>
      </c>
      <c r="G1122" t="s">
        <v>135</v>
      </c>
      <c r="H1122" t="s">
        <v>6348</v>
      </c>
      <c r="I1122" t="s">
        <v>101</v>
      </c>
      <c r="J1122">
        <v>13998.75</v>
      </c>
      <c r="K1122">
        <v>2000000</v>
      </c>
    </row>
    <row r="1123" spans="1:11" ht="15" customHeight="1" x14ac:dyDescent="0.2">
      <c r="A1123" t="s">
        <v>2193</v>
      </c>
      <c r="B1123" t="s">
        <v>8130</v>
      </c>
      <c r="C1123">
        <v>2024</v>
      </c>
      <c r="D1123">
        <v>2023</v>
      </c>
      <c r="E1123" s="7">
        <v>45348</v>
      </c>
      <c r="F1123" s="7">
        <v>45713</v>
      </c>
      <c r="G1123" t="s">
        <v>135</v>
      </c>
      <c r="H1123" t="s">
        <v>113</v>
      </c>
      <c r="I1123" t="s">
        <v>101</v>
      </c>
      <c r="J1123">
        <v>13723.49</v>
      </c>
      <c r="K1123">
        <v>2000000</v>
      </c>
    </row>
    <row r="1124" spans="1:11" ht="15" customHeight="1" x14ac:dyDescent="0.2">
      <c r="A1124" t="s">
        <v>2194</v>
      </c>
      <c r="B1124" t="s">
        <v>8131</v>
      </c>
      <c r="C1124">
        <v>2024</v>
      </c>
      <c r="D1124">
        <v>2023</v>
      </c>
      <c r="E1124" s="7">
        <v>45348</v>
      </c>
      <c r="F1124" s="7">
        <v>45713</v>
      </c>
      <c r="G1124" t="s">
        <v>135</v>
      </c>
      <c r="H1124" t="s">
        <v>103</v>
      </c>
      <c r="I1124" t="s">
        <v>101</v>
      </c>
      <c r="J1124">
        <v>10989.89</v>
      </c>
      <c r="K1124">
        <v>1500000</v>
      </c>
    </row>
    <row r="1125" spans="1:11" ht="15" customHeight="1" x14ac:dyDescent="0.2">
      <c r="A1125" t="s">
        <v>2195</v>
      </c>
      <c r="B1125" t="s">
        <v>471</v>
      </c>
      <c r="C1125">
        <v>2024</v>
      </c>
      <c r="D1125">
        <v>2023</v>
      </c>
      <c r="E1125" s="7">
        <v>45348</v>
      </c>
      <c r="F1125" s="7">
        <v>45713</v>
      </c>
      <c r="G1125" t="s">
        <v>135</v>
      </c>
      <c r="H1125" t="s">
        <v>106</v>
      </c>
      <c r="I1125" t="s">
        <v>104</v>
      </c>
      <c r="J1125">
        <v>11413.18</v>
      </c>
      <c r="K1125">
        <v>1500000</v>
      </c>
    </row>
    <row r="1126" spans="1:11" ht="15" customHeight="1" x14ac:dyDescent="0.2">
      <c r="A1126" t="s">
        <v>2196</v>
      </c>
      <c r="B1126" t="s">
        <v>270</v>
      </c>
      <c r="C1126">
        <v>2024</v>
      </c>
      <c r="D1126">
        <v>2023</v>
      </c>
      <c r="E1126" s="7">
        <v>45348</v>
      </c>
      <c r="F1126" s="7">
        <v>45713</v>
      </c>
      <c r="G1126" t="s">
        <v>135</v>
      </c>
      <c r="H1126" t="s">
        <v>107</v>
      </c>
      <c r="I1126" t="s">
        <v>104</v>
      </c>
      <c r="J1126">
        <v>11275.93</v>
      </c>
      <c r="K1126">
        <v>2000000</v>
      </c>
    </row>
    <row r="1127" spans="1:11" ht="15" customHeight="1" x14ac:dyDescent="0.2">
      <c r="A1127" t="s">
        <v>2197</v>
      </c>
      <c r="B1127" t="s">
        <v>6499</v>
      </c>
      <c r="C1127">
        <v>2024</v>
      </c>
      <c r="D1127">
        <v>2023</v>
      </c>
      <c r="E1127" s="7">
        <v>45348</v>
      </c>
      <c r="F1127" s="7">
        <v>45713</v>
      </c>
      <c r="G1127" t="s">
        <v>135</v>
      </c>
      <c r="H1127" t="s">
        <v>106</v>
      </c>
      <c r="I1127" t="s">
        <v>101</v>
      </c>
      <c r="J1127">
        <v>8229.11</v>
      </c>
      <c r="K1127">
        <v>1000000</v>
      </c>
    </row>
    <row r="1128" spans="1:11" ht="15" customHeight="1" x14ac:dyDescent="0.2">
      <c r="A1128" t="s">
        <v>2198</v>
      </c>
      <c r="B1128" t="s">
        <v>470</v>
      </c>
      <c r="C1128">
        <v>2024</v>
      </c>
      <c r="D1128">
        <v>2023</v>
      </c>
      <c r="E1128" s="7">
        <v>45348</v>
      </c>
      <c r="F1128" s="7">
        <v>45713</v>
      </c>
      <c r="G1128" t="s">
        <v>135</v>
      </c>
      <c r="H1128" t="s">
        <v>115</v>
      </c>
      <c r="I1128" t="s">
        <v>104</v>
      </c>
      <c r="J1128">
        <v>9245.7900000000009</v>
      </c>
      <c r="K1128">
        <v>1500000</v>
      </c>
    </row>
    <row r="1129" spans="1:11" ht="15" customHeight="1" x14ac:dyDescent="0.2">
      <c r="A1129" t="s">
        <v>2199</v>
      </c>
      <c r="B1129" t="s">
        <v>1781</v>
      </c>
      <c r="C1129">
        <v>2024</v>
      </c>
      <c r="D1129">
        <v>2023</v>
      </c>
      <c r="E1129" s="7">
        <v>45349</v>
      </c>
      <c r="F1129" s="7">
        <v>45714</v>
      </c>
      <c r="G1129" t="s">
        <v>99</v>
      </c>
      <c r="H1129" t="s">
        <v>103</v>
      </c>
      <c r="I1129" t="s">
        <v>104</v>
      </c>
      <c r="J1129">
        <v>2933.25</v>
      </c>
      <c r="K1129">
        <v>500000</v>
      </c>
    </row>
    <row r="1130" spans="1:11" ht="15" customHeight="1" x14ac:dyDescent="0.2">
      <c r="A1130" t="s">
        <v>2200</v>
      </c>
      <c r="B1130" t="s">
        <v>1783</v>
      </c>
      <c r="C1130">
        <v>2024</v>
      </c>
      <c r="D1130">
        <v>2023</v>
      </c>
      <c r="E1130" s="7">
        <v>45349</v>
      </c>
      <c r="F1130" s="7">
        <v>45714</v>
      </c>
      <c r="G1130" t="s">
        <v>99</v>
      </c>
      <c r="H1130" t="s">
        <v>116</v>
      </c>
      <c r="I1130" t="s">
        <v>101</v>
      </c>
      <c r="J1130">
        <v>15168.96</v>
      </c>
      <c r="K1130">
        <v>2000000</v>
      </c>
    </row>
    <row r="1131" spans="1:11" ht="15" customHeight="1" x14ac:dyDescent="0.2">
      <c r="A1131" t="s">
        <v>2201</v>
      </c>
      <c r="B1131" t="s">
        <v>474</v>
      </c>
      <c r="C1131">
        <v>2024</v>
      </c>
      <c r="D1131">
        <v>2023</v>
      </c>
      <c r="E1131" s="7">
        <v>45349</v>
      </c>
      <c r="F1131" s="7">
        <v>45714</v>
      </c>
      <c r="G1131" t="s">
        <v>135</v>
      </c>
      <c r="H1131" t="s">
        <v>102</v>
      </c>
      <c r="I1131" t="s">
        <v>101</v>
      </c>
      <c r="J1131">
        <v>3324.85</v>
      </c>
      <c r="K1131">
        <v>500000</v>
      </c>
    </row>
    <row r="1132" spans="1:11" ht="15" customHeight="1" x14ac:dyDescent="0.2">
      <c r="A1132" t="s">
        <v>2202</v>
      </c>
      <c r="B1132" t="s">
        <v>120</v>
      </c>
      <c r="C1132">
        <v>2024</v>
      </c>
      <c r="D1132">
        <v>2023</v>
      </c>
      <c r="E1132" s="7">
        <v>45349</v>
      </c>
      <c r="F1132" s="7">
        <v>45714</v>
      </c>
      <c r="G1132" t="s">
        <v>135</v>
      </c>
      <c r="H1132" t="s">
        <v>109</v>
      </c>
      <c r="I1132" t="s">
        <v>101</v>
      </c>
      <c r="J1132">
        <v>7086.56</v>
      </c>
      <c r="K1132">
        <v>1000000</v>
      </c>
    </row>
    <row r="1133" spans="1:11" ht="15" customHeight="1" x14ac:dyDescent="0.2">
      <c r="A1133" t="s">
        <v>2203</v>
      </c>
      <c r="B1133" t="s">
        <v>6495</v>
      </c>
      <c r="C1133">
        <v>2024</v>
      </c>
      <c r="D1133">
        <v>2023</v>
      </c>
      <c r="E1133" s="7">
        <v>45349</v>
      </c>
      <c r="F1133" s="7">
        <v>45714</v>
      </c>
      <c r="G1133" t="s">
        <v>135</v>
      </c>
      <c r="H1133" t="s">
        <v>106</v>
      </c>
      <c r="I1133" t="s">
        <v>101</v>
      </c>
      <c r="J1133">
        <v>17962.91</v>
      </c>
      <c r="K1133">
        <v>2000000</v>
      </c>
    </row>
    <row r="1134" spans="1:11" ht="15" customHeight="1" x14ac:dyDescent="0.2">
      <c r="A1134" t="s">
        <v>2204</v>
      </c>
      <c r="B1134" t="s">
        <v>6483</v>
      </c>
      <c r="C1134">
        <v>2024</v>
      </c>
      <c r="D1134">
        <v>2023</v>
      </c>
      <c r="E1134" s="7">
        <v>45349</v>
      </c>
      <c r="F1134" s="7">
        <v>45714</v>
      </c>
      <c r="G1134" t="s">
        <v>135</v>
      </c>
      <c r="H1134" t="s">
        <v>102</v>
      </c>
      <c r="I1134" t="s">
        <v>104</v>
      </c>
      <c r="J1134">
        <v>11758.24</v>
      </c>
      <c r="K1134">
        <v>2000000</v>
      </c>
    </row>
    <row r="1135" spans="1:11" ht="15" customHeight="1" x14ac:dyDescent="0.2">
      <c r="A1135" t="s">
        <v>2205</v>
      </c>
      <c r="B1135" t="s">
        <v>8132</v>
      </c>
      <c r="C1135">
        <v>2024</v>
      </c>
      <c r="D1135">
        <v>2023</v>
      </c>
      <c r="E1135" s="7">
        <v>45349</v>
      </c>
      <c r="F1135" s="7">
        <v>45714</v>
      </c>
      <c r="G1135" t="s">
        <v>135</v>
      </c>
      <c r="H1135" t="s">
        <v>113</v>
      </c>
      <c r="I1135" t="s">
        <v>101</v>
      </c>
      <c r="J1135">
        <v>13720.14</v>
      </c>
      <c r="K1135">
        <v>2000000</v>
      </c>
    </row>
    <row r="1136" spans="1:11" ht="15" customHeight="1" x14ac:dyDescent="0.2">
      <c r="A1136" t="s">
        <v>2206</v>
      </c>
      <c r="B1136" t="s">
        <v>8133</v>
      </c>
      <c r="C1136">
        <v>2024</v>
      </c>
      <c r="D1136">
        <v>2023</v>
      </c>
      <c r="E1136" s="7">
        <v>45349</v>
      </c>
      <c r="F1136" s="7">
        <v>45714</v>
      </c>
      <c r="G1136" t="s">
        <v>135</v>
      </c>
      <c r="H1136" t="s">
        <v>106</v>
      </c>
      <c r="I1136" t="s">
        <v>104</v>
      </c>
      <c r="J1136">
        <v>11254.83</v>
      </c>
      <c r="K1136">
        <v>1500000</v>
      </c>
    </row>
    <row r="1137" spans="1:11" ht="15" customHeight="1" x14ac:dyDescent="0.2">
      <c r="A1137" t="s">
        <v>2207</v>
      </c>
      <c r="B1137" t="s">
        <v>1792</v>
      </c>
      <c r="C1137">
        <v>2024</v>
      </c>
      <c r="D1137">
        <v>2023</v>
      </c>
      <c r="E1137" s="7">
        <v>45350</v>
      </c>
      <c r="F1137" s="7">
        <v>45715</v>
      </c>
      <c r="G1137" t="s">
        <v>99</v>
      </c>
      <c r="H1137" t="s">
        <v>109</v>
      </c>
      <c r="I1137" t="s">
        <v>101</v>
      </c>
      <c r="J1137">
        <v>3504.49</v>
      </c>
      <c r="K1137">
        <v>500000</v>
      </c>
    </row>
    <row r="1138" spans="1:11" ht="15" customHeight="1" x14ac:dyDescent="0.2">
      <c r="A1138" t="s">
        <v>2209</v>
      </c>
      <c r="B1138" t="s">
        <v>1794</v>
      </c>
      <c r="C1138">
        <v>2024</v>
      </c>
      <c r="D1138">
        <v>2023</v>
      </c>
      <c r="E1138" s="7">
        <v>45350</v>
      </c>
      <c r="F1138" s="7">
        <v>45715</v>
      </c>
      <c r="G1138" t="s">
        <v>99</v>
      </c>
      <c r="H1138" t="s">
        <v>105</v>
      </c>
      <c r="I1138" t="s">
        <v>104</v>
      </c>
      <c r="J1138">
        <v>5700.71</v>
      </c>
      <c r="K1138">
        <v>1000000</v>
      </c>
    </row>
    <row r="1139" spans="1:11" ht="15" customHeight="1" x14ac:dyDescent="0.2">
      <c r="A1139" t="s">
        <v>2211</v>
      </c>
      <c r="B1139" t="s">
        <v>1796</v>
      </c>
      <c r="C1139">
        <v>2024</v>
      </c>
      <c r="D1139">
        <v>2023</v>
      </c>
      <c r="E1139" s="7">
        <v>45350</v>
      </c>
      <c r="F1139" s="7">
        <v>45715</v>
      </c>
      <c r="G1139" t="s">
        <v>99</v>
      </c>
      <c r="H1139" t="s">
        <v>114</v>
      </c>
      <c r="I1139" t="s">
        <v>104</v>
      </c>
      <c r="J1139">
        <v>2873.38</v>
      </c>
      <c r="K1139">
        <v>500000</v>
      </c>
    </row>
    <row r="1140" spans="1:11" ht="15" customHeight="1" x14ac:dyDescent="0.2">
      <c r="A1140" t="s">
        <v>2213</v>
      </c>
      <c r="B1140" t="s">
        <v>8134</v>
      </c>
      <c r="C1140">
        <v>2024</v>
      </c>
      <c r="D1140">
        <v>2023</v>
      </c>
      <c r="E1140" s="7">
        <v>45350</v>
      </c>
      <c r="F1140" s="7">
        <v>45715</v>
      </c>
      <c r="G1140" t="s">
        <v>135</v>
      </c>
      <c r="H1140" t="s">
        <v>116</v>
      </c>
      <c r="I1140" t="s">
        <v>101</v>
      </c>
      <c r="J1140">
        <v>15530.75</v>
      </c>
      <c r="K1140">
        <v>2000000</v>
      </c>
    </row>
    <row r="1141" spans="1:11" ht="15" customHeight="1" x14ac:dyDescent="0.2">
      <c r="A1141" t="s">
        <v>2215</v>
      </c>
      <c r="B1141" t="s">
        <v>8135</v>
      </c>
      <c r="C1141">
        <v>2024</v>
      </c>
      <c r="D1141">
        <v>2023</v>
      </c>
      <c r="E1141" s="7">
        <v>45350</v>
      </c>
      <c r="F1141" s="7">
        <v>45715</v>
      </c>
      <c r="G1141" t="s">
        <v>135</v>
      </c>
      <c r="H1141" t="s">
        <v>109</v>
      </c>
      <c r="I1141" t="s">
        <v>101</v>
      </c>
      <c r="J1141">
        <v>69029.789999999994</v>
      </c>
      <c r="K1141">
        <v>10000000</v>
      </c>
    </row>
    <row r="1142" spans="1:11" ht="15" customHeight="1" x14ac:dyDescent="0.2">
      <c r="A1142" t="s">
        <v>2216</v>
      </c>
      <c r="B1142" t="s">
        <v>475</v>
      </c>
      <c r="C1142">
        <v>2024</v>
      </c>
      <c r="D1142">
        <v>2023</v>
      </c>
      <c r="E1142" s="7">
        <v>45350</v>
      </c>
      <c r="F1142" s="7">
        <v>45715</v>
      </c>
      <c r="G1142" t="s">
        <v>135</v>
      </c>
      <c r="H1142" t="s">
        <v>106</v>
      </c>
      <c r="I1142" t="s">
        <v>104</v>
      </c>
      <c r="J1142">
        <v>39333.199999999997</v>
      </c>
      <c r="K1142">
        <v>5000000</v>
      </c>
    </row>
    <row r="1143" spans="1:11" ht="15" customHeight="1" x14ac:dyDescent="0.2">
      <c r="A1143" t="s">
        <v>2217</v>
      </c>
      <c r="B1143" t="s">
        <v>766</v>
      </c>
      <c r="C1143">
        <v>2024</v>
      </c>
      <c r="D1143">
        <v>2023</v>
      </c>
      <c r="E1143" s="7">
        <v>45350</v>
      </c>
      <c r="F1143" s="7">
        <v>45715</v>
      </c>
      <c r="G1143" t="s">
        <v>135</v>
      </c>
      <c r="H1143" t="s">
        <v>6348</v>
      </c>
      <c r="I1143" t="s">
        <v>101</v>
      </c>
      <c r="J1143">
        <v>73326.240000000005</v>
      </c>
      <c r="K1143">
        <v>10000000</v>
      </c>
    </row>
    <row r="1144" spans="1:11" ht="15" customHeight="1" x14ac:dyDescent="0.2">
      <c r="A1144" t="s">
        <v>2218</v>
      </c>
      <c r="B1144" t="s">
        <v>8136</v>
      </c>
      <c r="C1144">
        <v>2024</v>
      </c>
      <c r="D1144">
        <v>2023</v>
      </c>
      <c r="E1144" s="7">
        <v>45350</v>
      </c>
      <c r="F1144" s="7">
        <v>45715</v>
      </c>
      <c r="G1144" t="s">
        <v>135</v>
      </c>
      <c r="H1144" t="s">
        <v>108</v>
      </c>
      <c r="I1144" t="s">
        <v>104</v>
      </c>
      <c r="J1144">
        <v>14425.45</v>
      </c>
      <c r="K1144">
        <v>2000000</v>
      </c>
    </row>
    <row r="1145" spans="1:11" ht="15" customHeight="1" x14ac:dyDescent="0.2">
      <c r="A1145" t="s">
        <v>2219</v>
      </c>
      <c r="B1145" t="s">
        <v>476</v>
      </c>
      <c r="C1145">
        <v>2024</v>
      </c>
      <c r="D1145">
        <v>2023</v>
      </c>
      <c r="E1145" s="7">
        <v>45350</v>
      </c>
      <c r="F1145" s="7">
        <v>45715</v>
      </c>
      <c r="G1145" t="s">
        <v>135</v>
      </c>
      <c r="H1145" t="s">
        <v>108</v>
      </c>
      <c r="I1145" t="s">
        <v>104</v>
      </c>
      <c r="J1145">
        <v>3682.4</v>
      </c>
      <c r="K1145">
        <v>500000</v>
      </c>
    </row>
    <row r="1146" spans="1:11" ht="15" customHeight="1" x14ac:dyDescent="0.2">
      <c r="A1146" t="s">
        <v>2220</v>
      </c>
      <c r="B1146" t="s">
        <v>8137</v>
      </c>
      <c r="C1146">
        <v>2024</v>
      </c>
      <c r="D1146">
        <v>2023</v>
      </c>
      <c r="E1146" s="7">
        <v>45350</v>
      </c>
      <c r="F1146" s="7">
        <v>45715</v>
      </c>
      <c r="G1146" t="s">
        <v>135</v>
      </c>
      <c r="H1146" t="s">
        <v>107</v>
      </c>
      <c r="I1146" t="s">
        <v>104</v>
      </c>
      <c r="J1146">
        <v>52426.13</v>
      </c>
      <c r="K1146">
        <v>10000000</v>
      </c>
    </row>
    <row r="1147" spans="1:11" ht="15" customHeight="1" x14ac:dyDescent="0.2">
      <c r="A1147" t="s">
        <v>2221</v>
      </c>
      <c r="B1147" t="s">
        <v>8138</v>
      </c>
      <c r="C1147">
        <v>2024</v>
      </c>
      <c r="D1147">
        <v>2023</v>
      </c>
      <c r="E1147" s="7">
        <v>45350</v>
      </c>
      <c r="F1147" s="7">
        <v>45715</v>
      </c>
      <c r="G1147" t="s">
        <v>135</v>
      </c>
      <c r="H1147" t="s">
        <v>6348</v>
      </c>
      <c r="I1147" t="s">
        <v>101</v>
      </c>
      <c r="J1147">
        <v>77376.94</v>
      </c>
      <c r="K1147">
        <v>10000000</v>
      </c>
    </row>
    <row r="1148" spans="1:11" ht="15" customHeight="1" x14ac:dyDescent="0.2">
      <c r="A1148" t="s">
        <v>2222</v>
      </c>
      <c r="B1148" t="s">
        <v>1798</v>
      </c>
      <c r="C1148">
        <v>2024</v>
      </c>
      <c r="D1148">
        <v>2023</v>
      </c>
      <c r="E1148" s="7">
        <v>45351</v>
      </c>
      <c r="F1148" s="7">
        <v>45715</v>
      </c>
      <c r="G1148" t="s">
        <v>99</v>
      </c>
      <c r="H1148" t="s">
        <v>108</v>
      </c>
      <c r="I1148" t="s">
        <v>101</v>
      </c>
      <c r="J1148">
        <v>9224.19</v>
      </c>
      <c r="K1148">
        <v>1000000</v>
      </c>
    </row>
    <row r="1149" spans="1:11" ht="15" customHeight="1" x14ac:dyDescent="0.2">
      <c r="A1149" t="s">
        <v>2223</v>
      </c>
      <c r="B1149" t="s">
        <v>1800</v>
      </c>
      <c r="C1149">
        <v>2024</v>
      </c>
      <c r="D1149">
        <v>2023</v>
      </c>
      <c r="E1149" s="7">
        <v>45351</v>
      </c>
      <c r="F1149" s="7">
        <v>45715</v>
      </c>
      <c r="G1149" t="s">
        <v>99</v>
      </c>
      <c r="H1149" t="s">
        <v>103</v>
      </c>
      <c r="I1149" t="s">
        <v>101</v>
      </c>
      <c r="J1149">
        <v>6679.51</v>
      </c>
      <c r="K1149">
        <v>1000000</v>
      </c>
    </row>
    <row r="1150" spans="1:11" ht="15" customHeight="1" x14ac:dyDescent="0.2">
      <c r="A1150" t="s">
        <v>2224</v>
      </c>
      <c r="B1150" t="s">
        <v>1802</v>
      </c>
      <c r="C1150">
        <v>2024</v>
      </c>
      <c r="D1150">
        <v>2023</v>
      </c>
      <c r="E1150" s="7">
        <v>45351</v>
      </c>
      <c r="F1150" s="7">
        <v>45715</v>
      </c>
      <c r="G1150" t="s">
        <v>99</v>
      </c>
      <c r="H1150" t="s">
        <v>105</v>
      </c>
      <c r="I1150" t="s">
        <v>101</v>
      </c>
      <c r="J1150">
        <v>6829.16</v>
      </c>
      <c r="K1150">
        <v>1000000</v>
      </c>
    </row>
    <row r="1151" spans="1:11" ht="15" customHeight="1" x14ac:dyDescent="0.2">
      <c r="A1151" t="s">
        <v>2227</v>
      </c>
      <c r="B1151" t="s">
        <v>1816</v>
      </c>
      <c r="C1151">
        <v>2024</v>
      </c>
      <c r="D1151">
        <v>2023</v>
      </c>
      <c r="E1151" s="7">
        <v>45352</v>
      </c>
      <c r="F1151" s="7">
        <v>45716</v>
      </c>
      <c r="G1151" t="s">
        <v>99</v>
      </c>
      <c r="H1151" t="s">
        <v>113</v>
      </c>
      <c r="I1151" t="s">
        <v>101</v>
      </c>
      <c r="J1151">
        <v>7367.34</v>
      </c>
      <c r="K1151">
        <v>1000000</v>
      </c>
    </row>
    <row r="1152" spans="1:11" ht="15" customHeight="1" x14ac:dyDescent="0.2">
      <c r="A1152" t="s">
        <v>2229</v>
      </c>
      <c r="B1152" t="s">
        <v>1818</v>
      </c>
      <c r="C1152">
        <v>2024</v>
      </c>
      <c r="D1152">
        <v>2023</v>
      </c>
      <c r="E1152" s="7">
        <v>45352</v>
      </c>
      <c r="F1152" s="7">
        <v>45716</v>
      </c>
      <c r="G1152" t="s">
        <v>99</v>
      </c>
      <c r="H1152" t="s">
        <v>105</v>
      </c>
      <c r="I1152" t="s">
        <v>101</v>
      </c>
      <c r="J1152">
        <v>15181.07</v>
      </c>
      <c r="K1152">
        <v>2000000</v>
      </c>
    </row>
    <row r="1153" spans="1:11" ht="15" customHeight="1" x14ac:dyDescent="0.2">
      <c r="A1153" t="s">
        <v>2231</v>
      </c>
      <c r="B1153" t="s">
        <v>1826</v>
      </c>
      <c r="C1153">
        <v>2024</v>
      </c>
      <c r="D1153">
        <v>2023</v>
      </c>
      <c r="E1153" s="7">
        <v>45352</v>
      </c>
      <c r="F1153" s="7">
        <v>45716</v>
      </c>
      <c r="G1153" t="s">
        <v>99</v>
      </c>
      <c r="H1153" t="s">
        <v>109</v>
      </c>
      <c r="I1153" t="s">
        <v>104</v>
      </c>
      <c r="J1153">
        <v>5188.87</v>
      </c>
      <c r="K1153">
        <v>1000000</v>
      </c>
    </row>
    <row r="1154" spans="1:11" ht="15" customHeight="1" x14ac:dyDescent="0.2">
      <c r="A1154" t="s">
        <v>2233</v>
      </c>
      <c r="B1154" t="s">
        <v>1828</v>
      </c>
      <c r="C1154">
        <v>2024</v>
      </c>
      <c r="D1154">
        <v>2023</v>
      </c>
      <c r="E1154" s="7">
        <v>45352</v>
      </c>
      <c r="F1154" s="7">
        <v>45716</v>
      </c>
      <c r="G1154" t="s">
        <v>99</v>
      </c>
      <c r="H1154" t="s">
        <v>107</v>
      </c>
      <c r="I1154" t="s">
        <v>101</v>
      </c>
      <c r="J1154">
        <v>6622.4</v>
      </c>
      <c r="K1154">
        <v>1000000</v>
      </c>
    </row>
    <row r="1155" spans="1:11" ht="15" customHeight="1" x14ac:dyDescent="0.2">
      <c r="A1155" t="s">
        <v>2235</v>
      </c>
      <c r="B1155" t="s">
        <v>8139</v>
      </c>
      <c r="C1155">
        <v>2024</v>
      </c>
      <c r="D1155">
        <v>2023</v>
      </c>
      <c r="E1155" s="7">
        <v>45352</v>
      </c>
      <c r="F1155" s="7">
        <v>45716</v>
      </c>
      <c r="G1155" t="s">
        <v>135</v>
      </c>
      <c r="H1155" t="s">
        <v>109</v>
      </c>
      <c r="I1155" t="s">
        <v>101</v>
      </c>
      <c r="J1155">
        <v>6852.19</v>
      </c>
      <c r="K1155">
        <v>1000000</v>
      </c>
    </row>
    <row r="1156" spans="1:11" ht="15" customHeight="1" x14ac:dyDescent="0.2">
      <c r="A1156" t="s">
        <v>2236</v>
      </c>
      <c r="B1156" t="s">
        <v>8140</v>
      </c>
      <c r="C1156">
        <v>2024</v>
      </c>
      <c r="D1156">
        <v>2023</v>
      </c>
      <c r="E1156" s="7">
        <v>45352</v>
      </c>
      <c r="F1156" s="7">
        <v>45716</v>
      </c>
      <c r="G1156" t="s">
        <v>135</v>
      </c>
      <c r="H1156" t="s">
        <v>102</v>
      </c>
      <c r="I1156" t="s">
        <v>101</v>
      </c>
      <c r="J1156">
        <v>13336.57</v>
      </c>
      <c r="K1156">
        <v>2000000</v>
      </c>
    </row>
    <row r="1157" spans="1:11" ht="15" customHeight="1" x14ac:dyDescent="0.2">
      <c r="A1157" t="s">
        <v>2237</v>
      </c>
      <c r="B1157" t="s">
        <v>767</v>
      </c>
      <c r="C1157">
        <v>2024</v>
      </c>
      <c r="D1157">
        <v>2023</v>
      </c>
      <c r="E1157" s="7">
        <v>45352</v>
      </c>
      <c r="F1157" s="7">
        <v>45716</v>
      </c>
      <c r="G1157" t="s">
        <v>135</v>
      </c>
      <c r="H1157" t="s">
        <v>102</v>
      </c>
      <c r="I1157" t="s">
        <v>104</v>
      </c>
      <c r="J1157">
        <v>9089.9699999999993</v>
      </c>
      <c r="K1157">
        <v>1500000</v>
      </c>
    </row>
    <row r="1158" spans="1:11" ht="15" customHeight="1" x14ac:dyDescent="0.2">
      <c r="A1158" t="s">
        <v>2238</v>
      </c>
      <c r="B1158" t="s">
        <v>8141</v>
      </c>
      <c r="C1158">
        <v>2024</v>
      </c>
      <c r="D1158">
        <v>2023</v>
      </c>
      <c r="E1158" s="7">
        <v>45352</v>
      </c>
      <c r="F1158" s="7">
        <v>45716</v>
      </c>
      <c r="G1158" t="s">
        <v>135</v>
      </c>
      <c r="H1158" t="s">
        <v>106</v>
      </c>
      <c r="I1158" t="s">
        <v>101</v>
      </c>
      <c r="J1158">
        <v>17147.55</v>
      </c>
      <c r="K1158">
        <v>2000000</v>
      </c>
    </row>
    <row r="1159" spans="1:11" ht="15" customHeight="1" x14ac:dyDescent="0.2">
      <c r="A1159" t="s">
        <v>2239</v>
      </c>
      <c r="B1159" t="s">
        <v>6506</v>
      </c>
      <c r="C1159">
        <v>2024</v>
      </c>
      <c r="D1159">
        <v>2023</v>
      </c>
      <c r="E1159" s="7">
        <v>45352</v>
      </c>
      <c r="F1159" s="7">
        <v>45716</v>
      </c>
      <c r="G1159" t="s">
        <v>135</v>
      </c>
      <c r="H1159" t="s">
        <v>106</v>
      </c>
      <c r="I1159" t="s">
        <v>101</v>
      </c>
      <c r="J1159">
        <v>16229.96</v>
      </c>
      <c r="K1159">
        <v>2000000</v>
      </c>
    </row>
    <row r="1160" spans="1:11" ht="15" customHeight="1" x14ac:dyDescent="0.2">
      <c r="A1160" t="s">
        <v>2240</v>
      </c>
      <c r="B1160" t="s">
        <v>8142</v>
      </c>
      <c r="C1160">
        <v>2024</v>
      </c>
      <c r="D1160">
        <v>2023</v>
      </c>
      <c r="E1160" s="7">
        <v>45352</v>
      </c>
      <c r="F1160" s="7">
        <v>45716</v>
      </c>
      <c r="G1160" t="s">
        <v>135</v>
      </c>
      <c r="H1160" t="s">
        <v>115</v>
      </c>
      <c r="I1160" t="s">
        <v>104</v>
      </c>
      <c r="J1160">
        <v>10382.48</v>
      </c>
      <c r="K1160">
        <v>2000000</v>
      </c>
    </row>
    <row r="1161" spans="1:11" ht="15" customHeight="1" x14ac:dyDescent="0.2">
      <c r="A1161" t="s">
        <v>2241</v>
      </c>
      <c r="B1161" t="s">
        <v>6487</v>
      </c>
      <c r="C1161">
        <v>2024</v>
      </c>
      <c r="D1161">
        <v>2023</v>
      </c>
      <c r="E1161" s="7">
        <v>45352</v>
      </c>
      <c r="F1161" s="7">
        <v>45716</v>
      </c>
      <c r="G1161" t="s">
        <v>135</v>
      </c>
      <c r="H1161" t="s">
        <v>113</v>
      </c>
      <c r="I1161" t="s">
        <v>104</v>
      </c>
      <c r="J1161">
        <v>12022.01</v>
      </c>
      <c r="K1161">
        <v>2000000</v>
      </c>
    </row>
    <row r="1162" spans="1:11" ht="15" customHeight="1" x14ac:dyDescent="0.2">
      <c r="A1162" t="s">
        <v>2242</v>
      </c>
      <c r="B1162" t="s">
        <v>1829</v>
      </c>
      <c r="C1162">
        <v>2024</v>
      </c>
      <c r="D1162">
        <v>2023</v>
      </c>
      <c r="E1162" s="7">
        <v>45353</v>
      </c>
      <c r="F1162" s="7">
        <v>45717</v>
      </c>
      <c r="G1162" t="s">
        <v>99</v>
      </c>
      <c r="H1162" t="s">
        <v>106</v>
      </c>
      <c r="I1162" t="s">
        <v>101</v>
      </c>
      <c r="J1162">
        <v>4566.28</v>
      </c>
      <c r="K1162">
        <v>500000</v>
      </c>
    </row>
    <row r="1163" spans="1:11" ht="15" customHeight="1" x14ac:dyDescent="0.2">
      <c r="A1163" t="s">
        <v>2243</v>
      </c>
      <c r="B1163" t="s">
        <v>1831</v>
      </c>
      <c r="C1163">
        <v>2024</v>
      </c>
      <c r="D1163">
        <v>2023</v>
      </c>
      <c r="E1163" s="7">
        <v>45353</v>
      </c>
      <c r="F1163" s="7">
        <v>45717</v>
      </c>
      <c r="G1163" t="s">
        <v>99</v>
      </c>
      <c r="H1163" t="s">
        <v>105</v>
      </c>
      <c r="I1163" t="s">
        <v>101</v>
      </c>
      <c r="J1163">
        <v>10173.1</v>
      </c>
      <c r="K1163">
        <v>1500000</v>
      </c>
    </row>
    <row r="1164" spans="1:11" ht="15" customHeight="1" x14ac:dyDescent="0.2">
      <c r="A1164" t="s">
        <v>2245</v>
      </c>
      <c r="B1164" t="s">
        <v>1836</v>
      </c>
      <c r="C1164">
        <v>2024</v>
      </c>
      <c r="D1164">
        <v>2023</v>
      </c>
      <c r="E1164" s="7">
        <v>45353</v>
      </c>
      <c r="F1164" s="7">
        <v>45717</v>
      </c>
      <c r="G1164" t="s">
        <v>99</v>
      </c>
      <c r="H1164" t="s">
        <v>112</v>
      </c>
      <c r="I1164" t="s">
        <v>101</v>
      </c>
      <c r="J1164">
        <v>46744.61</v>
      </c>
      <c r="K1164">
        <v>5000000</v>
      </c>
    </row>
    <row r="1165" spans="1:11" ht="15" customHeight="1" x14ac:dyDescent="0.2">
      <c r="A1165" t="s">
        <v>2247</v>
      </c>
      <c r="B1165" t="s">
        <v>1838</v>
      </c>
      <c r="C1165">
        <v>2024</v>
      </c>
      <c r="D1165">
        <v>2023</v>
      </c>
      <c r="E1165" s="7">
        <v>45353</v>
      </c>
      <c r="F1165" s="7">
        <v>45717</v>
      </c>
      <c r="G1165" t="s">
        <v>99</v>
      </c>
      <c r="H1165" t="s">
        <v>105</v>
      </c>
      <c r="I1165" t="s">
        <v>104</v>
      </c>
      <c r="J1165">
        <v>8543.5400000000009</v>
      </c>
      <c r="K1165">
        <v>1500000</v>
      </c>
    </row>
    <row r="1166" spans="1:11" ht="15" customHeight="1" x14ac:dyDescent="0.2">
      <c r="A1166" t="s">
        <v>2249</v>
      </c>
      <c r="B1166" t="s">
        <v>6486</v>
      </c>
      <c r="C1166">
        <v>2024</v>
      </c>
      <c r="D1166">
        <v>2023</v>
      </c>
      <c r="E1166" s="7">
        <v>45353</v>
      </c>
      <c r="F1166" s="7">
        <v>45717</v>
      </c>
      <c r="G1166" t="s">
        <v>135</v>
      </c>
      <c r="H1166" t="s">
        <v>105</v>
      </c>
      <c r="I1166" t="s">
        <v>101</v>
      </c>
      <c r="J1166">
        <v>15003.21</v>
      </c>
      <c r="K1166">
        <v>2000000</v>
      </c>
    </row>
    <row r="1167" spans="1:11" ht="15" customHeight="1" x14ac:dyDescent="0.2">
      <c r="A1167" t="s">
        <v>2251</v>
      </c>
      <c r="B1167" t="s">
        <v>8143</v>
      </c>
      <c r="C1167">
        <v>2024</v>
      </c>
      <c r="D1167">
        <v>2023</v>
      </c>
      <c r="E1167" s="7">
        <v>45353</v>
      </c>
      <c r="F1167" s="7">
        <v>45717</v>
      </c>
      <c r="G1167" t="s">
        <v>135</v>
      </c>
      <c r="H1167" t="s">
        <v>102</v>
      </c>
      <c r="I1167" t="s">
        <v>104</v>
      </c>
      <c r="J1167">
        <v>8220.5300000000007</v>
      </c>
      <c r="K1167">
        <v>1500000</v>
      </c>
    </row>
    <row r="1168" spans="1:11" ht="15" customHeight="1" x14ac:dyDescent="0.2">
      <c r="A1168" t="s">
        <v>2253</v>
      </c>
      <c r="B1168" t="s">
        <v>6512</v>
      </c>
      <c r="C1168">
        <v>2024</v>
      </c>
      <c r="D1168">
        <v>2023</v>
      </c>
      <c r="E1168" s="7">
        <v>45353</v>
      </c>
      <c r="F1168" s="7">
        <v>45717</v>
      </c>
      <c r="G1168" t="s">
        <v>135</v>
      </c>
      <c r="H1168" t="s">
        <v>102</v>
      </c>
      <c r="I1168" t="s">
        <v>101</v>
      </c>
      <c r="J1168">
        <v>7521.16</v>
      </c>
      <c r="K1168">
        <v>1000000</v>
      </c>
    </row>
    <row r="1169" spans="1:11" ht="15" customHeight="1" x14ac:dyDescent="0.2">
      <c r="A1169" t="s">
        <v>2254</v>
      </c>
      <c r="B1169" t="s">
        <v>7268</v>
      </c>
      <c r="C1169">
        <v>2024</v>
      </c>
      <c r="D1169">
        <v>2023</v>
      </c>
      <c r="E1169" s="7">
        <v>45353</v>
      </c>
      <c r="F1169" s="7">
        <v>45717</v>
      </c>
      <c r="G1169" t="s">
        <v>135</v>
      </c>
      <c r="H1169" t="s">
        <v>102</v>
      </c>
      <c r="I1169" t="s">
        <v>104</v>
      </c>
      <c r="J1169">
        <v>6301.78</v>
      </c>
      <c r="K1169">
        <v>1000000</v>
      </c>
    </row>
    <row r="1170" spans="1:11" ht="15" customHeight="1" x14ac:dyDescent="0.2">
      <c r="A1170" t="s">
        <v>2255</v>
      </c>
      <c r="B1170" t="s">
        <v>8144</v>
      </c>
      <c r="C1170">
        <v>2024</v>
      </c>
      <c r="D1170">
        <v>2023</v>
      </c>
      <c r="E1170" s="7">
        <v>45353</v>
      </c>
      <c r="F1170" s="7">
        <v>45717</v>
      </c>
      <c r="G1170" t="s">
        <v>135</v>
      </c>
      <c r="H1170" t="s">
        <v>109</v>
      </c>
      <c r="I1170" t="s">
        <v>101</v>
      </c>
      <c r="J1170">
        <v>32973.65</v>
      </c>
      <c r="K1170">
        <v>5000000</v>
      </c>
    </row>
    <row r="1171" spans="1:11" ht="15" customHeight="1" x14ac:dyDescent="0.2">
      <c r="A1171" t="s">
        <v>2256</v>
      </c>
      <c r="B1171" t="s">
        <v>1840</v>
      </c>
      <c r="C1171">
        <v>2024</v>
      </c>
      <c r="D1171">
        <v>2023</v>
      </c>
      <c r="E1171" s="7">
        <v>45354</v>
      </c>
      <c r="F1171" s="7">
        <v>45718</v>
      </c>
      <c r="G1171" t="s">
        <v>99</v>
      </c>
      <c r="H1171" t="s">
        <v>110</v>
      </c>
      <c r="I1171" t="s">
        <v>101</v>
      </c>
      <c r="J1171">
        <v>8749.8700000000008</v>
      </c>
      <c r="K1171">
        <v>1000000</v>
      </c>
    </row>
    <row r="1172" spans="1:11" ht="15" customHeight="1" x14ac:dyDescent="0.2">
      <c r="A1172" t="s">
        <v>2257</v>
      </c>
      <c r="B1172" t="s">
        <v>1842</v>
      </c>
      <c r="C1172">
        <v>2024</v>
      </c>
      <c r="D1172">
        <v>2023</v>
      </c>
      <c r="E1172" s="7">
        <v>45354</v>
      </c>
      <c r="F1172" s="7">
        <v>45718</v>
      </c>
      <c r="G1172" t="s">
        <v>99</v>
      </c>
      <c r="H1172" t="s">
        <v>107</v>
      </c>
      <c r="I1172" t="s">
        <v>101</v>
      </c>
      <c r="J1172">
        <v>67548.490000000005</v>
      </c>
      <c r="K1172">
        <v>10000000</v>
      </c>
    </row>
    <row r="1173" spans="1:11" ht="15" customHeight="1" x14ac:dyDescent="0.2">
      <c r="A1173" t="s">
        <v>2258</v>
      </c>
      <c r="B1173" t="s">
        <v>1859</v>
      </c>
      <c r="C1173">
        <v>2024</v>
      </c>
      <c r="D1173">
        <v>2023</v>
      </c>
      <c r="E1173" s="7">
        <v>45354</v>
      </c>
      <c r="F1173" s="7">
        <v>45718</v>
      </c>
      <c r="G1173" t="s">
        <v>99</v>
      </c>
      <c r="H1173" t="s">
        <v>106</v>
      </c>
      <c r="I1173" t="s">
        <v>104</v>
      </c>
      <c r="J1173">
        <v>6644.24</v>
      </c>
      <c r="K1173">
        <v>1000000</v>
      </c>
    </row>
    <row r="1174" spans="1:11" ht="15" customHeight="1" x14ac:dyDescent="0.2">
      <c r="A1174" t="s">
        <v>2259</v>
      </c>
      <c r="B1174" t="s">
        <v>1861</v>
      </c>
      <c r="C1174">
        <v>2024</v>
      </c>
      <c r="D1174">
        <v>2023</v>
      </c>
      <c r="E1174" s="7">
        <v>45354</v>
      </c>
      <c r="F1174" s="7">
        <v>45718</v>
      </c>
      <c r="G1174" t="s">
        <v>99</v>
      </c>
      <c r="H1174" t="s">
        <v>110</v>
      </c>
      <c r="I1174" t="s">
        <v>101</v>
      </c>
      <c r="J1174">
        <v>9273.0400000000009</v>
      </c>
      <c r="K1174">
        <v>1000000</v>
      </c>
    </row>
    <row r="1175" spans="1:11" ht="15" customHeight="1" x14ac:dyDescent="0.2">
      <c r="A1175" t="s">
        <v>2260</v>
      </c>
      <c r="B1175" t="s">
        <v>1863</v>
      </c>
      <c r="C1175">
        <v>2024</v>
      </c>
      <c r="D1175">
        <v>2023</v>
      </c>
      <c r="E1175" s="7">
        <v>45354</v>
      </c>
      <c r="F1175" s="7">
        <v>45718</v>
      </c>
      <c r="G1175" t="s">
        <v>99</v>
      </c>
      <c r="H1175" t="s">
        <v>115</v>
      </c>
      <c r="I1175" t="s">
        <v>101</v>
      </c>
      <c r="J1175">
        <v>13367.73</v>
      </c>
      <c r="K1175">
        <v>2000000</v>
      </c>
    </row>
    <row r="1176" spans="1:11" ht="15" customHeight="1" x14ac:dyDescent="0.2">
      <c r="A1176" t="s">
        <v>2261</v>
      </c>
      <c r="B1176" t="s">
        <v>1865</v>
      </c>
      <c r="C1176">
        <v>2024</v>
      </c>
      <c r="D1176">
        <v>2023</v>
      </c>
      <c r="E1176" s="7">
        <v>45354</v>
      </c>
      <c r="F1176" s="7">
        <v>45718</v>
      </c>
      <c r="G1176" t="s">
        <v>99</v>
      </c>
      <c r="H1176" t="s">
        <v>108</v>
      </c>
      <c r="I1176" t="s">
        <v>101</v>
      </c>
      <c r="J1176">
        <v>9384.58</v>
      </c>
      <c r="K1176">
        <v>1000000</v>
      </c>
    </row>
    <row r="1177" spans="1:11" ht="15" customHeight="1" x14ac:dyDescent="0.2">
      <c r="A1177" t="s">
        <v>2262</v>
      </c>
      <c r="B1177" t="s">
        <v>478</v>
      </c>
      <c r="C1177">
        <v>2024</v>
      </c>
      <c r="D1177">
        <v>2023</v>
      </c>
      <c r="E1177" s="7">
        <v>45354</v>
      </c>
      <c r="F1177" s="7">
        <v>45718</v>
      </c>
      <c r="G1177" t="s">
        <v>135</v>
      </c>
      <c r="H1177" t="s">
        <v>111</v>
      </c>
      <c r="I1177" t="s">
        <v>104</v>
      </c>
      <c r="J1177">
        <v>5231.97</v>
      </c>
      <c r="K1177">
        <v>1000000</v>
      </c>
    </row>
    <row r="1178" spans="1:11" ht="15" customHeight="1" x14ac:dyDescent="0.2">
      <c r="A1178" t="s">
        <v>2263</v>
      </c>
      <c r="B1178" t="s">
        <v>770</v>
      </c>
      <c r="C1178">
        <v>2024</v>
      </c>
      <c r="D1178">
        <v>2023</v>
      </c>
      <c r="E1178" s="7">
        <v>45354</v>
      </c>
      <c r="F1178" s="7">
        <v>45718</v>
      </c>
      <c r="G1178" t="s">
        <v>135</v>
      </c>
      <c r="H1178" t="s">
        <v>111</v>
      </c>
      <c r="I1178" t="s">
        <v>101</v>
      </c>
      <c r="J1178">
        <v>7053.5</v>
      </c>
      <c r="K1178">
        <v>1000000</v>
      </c>
    </row>
    <row r="1179" spans="1:11" ht="15" customHeight="1" x14ac:dyDescent="0.2">
      <c r="A1179" t="s">
        <v>2264</v>
      </c>
      <c r="B1179" t="s">
        <v>768</v>
      </c>
      <c r="C1179">
        <v>2024</v>
      </c>
      <c r="D1179">
        <v>2023</v>
      </c>
      <c r="E1179" s="7">
        <v>45354</v>
      </c>
      <c r="F1179" s="7">
        <v>45718</v>
      </c>
      <c r="G1179" t="s">
        <v>135</v>
      </c>
      <c r="H1179" t="s">
        <v>110</v>
      </c>
      <c r="I1179" t="s">
        <v>104</v>
      </c>
      <c r="J1179">
        <v>11776.16</v>
      </c>
      <c r="K1179">
        <v>1500000</v>
      </c>
    </row>
    <row r="1180" spans="1:11" ht="15" customHeight="1" x14ac:dyDescent="0.2">
      <c r="A1180" t="s">
        <v>2265</v>
      </c>
      <c r="B1180" t="s">
        <v>8145</v>
      </c>
      <c r="C1180">
        <v>2024</v>
      </c>
      <c r="D1180">
        <v>2023</v>
      </c>
      <c r="E1180" s="7">
        <v>45354</v>
      </c>
      <c r="F1180" s="7">
        <v>45718</v>
      </c>
      <c r="G1180" t="s">
        <v>135</v>
      </c>
      <c r="H1180" t="s">
        <v>105</v>
      </c>
      <c r="I1180" t="s">
        <v>104</v>
      </c>
      <c r="J1180">
        <v>7894.55</v>
      </c>
      <c r="K1180">
        <v>1500000</v>
      </c>
    </row>
    <row r="1181" spans="1:11" ht="15" customHeight="1" x14ac:dyDescent="0.2">
      <c r="A1181" t="s">
        <v>2267</v>
      </c>
      <c r="B1181" t="s">
        <v>477</v>
      </c>
      <c r="C1181">
        <v>2024</v>
      </c>
      <c r="D1181">
        <v>2023</v>
      </c>
      <c r="E1181" s="7">
        <v>45354</v>
      </c>
      <c r="F1181" s="7">
        <v>45718</v>
      </c>
      <c r="G1181" t="s">
        <v>135</v>
      </c>
      <c r="H1181" t="s">
        <v>102</v>
      </c>
      <c r="I1181" t="s">
        <v>104</v>
      </c>
      <c r="J1181">
        <v>10688.53</v>
      </c>
      <c r="K1181">
        <v>2000000</v>
      </c>
    </row>
    <row r="1182" spans="1:11" ht="15" customHeight="1" x14ac:dyDescent="0.2">
      <c r="A1182" t="s">
        <v>2268</v>
      </c>
      <c r="B1182" t="s">
        <v>6558</v>
      </c>
      <c r="C1182">
        <v>2024</v>
      </c>
      <c r="D1182">
        <v>2023</v>
      </c>
      <c r="E1182" s="7">
        <v>45354</v>
      </c>
      <c r="F1182" s="7">
        <v>45718</v>
      </c>
      <c r="G1182" t="s">
        <v>135</v>
      </c>
      <c r="H1182" t="s">
        <v>108</v>
      </c>
      <c r="I1182" t="s">
        <v>101</v>
      </c>
      <c r="J1182">
        <v>17154.34</v>
      </c>
      <c r="K1182">
        <v>2000000</v>
      </c>
    </row>
    <row r="1183" spans="1:11" ht="15" customHeight="1" x14ac:dyDescent="0.2">
      <c r="A1183" t="s">
        <v>2269</v>
      </c>
      <c r="B1183" t="s">
        <v>8146</v>
      </c>
      <c r="C1183">
        <v>2024</v>
      </c>
      <c r="D1183">
        <v>2023</v>
      </c>
      <c r="E1183" s="7">
        <v>45354</v>
      </c>
      <c r="F1183" s="7">
        <v>45718</v>
      </c>
      <c r="G1183" t="s">
        <v>135</v>
      </c>
      <c r="H1183" t="s">
        <v>110</v>
      </c>
      <c r="I1183" t="s">
        <v>101</v>
      </c>
      <c r="J1183">
        <v>92375.58</v>
      </c>
      <c r="K1183">
        <v>10000000</v>
      </c>
    </row>
    <row r="1184" spans="1:11" ht="15" customHeight="1" x14ac:dyDescent="0.2">
      <c r="A1184" t="s">
        <v>2270</v>
      </c>
      <c r="B1184" t="s">
        <v>8147</v>
      </c>
      <c r="C1184">
        <v>2024</v>
      </c>
      <c r="D1184">
        <v>2023</v>
      </c>
      <c r="E1184" s="7">
        <v>45354</v>
      </c>
      <c r="F1184" s="7">
        <v>45718</v>
      </c>
      <c r="G1184" t="s">
        <v>135</v>
      </c>
      <c r="H1184" t="s">
        <v>110</v>
      </c>
      <c r="I1184" t="s">
        <v>104</v>
      </c>
      <c r="J1184">
        <v>7721.97</v>
      </c>
      <c r="K1184">
        <v>1000000</v>
      </c>
    </row>
    <row r="1185" spans="1:11" ht="15" customHeight="1" x14ac:dyDescent="0.2">
      <c r="A1185" t="s">
        <v>2271</v>
      </c>
      <c r="B1185" t="s">
        <v>769</v>
      </c>
      <c r="C1185">
        <v>2024</v>
      </c>
      <c r="D1185">
        <v>2023</v>
      </c>
      <c r="E1185" s="7">
        <v>45354</v>
      </c>
      <c r="F1185" s="7">
        <v>45718</v>
      </c>
      <c r="G1185" t="s">
        <v>135</v>
      </c>
      <c r="H1185" t="s">
        <v>113</v>
      </c>
      <c r="I1185" t="s">
        <v>101</v>
      </c>
      <c r="J1185">
        <v>3457.96</v>
      </c>
      <c r="K1185">
        <v>500000</v>
      </c>
    </row>
    <row r="1186" spans="1:11" ht="15" customHeight="1" x14ac:dyDescent="0.2">
      <c r="A1186" t="s">
        <v>2272</v>
      </c>
      <c r="B1186" t="s">
        <v>144</v>
      </c>
      <c r="C1186">
        <v>2024</v>
      </c>
      <c r="D1186">
        <v>2023</v>
      </c>
      <c r="E1186" s="7">
        <v>45354</v>
      </c>
      <c r="F1186" s="7">
        <v>45718</v>
      </c>
      <c r="G1186" t="s">
        <v>135</v>
      </c>
      <c r="H1186" t="s">
        <v>102</v>
      </c>
      <c r="I1186" t="s">
        <v>101</v>
      </c>
      <c r="J1186">
        <v>35777.32</v>
      </c>
      <c r="K1186">
        <v>5000000</v>
      </c>
    </row>
    <row r="1187" spans="1:11" ht="15" customHeight="1" x14ac:dyDescent="0.2">
      <c r="A1187" t="s">
        <v>2273</v>
      </c>
      <c r="B1187" t="s">
        <v>8148</v>
      </c>
      <c r="C1187">
        <v>2024</v>
      </c>
      <c r="D1187">
        <v>2023</v>
      </c>
      <c r="E1187" s="7">
        <v>45354</v>
      </c>
      <c r="F1187" s="7">
        <v>45718</v>
      </c>
      <c r="G1187" t="s">
        <v>135</v>
      </c>
      <c r="H1187" t="s">
        <v>103</v>
      </c>
      <c r="I1187" t="s">
        <v>104</v>
      </c>
      <c r="J1187">
        <v>26200.79</v>
      </c>
      <c r="K1187">
        <v>5000000</v>
      </c>
    </row>
    <row r="1188" spans="1:11" ht="15" customHeight="1" x14ac:dyDescent="0.2">
      <c r="A1188" t="s">
        <v>2274</v>
      </c>
      <c r="B1188" t="s">
        <v>8149</v>
      </c>
      <c r="C1188">
        <v>2024</v>
      </c>
      <c r="D1188">
        <v>2023</v>
      </c>
      <c r="E1188" s="7">
        <v>45354</v>
      </c>
      <c r="F1188" s="7">
        <v>45718</v>
      </c>
      <c r="G1188" t="s">
        <v>135</v>
      </c>
      <c r="H1188" t="s">
        <v>106</v>
      </c>
      <c r="I1188" t="s">
        <v>101</v>
      </c>
      <c r="J1188">
        <v>12529.73</v>
      </c>
      <c r="K1188">
        <v>1500000</v>
      </c>
    </row>
    <row r="1189" spans="1:11" ht="15" customHeight="1" x14ac:dyDescent="0.2">
      <c r="A1189" t="s">
        <v>2275</v>
      </c>
      <c r="B1189" t="s">
        <v>771</v>
      </c>
      <c r="C1189">
        <v>2024</v>
      </c>
      <c r="D1189">
        <v>2023</v>
      </c>
      <c r="E1189" s="7">
        <v>45354</v>
      </c>
      <c r="F1189" s="7">
        <v>45718</v>
      </c>
      <c r="G1189" t="s">
        <v>135</v>
      </c>
      <c r="H1189" t="s">
        <v>102</v>
      </c>
      <c r="I1189" t="s">
        <v>101</v>
      </c>
      <c r="J1189">
        <v>11150.92</v>
      </c>
      <c r="K1189">
        <v>1500000</v>
      </c>
    </row>
    <row r="1190" spans="1:11" ht="15" customHeight="1" x14ac:dyDescent="0.2">
      <c r="A1190" t="s">
        <v>2276</v>
      </c>
      <c r="B1190" t="s">
        <v>6466</v>
      </c>
      <c r="C1190">
        <v>2024</v>
      </c>
      <c r="D1190">
        <v>2023</v>
      </c>
      <c r="E1190" s="7">
        <v>45354</v>
      </c>
      <c r="F1190" s="7">
        <v>45718</v>
      </c>
      <c r="G1190" t="s">
        <v>135</v>
      </c>
      <c r="H1190" t="s">
        <v>106</v>
      </c>
      <c r="I1190" t="s">
        <v>104</v>
      </c>
      <c r="J1190">
        <v>6985.53</v>
      </c>
      <c r="K1190">
        <v>1000000</v>
      </c>
    </row>
    <row r="1191" spans="1:11" ht="15" customHeight="1" x14ac:dyDescent="0.2">
      <c r="A1191" t="s">
        <v>2278</v>
      </c>
      <c r="B1191" t="s">
        <v>6516</v>
      </c>
      <c r="C1191">
        <v>2024</v>
      </c>
      <c r="D1191">
        <v>2023</v>
      </c>
      <c r="E1191" s="7">
        <v>45354</v>
      </c>
      <c r="F1191" s="7">
        <v>45718</v>
      </c>
      <c r="G1191" t="s">
        <v>135</v>
      </c>
      <c r="H1191" t="s">
        <v>109</v>
      </c>
      <c r="I1191" t="s">
        <v>101</v>
      </c>
      <c r="J1191">
        <v>13553.27</v>
      </c>
      <c r="K1191">
        <v>2000000</v>
      </c>
    </row>
    <row r="1192" spans="1:11" ht="15" customHeight="1" x14ac:dyDescent="0.2">
      <c r="A1192" t="s">
        <v>2280</v>
      </c>
      <c r="B1192" t="s">
        <v>1867</v>
      </c>
      <c r="C1192">
        <v>2024</v>
      </c>
      <c r="D1192">
        <v>2023</v>
      </c>
      <c r="E1192" s="7">
        <v>45355</v>
      </c>
      <c r="F1192" s="7">
        <v>45719</v>
      </c>
      <c r="G1192" t="s">
        <v>99</v>
      </c>
      <c r="H1192" t="s">
        <v>106</v>
      </c>
      <c r="I1192" t="s">
        <v>104</v>
      </c>
      <c r="J1192">
        <v>10361.219999999999</v>
      </c>
      <c r="K1192">
        <v>1500000</v>
      </c>
    </row>
    <row r="1193" spans="1:11" ht="15" customHeight="1" x14ac:dyDescent="0.2">
      <c r="A1193" t="s">
        <v>2282</v>
      </c>
      <c r="B1193" t="s">
        <v>6479</v>
      </c>
      <c r="C1193">
        <v>2024</v>
      </c>
      <c r="D1193">
        <v>2023</v>
      </c>
      <c r="E1193" s="7">
        <v>45355</v>
      </c>
      <c r="F1193" s="7">
        <v>45719</v>
      </c>
      <c r="G1193" t="s">
        <v>135</v>
      </c>
      <c r="H1193" t="s">
        <v>111</v>
      </c>
      <c r="I1193" t="s">
        <v>101</v>
      </c>
      <c r="J1193">
        <v>6534.21</v>
      </c>
      <c r="K1193">
        <v>1000000</v>
      </c>
    </row>
    <row r="1194" spans="1:11" ht="15" customHeight="1" x14ac:dyDescent="0.2">
      <c r="A1194" t="s">
        <v>2284</v>
      </c>
      <c r="B1194" t="s">
        <v>8150</v>
      </c>
      <c r="C1194">
        <v>2024</v>
      </c>
      <c r="D1194">
        <v>2023</v>
      </c>
      <c r="E1194" s="7">
        <v>45355</v>
      </c>
      <c r="F1194" s="7">
        <v>45719</v>
      </c>
      <c r="G1194" t="s">
        <v>135</v>
      </c>
      <c r="H1194" t="s">
        <v>107</v>
      </c>
      <c r="I1194" t="s">
        <v>101</v>
      </c>
      <c r="J1194">
        <v>13212.68</v>
      </c>
      <c r="K1194">
        <v>2000000</v>
      </c>
    </row>
    <row r="1195" spans="1:11" ht="15" customHeight="1" x14ac:dyDescent="0.2">
      <c r="A1195" t="s">
        <v>2286</v>
      </c>
      <c r="B1195" t="s">
        <v>8151</v>
      </c>
      <c r="C1195">
        <v>2024</v>
      </c>
      <c r="D1195">
        <v>2023</v>
      </c>
      <c r="E1195" s="7">
        <v>45355</v>
      </c>
      <c r="F1195" s="7">
        <v>45719</v>
      </c>
      <c r="G1195" t="s">
        <v>135</v>
      </c>
      <c r="H1195" t="s">
        <v>107</v>
      </c>
      <c r="I1195" t="s">
        <v>101</v>
      </c>
      <c r="J1195">
        <v>6944.01</v>
      </c>
      <c r="K1195">
        <v>1000000</v>
      </c>
    </row>
    <row r="1196" spans="1:11" ht="15" customHeight="1" x14ac:dyDescent="0.2">
      <c r="A1196" t="s">
        <v>2287</v>
      </c>
      <c r="B1196" t="s">
        <v>8152</v>
      </c>
      <c r="C1196">
        <v>2024</v>
      </c>
      <c r="D1196">
        <v>2023</v>
      </c>
      <c r="E1196" s="7">
        <v>45355</v>
      </c>
      <c r="F1196" s="7">
        <v>45719</v>
      </c>
      <c r="G1196" t="s">
        <v>135</v>
      </c>
      <c r="H1196" t="s">
        <v>107</v>
      </c>
      <c r="I1196" t="s">
        <v>104</v>
      </c>
      <c r="J1196">
        <v>27782.21</v>
      </c>
      <c r="K1196">
        <v>5000000</v>
      </c>
    </row>
    <row r="1197" spans="1:11" ht="15" customHeight="1" x14ac:dyDescent="0.2">
      <c r="A1197" t="s">
        <v>2288</v>
      </c>
      <c r="B1197" t="s">
        <v>772</v>
      </c>
      <c r="C1197">
        <v>2024</v>
      </c>
      <c r="D1197">
        <v>2023</v>
      </c>
      <c r="E1197" s="7">
        <v>45355</v>
      </c>
      <c r="F1197" s="7">
        <v>45719</v>
      </c>
      <c r="G1197" t="s">
        <v>135</v>
      </c>
      <c r="H1197" t="s">
        <v>102</v>
      </c>
      <c r="I1197" t="s">
        <v>101</v>
      </c>
      <c r="J1197">
        <v>6807.75</v>
      </c>
      <c r="K1197">
        <v>1000000</v>
      </c>
    </row>
    <row r="1198" spans="1:11" ht="15" customHeight="1" x14ac:dyDescent="0.2">
      <c r="A1198" t="s">
        <v>2289</v>
      </c>
      <c r="B1198" t="s">
        <v>479</v>
      </c>
      <c r="C1198">
        <v>2024</v>
      </c>
      <c r="D1198">
        <v>2023</v>
      </c>
      <c r="E1198" s="7">
        <v>45355</v>
      </c>
      <c r="F1198" s="7">
        <v>45719</v>
      </c>
      <c r="G1198" t="s">
        <v>135</v>
      </c>
      <c r="H1198" t="s">
        <v>100</v>
      </c>
      <c r="I1198" t="s">
        <v>104</v>
      </c>
      <c r="J1198">
        <v>9440.56</v>
      </c>
      <c r="K1198">
        <v>1500000</v>
      </c>
    </row>
    <row r="1199" spans="1:11" ht="15" customHeight="1" x14ac:dyDescent="0.2">
      <c r="A1199" t="s">
        <v>2290</v>
      </c>
      <c r="B1199" t="s">
        <v>481</v>
      </c>
      <c r="C1199">
        <v>2024</v>
      </c>
      <c r="D1199">
        <v>2023</v>
      </c>
      <c r="E1199" s="7">
        <v>45355</v>
      </c>
      <c r="F1199" s="7">
        <v>45719</v>
      </c>
      <c r="G1199" t="s">
        <v>135</v>
      </c>
      <c r="H1199" t="s">
        <v>113</v>
      </c>
      <c r="I1199" t="s">
        <v>101</v>
      </c>
      <c r="J1199">
        <v>9886.43</v>
      </c>
      <c r="K1199">
        <v>1500000</v>
      </c>
    </row>
    <row r="1200" spans="1:11" ht="15" customHeight="1" x14ac:dyDescent="0.2">
      <c r="A1200" t="s">
        <v>2291</v>
      </c>
      <c r="B1200" t="s">
        <v>6505</v>
      </c>
      <c r="C1200">
        <v>2024</v>
      </c>
      <c r="D1200">
        <v>2023</v>
      </c>
      <c r="E1200" s="7">
        <v>45355</v>
      </c>
      <c r="F1200" s="7">
        <v>45719</v>
      </c>
      <c r="G1200" t="s">
        <v>135</v>
      </c>
      <c r="H1200" t="s">
        <v>114</v>
      </c>
      <c r="I1200" t="s">
        <v>104</v>
      </c>
      <c r="J1200">
        <v>11505.18</v>
      </c>
      <c r="K1200">
        <v>2000000</v>
      </c>
    </row>
    <row r="1201" spans="1:11" ht="15" customHeight="1" x14ac:dyDescent="0.2">
      <c r="A1201" t="s">
        <v>2292</v>
      </c>
      <c r="B1201" t="s">
        <v>480</v>
      </c>
      <c r="C1201">
        <v>2024</v>
      </c>
      <c r="D1201">
        <v>2023</v>
      </c>
      <c r="E1201" s="7">
        <v>45355</v>
      </c>
      <c r="F1201" s="7">
        <v>45719</v>
      </c>
      <c r="G1201" t="s">
        <v>135</v>
      </c>
      <c r="H1201" t="s">
        <v>106</v>
      </c>
      <c r="I1201" t="s">
        <v>104</v>
      </c>
      <c r="J1201">
        <v>15398.05</v>
      </c>
      <c r="K1201">
        <v>2000000</v>
      </c>
    </row>
    <row r="1202" spans="1:11" ht="15" customHeight="1" x14ac:dyDescent="0.2">
      <c r="A1202" t="s">
        <v>2293</v>
      </c>
      <c r="B1202" t="s">
        <v>8153</v>
      </c>
      <c r="C1202">
        <v>2024</v>
      </c>
      <c r="D1202">
        <v>2023</v>
      </c>
      <c r="E1202" s="7">
        <v>45355</v>
      </c>
      <c r="F1202" s="7">
        <v>45719</v>
      </c>
      <c r="G1202" t="s">
        <v>135</v>
      </c>
      <c r="H1202" t="s">
        <v>105</v>
      </c>
      <c r="I1202" t="s">
        <v>101</v>
      </c>
      <c r="J1202">
        <v>7470.89</v>
      </c>
      <c r="K1202">
        <v>1000000</v>
      </c>
    </row>
    <row r="1203" spans="1:11" ht="15" customHeight="1" x14ac:dyDescent="0.2">
      <c r="A1203" t="s">
        <v>2295</v>
      </c>
      <c r="B1203" t="s">
        <v>1869</v>
      </c>
      <c r="C1203">
        <v>2024</v>
      </c>
      <c r="D1203">
        <v>2023</v>
      </c>
      <c r="E1203" s="7">
        <v>45356</v>
      </c>
      <c r="F1203" s="7">
        <v>45720</v>
      </c>
      <c r="G1203" t="s">
        <v>99</v>
      </c>
      <c r="H1203" t="s">
        <v>102</v>
      </c>
      <c r="I1203" t="s">
        <v>104</v>
      </c>
      <c r="J1203">
        <v>5319.95</v>
      </c>
      <c r="K1203">
        <v>1000000</v>
      </c>
    </row>
    <row r="1204" spans="1:11" ht="15" customHeight="1" x14ac:dyDescent="0.2">
      <c r="A1204" t="s">
        <v>2298</v>
      </c>
      <c r="B1204" t="s">
        <v>6485</v>
      </c>
      <c r="C1204">
        <v>2024</v>
      </c>
      <c r="D1204">
        <v>2023</v>
      </c>
      <c r="E1204" s="7">
        <v>45356</v>
      </c>
      <c r="F1204" s="7">
        <v>45720</v>
      </c>
      <c r="G1204" t="s">
        <v>135</v>
      </c>
      <c r="H1204" t="s">
        <v>107</v>
      </c>
      <c r="I1204" t="s">
        <v>101</v>
      </c>
      <c r="J1204">
        <v>37356.85</v>
      </c>
      <c r="K1204">
        <v>5000000</v>
      </c>
    </row>
    <row r="1205" spans="1:11" ht="15" customHeight="1" x14ac:dyDescent="0.2">
      <c r="A1205" t="s">
        <v>2300</v>
      </c>
      <c r="B1205" t="s">
        <v>271</v>
      </c>
      <c r="C1205">
        <v>2024</v>
      </c>
      <c r="D1205">
        <v>2023</v>
      </c>
      <c r="E1205" s="7">
        <v>45356</v>
      </c>
      <c r="F1205" s="7">
        <v>45720</v>
      </c>
      <c r="G1205" t="s">
        <v>135</v>
      </c>
      <c r="H1205" t="s">
        <v>105</v>
      </c>
      <c r="I1205" t="s">
        <v>101</v>
      </c>
      <c r="J1205">
        <v>13372.87</v>
      </c>
      <c r="K1205">
        <v>2000000</v>
      </c>
    </row>
    <row r="1206" spans="1:11" ht="15" customHeight="1" x14ac:dyDescent="0.2">
      <c r="A1206" t="s">
        <v>2302</v>
      </c>
      <c r="B1206" t="s">
        <v>8154</v>
      </c>
      <c r="C1206">
        <v>2024</v>
      </c>
      <c r="D1206">
        <v>2023</v>
      </c>
      <c r="E1206" s="7">
        <v>45356</v>
      </c>
      <c r="F1206" s="7">
        <v>45720</v>
      </c>
      <c r="G1206" t="s">
        <v>135</v>
      </c>
      <c r="H1206" t="s">
        <v>112</v>
      </c>
      <c r="I1206" t="s">
        <v>101</v>
      </c>
      <c r="J1206">
        <v>8509.9599999999991</v>
      </c>
      <c r="K1206">
        <v>1000000</v>
      </c>
    </row>
    <row r="1207" spans="1:11" ht="15" customHeight="1" x14ac:dyDescent="0.2">
      <c r="A1207" t="s">
        <v>2303</v>
      </c>
      <c r="B1207" t="s">
        <v>773</v>
      </c>
      <c r="C1207">
        <v>2024</v>
      </c>
      <c r="D1207">
        <v>2023</v>
      </c>
      <c r="E1207" s="7">
        <v>45356</v>
      </c>
      <c r="F1207" s="7">
        <v>45720</v>
      </c>
      <c r="G1207" t="s">
        <v>135</v>
      </c>
      <c r="H1207" t="s">
        <v>115</v>
      </c>
      <c r="I1207" t="s">
        <v>104</v>
      </c>
      <c r="J1207">
        <v>27217.78</v>
      </c>
      <c r="K1207">
        <v>5000000</v>
      </c>
    </row>
    <row r="1208" spans="1:11" ht="15" customHeight="1" x14ac:dyDescent="0.2">
      <c r="A1208" t="s">
        <v>2304</v>
      </c>
      <c r="B1208" t="s">
        <v>6508</v>
      </c>
      <c r="C1208">
        <v>2024</v>
      </c>
      <c r="D1208">
        <v>2023</v>
      </c>
      <c r="E1208" s="7">
        <v>45356</v>
      </c>
      <c r="F1208" s="7">
        <v>45720</v>
      </c>
      <c r="G1208" t="s">
        <v>135</v>
      </c>
      <c r="H1208" t="s">
        <v>115</v>
      </c>
      <c r="I1208" t="s">
        <v>101</v>
      </c>
      <c r="J1208">
        <v>11101.96</v>
      </c>
      <c r="K1208">
        <v>1500000</v>
      </c>
    </row>
    <row r="1209" spans="1:11" ht="15" customHeight="1" x14ac:dyDescent="0.2">
      <c r="A1209" t="s">
        <v>2305</v>
      </c>
      <c r="B1209" t="s">
        <v>145</v>
      </c>
      <c r="C1209">
        <v>2024</v>
      </c>
      <c r="D1209">
        <v>2023</v>
      </c>
      <c r="E1209" s="7">
        <v>45356</v>
      </c>
      <c r="F1209" s="7">
        <v>45720</v>
      </c>
      <c r="G1209" t="s">
        <v>135</v>
      </c>
      <c r="H1209" t="s">
        <v>106</v>
      </c>
      <c r="I1209" t="s">
        <v>101</v>
      </c>
      <c r="J1209">
        <v>16998.88</v>
      </c>
      <c r="K1209">
        <v>2000000</v>
      </c>
    </row>
    <row r="1210" spans="1:11" ht="15" customHeight="1" x14ac:dyDescent="0.2">
      <c r="A1210" t="s">
        <v>2306</v>
      </c>
      <c r="B1210" t="s">
        <v>6488</v>
      </c>
      <c r="C1210">
        <v>2024</v>
      </c>
      <c r="D1210">
        <v>2023</v>
      </c>
      <c r="E1210" s="7">
        <v>45356</v>
      </c>
      <c r="F1210" s="7">
        <v>45720</v>
      </c>
      <c r="G1210" t="s">
        <v>135</v>
      </c>
      <c r="H1210" t="s">
        <v>102</v>
      </c>
      <c r="I1210" t="s">
        <v>104</v>
      </c>
      <c r="J1210">
        <v>8427.4500000000007</v>
      </c>
      <c r="K1210">
        <v>1500000</v>
      </c>
    </row>
    <row r="1211" spans="1:11" ht="15" customHeight="1" x14ac:dyDescent="0.2">
      <c r="A1211" t="s">
        <v>2307</v>
      </c>
      <c r="B1211" t="s">
        <v>6566</v>
      </c>
      <c r="C1211">
        <v>2024</v>
      </c>
      <c r="D1211">
        <v>2023</v>
      </c>
      <c r="E1211" s="7">
        <v>45356</v>
      </c>
      <c r="F1211" s="7">
        <v>45720</v>
      </c>
      <c r="G1211" t="s">
        <v>135</v>
      </c>
      <c r="H1211" t="s">
        <v>110</v>
      </c>
      <c r="I1211" t="s">
        <v>101</v>
      </c>
      <c r="J1211">
        <v>13101.09</v>
      </c>
      <c r="K1211">
        <v>1500000</v>
      </c>
    </row>
    <row r="1212" spans="1:11" ht="15" customHeight="1" x14ac:dyDescent="0.2">
      <c r="A1212" t="s">
        <v>2308</v>
      </c>
      <c r="B1212" t="s">
        <v>6489</v>
      </c>
      <c r="C1212">
        <v>2024</v>
      </c>
      <c r="D1212">
        <v>2023</v>
      </c>
      <c r="E1212" s="7">
        <v>45356</v>
      </c>
      <c r="F1212" s="7">
        <v>45720</v>
      </c>
      <c r="G1212" t="s">
        <v>135</v>
      </c>
      <c r="H1212" t="s">
        <v>105</v>
      </c>
      <c r="I1212" t="s">
        <v>101</v>
      </c>
      <c r="J1212">
        <v>33942.67</v>
      </c>
      <c r="K1212">
        <v>5000000</v>
      </c>
    </row>
    <row r="1213" spans="1:11" ht="15" customHeight="1" x14ac:dyDescent="0.2">
      <c r="A1213" t="s">
        <v>2309</v>
      </c>
      <c r="B1213" t="s">
        <v>1880</v>
      </c>
      <c r="C1213">
        <v>2024</v>
      </c>
      <c r="D1213">
        <v>2023</v>
      </c>
      <c r="E1213" s="7">
        <v>45357</v>
      </c>
      <c r="F1213" s="7">
        <v>45721</v>
      </c>
      <c r="G1213" t="s">
        <v>99</v>
      </c>
      <c r="H1213" t="s">
        <v>105</v>
      </c>
      <c r="I1213" t="s">
        <v>101</v>
      </c>
      <c r="J1213">
        <v>3693.05</v>
      </c>
      <c r="K1213">
        <v>500000</v>
      </c>
    </row>
    <row r="1214" spans="1:11" ht="15" customHeight="1" x14ac:dyDescent="0.2">
      <c r="A1214" t="s">
        <v>2310</v>
      </c>
      <c r="B1214" t="s">
        <v>1882</v>
      </c>
      <c r="C1214">
        <v>2024</v>
      </c>
      <c r="D1214">
        <v>2023</v>
      </c>
      <c r="E1214" s="7">
        <v>45357</v>
      </c>
      <c r="F1214" s="7">
        <v>45721</v>
      </c>
      <c r="G1214" t="s">
        <v>99</v>
      </c>
      <c r="H1214" t="s">
        <v>109</v>
      </c>
      <c r="I1214" t="s">
        <v>104</v>
      </c>
      <c r="J1214">
        <v>61569</v>
      </c>
      <c r="K1214">
        <v>10000000</v>
      </c>
    </row>
    <row r="1215" spans="1:11" ht="15" customHeight="1" x14ac:dyDescent="0.2">
      <c r="A1215" t="s">
        <v>2311</v>
      </c>
      <c r="B1215" t="s">
        <v>1884</v>
      </c>
      <c r="C1215">
        <v>2024</v>
      </c>
      <c r="D1215">
        <v>2023</v>
      </c>
      <c r="E1215" s="7">
        <v>45357</v>
      </c>
      <c r="F1215" s="7">
        <v>45721</v>
      </c>
      <c r="G1215" t="s">
        <v>99</v>
      </c>
      <c r="H1215" t="s">
        <v>102</v>
      </c>
      <c r="I1215" t="s">
        <v>101</v>
      </c>
      <c r="J1215">
        <v>15724.35</v>
      </c>
      <c r="K1215">
        <v>2000000</v>
      </c>
    </row>
    <row r="1216" spans="1:11" ht="15" customHeight="1" x14ac:dyDescent="0.2">
      <c r="A1216" t="s">
        <v>2313</v>
      </c>
      <c r="B1216" t="s">
        <v>6511</v>
      </c>
      <c r="C1216">
        <v>2024</v>
      </c>
      <c r="D1216">
        <v>2023</v>
      </c>
      <c r="E1216" s="7">
        <v>45357</v>
      </c>
      <c r="F1216" s="7">
        <v>45721</v>
      </c>
      <c r="G1216" t="s">
        <v>135</v>
      </c>
      <c r="H1216" t="s">
        <v>105</v>
      </c>
      <c r="I1216" t="s">
        <v>104</v>
      </c>
      <c r="J1216">
        <v>6212.59</v>
      </c>
      <c r="K1216">
        <v>1000000</v>
      </c>
    </row>
    <row r="1217" spans="1:11" ht="15" customHeight="1" x14ac:dyDescent="0.2">
      <c r="A1217" t="s">
        <v>2315</v>
      </c>
      <c r="B1217" t="s">
        <v>775</v>
      </c>
      <c r="C1217">
        <v>2024</v>
      </c>
      <c r="D1217">
        <v>2023</v>
      </c>
      <c r="E1217" s="7">
        <v>45357</v>
      </c>
      <c r="F1217" s="7">
        <v>45721</v>
      </c>
      <c r="G1217" t="s">
        <v>135</v>
      </c>
      <c r="H1217" t="s">
        <v>102</v>
      </c>
      <c r="I1217" t="s">
        <v>104</v>
      </c>
      <c r="J1217">
        <v>55668.75</v>
      </c>
      <c r="K1217">
        <v>10000000</v>
      </c>
    </row>
    <row r="1218" spans="1:11" ht="15" customHeight="1" x14ac:dyDescent="0.2">
      <c r="A1218" t="s">
        <v>2317</v>
      </c>
      <c r="B1218" t="s">
        <v>774</v>
      </c>
      <c r="C1218">
        <v>2024</v>
      </c>
      <c r="D1218">
        <v>2023</v>
      </c>
      <c r="E1218" s="7">
        <v>45357</v>
      </c>
      <c r="F1218" s="7">
        <v>45721</v>
      </c>
      <c r="G1218" t="s">
        <v>135</v>
      </c>
      <c r="H1218" t="s">
        <v>102</v>
      </c>
      <c r="I1218" t="s">
        <v>104</v>
      </c>
      <c r="J1218">
        <v>8507.26</v>
      </c>
      <c r="K1218">
        <v>1500000</v>
      </c>
    </row>
    <row r="1219" spans="1:11" ht="15" customHeight="1" x14ac:dyDescent="0.2">
      <c r="A1219" t="s">
        <v>2318</v>
      </c>
      <c r="B1219" t="s">
        <v>273</v>
      </c>
      <c r="C1219">
        <v>2024</v>
      </c>
      <c r="D1219">
        <v>2023</v>
      </c>
      <c r="E1219" s="7">
        <v>45357</v>
      </c>
      <c r="F1219" s="7">
        <v>45721</v>
      </c>
      <c r="G1219" t="s">
        <v>135</v>
      </c>
      <c r="H1219" t="s">
        <v>6332</v>
      </c>
      <c r="I1219" t="s">
        <v>101</v>
      </c>
      <c r="J1219">
        <v>15050.24</v>
      </c>
      <c r="K1219">
        <v>2000000</v>
      </c>
    </row>
    <row r="1220" spans="1:11" ht="15" customHeight="1" x14ac:dyDescent="0.2">
      <c r="A1220" t="s">
        <v>2319</v>
      </c>
      <c r="B1220" t="s">
        <v>6481</v>
      </c>
      <c r="C1220">
        <v>2024</v>
      </c>
      <c r="D1220">
        <v>2023</v>
      </c>
      <c r="E1220" s="7">
        <v>45357</v>
      </c>
      <c r="F1220" s="7">
        <v>45721</v>
      </c>
      <c r="G1220" t="s">
        <v>135</v>
      </c>
      <c r="H1220" t="s">
        <v>106</v>
      </c>
      <c r="I1220" t="s">
        <v>101</v>
      </c>
      <c r="J1220">
        <v>9859.3700000000008</v>
      </c>
      <c r="K1220">
        <v>1000000</v>
      </c>
    </row>
    <row r="1221" spans="1:11" ht="15" customHeight="1" x14ac:dyDescent="0.2">
      <c r="A1221" t="s">
        <v>2320</v>
      </c>
      <c r="B1221" t="s">
        <v>272</v>
      </c>
      <c r="C1221">
        <v>2024</v>
      </c>
      <c r="D1221">
        <v>2023</v>
      </c>
      <c r="E1221" s="7">
        <v>45357</v>
      </c>
      <c r="F1221" s="7">
        <v>45721</v>
      </c>
      <c r="G1221" t="s">
        <v>135</v>
      </c>
      <c r="H1221" t="s">
        <v>106</v>
      </c>
      <c r="I1221" t="s">
        <v>104</v>
      </c>
      <c r="J1221">
        <v>68010.570000000007</v>
      </c>
      <c r="K1221">
        <v>10000000</v>
      </c>
    </row>
    <row r="1222" spans="1:11" ht="15" customHeight="1" x14ac:dyDescent="0.2">
      <c r="A1222" t="s">
        <v>2321</v>
      </c>
      <c r="B1222" t="s">
        <v>6497</v>
      </c>
      <c r="C1222">
        <v>2024</v>
      </c>
      <c r="D1222">
        <v>2023</v>
      </c>
      <c r="E1222" s="7">
        <v>45357</v>
      </c>
      <c r="F1222" s="7">
        <v>45721</v>
      </c>
      <c r="G1222" t="s">
        <v>135</v>
      </c>
      <c r="H1222" t="s">
        <v>107</v>
      </c>
      <c r="I1222" t="s">
        <v>101</v>
      </c>
      <c r="J1222">
        <v>11694.82</v>
      </c>
      <c r="K1222">
        <v>1500000</v>
      </c>
    </row>
    <row r="1223" spans="1:11" ht="15" customHeight="1" x14ac:dyDescent="0.2">
      <c r="A1223" t="s">
        <v>2322</v>
      </c>
      <c r="B1223" t="s">
        <v>8155</v>
      </c>
      <c r="C1223">
        <v>2024</v>
      </c>
      <c r="D1223">
        <v>2023</v>
      </c>
      <c r="E1223" s="7">
        <v>45357</v>
      </c>
      <c r="F1223" s="7">
        <v>45721</v>
      </c>
      <c r="G1223" t="s">
        <v>135</v>
      </c>
      <c r="H1223" t="s">
        <v>6337</v>
      </c>
      <c r="I1223" t="s">
        <v>104</v>
      </c>
      <c r="J1223">
        <v>12102.47</v>
      </c>
      <c r="K1223">
        <v>2000000</v>
      </c>
    </row>
    <row r="1224" spans="1:11" ht="15" customHeight="1" x14ac:dyDescent="0.2">
      <c r="A1224" t="s">
        <v>2323</v>
      </c>
      <c r="B1224" t="s">
        <v>6480</v>
      </c>
      <c r="C1224">
        <v>2024</v>
      </c>
      <c r="D1224">
        <v>2023</v>
      </c>
      <c r="E1224" s="7">
        <v>45357</v>
      </c>
      <c r="F1224" s="7">
        <v>45721</v>
      </c>
      <c r="G1224" t="s">
        <v>135</v>
      </c>
      <c r="H1224" t="s">
        <v>102</v>
      </c>
      <c r="I1224" t="s">
        <v>101</v>
      </c>
      <c r="J1224">
        <v>6832.41</v>
      </c>
      <c r="K1224">
        <v>1000000</v>
      </c>
    </row>
    <row r="1225" spans="1:11" ht="15" customHeight="1" x14ac:dyDescent="0.2">
      <c r="A1225" t="s">
        <v>2324</v>
      </c>
      <c r="B1225" t="s">
        <v>776</v>
      </c>
      <c r="C1225">
        <v>2024</v>
      </c>
      <c r="D1225">
        <v>2023</v>
      </c>
      <c r="E1225" s="7">
        <v>45357</v>
      </c>
      <c r="F1225" s="7">
        <v>45721</v>
      </c>
      <c r="G1225" t="s">
        <v>135</v>
      </c>
      <c r="H1225" t="s">
        <v>110</v>
      </c>
      <c r="I1225" t="s">
        <v>101</v>
      </c>
      <c r="J1225">
        <v>9508.2199999999993</v>
      </c>
      <c r="K1225">
        <v>1000000</v>
      </c>
    </row>
    <row r="1226" spans="1:11" ht="15" customHeight="1" x14ac:dyDescent="0.2">
      <c r="A1226" t="s">
        <v>2325</v>
      </c>
      <c r="B1226" t="s">
        <v>1897</v>
      </c>
      <c r="C1226">
        <v>2024</v>
      </c>
      <c r="D1226">
        <v>2023</v>
      </c>
      <c r="E1226" s="7">
        <v>45358</v>
      </c>
      <c r="F1226" s="7">
        <v>45722</v>
      </c>
      <c r="G1226" t="s">
        <v>99</v>
      </c>
      <c r="H1226" t="s">
        <v>102</v>
      </c>
      <c r="I1226" t="s">
        <v>104</v>
      </c>
      <c r="J1226">
        <v>5538.43</v>
      </c>
      <c r="K1226">
        <v>1000000</v>
      </c>
    </row>
    <row r="1227" spans="1:11" ht="15" customHeight="1" x14ac:dyDescent="0.2">
      <c r="A1227" t="s">
        <v>2326</v>
      </c>
      <c r="B1227" t="s">
        <v>1899</v>
      </c>
      <c r="C1227">
        <v>2024</v>
      </c>
      <c r="D1227">
        <v>2023</v>
      </c>
      <c r="E1227" s="7">
        <v>45358</v>
      </c>
      <c r="F1227" s="7">
        <v>45722</v>
      </c>
      <c r="G1227" t="s">
        <v>99</v>
      </c>
      <c r="H1227" t="s">
        <v>105</v>
      </c>
      <c r="I1227" t="s">
        <v>101</v>
      </c>
      <c r="J1227">
        <v>3835.62</v>
      </c>
      <c r="K1227">
        <v>500000</v>
      </c>
    </row>
    <row r="1228" spans="1:11" ht="15" customHeight="1" x14ac:dyDescent="0.2">
      <c r="A1228" t="s">
        <v>2327</v>
      </c>
      <c r="B1228" t="s">
        <v>8156</v>
      </c>
      <c r="C1228">
        <v>2024</v>
      </c>
      <c r="D1228">
        <v>2023</v>
      </c>
      <c r="E1228" s="7">
        <v>45358</v>
      </c>
      <c r="F1228" s="7">
        <v>45722</v>
      </c>
      <c r="G1228" t="s">
        <v>135</v>
      </c>
      <c r="H1228" t="s">
        <v>106</v>
      </c>
      <c r="I1228" t="s">
        <v>101</v>
      </c>
      <c r="J1228">
        <v>4723.72</v>
      </c>
      <c r="K1228">
        <v>500000</v>
      </c>
    </row>
    <row r="1229" spans="1:11" ht="15" customHeight="1" x14ac:dyDescent="0.2">
      <c r="A1229" t="s">
        <v>2328</v>
      </c>
      <c r="B1229" t="s">
        <v>777</v>
      </c>
      <c r="C1229">
        <v>2024</v>
      </c>
      <c r="D1229">
        <v>2023</v>
      </c>
      <c r="E1229" s="7">
        <v>45358</v>
      </c>
      <c r="F1229" s="7">
        <v>45722</v>
      </c>
      <c r="G1229" t="s">
        <v>135</v>
      </c>
      <c r="H1229" t="s">
        <v>108</v>
      </c>
      <c r="I1229" t="s">
        <v>101</v>
      </c>
      <c r="J1229">
        <v>13416.21</v>
      </c>
      <c r="K1229">
        <v>1500000</v>
      </c>
    </row>
    <row r="1230" spans="1:11" ht="15" customHeight="1" x14ac:dyDescent="0.2">
      <c r="A1230" t="s">
        <v>2329</v>
      </c>
      <c r="B1230" t="s">
        <v>8157</v>
      </c>
      <c r="C1230">
        <v>2024</v>
      </c>
      <c r="D1230">
        <v>2023</v>
      </c>
      <c r="E1230" s="7">
        <v>45358</v>
      </c>
      <c r="F1230" s="7">
        <v>45722</v>
      </c>
      <c r="G1230" t="s">
        <v>135</v>
      </c>
      <c r="H1230" t="s">
        <v>109</v>
      </c>
      <c r="I1230" t="s">
        <v>104</v>
      </c>
      <c r="J1230">
        <v>6068.82</v>
      </c>
      <c r="K1230">
        <v>1000000</v>
      </c>
    </row>
    <row r="1231" spans="1:11" ht="15" customHeight="1" x14ac:dyDescent="0.2">
      <c r="A1231" t="s">
        <v>2330</v>
      </c>
      <c r="B1231" t="s">
        <v>190</v>
      </c>
      <c r="C1231">
        <v>2024</v>
      </c>
      <c r="D1231">
        <v>2023</v>
      </c>
      <c r="E1231" s="7">
        <v>45358</v>
      </c>
      <c r="F1231" s="7">
        <v>45722</v>
      </c>
      <c r="G1231" t="s">
        <v>135</v>
      </c>
      <c r="H1231" t="s">
        <v>109</v>
      </c>
      <c r="I1231" t="s">
        <v>101</v>
      </c>
      <c r="J1231">
        <v>3814.46</v>
      </c>
      <c r="K1231">
        <v>500000</v>
      </c>
    </row>
    <row r="1232" spans="1:11" ht="15" customHeight="1" x14ac:dyDescent="0.2">
      <c r="A1232" t="s">
        <v>2332</v>
      </c>
      <c r="B1232" t="s">
        <v>482</v>
      </c>
      <c r="C1232">
        <v>2024</v>
      </c>
      <c r="D1232">
        <v>2023</v>
      </c>
      <c r="E1232" s="7">
        <v>45358</v>
      </c>
      <c r="F1232" s="7">
        <v>45722</v>
      </c>
      <c r="G1232" t="s">
        <v>135</v>
      </c>
      <c r="H1232" t="s">
        <v>115</v>
      </c>
      <c r="I1232" t="s">
        <v>101</v>
      </c>
      <c r="J1232">
        <v>13034.9</v>
      </c>
      <c r="K1232">
        <v>2000000</v>
      </c>
    </row>
    <row r="1233" spans="1:11" ht="15" customHeight="1" x14ac:dyDescent="0.2">
      <c r="A1233" t="s">
        <v>2334</v>
      </c>
      <c r="B1233" t="s">
        <v>483</v>
      </c>
      <c r="C1233">
        <v>2024</v>
      </c>
      <c r="D1233">
        <v>2023</v>
      </c>
      <c r="E1233" s="7">
        <v>45358</v>
      </c>
      <c r="F1233" s="7">
        <v>45722</v>
      </c>
      <c r="G1233" t="s">
        <v>135</v>
      </c>
      <c r="H1233" t="s">
        <v>110</v>
      </c>
      <c r="I1233" t="s">
        <v>101</v>
      </c>
      <c r="J1233">
        <v>12801.64</v>
      </c>
      <c r="K1233">
        <v>1500000</v>
      </c>
    </row>
    <row r="1234" spans="1:11" ht="15" customHeight="1" x14ac:dyDescent="0.2">
      <c r="A1234" t="s">
        <v>2335</v>
      </c>
      <c r="B1234" t="s">
        <v>1901</v>
      </c>
      <c r="C1234">
        <v>2024</v>
      </c>
      <c r="D1234">
        <v>2023</v>
      </c>
      <c r="E1234" s="7">
        <v>45359</v>
      </c>
      <c r="F1234" s="7">
        <v>45723</v>
      </c>
      <c r="G1234" t="s">
        <v>99</v>
      </c>
      <c r="H1234" t="s">
        <v>112</v>
      </c>
      <c r="I1234" t="s">
        <v>104</v>
      </c>
      <c r="J1234">
        <v>15081.2</v>
      </c>
      <c r="K1234">
        <v>2000000</v>
      </c>
    </row>
    <row r="1235" spans="1:11" ht="15" customHeight="1" x14ac:dyDescent="0.2">
      <c r="A1235" t="s">
        <v>2336</v>
      </c>
      <c r="B1235" t="s">
        <v>1903</v>
      </c>
      <c r="C1235">
        <v>2024</v>
      </c>
      <c r="D1235">
        <v>2023</v>
      </c>
      <c r="E1235" s="7">
        <v>45359</v>
      </c>
      <c r="F1235" s="7">
        <v>45723</v>
      </c>
      <c r="G1235" t="s">
        <v>99</v>
      </c>
      <c r="H1235" t="s">
        <v>115</v>
      </c>
      <c r="I1235" t="s">
        <v>101</v>
      </c>
      <c r="J1235">
        <v>10461.02</v>
      </c>
      <c r="K1235">
        <v>1500000</v>
      </c>
    </row>
    <row r="1236" spans="1:11" ht="15" customHeight="1" x14ac:dyDescent="0.2">
      <c r="A1236" t="s">
        <v>2337</v>
      </c>
      <c r="B1236" t="s">
        <v>1905</v>
      </c>
      <c r="C1236">
        <v>2024</v>
      </c>
      <c r="D1236">
        <v>2023</v>
      </c>
      <c r="E1236" s="7">
        <v>45359</v>
      </c>
      <c r="F1236" s="7">
        <v>45723</v>
      </c>
      <c r="G1236" t="s">
        <v>99</v>
      </c>
      <c r="H1236" t="s">
        <v>106</v>
      </c>
      <c r="I1236" t="s">
        <v>101</v>
      </c>
      <c r="J1236">
        <v>94840.29</v>
      </c>
      <c r="K1236">
        <v>10000000</v>
      </c>
    </row>
    <row r="1237" spans="1:11" ht="15" customHeight="1" x14ac:dyDescent="0.2">
      <c r="A1237" t="s">
        <v>2338</v>
      </c>
      <c r="B1237" t="s">
        <v>1914</v>
      </c>
      <c r="C1237">
        <v>2024</v>
      </c>
      <c r="D1237">
        <v>2023</v>
      </c>
      <c r="E1237" s="7">
        <v>45359</v>
      </c>
      <c r="F1237" s="7">
        <v>45723</v>
      </c>
      <c r="G1237" t="s">
        <v>99</v>
      </c>
      <c r="H1237" t="s">
        <v>105</v>
      </c>
      <c r="I1237" t="s">
        <v>104</v>
      </c>
      <c r="J1237">
        <v>5532.15</v>
      </c>
      <c r="K1237">
        <v>1000000</v>
      </c>
    </row>
    <row r="1238" spans="1:11" ht="15" customHeight="1" x14ac:dyDescent="0.2">
      <c r="A1238" t="s">
        <v>2339</v>
      </c>
      <c r="B1238" t="s">
        <v>1916</v>
      </c>
      <c r="C1238">
        <v>2024</v>
      </c>
      <c r="D1238">
        <v>2023</v>
      </c>
      <c r="E1238" s="7">
        <v>45359</v>
      </c>
      <c r="F1238" s="7">
        <v>45723</v>
      </c>
      <c r="G1238" t="s">
        <v>99</v>
      </c>
      <c r="H1238" t="s">
        <v>113</v>
      </c>
      <c r="I1238" t="s">
        <v>101</v>
      </c>
      <c r="J1238">
        <v>6522.27</v>
      </c>
      <c r="K1238">
        <v>1000000</v>
      </c>
    </row>
    <row r="1239" spans="1:11" ht="15" customHeight="1" x14ac:dyDescent="0.2">
      <c r="A1239" t="s">
        <v>2340</v>
      </c>
      <c r="B1239" t="s">
        <v>1922</v>
      </c>
      <c r="C1239">
        <v>2024</v>
      </c>
      <c r="D1239">
        <v>2023</v>
      </c>
      <c r="E1239" s="7">
        <v>45359</v>
      </c>
      <c r="F1239" s="7">
        <v>45723</v>
      </c>
      <c r="G1239" t="s">
        <v>99</v>
      </c>
      <c r="H1239" t="s">
        <v>100</v>
      </c>
      <c r="I1239" t="s">
        <v>101</v>
      </c>
      <c r="J1239">
        <v>77816.539999999994</v>
      </c>
      <c r="K1239">
        <v>10000000</v>
      </c>
    </row>
    <row r="1240" spans="1:11" ht="15" customHeight="1" x14ac:dyDescent="0.2">
      <c r="A1240" t="s">
        <v>2341</v>
      </c>
      <c r="B1240" t="s">
        <v>1924</v>
      </c>
      <c r="C1240">
        <v>2024</v>
      </c>
      <c r="D1240">
        <v>2023</v>
      </c>
      <c r="E1240" s="7">
        <v>45359</v>
      </c>
      <c r="F1240" s="7">
        <v>45723</v>
      </c>
      <c r="G1240" t="s">
        <v>99</v>
      </c>
      <c r="H1240" t="s">
        <v>111</v>
      </c>
      <c r="I1240" t="s">
        <v>101</v>
      </c>
      <c r="J1240">
        <v>7851.12</v>
      </c>
      <c r="K1240">
        <v>1000000</v>
      </c>
    </row>
    <row r="1241" spans="1:11" ht="15" customHeight="1" x14ac:dyDescent="0.2">
      <c r="A1241" t="s">
        <v>2342</v>
      </c>
      <c r="B1241" t="s">
        <v>8158</v>
      </c>
      <c r="C1241">
        <v>2024</v>
      </c>
      <c r="D1241">
        <v>2023</v>
      </c>
      <c r="E1241" s="7">
        <v>45359</v>
      </c>
      <c r="F1241" s="7">
        <v>45723</v>
      </c>
      <c r="G1241" t="s">
        <v>135</v>
      </c>
      <c r="H1241" t="s">
        <v>115</v>
      </c>
      <c r="I1241" t="s">
        <v>101</v>
      </c>
      <c r="J1241">
        <v>7464.69</v>
      </c>
      <c r="K1241">
        <v>1000000</v>
      </c>
    </row>
    <row r="1242" spans="1:11" ht="15" customHeight="1" x14ac:dyDescent="0.2">
      <c r="A1242" t="s">
        <v>2343</v>
      </c>
      <c r="B1242" t="s">
        <v>8159</v>
      </c>
      <c r="C1242">
        <v>2024</v>
      </c>
      <c r="D1242">
        <v>2023</v>
      </c>
      <c r="E1242" s="7">
        <v>45359</v>
      </c>
      <c r="F1242" s="7">
        <v>45723</v>
      </c>
      <c r="G1242" t="s">
        <v>135</v>
      </c>
      <c r="H1242" t="s">
        <v>106</v>
      </c>
      <c r="I1242" t="s">
        <v>104</v>
      </c>
      <c r="J1242">
        <v>6974.86</v>
      </c>
      <c r="K1242">
        <v>1000000</v>
      </c>
    </row>
    <row r="1243" spans="1:11" ht="15" customHeight="1" x14ac:dyDescent="0.2">
      <c r="A1243" t="s">
        <v>2344</v>
      </c>
      <c r="B1243" t="s">
        <v>779</v>
      </c>
      <c r="C1243">
        <v>2024</v>
      </c>
      <c r="D1243">
        <v>2023</v>
      </c>
      <c r="E1243" s="7">
        <v>45359</v>
      </c>
      <c r="F1243" s="7">
        <v>45723</v>
      </c>
      <c r="G1243" t="s">
        <v>135</v>
      </c>
      <c r="H1243" t="s">
        <v>107</v>
      </c>
      <c r="I1243" t="s">
        <v>101</v>
      </c>
      <c r="J1243">
        <v>10358.4</v>
      </c>
      <c r="K1243">
        <v>1500000</v>
      </c>
    </row>
    <row r="1244" spans="1:11" ht="15" customHeight="1" x14ac:dyDescent="0.2">
      <c r="A1244" t="s">
        <v>2346</v>
      </c>
      <c r="B1244" t="s">
        <v>8160</v>
      </c>
      <c r="C1244">
        <v>2024</v>
      </c>
      <c r="D1244">
        <v>2023</v>
      </c>
      <c r="E1244" s="7">
        <v>45359</v>
      </c>
      <c r="F1244" s="7">
        <v>45723</v>
      </c>
      <c r="G1244" t="s">
        <v>135</v>
      </c>
      <c r="H1244" t="s">
        <v>103</v>
      </c>
      <c r="I1244" t="s">
        <v>104</v>
      </c>
      <c r="J1244">
        <v>-2780.3</v>
      </c>
      <c r="K1244">
        <v>500000</v>
      </c>
    </row>
    <row r="1245" spans="1:11" ht="15" customHeight="1" x14ac:dyDescent="0.2">
      <c r="A1245" t="s">
        <v>2348</v>
      </c>
      <c r="B1245" t="s">
        <v>8161</v>
      </c>
      <c r="C1245">
        <v>2024</v>
      </c>
      <c r="D1245">
        <v>2023</v>
      </c>
      <c r="E1245" s="7">
        <v>45359</v>
      </c>
      <c r="F1245" s="7">
        <v>45723</v>
      </c>
      <c r="G1245" t="s">
        <v>135</v>
      </c>
      <c r="H1245" t="s">
        <v>106</v>
      </c>
      <c r="I1245" t="s">
        <v>101</v>
      </c>
      <c r="J1245">
        <v>44653.56</v>
      </c>
      <c r="K1245">
        <v>5000000</v>
      </c>
    </row>
    <row r="1246" spans="1:11" ht="15" customHeight="1" x14ac:dyDescent="0.2">
      <c r="A1246" t="s">
        <v>2350</v>
      </c>
      <c r="B1246" t="s">
        <v>778</v>
      </c>
      <c r="C1246">
        <v>2024</v>
      </c>
      <c r="D1246">
        <v>2023</v>
      </c>
      <c r="E1246" s="7">
        <v>45359</v>
      </c>
      <c r="F1246" s="7">
        <v>45723</v>
      </c>
      <c r="G1246" t="s">
        <v>135</v>
      </c>
      <c r="H1246" t="s">
        <v>102</v>
      </c>
      <c r="I1246" t="s">
        <v>101</v>
      </c>
      <c r="J1246">
        <v>65642.8</v>
      </c>
      <c r="K1246">
        <v>10000000</v>
      </c>
    </row>
    <row r="1247" spans="1:11" ht="15" customHeight="1" x14ac:dyDescent="0.2">
      <c r="A1247" t="s">
        <v>2351</v>
      </c>
      <c r="B1247" t="s">
        <v>6510</v>
      </c>
      <c r="C1247">
        <v>2024</v>
      </c>
      <c r="D1247">
        <v>2023</v>
      </c>
      <c r="E1247" s="7">
        <v>45359</v>
      </c>
      <c r="F1247" s="7">
        <v>45723</v>
      </c>
      <c r="G1247" t="s">
        <v>135</v>
      </c>
      <c r="H1247" t="s">
        <v>103</v>
      </c>
      <c r="I1247" t="s">
        <v>104</v>
      </c>
      <c r="J1247">
        <v>5424.49</v>
      </c>
      <c r="K1247">
        <v>1000000</v>
      </c>
    </row>
    <row r="1248" spans="1:11" ht="15" customHeight="1" x14ac:dyDescent="0.2">
      <c r="A1248" t="s">
        <v>2352</v>
      </c>
      <c r="B1248" t="s">
        <v>6498</v>
      </c>
      <c r="C1248">
        <v>2024</v>
      </c>
      <c r="D1248">
        <v>2023</v>
      </c>
      <c r="E1248" s="7">
        <v>45359</v>
      </c>
      <c r="F1248" s="7">
        <v>45723</v>
      </c>
      <c r="G1248" t="s">
        <v>135</v>
      </c>
      <c r="H1248" t="s">
        <v>116</v>
      </c>
      <c r="I1248" t="s">
        <v>101</v>
      </c>
      <c r="J1248">
        <v>7523.44</v>
      </c>
      <c r="K1248">
        <v>1000000</v>
      </c>
    </row>
    <row r="1249" spans="1:11" ht="15" customHeight="1" x14ac:dyDescent="0.2">
      <c r="A1249" t="s">
        <v>2353</v>
      </c>
      <c r="B1249" t="s">
        <v>484</v>
      </c>
      <c r="C1249">
        <v>2024</v>
      </c>
      <c r="D1249">
        <v>2023</v>
      </c>
      <c r="E1249" s="7">
        <v>45359</v>
      </c>
      <c r="F1249" s="7">
        <v>45723</v>
      </c>
      <c r="G1249" t="s">
        <v>135</v>
      </c>
      <c r="H1249" t="s">
        <v>102</v>
      </c>
      <c r="I1249" t="s">
        <v>104</v>
      </c>
      <c r="J1249">
        <v>8840.99</v>
      </c>
      <c r="K1249">
        <v>1500000</v>
      </c>
    </row>
    <row r="1250" spans="1:11" ht="15" customHeight="1" x14ac:dyDescent="0.2">
      <c r="A1250" t="s">
        <v>2354</v>
      </c>
      <c r="B1250" t="s">
        <v>8162</v>
      </c>
      <c r="C1250">
        <v>2024</v>
      </c>
      <c r="D1250">
        <v>2023</v>
      </c>
      <c r="E1250" s="7">
        <v>45359</v>
      </c>
      <c r="F1250" s="7">
        <v>45723</v>
      </c>
      <c r="G1250" t="s">
        <v>135</v>
      </c>
      <c r="H1250" t="s">
        <v>106</v>
      </c>
      <c r="I1250" t="s">
        <v>101</v>
      </c>
      <c r="J1250">
        <v>16598.939999999999</v>
      </c>
      <c r="K1250">
        <v>2000000</v>
      </c>
    </row>
    <row r="1251" spans="1:11" ht="15" customHeight="1" x14ac:dyDescent="0.2">
      <c r="A1251" t="s">
        <v>2355</v>
      </c>
      <c r="B1251" t="s">
        <v>1926</v>
      </c>
      <c r="C1251">
        <v>2024</v>
      </c>
      <c r="D1251">
        <v>2023</v>
      </c>
      <c r="E1251" s="7">
        <v>45360</v>
      </c>
      <c r="F1251" s="7">
        <v>45724</v>
      </c>
      <c r="G1251" t="s">
        <v>99</v>
      </c>
      <c r="H1251" t="s">
        <v>6348</v>
      </c>
      <c r="I1251" t="s">
        <v>101</v>
      </c>
      <c r="J1251">
        <v>10055.31</v>
      </c>
      <c r="K1251">
        <v>1500000</v>
      </c>
    </row>
    <row r="1252" spans="1:11" ht="15" customHeight="1" x14ac:dyDescent="0.2">
      <c r="A1252" t="s">
        <v>2356</v>
      </c>
      <c r="B1252" t="s">
        <v>6493</v>
      </c>
      <c r="C1252">
        <v>2024</v>
      </c>
      <c r="D1252">
        <v>2023</v>
      </c>
      <c r="E1252" s="7">
        <v>45360</v>
      </c>
      <c r="F1252" s="7">
        <v>45724</v>
      </c>
      <c r="G1252" t="s">
        <v>135</v>
      </c>
      <c r="H1252" t="s">
        <v>102</v>
      </c>
      <c r="I1252" t="s">
        <v>101</v>
      </c>
      <c r="J1252">
        <v>15413.48</v>
      </c>
      <c r="K1252">
        <v>2000000</v>
      </c>
    </row>
    <row r="1253" spans="1:11" ht="15" customHeight="1" x14ac:dyDescent="0.2">
      <c r="A1253" t="s">
        <v>2358</v>
      </c>
      <c r="B1253" t="s">
        <v>485</v>
      </c>
      <c r="C1253">
        <v>2024</v>
      </c>
      <c r="D1253">
        <v>2023</v>
      </c>
      <c r="E1253" s="7">
        <v>45360</v>
      </c>
      <c r="F1253" s="7">
        <v>45724</v>
      </c>
      <c r="G1253" t="s">
        <v>135</v>
      </c>
      <c r="H1253" t="s">
        <v>105</v>
      </c>
      <c r="I1253" t="s">
        <v>101</v>
      </c>
      <c r="J1253">
        <v>10169.68</v>
      </c>
      <c r="K1253">
        <v>1500000</v>
      </c>
    </row>
    <row r="1254" spans="1:11" ht="15" customHeight="1" x14ac:dyDescent="0.2">
      <c r="A1254" t="s">
        <v>2360</v>
      </c>
      <c r="B1254" t="s">
        <v>8163</v>
      </c>
      <c r="C1254">
        <v>2024</v>
      </c>
      <c r="D1254">
        <v>2023</v>
      </c>
      <c r="E1254" s="7">
        <v>45360</v>
      </c>
      <c r="F1254" s="7">
        <v>45724</v>
      </c>
      <c r="G1254" t="s">
        <v>135</v>
      </c>
      <c r="H1254" t="s">
        <v>6337</v>
      </c>
      <c r="I1254" t="s">
        <v>104</v>
      </c>
      <c r="J1254">
        <v>5598.31</v>
      </c>
      <c r="K1254">
        <v>1000000</v>
      </c>
    </row>
    <row r="1255" spans="1:11" ht="15" customHeight="1" x14ac:dyDescent="0.2">
      <c r="A1255" t="s">
        <v>2361</v>
      </c>
      <c r="B1255" t="s">
        <v>784</v>
      </c>
      <c r="C1255">
        <v>2024</v>
      </c>
      <c r="D1255">
        <v>2023</v>
      </c>
      <c r="E1255" s="7">
        <v>45360</v>
      </c>
      <c r="F1255" s="7">
        <v>45724</v>
      </c>
      <c r="G1255" t="s">
        <v>135</v>
      </c>
      <c r="H1255" t="s">
        <v>113</v>
      </c>
      <c r="I1255" t="s">
        <v>104</v>
      </c>
      <c r="J1255">
        <v>30141.63</v>
      </c>
      <c r="K1255">
        <v>5000000</v>
      </c>
    </row>
    <row r="1256" spans="1:11" ht="15" customHeight="1" x14ac:dyDescent="0.2">
      <c r="A1256" t="s">
        <v>2362</v>
      </c>
      <c r="B1256" t="s">
        <v>486</v>
      </c>
      <c r="C1256">
        <v>2024</v>
      </c>
      <c r="D1256">
        <v>2023</v>
      </c>
      <c r="E1256" s="7">
        <v>45360</v>
      </c>
      <c r="F1256" s="7">
        <v>45724</v>
      </c>
      <c r="G1256" t="s">
        <v>135</v>
      </c>
      <c r="H1256" t="s">
        <v>107</v>
      </c>
      <c r="I1256" t="s">
        <v>101</v>
      </c>
      <c r="J1256">
        <v>3920.91</v>
      </c>
      <c r="K1256">
        <v>500000</v>
      </c>
    </row>
    <row r="1257" spans="1:11" ht="15" customHeight="1" x14ac:dyDescent="0.2">
      <c r="A1257" t="s">
        <v>2363</v>
      </c>
      <c r="B1257" t="s">
        <v>781</v>
      </c>
      <c r="C1257">
        <v>2024</v>
      </c>
      <c r="D1257">
        <v>2023</v>
      </c>
      <c r="E1257" s="7">
        <v>45360</v>
      </c>
      <c r="F1257" s="7">
        <v>45724</v>
      </c>
      <c r="G1257" t="s">
        <v>135</v>
      </c>
      <c r="H1257" t="s">
        <v>108</v>
      </c>
      <c r="I1257" t="s">
        <v>101</v>
      </c>
      <c r="J1257">
        <v>4160.3999999999996</v>
      </c>
      <c r="K1257">
        <v>500000</v>
      </c>
    </row>
    <row r="1258" spans="1:11" ht="15" customHeight="1" x14ac:dyDescent="0.2">
      <c r="A1258" t="s">
        <v>2364</v>
      </c>
      <c r="B1258" t="s">
        <v>8164</v>
      </c>
      <c r="C1258">
        <v>2024</v>
      </c>
      <c r="D1258">
        <v>2023</v>
      </c>
      <c r="E1258" s="7">
        <v>45360</v>
      </c>
      <c r="F1258" s="7">
        <v>45724</v>
      </c>
      <c r="G1258" t="s">
        <v>135</v>
      </c>
      <c r="H1258" t="s">
        <v>107</v>
      </c>
      <c r="I1258" t="s">
        <v>101</v>
      </c>
      <c r="J1258">
        <v>6503.4</v>
      </c>
      <c r="K1258">
        <v>1000000</v>
      </c>
    </row>
    <row r="1259" spans="1:11" ht="15" customHeight="1" x14ac:dyDescent="0.2">
      <c r="A1259" t="s">
        <v>2365</v>
      </c>
      <c r="B1259" t="s">
        <v>780</v>
      </c>
      <c r="C1259">
        <v>2024</v>
      </c>
      <c r="D1259">
        <v>2023</v>
      </c>
      <c r="E1259" s="7">
        <v>45360</v>
      </c>
      <c r="F1259" s="7">
        <v>45724</v>
      </c>
      <c r="G1259" t="s">
        <v>135</v>
      </c>
      <c r="H1259" t="s">
        <v>102</v>
      </c>
      <c r="I1259" t="s">
        <v>104</v>
      </c>
      <c r="J1259">
        <v>59327.73</v>
      </c>
      <c r="K1259">
        <v>10000000</v>
      </c>
    </row>
    <row r="1260" spans="1:11" ht="15" customHeight="1" x14ac:dyDescent="0.2">
      <c r="A1260" t="s">
        <v>2366</v>
      </c>
      <c r="B1260" t="s">
        <v>783</v>
      </c>
      <c r="C1260">
        <v>2024</v>
      </c>
      <c r="D1260">
        <v>2023</v>
      </c>
      <c r="E1260" s="7">
        <v>45360</v>
      </c>
      <c r="F1260" s="7">
        <v>45724</v>
      </c>
      <c r="G1260" t="s">
        <v>135</v>
      </c>
      <c r="H1260" t="s">
        <v>6337</v>
      </c>
      <c r="I1260" t="s">
        <v>101</v>
      </c>
      <c r="J1260">
        <v>14368.05</v>
      </c>
      <c r="K1260">
        <v>2000000</v>
      </c>
    </row>
    <row r="1261" spans="1:11" ht="15" customHeight="1" x14ac:dyDescent="0.2">
      <c r="A1261" t="s">
        <v>2367</v>
      </c>
      <c r="B1261" t="s">
        <v>782</v>
      </c>
      <c r="C1261">
        <v>2024</v>
      </c>
      <c r="D1261">
        <v>2023</v>
      </c>
      <c r="E1261" s="7">
        <v>45360</v>
      </c>
      <c r="F1261" s="7">
        <v>45724</v>
      </c>
      <c r="G1261" t="s">
        <v>135</v>
      </c>
      <c r="H1261" t="s">
        <v>102</v>
      </c>
      <c r="I1261" t="s">
        <v>104</v>
      </c>
      <c r="J1261">
        <v>7941.57</v>
      </c>
      <c r="K1261">
        <v>1500000</v>
      </c>
    </row>
    <row r="1262" spans="1:11" ht="15" customHeight="1" x14ac:dyDescent="0.2">
      <c r="A1262" t="s">
        <v>2368</v>
      </c>
      <c r="B1262" t="s">
        <v>1938</v>
      </c>
      <c r="C1262">
        <v>2024</v>
      </c>
      <c r="D1262">
        <v>2023</v>
      </c>
      <c r="E1262" s="7">
        <v>45361</v>
      </c>
      <c r="F1262" s="7">
        <v>45725</v>
      </c>
      <c r="G1262" t="s">
        <v>99</v>
      </c>
      <c r="H1262" t="s">
        <v>6348</v>
      </c>
      <c r="I1262" t="s">
        <v>101</v>
      </c>
      <c r="J1262">
        <v>14544.27</v>
      </c>
      <c r="K1262">
        <v>2000000</v>
      </c>
    </row>
    <row r="1263" spans="1:11" ht="15" customHeight="1" x14ac:dyDescent="0.2">
      <c r="A1263" t="s">
        <v>2369</v>
      </c>
      <c r="B1263" t="s">
        <v>6513</v>
      </c>
      <c r="C1263">
        <v>2024</v>
      </c>
      <c r="D1263">
        <v>2023</v>
      </c>
      <c r="E1263" s="7">
        <v>45361</v>
      </c>
      <c r="F1263" s="7">
        <v>45725</v>
      </c>
      <c r="G1263" t="s">
        <v>135</v>
      </c>
      <c r="H1263" t="s">
        <v>105</v>
      </c>
      <c r="I1263" t="s">
        <v>101</v>
      </c>
      <c r="J1263">
        <v>10829.67</v>
      </c>
      <c r="K1263">
        <v>1500000</v>
      </c>
    </row>
    <row r="1264" spans="1:11" ht="15" customHeight="1" x14ac:dyDescent="0.2">
      <c r="A1264" t="s">
        <v>2370</v>
      </c>
      <c r="B1264" t="s">
        <v>6490</v>
      </c>
      <c r="C1264">
        <v>2024</v>
      </c>
      <c r="D1264">
        <v>2023</v>
      </c>
      <c r="E1264" s="7">
        <v>45361</v>
      </c>
      <c r="F1264" s="7">
        <v>45725</v>
      </c>
      <c r="G1264" t="s">
        <v>135</v>
      </c>
      <c r="H1264" t="s">
        <v>106</v>
      </c>
      <c r="I1264" t="s">
        <v>104</v>
      </c>
      <c r="J1264">
        <v>6833.19</v>
      </c>
      <c r="K1264">
        <v>1000000</v>
      </c>
    </row>
    <row r="1265" spans="1:11" ht="15" customHeight="1" x14ac:dyDescent="0.2">
      <c r="A1265" t="s">
        <v>2371</v>
      </c>
      <c r="B1265" t="s">
        <v>8165</v>
      </c>
      <c r="C1265">
        <v>2024</v>
      </c>
      <c r="D1265">
        <v>2023</v>
      </c>
      <c r="E1265" s="7">
        <v>45361</v>
      </c>
      <c r="F1265" s="7">
        <v>45725</v>
      </c>
      <c r="G1265" t="s">
        <v>135</v>
      </c>
      <c r="H1265" t="s">
        <v>113</v>
      </c>
      <c r="I1265" t="s">
        <v>101</v>
      </c>
      <c r="J1265">
        <v>7373.74</v>
      </c>
      <c r="K1265">
        <v>1000000</v>
      </c>
    </row>
    <row r="1266" spans="1:11" ht="15" customHeight="1" x14ac:dyDescent="0.2">
      <c r="A1266" t="s">
        <v>2372</v>
      </c>
      <c r="B1266" t="s">
        <v>8166</v>
      </c>
      <c r="C1266">
        <v>2024</v>
      </c>
      <c r="D1266">
        <v>2023</v>
      </c>
      <c r="E1266" s="7">
        <v>45361</v>
      </c>
      <c r="F1266" s="7">
        <v>45725</v>
      </c>
      <c r="G1266" t="s">
        <v>135</v>
      </c>
      <c r="H1266" t="s">
        <v>113</v>
      </c>
      <c r="I1266" t="s">
        <v>101</v>
      </c>
      <c r="J1266">
        <v>6970.87</v>
      </c>
      <c r="K1266">
        <v>1000000</v>
      </c>
    </row>
    <row r="1267" spans="1:11" ht="15" customHeight="1" x14ac:dyDescent="0.2">
      <c r="A1267" t="s">
        <v>2373</v>
      </c>
      <c r="B1267" t="s">
        <v>8167</v>
      </c>
      <c r="C1267">
        <v>2024</v>
      </c>
      <c r="D1267">
        <v>2023</v>
      </c>
      <c r="E1267" s="7">
        <v>45361</v>
      </c>
      <c r="F1267" s="7">
        <v>45725</v>
      </c>
      <c r="G1267" t="s">
        <v>135</v>
      </c>
      <c r="H1267" t="s">
        <v>108</v>
      </c>
      <c r="I1267" t="s">
        <v>101</v>
      </c>
      <c r="J1267">
        <v>14555.33</v>
      </c>
      <c r="K1267">
        <v>1500000</v>
      </c>
    </row>
    <row r="1268" spans="1:11" ht="15" customHeight="1" x14ac:dyDescent="0.2">
      <c r="A1268" t="s">
        <v>2374</v>
      </c>
      <c r="B1268" t="s">
        <v>8168</v>
      </c>
      <c r="C1268">
        <v>2024</v>
      </c>
      <c r="D1268">
        <v>2023</v>
      </c>
      <c r="E1268" s="7">
        <v>45361</v>
      </c>
      <c r="F1268" s="7">
        <v>45725</v>
      </c>
      <c r="G1268" t="s">
        <v>135</v>
      </c>
      <c r="H1268" t="s">
        <v>113</v>
      </c>
      <c r="I1268" t="s">
        <v>101</v>
      </c>
      <c r="J1268">
        <v>13173.77</v>
      </c>
      <c r="K1268">
        <v>2000000</v>
      </c>
    </row>
    <row r="1269" spans="1:11" ht="15" customHeight="1" x14ac:dyDescent="0.2">
      <c r="A1269" t="s">
        <v>2376</v>
      </c>
      <c r="B1269" t="s">
        <v>8169</v>
      </c>
      <c r="C1269">
        <v>2024</v>
      </c>
      <c r="D1269">
        <v>2023</v>
      </c>
      <c r="E1269" s="7">
        <v>45361</v>
      </c>
      <c r="F1269" s="7">
        <v>45725</v>
      </c>
      <c r="G1269" t="s">
        <v>135</v>
      </c>
      <c r="H1269" t="s">
        <v>102</v>
      </c>
      <c r="I1269" t="s">
        <v>104</v>
      </c>
      <c r="J1269">
        <v>6156.62</v>
      </c>
      <c r="K1269">
        <v>1000000</v>
      </c>
    </row>
    <row r="1270" spans="1:11" ht="15" customHeight="1" x14ac:dyDescent="0.2">
      <c r="A1270" t="s">
        <v>2378</v>
      </c>
      <c r="B1270" t="s">
        <v>8170</v>
      </c>
      <c r="C1270">
        <v>2024</v>
      </c>
      <c r="D1270">
        <v>2023</v>
      </c>
      <c r="E1270" s="7">
        <v>45361</v>
      </c>
      <c r="F1270" s="7">
        <v>45725</v>
      </c>
      <c r="G1270" t="s">
        <v>135</v>
      </c>
      <c r="H1270" t="s">
        <v>109</v>
      </c>
      <c r="I1270" t="s">
        <v>104</v>
      </c>
      <c r="J1270">
        <v>2970.27</v>
      </c>
      <c r="K1270">
        <v>500000</v>
      </c>
    </row>
    <row r="1271" spans="1:11" ht="15" customHeight="1" x14ac:dyDescent="0.2">
      <c r="A1271" t="s">
        <v>2379</v>
      </c>
      <c r="B1271" t="s">
        <v>785</v>
      </c>
      <c r="C1271">
        <v>2024</v>
      </c>
      <c r="D1271">
        <v>2023</v>
      </c>
      <c r="E1271" s="7">
        <v>45361</v>
      </c>
      <c r="F1271" s="7">
        <v>45725</v>
      </c>
      <c r="G1271" t="s">
        <v>135</v>
      </c>
      <c r="H1271" t="s">
        <v>6337</v>
      </c>
      <c r="I1271" t="s">
        <v>104</v>
      </c>
      <c r="J1271">
        <v>5941.53</v>
      </c>
      <c r="K1271">
        <v>1000000</v>
      </c>
    </row>
    <row r="1272" spans="1:11" ht="15" customHeight="1" x14ac:dyDescent="0.2">
      <c r="A1272" t="s">
        <v>2380</v>
      </c>
      <c r="B1272" t="s">
        <v>8171</v>
      </c>
      <c r="C1272">
        <v>2024</v>
      </c>
      <c r="D1272">
        <v>2023</v>
      </c>
      <c r="E1272" s="7">
        <v>45361</v>
      </c>
      <c r="F1272" s="7">
        <v>45725</v>
      </c>
      <c r="G1272" t="s">
        <v>135</v>
      </c>
      <c r="H1272" t="s">
        <v>100</v>
      </c>
      <c r="I1272" t="s">
        <v>101</v>
      </c>
      <c r="J1272">
        <v>9777.75</v>
      </c>
      <c r="K1272">
        <v>1500000</v>
      </c>
    </row>
    <row r="1273" spans="1:11" ht="15" customHeight="1" x14ac:dyDescent="0.2">
      <c r="A1273" t="s">
        <v>2381</v>
      </c>
      <c r="B1273" t="s">
        <v>1940</v>
      </c>
      <c r="C1273">
        <v>2024</v>
      </c>
      <c r="D1273">
        <v>2023</v>
      </c>
      <c r="E1273" s="7">
        <v>45362</v>
      </c>
      <c r="F1273" s="7">
        <v>45726</v>
      </c>
      <c r="G1273" t="s">
        <v>99</v>
      </c>
      <c r="H1273" t="s">
        <v>102</v>
      </c>
      <c r="I1273" t="s">
        <v>101</v>
      </c>
      <c r="J1273">
        <v>35581.269999999997</v>
      </c>
      <c r="K1273">
        <v>5000000</v>
      </c>
    </row>
    <row r="1274" spans="1:11" ht="15" customHeight="1" x14ac:dyDescent="0.2">
      <c r="A1274" t="s">
        <v>2382</v>
      </c>
      <c r="B1274" t="s">
        <v>1942</v>
      </c>
      <c r="C1274">
        <v>2024</v>
      </c>
      <c r="D1274">
        <v>2023</v>
      </c>
      <c r="E1274" s="7">
        <v>45362</v>
      </c>
      <c r="F1274" s="7">
        <v>45726</v>
      </c>
      <c r="G1274" t="s">
        <v>99</v>
      </c>
      <c r="H1274" t="s">
        <v>108</v>
      </c>
      <c r="I1274" t="s">
        <v>101</v>
      </c>
      <c r="J1274">
        <v>87921.24</v>
      </c>
      <c r="K1274">
        <v>10000000</v>
      </c>
    </row>
    <row r="1275" spans="1:11" ht="15" customHeight="1" x14ac:dyDescent="0.2">
      <c r="A1275" t="s">
        <v>2383</v>
      </c>
      <c r="B1275" t="s">
        <v>1944</v>
      </c>
      <c r="C1275">
        <v>2024</v>
      </c>
      <c r="D1275">
        <v>2023</v>
      </c>
      <c r="E1275" s="7">
        <v>45362</v>
      </c>
      <c r="F1275" s="7">
        <v>45726</v>
      </c>
      <c r="G1275" t="s">
        <v>99</v>
      </c>
      <c r="H1275" t="s">
        <v>108</v>
      </c>
      <c r="I1275" t="s">
        <v>101</v>
      </c>
      <c r="J1275">
        <v>90699.45</v>
      </c>
      <c r="K1275">
        <v>10000000</v>
      </c>
    </row>
    <row r="1276" spans="1:11" ht="15" customHeight="1" x14ac:dyDescent="0.2">
      <c r="A1276" t="s">
        <v>2384</v>
      </c>
      <c r="B1276" t="s">
        <v>6475</v>
      </c>
      <c r="C1276">
        <v>2024</v>
      </c>
      <c r="D1276">
        <v>2023</v>
      </c>
      <c r="E1276" s="7">
        <v>45362</v>
      </c>
      <c r="F1276" s="7">
        <v>45726</v>
      </c>
      <c r="G1276" t="s">
        <v>135</v>
      </c>
      <c r="H1276" t="s">
        <v>6334</v>
      </c>
      <c r="I1276" t="s">
        <v>104</v>
      </c>
      <c r="J1276">
        <v>5855.51</v>
      </c>
      <c r="K1276">
        <v>1000000</v>
      </c>
    </row>
    <row r="1277" spans="1:11" ht="15" customHeight="1" x14ac:dyDescent="0.2">
      <c r="A1277" t="s">
        <v>2385</v>
      </c>
      <c r="B1277" t="s">
        <v>6502</v>
      </c>
      <c r="C1277">
        <v>2024</v>
      </c>
      <c r="D1277">
        <v>2023</v>
      </c>
      <c r="E1277" s="7">
        <v>45362</v>
      </c>
      <c r="F1277" s="7">
        <v>45726</v>
      </c>
      <c r="G1277" t="s">
        <v>135</v>
      </c>
      <c r="H1277" t="s">
        <v>115</v>
      </c>
      <c r="I1277" t="s">
        <v>104</v>
      </c>
      <c r="J1277">
        <v>9088.8799999999992</v>
      </c>
      <c r="K1277">
        <v>1500000</v>
      </c>
    </row>
    <row r="1278" spans="1:11" ht="15" customHeight="1" x14ac:dyDescent="0.2">
      <c r="A1278" t="s">
        <v>2386</v>
      </c>
      <c r="B1278" t="s">
        <v>8172</v>
      </c>
      <c r="C1278">
        <v>2024</v>
      </c>
      <c r="D1278">
        <v>2023</v>
      </c>
      <c r="E1278" s="7">
        <v>45362</v>
      </c>
      <c r="F1278" s="7">
        <v>45726</v>
      </c>
      <c r="G1278" t="s">
        <v>135</v>
      </c>
      <c r="H1278" t="s">
        <v>106</v>
      </c>
      <c r="I1278" t="s">
        <v>101</v>
      </c>
      <c r="J1278">
        <v>18454.32</v>
      </c>
      <c r="K1278">
        <v>2000000</v>
      </c>
    </row>
    <row r="1279" spans="1:11" ht="15" customHeight="1" x14ac:dyDescent="0.2">
      <c r="A1279" t="s">
        <v>2387</v>
      </c>
      <c r="B1279" t="s">
        <v>6496</v>
      </c>
      <c r="C1279">
        <v>2024</v>
      </c>
      <c r="D1279">
        <v>2023</v>
      </c>
      <c r="E1279" s="7">
        <v>45362</v>
      </c>
      <c r="F1279" s="7">
        <v>45726</v>
      </c>
      <c r="G1279" t="s">
        <v>135</v>
      </c>
      <c r="H1279" t="s">
        <v>110</v>
      </c>
      <c r="I1279" t="s">
        <v>101</v>
      </c>
      <c r="J1279">
        <v>13643.19</v>
      </c>
      <c r="K1279">
        <v>1500000</v>
      </c>
    </row>
    <row r="1280" spans="1:11" ht="15" customHeight="1" x14ac:dyDescent="0.2">
      <c r="A1280" t="s">
        <v>2389</v>
      </c>
      <c r="B1280" t="s">
        <v>191</v>
      </c>
      <c r="C1280">
        <v>2024</v>
      </c>
      <c r="D1280">
        <v>2023</v>
      </c>
      <c r="E1280" s="7">
        <v>45362</v>
      </c>
      <c r="F1280" s="7">
        <v>45726</v>
      </c>
      <c r="G1280" t="s">
        <v>135</v>
      </c>
      <c r="H1280" t="s">
        <v>107</v>
      </c>
      <c r="I1280" t="s">
        <v>104</v>
      </c>
      <c r="J1280">
        <v>10688.01</v>
      </c>
      <c r="K1280">
        <v>2000000</v>
      </c>
    </row>
    <row r="1281" spans="1:11" ht="15" customHeight="1" x14ac:dyDescent="0.2">
      <c r="A1281" t="s">
        <v>2390</v>
      </c>
      <c r="B1281" t="s">
        <v>786</v>
      </c>
      <c r="C1281">
        <v>2024</v>
      </c>
      <c r="D1281">
        <v>2023</v>
      </c>
      <c r="E1281" s="7">
        <v>45362</v>
      </c>
      <c r="F1281" s="7">
        <v>45726</v>
      </c>
      <c r="G1281" t="s">
        <v>135</v>
      </c>
      <c r="H1281" t="s">
        <v>103</v>
      </c>
      <c r="I1281" t="s">
        <v>101</v>
      </c>
      <c r="J1281">
        <v>10529.87</v>
      </c>
      <c r="K1281">
        <v>1500000</v>
      </c>
    </row>
    <row r="1282" spans="1:11" ht="15" customHeight="1" x14ac:dyDescent="0.2">
      <c r="A1282" t="s">
        <v>2391</v>
      </c>
      <c r="B1282" t="s">
        <v>1946</v>
      </c>
      <c r="C1282">
        <v>2024</v>
      </c>
      <c r="D1282">
        <v>2023</v>
      </c>
      <c r="E1282" s="7">
        <v>45363</v>
      </c>
      <c r="F1282" s="7">
        <v>45727</v>
      </c>
      <c r="G1282" t="s">
        <v>99</v>
      </c>
      <c r="H1282" t="s">
        <v>110</v>
      </c>
      <c r="I1282" t="s">
        <v>104</v>
      </c>
      <c r="J1282">
        <v>9943.6200000000008</v>
      </c>
      <c r="K1282">
        <v>1500000</v>
      </c>
    </row>
    <row r="1283" spans="1:11" ht="15" customHeight="1" x14ac:dyDescent="0.2">
      <c r="A1283" t="s">
        <v>2392</v>
      </c>
      <c r="B1283" t="s">
        <v>1948</v>
      </c>
      <c r="C1283">
        <v>2024</v>
      </c>
      <c r="D1283">
        <v>2023</v>
      </c>
      <c r="E1283" s="7">
        <v>45363</v>
      </c>
      <c r="F1283" s="7">
        <v>45727</v>
      </c>
      <c r="G1283" t="s">
        <v>99</v>
      </c>
      <c r="H1283" t="s">
        <v>112</v>
      </c>
      <c r="I1283" t="s">
        <v>101</v>
      </c>
      <c r="J1283">
        <v>8932.65</v>
      </c>
      <c r="K1283">
        <v>1000000</v>
      </c>
    </row>
    <row r="1284" spans="1:11" ht="15" customHeight="1" x14ac:dyDescent="0.2">
      <c r="A1284" t="s">
        <v>2393</v>
      </c>
      <c r="B1284" t="s">
        <v>7264</v>
      </c>
      <c r="C1284">
        <v>2024</v>
      </c>
      <c r="D1284">
        <v>2023</v>
      </c>
      <c r="E1284" s="7">
        <v>45363</v>
      </c>
      <c r="F1284" s="7">
        <v>45727</v>
      </c>
      <c r="G1284" t="s">
        <v>135</v>
      </c>
      <c r="H1284" t="s">
        <v>102</v>
      </c>
      <c r="I1284" t="s">
        <v>104</v>
      </c>
      <c r="J1284">
        <v>8672.6</v>
      </c>
      <c r="K1284">
        <v>1500000</v>
      </c>
    </row>
    <row r="1285" spans="1:11" ht="15" customHeight="1" x14ac:dyDescent="0.2">
      <c r="A1285" t="s">
        <v>2394</v>
      </c>
      <c r="B1285" t="s">
        <v>787</v>
      </c>
      <c r="C1285">
        <v>2024</v>
      </c>
      <c r="D1285">
        <v>2023</v>
      </c>
      <c r="E1285" s="7">
        <v>45363</v>
      </c>
      <c r="F1285" s="7">
        <v>45727</v>
      </c>
      <c r="G1285" t="s">
        <v>135</v>
      </c>
      <c r="H1285" t="s">
        <v>100</v>
      </c>
      <c r="I1285" t="s">
        <v>101</v>
      </c>
      <c r="J1285">
        <v>7079.84</v>
      </c>
      <c r="K1285">
        <v>1000000</v>
      </c>
    </row>
    <row r="1286" spans="1:11" ht="15" customHeight="1" x14ac:dyDescent="0.2">
      <c r="A1286" t="s">
        <v>2395</v>
      </c>
      <c r="B1286" t="s">
        <v>7309</v>
      </c>
      <c r="C1286">
        <v>2024</v>
      </c>
      <c r="D1286">
        <v>2023</v>
      </c>
      <c r="E1286" s="7">
        <v>45363</v>
      </c>
      <c r="F1286" s="7">
        <v>45727</v>
      </c>
      <c r="G1286" t="s">
        <v>135</v>
      </c>
      <c r="H1286" t="s">
        <v>106</v>
      </c>
      <c r="I1286" t="s">
        <v>101</v>
      </c>
      <c r="J1286">
        <v>43498.61</v>
      </c>
      <c r="K1286">
        <v>5000000</v>
      </c>
    </row>
    <row r="1287" spans="1:11" ht="15" customHeight="1" x14ac:dyDescent="0.2">
      <c r="A1287" t="s">
        <v>2396</v>
      </c>
      <c r="B1287" t="s">
        <v>8173</v>
      </c>
      <c r="C1287">
        <v>2024</v>
      </c>
      <c r="D1287">
        <v>2023</v>
      </c>
      <c r="E1287" s="7">
        <v>45363</v>
      </c>
      <c r="F1287" s="7">
        <v>45727</v>
      </c>
      <c r="G1287" t="s">
        <v>135</v>
      </c>
      <c r="H1287" t="s">
        <v>115</v>
      </c>
      <c r="I1287" t="s">
        <v>101</v>
      </c>
      <c r="J1287">
        <v>7717.25</v>
      </c>
      <c r="K1287">
        <v>1000000</v>
      </c>
    </row>
    <row r="1288" spans="1:11" ht="15" customHeight="1" x14ac:dyDescent="0.2">
      <c r="A1288" t="s">
        <v>2397</v>
      </c>
      <c r="B1288" t="s">
        <v>8174</v>
      </c>
      <c r="C1288">
        <v>2024</v>
      </c>
      <c r="D1288">
        <v>2023</v>
      </c>
      <c r="E1288" s="7">
        <v>45363</v>
      </c>
      <c r="F1288" s="7">
        <v>45727</v>
      </c>
      <c r="G1288" t="s">
        <v>135</v>
      </c>
      <c r="H1288" t="s">
        <v>6337</v>
      </c>
      <c r="I1288" t="s">
        <v>104</v>
      </c>
      <c r="J1288">
        <v>30095.27</v>
      </c>
      <c r="K1288">
        <v>5000000</v>
      </c>
    </row>
    <row r="1289" spans="1:11" ht="15" customHeight="1" x14ac:dyDescent="0.2">
      <c r="A1289" t="s">
        <v>2398</v>
      </c>
      <c r="B1289" t="s">
        <v>8175</v>
      </c>
      <c r="C1289">
        <v>2024</v>
      </c>
      <c r="D1289">
        <v>2023</v>
      </c>
      <c r="E1289" s="7">
        <v>45363</v>
      </c>
      <c r="F1289" s="7">
        <v>45727</v>
      </c>
      <c r="G1289" t="s">
        <v>135</v>
      </c>
      <c r="H1289" t="s">
        <v>106</v>
      </c>
      <c r="I1289" t="s">
        <v>101</v>
      </c>
      <c r="J1289">
        <v>44913.46</v>
      </c>
      <c r="K1289">
        <v>5000000</v>
      </c>
    </row>
    <row r="1290" spans="1:11" ht="15" customHeight="1" x14ac:dyDescent="0.2">
      <c r="A1290" t="s">
        <v>2399</v>
      </c>
      <c r="B1290" t="s">
        <v>1958</v>
      </c>
      <c r="C1290">
        <v>2024</v>
      </c>
      <c r="D1290">
        <v>2023</v>
      </c>
      <c r="E1290" s="7">
        <v>45364</v>
      </c>
      <c r="F1290" s="7">
        <v>45728</v>
      </c>
      <c r="G1290" t="s">
        <v>99</v>
      </c>
      <c r="H1290" t="s">
        <v>100</v>
      </c>
      <c r="I1290" t="s">
        <v>104</v>
      </c>
      <c r="J1290">
        <v>62130.879999999997</v>
      </c>
      <c r="K1290">
        <v>10000000</v>
      </c>
    </row>
    <row r="1291" spans="1:11" ht="15" customHeight="1" x14ac:dyDescent="0.2">
      <c r="A1291" t="s">
        <v>2400</v>
      </c>
      <c r="B1291" t="s">
        <v>1960</v>
      </c>
      <c r="C1291">
        <v>2024</v>
      </c>
      <c r="D1291">
        <v>2023</v>
      </c>
      <c r="E1291" s="7">
        <v>45364</v>
      </c>
      <c r="F1291" s="7">
        <v>45728</v>
      </c>
      <c r="G1291" t="s">
        <v>99</v>
      </c>
      <c r="H1291" t="s">
        <v>107</v>
      </c>
      <c r="I1291" t="s">
        <v>104</v>
      </c>
      <c r="J1291">
        <v>8861.94</v>
      </c>
      <c r="K1291">
        <v>1500000</v>
      </c>
    </row>
    <row r="1292" spans="1:11" ht="15" customHeight="1" x14ac:dyDescent="0.2">
      <c r="A1292" t="s">
        <v>2401</v>
      </c>
      <c r="B1292" t="s">
        <v>1962</v>
      </c>
      <c r="C1292">
        <v>2024</v>
      </c>
      <c r="D1292">
        <v>2023</v>
      </c>
      <c r="E1292" s="7">
        <v>45364</v>
      </c>
      <c r="F1292" s="7">
        <v>45728</v>
      </c>
      <c r="G1292" t="s">
        <v>99</v>
      </c>
      <c r="H1292" t="s">
        <v>102</v>
      </c>
      <c r="I1292" t="s">
        <v>101</v>
      </c>
      <c r="J1292">
        <v>15546.31</v>
      </c>
      <c r="K1292">
        <v>2000000</v>
      </c>
    </row>
    <row r="1293" spans="1:11" ht="15" customHeight="1" x14ac:dyDescent="0.2">
      <c r="A1293" t="s">
        <v>2403</v>
      </c>
      <c r="B1293" t="s">
        <v>1969</v>
      </c>
      <c r="C1293">
        <v>2024</v>
      </c>
      <c r="D1293">
        <v>2023</v>
      </c>
      <c r="E1293" s="7">
        <v>45364</v>
      </c>
      <c r="F1293" s="7">
        <v>45728</v>
      </c>
      <c r="G1293" t="s">
        <v>99</v>
      </c>
      <c r="H1293" t="s">
        <v>106</v>
      </c>
      <c r="I1293" t="s">
        <v>101</v>
      </c>
      <c r="J1293">
        <v>8265.44</v>
      </c>
      <c r="K1293">
        <v>1000000</v>
      </c>
    </row>
    <row r="1294" spans="1:11" ht="15" customHeight="1" x14ac:dyDescent="0.2">
      <c r="A1294" t="s">
        <v>2405</v>
      </c>
      <c r="B1294" t="s">
        <v>8176</v>
      </c>
      <c r="C1294">
        <v>2024</v>
      </c>
      <c r="D1294">
        <v>2023</v>
      </c>
      <c r="E1294" s="7">
        <v>45364</v>
      </c>
      <c r="F1294" s="7">
        <v>45728</v>
      </c>
      <c r="G1294" t="s">
        <v>135</v>
      </c>
      <c r="H1294" t="s">
        <v>106</v>
      </c>
      <c r="I1294" t="s">
        <v>101</v>
      </c>
      <c r="J1294">
        <v>88374.1</v>
      </c>
      <c r="K1294">
        <v>10000000</v>
      </c>
    </row>
    <row r="1295" spans="1:11" ht="15" customHeight="1" x14ac:dyDescent="0.2">
      <c r="A1295" t="s">
        <v>2407</v>
      </c>
      <c r="B1295" t="s">
        <v>488</v>
      </c>
      <c r="C1295">
        <v>2024</v>
      </c>
      <c r="D1295">
        <v>2023</v>
      </c>
      <c r="E1295" s="7">
        <v>45364</v>
      </c>
      <c r="F1295" s="7">
        <v>45728</v>
      </c>
      <c r="G1295" t="s">
        <v>135</v>
      </c>
      <c r="H1295" t="s">
        <v>106</v>
      </c>
      <c r="I1295" t="s">
        <v>101</v>
      </c>
      <c r="J1295">
        <v>40701.339999999997</v>
      </c>
      <c r="K1295">
        <v>5000000</v>
      </c>
    </row>
    <row r="1296" spans="1:11" ht="15" customHeight="1" x14ac:dyDescent="0.2">
      <c r="A1296" t="s">
        <v>2408</v>
      </c>
      <c r="B1296" t="s">
        <v>8177</v>
      </c>
      <c r="C1296">
        <v>2024</v>
      </c>
      <c r="D1296">
        <v>2023</v>
      </c>
      <c r="E1296" s="7">
        <v>45364</v>
      </c>
      <c r="F1296" s="7">
        <v>45728</v>
      </c>
      <c r="G1296" t="s">
        <v>135</v>
      </c>
      <c r="H1296" t="s">
        <v>107</v>
      </c>
      <c r="I1296" t="s">
        <v>101</v>
      </c>
      <c r="J1296">
        <v>3268.97</v>
      </c>
      <c r="K1296">
        <v>500000</v>
      </c>
    </row>
    <row r="1297" spans="1:11" ht="15" customHeight="1" x14ac:dyDescent="0.2">
      <c r="A1297" t="s">
        <v>2409</v>
      </c>
      <c r="B1297" t="s">
        <v>6533</v>
      </c>
      <c r="C1297">
        <v>2024</v>
      </c>
      <c r="D1297">
        <v>2023</v>
      </c>
      <c r="E1297" s="7">
        <v>45364</v>
      </c>
      <c r="F1297" s="7">
        <v>45728</v>
      </c>
      <c r="G1297" t="s">
        <v>135</v>
      </c>
      <c r="H1297" t="s">
        <v>107</v>
      </c>
      <c r="I1297" t="s">
        <v>104</v>
      </c>
      <c r="J1297">
        <v>3129.84</v>
      </c>
      <c r="K1297">
        <v>500000</v>
      </c>
    </row>
    <row r="1298" spans="1:11" ht="15" customHeight="1" x14ac:dyDescent="0.2">
      <c r="A1298" t="s">
        <v>2410</v>
      </c>
      <c r="B1298" t="s">
        <v>487</v>
      </c>
      <c r="C1298">
        <v>2024</v>
      </c>
      <c r="D1298">
        <v>2023</v>
      </c>
      <c r="E1298" s="7">
        <v>45364</v>
      </c>
      <c r="F1298" s="7">
        <v>45728</v>
      </c>
      <c r="G1298" t="s">
        <v>135</v>
      </c>
      <c r="H1298" t="s">
        <v>106</v>
      </c>
      <c r="I1298" t="s">
        <v>101</v>
      </c>
      <c r="J1298">
        <v>9841.61</v>
      </c>
      <c r="K1298">
        <v>1000000</v>
      </c>
    </row>
    <row r="1299" spans="1:11" ht="15" customHeight="1" x14ac:dyDescent="0.2">
      <c r="A1299" t="s">
        <v>2411</v>
      </c>
      <c r="B1299" t="s">
        <v>788</v>
      </c>
      <c r="C1299">
        <v>2024</v>
      </c>
      <c r="D1299">
        <v>2023</v>
      </c>
      <c r="E1299" s="7">
        <v>45364</v>
      </c>
      <c r="F1299" s="7">
        <v>45728</v>
      </c>
      <c r="G1299" t="s">
        <v>135</v>
      </c>
      <c r="H1299" t="s">
        <v>111</v>
      </c>
      <c r="I1299" t="s">
        <v>101</v>
      </c>
      <c r="J1299">
        <v>7446.62</v>
      </c>
      <c r="K1299">
        <v>1000000</v>
      </c>
    </row>
    <row r="1300" spans="1:11" ht="15" customHeight="1" x14ac:dyDescent="0.2">
      <c r="A1300" t="s">
        <v>2412</v>
      </c>
      <c r="B1300" t="s">
        <v>6515</v>
      </c>
      <c r="C1300">
        <v>2024</v>
      </c>
      <c r="D1300">
        <v>2023</v>
      </c>
      <c r="E1300" s="7">
        <v>45364</v>
      </c>
      <c r="F1300" s="7">
        <v>45728</v>
      </c>
      <c r="G1300" t="s">
        <v>135</v>
      </c>
      <c r="H1300" t="s">
        <v>110</v>
      </c>
      <c r="I1300" t="s">
        <v>104</v>
      </c>
      <c r="J1300">
        <v>7450.91</v>
      </c>
      <c r="K1300">
        <v>1000000</v>
      </c>
    </row>
    <row r="1301" spans="1:11" ht="15" customHeight="1" x14ac:dyDescent="0.2">
      <c r="A1301" t="s">
        <v>2413</v>
      </c>
      <c r="B1301" t="s">
        <v>8178</v>
      </c>
      <c r="C1301">
        <v>2024</v>
      </c>
      <c r="D1301">
        <v>2023</v>
      </c>
      <c r="E1301" s="7">
        <v>45364</v>
      </c>
      <c r="F1301" s="7">
        <v>45728</v>
      </c>
      <c r="G1301" t="s">
        <v>135</v>
      </c>
      <c r="H1301" t="s">
        <v>107</v>
      </c>
      <c r="I1301" t="s">
        <v>101</v>
      </c>
      <c r="J1301">
        <v>71801.69</v>
      </c>
      <c r="K1301">
        <v>10000000</v>
      </c>
    </row>
    <row r="1302" spans="1:11" ht="15" customHeight="1" x14ac:dyDescent="0.2">
      <c r="A1302" t="s">
        <v>2414</v>
      </c>
      <c r="B1302" t="s">
        <v>1971</v>
      </c>
      <c r="C1302">
        <v>2024</v>
      </c>
      <c r="D1302">
        <v>2023</v>
      </c>
      <c r="E1302" s="7">
        <v>45365</v>
      </c>
      <c r="F1302" s="7">
        <v>45729</v>
      </c>
      <c r="G1302" t="s">
        <v>99</v>
      </c>
      <c r="H1302" t="s">
        <v>106</v>
      </c>
      <c r="I1302" t="s">
        <v>101</v>
      </c>
      <c r="J1302">
        <v>9025.39</v>
      </c>
      <c r="K1302">
        <v>1000000</v>
      </c>
    </row>
    <row r="1303" spans="1:11" ht="15" customHeight="1" x14ac:dyDescent="0.2">
      <c r="A1303" t="s">
        <v>2415</v>
      </c>
      <c r="B1303" t="s">
        <v>1973</v>
      </c>
      <c r="C1303">
        <v>2024</v>
      </c>
      <c r="D1303">
        <v>2023</v>
      </c>
      <c r="E1303" s="7">
        <v>45365</v>
      </c>
      <c r="F1303" s="7">
        <v>45729</v>
      </c>
      <c r="G1303" t="s">
        <v>99</v>
      </c>
      <c r="H1303" t="s">
        <v>102</v>
      </c>
      <c r="I1303" t="s">
        <v>101</v>
      </c>
      <c r="J1303">
        <v>14191.24</v>
      </c>
      <c r="K1303">
        <v>2000000</v>
      </c>
    </row>
    <row r="1304" spans="1:11" ht="15" customHeight="1" x14ac:dyDescent="0.2">
      <c r="A1304" t="s">
        <v>2417</v>
      </c>
      <c r="B1304" t="s">
        <v>1981</v>
      </c>
      <c r="C1304">
        <v>2024</v>
      </c>
      <c r="D1304">
        <v>2023</v>
      </c>
      <c r="E1304" s="7">
        <v>45365</v>
      </c>
      <c r="F1304" s="7">
        <v>45729</v>
      </c>
      <c r="G1304" t="s">
        <v>99</v>
      </c>
      <c r="H1304" t="s">
        <v>105</v>
      </c>
      <c r="I1304" t="s">
        <v>104</v>
      </c>
      <c r="J1304">
        <v>8870.0300000000007</v>
      </c>
      <c r="K1304">
        <v>1500000</v>
      </c>
    </row>
    <row r="1305" spans="1:11" ht="15" customHeight="1" x14ac:dyDescent="0.2">
      <c r="A1305" t="s">
        <v>2419</v>
      </c>
      <c r="B1305" t="s">
        <v>8179</v>
      </c>
      <c r="C1305">
        <v>2024</v>
      </c>
      <c r="D1305">
        <v>2023</v>
      </c>
      <c r="E1305" s="7">
        <v>45365</v>
      </c>
      <c r="F1305" s="7">
        <v>45729</v>
      </c>
      <c r="G1305" t="s">
        <v>135</v>
      </c>
      <c r="H1305" t="s">
        <v>106</v>
      </c>
      <c r="I1305" t="s">
        <v>104</v>
      </c>
      <c r="J1305">
        <v>34398.589999999997</v>
      </c>
      <c r="K1305">
        <v>5000000</v>
      </c>
    </row>
    <row r="1306" spans="1:11" ht="15" customHeight="1" x14ac:dyDescent="0.2">
      <c r="A1306" t="s">
        <v>2421</v>
      </c>
      <c r="B1306" t="s">
        <v>8180</v>
      </c>
      <c r="C1306">
        <v>2024</v>
      </c>
      <c r="D1306">
        <v>2023</v>
      </c>
      <c r="E1306" s="7">
        <v>45365</v>
      </c>
      <c r="F1306" s="7">
        <v>45729</v>
      </c>
      <c r="G1306" t="s">
        <v>135</v>
      </c>
      <c r="H1306" t="s">
        <v>106</v>
      </c>
      <c r="I1306" t="s">
        <v>104</v>
      </c>
      <c r="J1306">
        <v>6622.97</v>
      </c>
      <c r="K1306">
        <v>1000000</v>
      </c>
    </row>
    <row r="1307" spans="1:11" ht="15" customHeight="1" x14ac:dyDescent="0.2">
      <c r="A1307" t="s">
        <v>2423</v>
      </c>
      <c r="B1307" t="s">
        <v>6509</v>
      </c>
      <c r="C1307">
        <v>2024</v>
      </c>
      <c r="D1307">
        <v>2023</v>
      </c>
      <c r="E1307" s="7">
        <v>45365</v>
      </c>
      <c r="F1307" s="7">
        <v>45729</v>
      </c>
      <c r="G1307" t="s">
        <v>135</v>
      </c>
      <c r="H1307" t="s">
        <v>106</v>
      </c>
      <c r="I1307" t="s">
        <v>104</v>
      </c>
      <c r="J1307">
        <v>12971.65</v>
      </c>
      <c r="K1307">
        <v>2000000</v>
      </c>
    </row>
    <row r="1308" spans="1:11" ht="15" customHeight="1" x14ac:dyDescent="0.2">
      <c r="A1308" t="s">
        <v>2425</v>
      </c>
      <c r="B1308" t="s">
        <v>8181</v>
      </c>
      <c r="C1308">
        <v>2024</v>
      </c>
      <c r="D1308">
        <v>2023</v>
      </c>
      <c r="E1308" s="7">
        <v>45365</v>
      </c>
      <c r="F1308" s="7">
        <v>45729</v>
      </c>
      <c r="G1308" t="s">
        <v>135</v>
      </c>
      <c r="H1308" t="s">
        <v>106</v>
      </c>
      <c r="I1308" t="s">
        <v>104</v>
      </c>
      <c r="J1308">
        <v>67500.429999999993</v>
      </c>
      <c r="K1308">
        <v>10000000</v>
      </c>
    </row>
    <row r="1309" spans="1:11" ht="15" customHeight="1" x14ac:dyDescent="0.2">
      <c r="A1309" t="s">
        <v>2426</v>
      </c>
      <c r="B1309" t="s">
        <v>789</v>
      </c>
      <c r="C1309">
        <v>2024</v>
      </c>
      <c r="D1309">
        <v>2023</v>
      </c>
      <c r="E1309" s="7">
        <v>45365</v>
      </c>
      <c r="F1309" s="7">
        <v>45729</v>
      </c>
      <c r="G1309" t="s">
        <v>135</v>
      </c>
      <c r="H1309" t="s">
        <v>109</v>
      </c>
      <c r="I1309" t="s">
        <v>101</v>
      </c>
      <c r="J1309">
        <v>68092.03</v>
      </c>
      <c r="K1309">
        <v>10000000</v>
      </c>
    </row>
    <row r="1310" spans="1:11" ht="15" customHeight="1" x14ac:dyDescent="0.2">
      <c r="A1310" t="s">
        <v>2427</v>
      </c>
      <c r="B1310" t="s">
        <v>790</v>
      </c>
      <c r="C1310">
        <v>2024</v>
      </c>
      <c r="D1310">
        <v>2023</v>
      </c>
      <c r="E1310" s="7">
        <v>45365</v>
      </c>
      <c r="F1310" s="7">
        <v>45729</v>
      </c>
      <c r="G1310" t="s">
        <v>135</v>
      </c>
      <c r="H1310" t="s">
        <v>106</v>
      </c>
      <c r="I1310" t="s">
        <v>101</v>
      </c>
      <c r="J1310">
        <v>89420.32</v>
      </c>
      <c r="K1310">
        <v>10000000</v>
      </c>
    </row>
    <row r="1311" spans="1:11" ht="15" customHeight="1" x14ac:dyDescent="0.2">
      <c r="A1311" t="s">
        <v>2428</v>
      </c>
      <c r="B1311" t="s">
        <v>6520</v>
      </c>
      <c r="C1311">
        <v>2024</v>
      </c>
      <c r="D1311">
        <v>2023</v>
      </c>
      <c r="E1311" s="7">
        <v>45365</v>
      </c>
      <c r="F1311" s="7">
        <v>45729</v>
      </c>
      <c r="G1311" t="s">
        <v>135</v>
      </c>
      <c r="H1311" t="s">
        <v>107</v>
      </c>
      <c r="I1311" t="s">
        <v>104</v>
      </c>
      <c r="J1311">
        <v>5355.15</v>
      </c>
      <c r="K1311">
        <v>1000000</v>
      </c>
    </row>
    <row r="1312" spans="1:11" ht="15" customHeight="1" x14ac:dyDescent="0.2">
      <c r="A1312" t="s">
        <v>2429</v>
      </c>
      <c r="B1312" t="s">
        <v>1983</v>
      </c>
      <c r="C1312">
        <v>2024</v>
      </c>
      <c r="D1312">
        <v>2023</v>
      </c>
      <c r="E1312" s="7">
        <v>45366</v>
      </c>
      <c r="F1312" s="7">
        <v>45730</v>
      </c>
      <c r="G1312" t="s">
        <v>99</v>
      </c>
      <c r="H1312" t="s">
        <v>106</v>
      </c>
      <c r="I1312" t="s">
        <v>104</v>
      </c>
      <c r="J1312">
        <v>6642.32</v>
      </c>
      <c r="K1312">
        <v>1000000</v>
      </c>
    </row>
    <row r="1313" spans="1:11" ht="15" customHeight="1" x14ac:dyDescent="0.2">
      <c r="A1313" t="s">
        <v>2430</v>
      </c>
      <c r="B1313" t="s">
        <v>8182</v>
      </c>
      <c r="C1313">
        <v>2024</v>
      </c>
      <c r="D1313">
        <v>2023</v>
      </c>
      <c r="E1313" s="7">
        <v>45366</v>
      </c>
      <c r="F1313" s="7">
        <v>45730</v>
      </c>
      <c r="G1313" t="s">
        <v>135</v>
      </c>
      <c r="H1313" t="s">
        <v>114</v>
      </c>
      <c r="I1313" t="s">
        <v>104</v>
      </c>
      <c r="J1313">
        <v>2954.59</v>
      </c>
      <c r="K1313">
        <v>500000</v>
      </c>
    </row>
    <row r="1314" spans="1:11" ht="15" customHeight="1" x14ac:dyDescent="0.2">
      <c r="A1314" t="s">
        <v>2431</v>
      </c>
      <c r="B1314" t="s">
        <v>8183</v>
      </c>
      <c r="C1314">
        <v>2024</v>
      </c>
      <c r="D1314">
        <v>2023</v>
      </c>
      <c r="E1314" s="7">
        <v>45366</v>
      </c>
      <c r="F1314" s="7">
        <v>45730</v>
      </c>
      <c r="G1314" t="s">
        <v>135</v>
      </c>
      <c r="H1314" t="s">
        <v>106</v>
      </c>
      <c r="I1314" t="s">
        <v>101</v>
      </c>
      <c r="J1314">
        <v>13259.38</v>
      </c>
      <c r="K1314">
        <v>1500000</v>
      </c>
    </row>
    <row r="1315" spans="1:11" ht="15" customHeight="1" x14ac:dyDescent="0.2">
      <c r="A1315" t="s">
        <v>2432</v>
      </c>
      <c r="B1315" t="s">
        <v>489</v>
      </c>
      <c r="C1315">
        <v>2024</v>
      </c>
      <c r="D1315">
        <v>2023</v>
      </c>
      <c r="E1315" s="7">
        <v>45366</v>
      </c>
      <c r="F1315" s="7">
        <v>45730</v>
      </c>
      <c r="G1315" t="s">
        <v>135</v>
      </c>
      <c r="H1315" t="s">
        <v>103</v>
      </c>
      <c r="I1315" t="s">
        <v>101</v>
      </c>
      <c r="J1315">
        <v>65247.11</v>
      </c>
      <c r="K1315">
        <v>10000000</v>
      </c>
    </row>
    <row r="1316" spans="1:11" ht="15" customHeight="1" x14ac:dyDescent="0.2">
      <c r="A1316" t="s">
        <v>2433</v>
      </c>
      <c r="B1316" t="s">
        <v>6521</v>
      </c>
      <c r="C1316">
        <v>2024</v>
      </c>
      <c r="D1316">
        <v>2023</v>
      </c>
      <c r="E1316" s="7">
        <v>45366</v>
      </c>
      <c r="F1316" s="7">
        <v>45730</v>
      </c>
      <c r="G1316" t="s">
        <v>135</v>
      </c>
      <c r="H1316" t="s">
        <v>107</v>
      </c>
      <c r="I1316" t="s">
        <v>101</v>
      </c>
      <c r="J1316">
        <v>38560.82</v>
      </c>
      <c r="K1316">
        <v>5000000</v>
      </c>
    </row>
    <row r="1317" spans="1:11" ht="15" customHeight="1" x14ac:dyDescent="0.2">
      <c r="A1317" t="s">
        <v>2434</v>
      </c>
      <c r="B1317" t="s">
        <v>791</v>
      </c>
      <c r="C1317">
        <v>2024</v>
      </c>
      <c r="D1317">
        <v>2023</v>
      </c>
      <c r="E1317" s="7">
        <v>45366</v>
      </c>
      <c r="F1317" s="7">
        <v>45730</v>
      </c>
      <c r="G1317" t="s">
        <v>135</v>
      </c>
      <c r="H1317" t="s">
        <v>106</v>
      </c>
      <c r="I1317" t="s">
        <v>101</v>
      </c>
      <c r="J1317">
        <v>19143.62</v>
      </c>
      <c r="K1317">
        <v>2000000</v>
      </c>
    </row>
    <row r="1318" spans="1:11" ht="15" customHeight="1" x14ac:dyDescent="0.2">
      <c r="A1318" t="s">
        <v>2436</v>
      </c>
      <c r="B1318" t="s">
        <v>6492</v>
      </c>
      <c r="C1318">
        <v>2024</v>
      </c>
      <c r="D1318">
        <v>2023</v>
      </c>
      <c r="E1318" s="7">
        <v>45366</v>
      </c>
      <c r="F1318" s="7">
        <v>45730</v>
      </c>
      <c r="G1318" t="s">
        <v>135</v>
      </c>
      <c r="H1318" t="s">
        <v>115</v>
      </c>
      <c r="I1318" t="s">
        <v>101</v>
      </c>
      <c r="J1318">
        <v>70924.070000000007</v>
      </c>
      <c r="K1318">
        <v>10000000</v>
      </c>
    </row>
    <row r="1319" spans="1:11" ht="15" customHeight="1" x14ac:dyDescent="0.2">
      <c r="A1319" t="s">
        <v>2438</v>
      </c>
      <c r="B1319" t="s">
        <v>6500</v>
      </c>
      <c r="C1319">
        <v>2024</v>
      </c>
      <c r="D1319">
        <v>2023</v>
      </c>
      <c r="E1319" s="7">
        <v>45366</v>
      </c>
      <c r="F1319" s="7">
        <v>45730</v>
      </c>
      <c r="G1319" t="s">
        <v>135</v>
      </c>
      <c r="H1319" t="s">
        <v>108</v>
      </c>
      <c r="I1319" t="s">
        <v>101</v>
      </c>
      <c r="J1319">
        <v>19116.419999999998</v>
      </c>
      <c r="K1319">
        <v>2000000</v>
      </c>
    </row>
    <row r="1320" spans="1:11" ht="15" customHeight="1" x14ac:dyDescent="0.2">
      <c r="A1320" t="s">
        <v>2439</v>
      </c>
      <c r="B1320" t="s">
        <v>1985</v>
      </c>
      <c r="C1320">
        <v>2024</v>
      </c>
      <c r="D1320">
        <v>2023</v>
      </c>
      <c r="E1320" s="7">
        <v>45367</v>
      </c>
      <c r="F1320" s="7">
        <v>45731</v>
      </c>
      <c r="G1320" t="s">
        <v>99</v>
      </c>
      <c r="H1320" t="s">
        <v>102</v>
      </c>
      <c r="I1320" t="s">
        <v>101</v>
      </c>
      <c r="J1320">
        <v>78231.23</v>
      </c>
      <c r="K1320">
        <v>10000000</v>
      </c>
    </row>
    <row r="1321" spans="1:11" ht="15" customHeight="1" x14ac:dyDescent="0.2">
      <c r="A1321" t="s">
        <v>2440</v>
      </c>
      <c r="B1321" t="s">
        <v>1987</v>
      </c>
      <c r="C1321">
        <v>2024</v>
      </c>
      <c r="D1321">
        <v>2023</v>
      </c>
      <c r="E1321" s="7">
        <v>45367</v>
      </c>
      <c r="F1321" s="7">
        <v>45731</v>
      </c>
      <c r="G1321" t="s">
        <v>99</v>
      </c>
      <c r="H1321" t="s">
        <v>109</v>
      </c>
      <c r="I1321" t="s">
        <v>104</v>
      </c>
      <c r="J1321">
        <v>12023.09</v>
      </c>
      <c r="K1321">
        <v>2000000</v>
      </c>
    </row>
    <row r="1322" spans="1:11" ht="15" customHeight="1" x14ac:dyDescent="0.2">
      <c r="A1322" t="s">
        <v>2441</v>
      </c>
      <c r="B1322" t="s">
        <v>1989</v>
      </c>
      <c r="C1322">
        <v>2024</v>
      </c>
      <c r="D1322">
        <v>2023</v>
      </c>
      <c r="E1322" s="7">
        <v>45367</v>
      </c>
      <c r="F1322" s="7">
        <v>45731</v>
      </c>
      <c r="G1322" t="s">
        <v>99</v>
      </c>
      <c r="H1322" t="s">
        <v>111</v>
      </c>
      <c r="I1322" t="s">
        <v>101</v>
      </c>
      <c r="J1322">
        <v>34015.54</v>
      </c>
      <c r="K1322">
        <v>5000000</v>
      </c>
    </row>
    <row r="1323" spans="1:11" ht="15" customHeight="1" x14ac:dyDescent="0.2">
      <c r="A1323" t="s">
        <v>2442</v>
      </c>
      <c r="B1323" t="s">
        <v>491</v>
      </c>
      <c r="C1323">
        <v>2024</v>
      </c>
      <c r="D1323">
        <v>2023</v>
      </c>
      <c r="E1323" s="7">
        <v>45367</v>
      </c>
      <c r="F1323" s="7">
        <v>45731</v>
      </c>
      <c r="G1323" t="s">
        <v>135</v>
      </c>
      <c r="H1323" t="s">
        <v>106</v>
      </c>
      <c r="I1323" t="s">
        <v>104</v>
      </c>
      <c r="J1323">
        <v>7711.16</v>
      </c>
      <c r="K1323">
        <v>1000000</v>
      </c>
    </row>
    <row r="1324" spans="1:11" ht="15" customHeight="1" x14ac:dyDescent="0.2">
      <c r="A1324" t="s">
        <v>2444</v>
      </c>
      <c r="B1324" t="s">
        <v>6519</v>
      </c>
      <c r="C1324">
        <v>2024</v>
      </c>
      <c r="D1324">
        <v>2023</v>
      </c>
      <c r="E1324" s="7">
        <v>45367</v>
      </c>
      <c r="F1324" s="7">
        <v>45731</v>
      </c>
      <c r="G1324" t="s">
        <v>135</v>
      </c>
      <c r="H1324" t="s">
        <v>115</v>
      </c>
      <c r="I1324" t="s">
        <v>104</v>
      </c>
      <c r="J1324">
        <v>8852.8700000000008</v>
      </c>
      <c r="K1324">
        <v>1500000</v>
      </c>
    </row>
    <row r="1325" spans="1:11" ht="15" customHeight="1" x14ac:dyDescent="0.2">
      <c r="A1325" t="s">
        <v>2446</v>
      </c>
      <c r="B1325" t="s">
        <v>490</v>
      </c>
      <c r="C1325">
        <v>2024</v>
      </c>
      <c r="D1325">
        <v>2023</v>
      </c>
      <c r="E1325" s="7">
        <v>45367</v>
      </c>
      <c r="F1325" s="7">
        <v>45731</v>
      </c>
      <c r="G1325" t="s">
        <v>135</v>
      </c>
      <c r="H1325" t="s">
        <v>108</v>
      </c>
      <c r="I1325" t="s">
        <v>104</v>
      </c>
      <c r="J1325">
        <v>10592.7</v>
      </c>
      <c r="K1325">
        <v>1500000</v>
      </c>
    </row>
    <row r="1326" spans="1:11" ht="15" customHeight="1" x14ac:dyDescent="0.2">
      <c r="A1326" t="s">
        <v>2448</v>
      </c>
      <c r="B1326" t="s">
        <v>8184</v>
      </c>
      <c r="C1326">
        <v>2024</v>
      </c>
      <c r="D1326">
        <v>2023</v>
      </c>
      <c r="E1326" s="7">
        <v>45367</v>
      </c>
      <c r="F1326" s="7">
        <v>45731</v>
      </c>
      <c r="G1326" t="s">
        <v>135</v>
      </c>
      <c r="H1326" t="s">
        <v>110</v>
      </c>
      <c r="I1326" t="s">
        <v>104</v>
      </c>
      <c r="J1326">
        <v>7859.56</v>
      </c>
      <c r="K1326">
        <v>1000000</v>
      </c>
    </row>
    <row r="1327" spans="1:11" ht="15" customHeight="1" x14ac:dyDescent="0.2">
      <c r="A1327" t="s">
        <v>2449</v>
      </c>
      <c r="B1327" t="s">
        <v>8185</v>
      </c>
      <c r="C1327">
        <v>2024</v>
      </c>
      <c r="D1327">
        <v>2023</v>
      </c>
      <c r="E1327" s="7">
        <v>45367</v>
      </c>
      <c r="F1327" s="7">
        <v>45731</v>
      </c>
      <c r="G1327" t="s">
        <v>135</v>
      </c>
      <c r="H1327" t="s">
        <v>112</v>
      </c>
      <c r="I1327" t="s">
        <v>104</v>
      </c>
      <c r="J1327">
        <v>7171.14</v>
      </c>
      <c r="K1327">
        <v>1000000</v>
      </c>
    </row>
    <row r="1328" spans="1:11" ht="15" customHeight="1" x14ac:dyDescent="0.2">
      <c r="A1328" t="s">
        <v>2450</v>
      </c>
      <c r="B1328" t="s">
        <v>8186</v>
      </c>
      <c r="C1328">
        <v>2024</v>
      </c>
      <c r="D1328">
        <v>2023</v>
      </c>
      <c r="E1328" s="7">
        <v>45367</v>
      </c>
      <c r="F1328" s="7">
        <v>45731</v>
      </c>
      <c r="G1328" t="s">
        <v>135</v>
      </c>
      <c r="H1328" t="s">
        <v>110</v>
      </c>
      <c r="I1328" t="s">
        <v>101</v>
      </c>
      <c r="J1328">
        <v>9374.33</v>
      </c>
      <c r="K1328">
        <v>1000000</v>
      </c>
    </row>
    <row r="1329" spans="1:11" ht="15" customHeight="1" x14ac:dyDescent="0.2">
      <c r="A1329" t="s">
        <v>2451</v>
      </c>
      <c r="B1329" t="s">
        <v>192</v>
      </c>
      <c r="C1329">
        <v>2024</v>
      </c>
      <c r="D1329">
        <v>2023</v>
      </c>
      <c r="E1329" s="7">
        <v>45367</v>
      </c>
      <c r="F1329" s="7">
        <v>45731</v>
      </c>
      <c r="G1329" t="s">
        <v>135</v>
      </c>
      <c r="H1329" t="s">
        <v>102</v>
      </c>
      <c r="I1329" t="s">
        <v>101</v>
      </c>
      <c r="J1329">
        <v>32390.5</v>
      </c>
      <c r="K1329">
        <v>5000000</v>
      </c>
    </row>
    <row r="1330" spans="1:11" ht="15" customHeight="1" x14ac:dyDescent="0.2">
      <c r="A1330" t="s">
        <v>2452</v>
      </c>
      <c r="B1330" t="s">
        <v>792</v>
      </c>
      <c r="C1330">
        <v>2024</v>
      </c>
      <c r="D1330">
        <v>2023</v>
      </c>
      <c r="E1330" s="7">
        <v>45367</v>
      </c>
      <c r="F1330" s="7">
        <v>45731</v>
      </c>
      <c r="G1330" t="s">
        <v>135</v>
      </c>
      <c r="H1330" t="s">
        <v>112</v>
      </c>
      <c r="I1330" t="s">
        <v>104</v>
      </c>
      <c r="J1330">
        <v>74313.2</v>
      </c>
      <c r="K1330">
        <v>10000000</v>
      </c>
    </row>
    <row r="1331" spans="1:11" ht="15" customHeight="1" x14ac:dyDescent="0.2">
      <c r="A1331" t="s">
        <v>2453</v>
      </c>
      <c r="B1331" t="s">
        <v>6524</v>
      </c>
      <c r="C1331">
        <v>2024</v>
      </c>
      <c r="D1331">
        <v>2023</v>
      </c>
      <c r="E1331" s="7">
        <v>45367</v>
      </c>
      <c r="F1331" s="7">
        <v>45731</v>
      </c>
      <c r="G1331" t="s">
        <v>135</v>
      </c>
      <c r="H1331" t="s">
        <v>113</v>
      </c>
      <c r="I1331" t="s">
        <v>101</v>
      </c>
      <c r="J1331">
        <v>7183.32</v>
      </c>
      <c r="K1331">
        <v>1000000</v>
      </c>
    </row>
    <row r="1332" spans="1:11" ht="15" customHeight="1" x14ac:dyDescent="0.2">
      <c r="A1332" t="s">
        <v>2454</v>
      </c>
      <c r="B1332" t="s">
        <v>1991</v>
      </c>
      <c r="C1332">
        <v>2024</v>
      </c>
      <c r="D1332">
        <v>2023</v>
      </c>
      <c r="E1332" s="7">
        <v>45368</v>
      </c>
      <c r="F1332" s="7">
        <v>45732</v>
      </c>
      <c r="G1332" t="s">
        <v>99</v>
      </c>
      <c r="H1332" t="s">
        <v>113</v>
      </c>
      <c r="I1332" t="s">
        <v>104</v>
      </c>
      <c r="J1332">
        <v>3075.81</v>
      </c>
      <c r="K1332">
        <v>500000</v>
      </c>
    </row>
    <row r="1333" spans="1:11" ht="15" customHeight="1" x14ac:dyDescent="0.2">
      <c r="A1333" t="s">
        <v>2455</v>
      </c>
      <c r="B1333" t="s">
        <v>2016</v>
      </c>
      <c r="C1333">
        <v>2024</v>
      </c>
      <c r="D1333">
        <v>2023</v>
      </c>
      <c r="E1333" s="7">
        <v>45368</v>
      </c>
      <c r="F1333" s="7">
        <v>45732</v>
      </c>
      <c r="G1333" t="s">
        <v>99</v>
      </c>
      <c r="H1333" t="s">
        <v>115</v>
      </c>
      <c r="I1333" t="s">
        <v>101</v>
      </c>
      <c r="J1333">
        <v>6857.49</v>
      </c>
      <c r="K1333">
        <v>1000000</v>
      </c>
    </row>
    <row r="1334" spans="1:11" ht="15" customHeight="1" x14ac:dyDescent="0.2">
      <c r="A1334" t="s">
        <v>2456</v>
      </c>
      <c r="B1334" t="s">
        <v>2018</v>
      </c>
      <c r="C1334">
        <v>2024</v>
      </c>
      <c r="D1334">
        <v>2023</v>
      </c>
      <c r="E1334" s="7">
        <v>45368</v>
      </c>
      <c r="F1334" s="7">
        <v>45732</v>
      </c>
      <c r="G1334" t="s">
        <v>99</v>
      </c>
      <c r="H1334" t="s">
        <v>106</v>
      </c>
      <c r="I1334" t="s">
        <v>101</v>
      </c>
      <c r="J1334">
        <v>82107.78</v>
      </c>
      <c r="K1334">
        <v>10000000</v>
      </c>
    </row>
    <row r="1335" spans="1:11" ht="15" customHeight="1" x14ac:dyDescent="0.2">
      <c r="A1335" t="s">
        <v>2457</v>
      </c>
      <c r="B1335" t="s">
        <v>2020</v>
      </c>
      <c r="C1335">
        <v>2024</v>
      </c>
      <c r="D1335">
        <v>2023</v>
      </c>
      <c r="E1335" s="7">
        <v>45368</v>
      </c>
      <c r="F1335" s="7">
        <v>45732</v>
      </c>
      <c r="G1335" t="s">
        <v>99</v>
      </c>
      <c r="H1335" t="s">
        <v>115</v>
      </c>
      <c r="I1335" t="s">
        <v>104</v>
      </c>
      <c r="J1335">
        <v>61642.9</v>
      </c>
      <c r="K1335">
        <v>10000000</v>
      </c>
    </row>
    <row r="1336" spans="1:11" ht="15" customHeight="1" x14ac:dyDescent="0.2">
      <c r="A1336" t="s">
        <v>2458</v>
      </c>
      <c r="B1336" t="s">
        <v>2022</v>
      </c>
      <c r="C1336">
        <v>2024</v>
      </c>
      <c r="D1336">
        <v>2023</v>
      </c>
      <c r="E1336" s="7">
        <v>45368</v>
      </c>
      <c r="F1336" s="7">
        <v>45732</v>
      </c>
      <c r="G1336" t="s">
        <v>99</v>
      </c>
      <c r="H1336" t="s">
        <v>115</v>
      </c>
      <c r="I1336" t="s">
        <v>101</v>
      </c>
      <c r="J1336">
        <v>7759.75</v>
      </c>
      <c r="K1336">
        <v>1000000</v>
      </c>
    </row>
    <row r="1337" spans="1:11" ht="15" customHeight="1" x14ac:dyDescent="0.2">
      <c r="A1337" t="s">
        <v>2459</v>
      </c>
      <c r="B1337" t="s">
        <v>2024</v>
      </c>
      <c r="C1337">
        <v>2024</v>
      </c>
      <c r="D1337">
        <v>2023</v>
      </c>
      <c r="E1337" s="7">
        <v>45368</v>
      </c>
      <c r="F1337" s="7">
        <v>45732</v>
      </c>
      <c r="G1337" t="s">
        <v>99</v>
      </c>
      <c r="H1337" t="s">
        <v>107</v>
      </c>
      <c r="I1337" t="s">
        <v>104</v>
      </c>
      <c r="J1337">
        <v>6056.9</v>
      </c>
      <c r="K1337">
        <v>1000000</v>
      </c>
    </row>
    <row r="1338" spans="1:11" ht="15" customHeight="1" x14ac:dyDescent="0.2">
      <c r="A1338" t="s">
        <v>2461</v>
      </c>
      <c r="B1338" t="s">
        <v>6527</v>
      </c>
      <c r="C1338">
        <v>2024</v>
      </c>
      <c r="D1338">
        <v>2023</v>
      </c>
      <c r="E1338" s="7">
        <v>45368</v>
      </c>
      <c r="F1338" s="7">
        <v>45732</v>
      </c>
      <c r="G1338" t="s">
        <v>135</v>
      </c>
      <c r="H1338" t="s">
        <v>113</v>
      </c>
      <c r="I1338" t="s">
        <v>104</v>
      </c>
      <c r="J1338">
        <v>5639.68</v>
      </c>
      <c r="K1338">
        <v>1000000</v>
      </c>
    </row>
    <row r="1339" spans="1:11" ht="15" customHeight="1" x14ac:dyDescent="0.2">
      <c r="A1339" t="s">
        <v>2463</v>
      </c>
      <c r="B1339" t="s">
        <v>6494</v>
      </c>
      <c r="C1339">
        <v>2024</v>
      </c>
      <c r="D1339">
        <v>2023</v>
      </c>
      <c r="E1339" s="7">
        <v>45368</v>
      </c>
      <c r="F1339" s="7">
        <v>45732</v>
      </c>
      <c r="G1339" t="s">
        <v>135</v>
      </c>
      <c r="H1339" t="s">
        <v>102</v>
      </c>
      <c r="I1339" t="s">
        <v>104</v>
      </c>
      <c r="J1339">
        <v>8563.4599999999991</v>
      </c>
      <c r="K1339">
        <v>1500000</v>
      </c>
    </row>
    <row r="1340" spans="1:11" ht="15" customHeight="1" x14ac:dyDescent="0.2">
      <c r="A1340" t="s">
        <v>2465</v>
      </c>
      <c r="B1340" t="s">
        <v>8187</v>
      </c>
      <c r="C1340">
        <v>2024</v>
      </c>
      <c r="D1340">
        <v>2023</v>
      </c>
      <c r="E1340" s="7">
        <v>45368</v>
      </c>
      <c r="F1340" s="7">
        <v>45732</v>
      </c>
      <c r="G1340" t="s">
        <v>135</v>
      </c>
      <c r="H1340" t="s">
        <v>112</v>
      </c>
      <c r="I1340" t="s">
        <v>101</v>
      </c>
      <c r="J1340">
        <v>14602.8</v>
      </c>
      <c r="K1340">
        <v>1500000</v>
      </c>
    </row>
    <row r="1341" spans="1:11" ht="15" customHeight="1" x14ac:dyDescent="0.2">
      <c r="A1341" t="s">
        <v>2467</v>
      </c>
      <c r="B1341" t="s">
        <v>8188</v>
      </c>
      <c r="C1341">
        <v>2024</v>
      </c>
      <c r="D1341">
        <v>2023</v>
      </c>
      <c r="E1341" s="7">
        <v>45368</v>
      </c>
      <c r="F1341" s="7">
        <v>45732</v>
      </c>
      <c r="G1341" t="s">
        <v>135</v>
      </c>
      <c r="H1341" t="s">
        <v>105</v>
      </c>
      <c r="I1341" t="s">
        <v>104</v>
      </c>
      <c r="J1341">
        <v>12523.82</v>
      </c>
      <c r="K1341">
        <v>2000000</v>
      </c>
    </row>
    <row r="1342" spans="1:11" ht="15" customHeight="1" x14ac:dyDescent="0.2">
      <c r="A1342" t="s">
        <v>2469</v>
      </c>
      <c r="B1342" t="s">
        <v>2036</v>
      </c>
      <c r="C1342">
        <v>2024</v>
      </c>
      <c r="D1342">
        <v>2023</v>
      </c>
      <c r="E1342" s="7">
        <v>45369</v>
      </c>
      <c r="F1342" s="7">
        <v>45733</v>
      </c>
      <c r="G1342" t="s">
        <v>99</v>
      </c>
      <c r="H1342" t="s">
        <v>105</v>
      </c>
      <c r="I1342" t="s">
        <v>104</v>
      </c>
      <c r="J1342">
        <v>5712.34</v>
      </c>
      <c r="K1342">
        <v>1000000</v>
      </c>
    </row>
    <row r="1343" spans="1:11" ht="15" customHeight="1" x14ac:dyDescent="0.2">
      <c r="A1343" t="s">
        <v>2470</v>
      </c>
      <c r="B1343" t="s">
        <v>2038</v>
      </c>
      <c r="C1343">
        <v>2024</v>
      </c>
      <c r="D1343">
        <v>2023</v>
      </c>
      <c r="E1343" s="7">
        <v>45369</v>
      </c>
      <c r="F1343" s="7">
        <v>45733</v>
      </c>
      <c r="G1343" t="s">
        <v>99</v>
      </c>
      <c r="H1343" t="s">
        <v>106</v>
      </c>
      <c r="I1343" t="s">
        <v>101</v>
      </c>
      <c r="J1343">
        <v>96808.85</v>
      </c>
      <c r="K1343">
        <v>10000000</v>
      </c>
    </row>
    <row r="1344" spans="1:11" ht="15" customHeight="1" x14ac:dyDescent="0.2">
      <c r="A1344" t="s">
        <v>2471</v>
      </c>
      <c r="B1344" t="s">
        <v>8189</v>
      </c>
      <c r="C1344">
        <v>2024</v>
      </c>
      <c r="D1344">
        <v>2023</v>
      </c>
      <c r="E1344" s="7">
        <v>45369</v>
      </c>
      <c r="F1344" s="7">
        <v>45733</v>
      </c>
      <c r="G1344" t="s">
        <v>135</v>
      </c>
      <c r="H1344" t="s">
        <v>100</v>
      </c>
      <c r="I1344" t="s">
        <v>104</v>
      </c>
      <c r="J1344">
        <v>5959.82</v>
      </c>
      <c r="K1344">
        <v>1000000</v>
      </c>
    </row>
    <row r="1345" spans="1:11" ht="15" customHeight="1" x14ac:dyDescent="0.2">
      <c r="A1345" t="s">
        <v>2472</v>
      </c>
      <c r="B1345" t="s">
        <v>8190</v>
      </c>
      <c r="C1345">
        <v>2024</v>
      </c>
      <c r="D1345">
        <v>2023</v>
      </c>
      <c r="E1345" s="7">
        <v>45369</v>
      </c>
      <c r="F1345" s="7">
        <v>45733</v>
      </c>
      <c r="G1345" t="s">
        <v>135</v>
      </c>
      <c r="H1345" t="s">
        <v>107</v>
      </c>
      <c r="I1345" t="s">
        <v>101</v>
      </c>
      <c r="J1345">
        <v>3727.32</v>
      </c>
      <c r="K1345">
        <v>500000</v>
      </c>
    </row>
    <row r="1346" spans="1:11" ht="15" customHeight="1" x14ac:dyDescent="0.2">
      <c r="A1346" t="s">
        <v>2473</v>
      </c>
      <c r="B1346" t="s">
        <v>6517</v>
      </c>
      <c r="C1346">
        <v>2024</v>
      </c>
      <c r="D1346">
        <v>2023</v>
      </c>
      <c r="E1346" s="7">
        <v>45369</v>
      </c>
      <c r="F1346" s="7">
        <v>45733</v>
      </c>
      <c r="G1346" t="s">
        <v>135</v>
      </c>
      <c r="H1346" t="s">
        <v>109</v>
      </c>
      <c r="I1346" t="s">
        <v>104</v>
      </c>
      <c r="J1346">
        <v>11597.65</v>
      </c>
      <c r="K1346">
        <v>2000000</v>
      </c>
    </row>
    <row r="1347" spans="1:11" ht="15" customHeight="1" x14ac:dyDescent="0.2">
      <c r="A1347" t="s">
        <v>2474</v>
      </c>
      <c r="B1347" t="s">
        <v>6504</v>
      </c>
      <c r="C1347">
        <v>2024</v>
      </c>
      <c r="D1347">
        <v>2023</v>
      </c>
      <c r="E1347" s="7">
        <v>45369</v>
      </c>
      <c r="F1347" s="7">
        <v>45733</v>
      </c>
      <c r="G1347" t="s">
        <v>135</v>
      </c>
      <c r="H1347" t="s">
        <v>6332</v>
      </c>
      <c r="I1347" t="s">
        <v>101</v>
      </c>
      <c r="J1347">
        <v>6683.71</v>
      </c>
      <c r="K1347">
        <v>1000000</v>
      </c>
    </row>
    <row r="1348" spans="1:11" ht="15" customHeight="1" x14ac:dyDescent="0.2">
      <c r="A1348" t="s">
        <v>2476</v>
      </c>
      <c r="B1348" t="s">
        <v>8191</v>
      </c>
      <c r="C1348">
        <v>2024</v>
      </c>
      <c r="D1348">
        <v>2023</v>
      </c>
      <c r="E1348" s="7">
        <v>45369</v>
      </c>
      <c r="F1348" s="7">
        <v>45733</v>
      </c>
      <c r="G1348" t="s">
        <v>135</v>
      </c>
      <c r="H1348" t="s">
        <v>106</v>
      </c>
      <c r="I1348" t="s">
        <v>101</v>
      </c>
      <c r="J1348">
        <v>14107.97</v>
      </c>
      <c r="K1348">
        <v>1500000</v>
      </c>
    </row>
    <row r="1349" spans="1:11" ht="15" customHeight="1" x14ac:dyDescent="0.2">
      <c r="A1349" t="s">
        <v>2478</v>
      </c>
      <c r="B1349" t="s">
        <v>8192</v>
      </c>
      <c r="C1349">
        <v>2024</v>
      </c>
      <c r="D1349">
        <v>2023</v>
      </c>
      <c r="E1349" s="7">
        <v>45369</v>
      </c>
      <c r="F1349" s="7">
        <v>45733</v>
      </c>
      <c r="G1349" t="s">
        <v>135</v>
      </c>
      <c r="H1349" t="s">
        <v>6348</v>
      </c>
      <c r="I1349" t="s">
        <v>104</v>
      </c>
      <c r="J1349">
        <v>6238.53</v>
      </c>
      <c r="K1349">
        <v>1000000</v>
      </c>
    </row>
    <row r="1350" spans="1:11" ht="15" customHeight="1" x14ac:dyDescent="0.2">
      <c r="A1350" t="s">
        <v>2480</v>
      </c>
      <c r="B1350" t="s">
        <v>8193</v>
      </c>
      <c r="C1350">
        <v>2024</v>
      </c>
      <c r="D1350">
        <v>2023</v>
      </c>
      <c r="E1350" s="7">
        <v>45369</v>
      </c>
      <c r="F1350" s="7">
        <v>45733</v>
      </c>
      <c r="G1350" t="s">
        <v>135</v>
      </c>
      <c r="H1350" t="s">
        <v>107</v>
      </c>
      <c r="I1350" t="s">
        <v>101</v>
      </c>
      <c r="J1350">
        <v>11394.32</v>
      </c>
      <c r="K1350">
        <v>1500000</v>
      </c>
    </row>
    <row r="1351" spans="1:11" ht="15" customHeight="1" x14ac:dyDescent="0.2">
      <c r="A1351" t="s">
        <v>2481</v>
      </c>
      <c r="B1351" t="s">
        <v>8194</v>
      </c>
      <c r="C1351">
        <v>2024</v>
      </c>
      <c r="D1351">
        <v>2023</v>
      </c>
      <c r="E1351" s="7">
        <v>45369</v>
      </c>
      <c r="F1351" s="7">
        <v>45733</v>
      </c>
      <c r="G1351" t="s">
        <v>135</v>
      </c>
      <c r="H1351" t="s">
        <v>107</v>
      </c>
      <c r="I1351" t="s">
        <v>104</v>
      </c>
      <c r="J1351">
        <v>8576.91</v>
      </c>
      <c r="K1351">
        <v>1500000</v>
      </c>
    </row>
    <row r="1352" spans="1:11" ht="15" customHeight="1" x14ac:dyDescent="0.2">
      <c r="A1352" t="s">
        <v>2482</v>
      </c>
      <c r="B1352" t="s">
        <v>8195</v>
      </c>
      <c r="C1352">
        <v>2024</v>
      </c>
      <c r="D1352">
        <v>2023</v>
      </c>
      <c r="E1352" s="7">
        <v>45369</v>
      </c>
      <c r="F1352" s="7">
        <v>45733</v>
      </c>
      <c r="G1352" t="s">
        <v>135</v>
      </c>
      <c r="H1352" t="s">
        <v>105</v>
      </c>
      <c r="I1352" t="s">
        <v>104</v>
      </c>
      <c r="J1352">
        <v>2810.32</v>
      </c>
      <c r="K1352">
        <v>500000</v>
      </c>
    </row>
    <row r="1353" spans="1:11" ht="15" customHeight="1" x14ac:dyDescent="0.2">
      <c r="A1353" t="s">
        <v>2483</v>
      </c>
      <c r="B1353" t="s">
        <v>274</v>
      </c>
      <c r="C1353">
        <v>2024</v>
      </c>
      <c r="D1353">
        <v>2023</v>
      </c>
      <c r="E1353" s="7">
        <v>45369</v>
      </c>
      <c r="F1353" s="7">
        <v>45733</v>
      </c>
      <c r="G1353" t="s">
        <v>135</v>
      </c>
      <c r="H1353" t="s">
        <v>110</v>
      </c>
      <c r="I1353" t="s">
        <v>101</v>
      </c>
      <c r="J1353">
        <v>17418.68</v>
      </c>
      <c r="K1353">
        <v>2000000</v>
      </c>
    </row>
    <row r="1354" spans="1:11" ht="15" customHeight="1" x14ac:dyDescent="0.2">
      <c r="A1354" t="s">
        <v>2484</v>
      </c>
      <c r="B1354" t="s">
        <v>8196</v>
      </c>
      <c r="C1354">
        <v>2024</v>
      </c>
      <c r="D1354">
        <v>2023</v>
      </c>
      <c r="E1354" s="7">
        <v>45370</v>
      </c>
      <c r="F1354" s="7">
        <v>45734</v>
      </c>
      <c r="G1354" t="s">
        <v>135</v>
      </c>
      <c r="H1354" t="s">
        <v>102</v>
      </c>
      <c r="I1354" t="s">
        <v>104</v>
      </c>
      <c r="J1354">
        <v>5730.9</v>
      </c>
      <c r="K1354">
        <v>1000000</v>
      </c>
    </row>
    <row r="1355" spans="1:11" ht="15" customHeight="1" x14ac:dyDescent="0.2">
      <c r="A1355" t="s">
        <v>2485</v>
      </c>
      <c r="B1355" t="s">
        <v>276</v>
      </c>
      <c r="C1355">
        <v>2024</v>
      </c>
      <c r="D1355">
        <v>2023</v>
      </c>
      <c r="E1355" s="7">
        <v>45370</v>
      </c>
      <c r="F1355" s="7">
        <v>45734</v>
      </c>
      <c r="G1355" t="s">
        <v>135</v>
      </c>
      <c r="H1355" t="s">
        <v>102</v>
      </c>
      <c r="I1355" t="s">
        <v>104</v>
      </c>
      <c r="J1355">
        <v>57167.07</v>
      </c>
      <c r="K1355">
        <v>10000000</v>
      </c>
    </row>
    <row r="1356" spans="1:11" ht="15" customHeight="1" x14ac:dyDescent="0.2">
      <c r="A1356" t="s">
        <v>2486</v>
      </c>
      <c r="B1356" t="s">
        <v>8197</v>
      </c>
      <c r="C1356">
        <v>2024</v>
      </c>
      <c r="D1356">
        <v>2023</v>
      </c>
      <c r="E1356" s="7">
        <v>45370</v>
      </c>
      <c r="F1356" s="7">
        <v>45734</v>
      </c>
      <c r="G1356" t="s">
        <v>135</v>
      </c>
      <c r="H1356" t="s">
        <v>107</v>
      </c>
      <c r="I1356" t="s">
        <v>101</v>
      </c>
      <c r="J1356">
        <v>3782.31</v>
      </c>
      <c r="K1356">
        <v>500000</v>
      </c>
    </row>
    <row r="1357" spans="1:11" ht="15" customHeight="1" x14ac:dyDescent="0.2">
      <c r="A1357" t="s">
        <v>2487</v>
      </c>
      <c r="B1357" t="s">
        <v>275</v>
      </c>
      <c r="C1357">
        <v>2024</v>
      </c>
      <c r="D1357">
        <v>2023</v>
      </c>
      <c r="E1357" s="7">
        <v>45370</v>
      </c>
      <c r="F1357" s="7">
        <v>45734</v>
      </c>
      <c r="G1357" t="s">
        <v>135</v>
      </c>
      <c r="H1357" t="s">
        <v>109</v>
      </c>
      <c r="I1357" t="s">
        <v>104</v>
      </c>
      <c r="J1357">
        <v>10467.870000000001</v>
      </c>
      <c r="K1357">
        <v>2000000</v>
      </c>
    </row>
    <row r="1358" spans="1:11" ht="15" customHeight="1" x14ac:dyDescent="0.2">
      <c r="A1358" t="s">
        <v>2488</v>
      </c>
      <c r="B1358" t="s">
        <v>2042</v>
      </c>
      <c r="C1358">
        <v>2024</v>
      </c>
      <c r="D1358">
        <v>2023</v>
      </c>
      <c r="E1358" s="7">
        <v>45371</v>
      </c>
      <c r="F1358" s="7">
        <v>45735</v>
      </c>
      <c r="G1358" t="s">
        <v>99</v>
      </c>
      <c r="H1358" t="s">
        <v>114</v>
      </c>
      <c r="I1358" t="s">
        <v>101</v>
      </c>
      <c r="J1358">
        <v>3630.04</v>
      </c>
      <c r="K1358">
        <v>500000</v>
      </c>
    </row>
    <row r="1359" spans="1:11" ht="15" customHeight="1" x14ac:dyDescent="0.2">
      <c r="A1359" t="s">
        <v>2489</v>
      </c>
      <c r="B1359" t="s">
        <v>2044</v>
      </c>
      <c r="C1359">
        <v>2024</v>
      </c>
      <c r="D1359">
        <v>2023</v>
      </c>
      <c r="E1359" s="7">
        <v>45371</v>
      </c>
      <c r="F1359" s="7">
        <v>45735</v>
      </c>
      <c r="G1359" t="s">
        <v>99</v>
      </c>
      <c r="H1359" t="s">
        <v>106</v>
      </c>
      <c r="I1359" t="s">
        <v>104</v>
      </c>
      <c r="J1359">
        <v>7738.92</v>
      </c>
      <c r="K1359">
        <v>1000000</v>
      </c>
    </row>
    <row r="1360" spans="1:11" ht="15" customHeight="1" x14ac:dyDescent="0.2">
      <c r="A1360" t="s">
        <v>2490</v>
      </c>
      <c r="B1360" t="s">
        <v>793</v>
      </c>
      <c r="C1360">
        <v>2024</v>
      </c>
      <c r="D1360">
        <v>2023</v>
      </c>
      <c r="E1360" s="7">
        <v>45371</v>
      </c>
      <c r="F1360" s="7">
        <v>45735</v>
      </c>
      <c r="G1360" t="s">
        <v>135</v>
      </c>
      <c r="H1360" t="s">
        <v>107</v>
      </c>
      <c r="I1360" t="s">
        <v>104</v>
      </c>
      <c r="J1360">
        <v>3151.76</v>
      </c>
      <c r="K1360">
        <v>500000</v>
      </c>
    </row>
    <row r="1361" spans="1:11" ht="15" customHeight="1" x14ac:dyDescent="0.2">
      <c r="A1361" t="s">
        <v>2491</v>
      </c>
      <c r="B1361" t="s">
        <v>6526</v>
      </c>
      <c r="C1361">
        <v>2024</v>
      </c>
      <c r="D1361">
        <v>2023</v>
      </c>
      <c r="E1361" s="7">
        <v>45371</v>
      </c>
      <c r="F1361" s="7">
        <v>45735</v>
      </c>
      <c r="G1361" t="s">
        <v>135</v>
      </c>
      <c r="H1361" t="s">
        <v>102</v>
      </c>
      <c r="I1361" t="s">
        <v>101</v>
      </c>
      <c r="J1361">
        <v>34532.04</v>
      </c>
      <c r="K1361">
        <v>5000000</v>
      </c>
    </row>
    <row r="1362" spans="1:11" ht="15" customHeight="1" x14ac:dyDescent="0.2">
      <c r="A1362" t="s">
        <v>2492</v>
      </c>
      <c r="B1362" t="s">
        <v>8198</v>
      </c>
      <c r="C1362">
        <v>2024</v>
      </c>
      <c r="D1362">
        <v>2023</v>
      </c>
      <c r="E1362" s="7">
        <v>45371</v>
      </c>
      <c r="F1362" s="7">
        <v>45735</v>
      </c>
      <c r="G1362" t="s">
        <v>135</v>
      </c>
      <c r="H1362" t="s">
        <v>103</v>
      </c>
      <c r="I1362" t="s">
        <v>101</v>
      </c>
      <c r="J1362">
        <v>7829.7</v>
      </c>
      <c r="K1362">
        <v>1000000</v>
      </c>
    </row>
    <row r="1363" spans="1:11" ht="15" customHeight="1" x14ac:dyDescent="0.2">
      <c r="A1363" t="s">
        <v>2493</v>
      </c>
      <c r="B1363" t="s">
        <v>493</v>
      </c>
      <c r="C1363">
        <v>2024</v>
      </c>
      <c r="D1363">
        <v>2023</v>
      </c>
      <c r="E1363" s="7">
        <v>45371</v>
      </c>
      <c r="F1363" s="7">
        <v>45735</v>
      </c>
      <c r="G1363" t="s">
        <v>135</v>
      </c>
      <c r="H1363" t="s">
        <v>102</v>
      </c>
      <c r="I1363" t="s">
        <v>101</v>
      </c>
      <c r="J1363">
        <v>3907.24</v>
      </c>
      <c r="K1363">
        <v>500000</v>
      </c>
    </row>
    <row r="1364" spans="1:11" ht="15" customHeight="1" x14ac:dyDescent="0.2">
      <c r="A1364" t="s">
        <v>2494</v>
      </c>
      <c r="B1364" t="s">
        <v>8199</v>
      </c>
      <c r="C1364">
        <v>2024</v>
      </c>
      <c r="D1364">
        <v>2023</v>
      </c>
      <c r="E1364" s="7">
        <v>45371</v>
      </c>
      <c r="F1364" s="7">
        <v>45735</v>
      </c>
      <c r="G1364" t="s">
        <v>135</v>
      </c>
      <c r="H1364" t="s">
        <v>110</v>
      </c>
      <c r="I1364" t="s">
        <v>104</v>
      </c>
      <c r="J1364">
        <v>36678.1</v>
      </c>
      <c r="K1364">
        <v>5000000</v>
      </c>
    </row>
    <row r="1365" spans="1:11" ht="15" customHeight="1" x14ac:dyDescent="0.2">
      <c r="A1365" t="s">
        <v>2496</v>
      </c>
      <c r="B1365" t="s">
        <v>6537</v>
      </c>
      <c r="C1365">
        <v>2024</v>
      </c>
      <c r="D1365">
        <v>2023</v>
      </c>
      <c r="E1365" s="7">
        <v>45371</v>
      </c>
      <c r="F1365" s="7">
        <v>45735</v>
      </c>
      <c r="G1365" t="s">
        <v>135</v>
      </c>
      <c r="H1365" t="s">
        <v>113</v>
      </c>
      <c r="I1365" t="s">
        <v>104</v>
      </c>
      <c r="J1365">
        <v>5333.94</v>
      </c>
      <c r="K1365">
        <v>1000000</v>
      </c>
    </row>
    <row r="1366" spans="1:11" ht="15" customHeight="1" x14ac:dyDescent="0.2">
      <c r="A1366" t="s">
        <v>2498</v>
      </c>
      <c r="B1366" t="s">
        <v>8200</v>
      </c>
      <c r="C1366">
        <v>2024</v>
      </c>
      <c r="D1366">
        <v>2023</v>
      </c>
      <c r="E1366" s="7">
        <v>45371</v>
      </c>
      <c r="F1366" s="7">
        <v>45735</v>
      </c>
      <c r="G1366" t="s">
        <v>135</v>
      </c>
      <c r="H1366" t="s">
        <v>107</v>
      </c>
      <c r="I1366" t="s">
        <v>101</v>
      </c>
      <c r="J1366">
        <v>7364.15</v>
      </c>
      <c r="K1366">
        <v>1000000</v>
      </c>
    </row>
    <row r="1367" spans="1:11" ht="15" customHeight="1" x14ac:dyDescent="0.2">
      <c r="A1367" t="s">
        <v>2500</v>
      </c>
      <c r="B1367" t="s">
        <v>8201</v>
      </c>
      <c r="C1367">
        <v>2024</v>
      </c>
      <c r="D1367">
        <v>2023</v>
      </c>
      <c r="E1367" s="7">
        <v>45371</v>
      </c>
      <c r="F1367" s="7">
        <v>45735</v>
      </c>
      <c r="G1367" t="s">
        <v>135</v>
      </c>
      <c r="H1367" t="s">
        <v>106</v>
      </c>
      <c r="I1367" t="s">
        <v>101</v>
      </c>
      <c r="J1367">
        <v>91465.5</v>
      </c>
      <c r="K1367">
        <v>10000000</v>
      </c>
    </row>
    <row r="1368" spans="1:11" ht="15" customHeight="1" x14ac:dyDescent="0.2">
      <c r="A1368" t="s">
        <v>2502</v>
      </c>
      <c r="B1368" t="s">
        <v>492</v>
      </c>
      <c r="C1368">
        <v>2024</v>
      </c>
      <c r="D1368">
        <v>2023</v>
      </c>
      <c r="E1368" s="7">
        <v>45371</v>
      </c>
      <c r="F1368" s="7">
        <v>45735</v>
      </c>
      <c r="G1368" t="s">
        <v>135</v>
      </c>
      <c r="H1368" t="s">
        <v>107</v>
      </c>
      <c r="I1368" t="s">
        <v>101</v>
      </c>
      <c r="J1368">
        <v>14758.67</v>
      </c>
      <c r="K1368">
        <v>2000000</v>
      </c>
    </row>
    <row r="1369" spans="1:11" ht="15" customHeight="1" x14ac:dyDescent="0.2">
      <c r="A1369" t="s">
        <v>2504</v>
      </c>
      <c r="B1369" t="s">
        <v>8202</v>
      </c>
      <c r="C1369">
        <v>2024</v>
      </c>
      <c r="D1369">
        <v>2023</v>
      </c>
      <c r="E1369" s="7">
        <v>45371</v>
      </c>
      <c r="F1369" s="7">
        <v>45735</v>
      </c>
      <c r="G1369" t="s">
        <v>135</v>
      </c>
      <c r="H1369" t="s">
        <v>107</v>
      </c>
      <c r="I1369" t="s">
        <v>104</v>
      </c>
      <c r="J1369">
        <v>11664.13</v>
      </c>
      <c r="K1369">
        <v>2000000</v>
      </c>
    </row>
    <row r="1370" spans="1:11" ht="15" customHeight="1" x14ac:dyDescent="0.2">
      <c r="A1370" t="s">
        <v>2506</v>
      </c>
      <c r="B1370" t="s">
        <v>277</v>
      </c>
      <c r="C1370">
        <v>2024</v>
      </c>
      <c r="D1370">
        <v>2023</v>
      </c>
      <c r="E1370" s="7">
        <v>45371</v>
      </c>
      <c r="F1370" s="7">
        <v>45735</v>
      </c>
      <c r="G1370" t="s">
        <v>135</v>
      </c>
      <c r="H1370" t="s">
        <v>110</v>
      </c>
      <c r="I1370" t="s">
        <v>101</v>
      </c>
      <c r="J1370">
        <v>12870.06</v>
      </c>
      <c r="K1370">
        <v>1500000</v>
      </c>
    </row>
    <row r="1371" spans="1:11" ht="15" customHeight="1" x14ac:dyDescent="0.2">
      <c r="A1371" t="s">
        <v>2508</v>
      </c>
      <c r="B1371" t="s">
        <v>6503</v>
      </c>
      <c r="C1371">
        <v>2024</v>
      </c>
      <c r="D1371">
        <v>2023</v>
      </c>
      <c r="E1371" s="7">
        <v>45371</v>
      </c>
      <c r="F1371" s="7">
        <v>45735</v>
      </c>
      <c r="G1371" t="s">
        <v>135</v>
      </c>
      <c r="H1371" t="s">
        <v>112</v>
      </c>
      <c r="I1371" t="s">
        <v>104</v>
      </c>
      <c r="J1371">
        <v>7260.82</v>
      </c>
      <c r="K1371">
        <v>1000000</v>
      </c>
    </row>
    <row r="1372" spans="1:11" ht="15" customHeight="1" x14ac:dyDescent="0.2">
      <c r="A1372" t="s">
        <v>2510</v>
      </c>
      <c r="B1372" t="s">
        <v>2052</v>
      </c>
      <c r="C1372">
        <v>2024</v>
      </c>
      <c r="D1372">
        <v>2023</v>
      </c>
      <c r="E1372" s="7">
        <v>45372</v>
      </c>
      <c r="F1372" s="7">
        <v>45736</v>
      </c>
      <c r="G1372" t="s">
        <v>99</v>
      </c>
      <c r="H1372" t="s">
        <v>109</v>
      </c>
      <c r="I1372" t="s">
        <v>101</v>
      </c>
      <c r="J1372">
        <v>13205.83</v>
      </c>
      <c r="K1372">
        <v>2000000</v>
      </c>
    </row>
    <row r="1373" spans="1:11" ht="15" customHeight="1" x14ac:dyDescent="0.2">
      <c r="A1373" t="s">
        <v>2512</v>
      </c>
      <c r="B1373" t="s">
        <v>2054</v>
      </c>
      <c r="C1373">
        <v>2024</v>
      </c>
      <c r="D1373">
        <v>2023</v>
      </c>
      <c r="E1373" s="7">
        <v>45372</v>
      </c>
      <c r="F1373" s="7">
        <v>45736</v>
      </c>
      <c r="G1373" t="s">
        <v>99</v>
      </c>
      <c r="H1373" t="s">
        <v>107</v>
      </c>
      <c r="I1373" t="s">
        <v>104</v>
      </c>
      <c r="J1373">
        <v>5738.54</v>
      </c>
      <c r="K1373">
        <v>1000000</v>
      </c>
    </row>
    <row r="1374" spans="1:11" ht="15" customHeight="1" x14ac:dyDescent="0.2">
      <c r="A1374" t="s">
        <v>2513</v>
      </c>
      <c r="B1374" t="s">
        <v>2056</v>
      </c>
      <c r="C1374">
        <v>2024</v>
      </c>
      <c r="D1374">
        <v>2023</v>
      </c>
      <c r="E1374" s="7">
        <v>45372</v>
      </c>
      <c r="F1374" s="7">
        <v>45736</v>
      </c>
      <c r="G1374" t="s">
        <v>99</v>
      </c>
      <c r="H1374" t="s">
        <v>106</v>
      </c>
      <c r="I1374" t="s">
        <v>104</v>
      </c>
      <c r="J1374">
        <v>7242.09</v>
      </c>
      <c r="K1374">
        <v>1000000</v>
      </c>
    </row>
    <row r="1375" spans="1:11" ht="15" customHeight="1" x14ac:dyDescent="0.2">
      <c r="A1375" t="s">
        <v>2514</v>
      </c>
      <c r="B1375" t="s">
        <v>6532</v>
      </c>
      <c r="C1375">
        <v>2024</v>
      </c>
      <c r="D1375">
        <v>2023</v>
      </c>
      <c r="E1375" s="7">
        <v>45372</v>
      </c>
      <c r="F1375" s="7">
        <v>45736</v>
      </c>
      <c r="G1375" t="s">
        <v>135</v>
      </c>
      <c r="H1375" t="s">
        <v>102</v>
      </c>
      <c r="I1375" t="s">
        <v>101</v>
      </c>
      <c r="J1375">
        <v>6944.61</v>
      </c>
      <c r="K1375">
        <v>1000000</v>
      </c>
    </row>
    <row r="1376" spans="1:11" ht="15" customHeight="1" x14ac:dyDescent="0.2">
      <c r="A1376" t="s">
        <v>2515</v>
      </c>
      <c r="B1376" t="s">
        <v>794</v>
      </c>
      <c r="C1376">
        <v>2024</v>
      </c>
      <c r="D1376">
        <v>2023</v>
      </c>
      <c r="E1376" s="7">
        <v>45372</v>
      </c>
      <c r="F1376" s="7">
        <v>45736</v>
      </c>
      <c r="G1376" t="s">
        <v>135</v>
      </c>
      <c r="H1376" t="s">
        <v>106</v>
      </c>
      <c r="I1376" t="s">
        <v>101</v>
      </c>
      <c r="J1376">
        <v>16287.8</v>
      </c>
      <c r="K1376">
        <v>2000000</v>
      </c>
    </row>
    <row r="1377" spans="1:11" ht="15" customHeight="1" x14ac:dyDescent="0.2">
      <c r="A1377" t="s">
        <v>2516</v>
      </c>
      <c r="B1377" t="s">
        <v>6531</v>
      </c>
      <c r="C1377">
        <v>2024</v>
      </c>
      <c r="D1377">
        <v>2023</v>
      </c>
      <c r="E1377" s="7">
        <v>45372</v>
      </c>
      <c r="F1377" s="7">
        <v>45736</v>
      </c>
      <c r="G1377" t="s">
        <v>135</v>
      </c>
      <c r="H1377" t="s">
        <v>103</v>
      </c>
      <c r="I1377" t="s">
        <v>104</v>
      </c>
      <c r="J1377">
        <v>8060.65</v>
      </c>
      <c r="K1377">
        <v>1500000</v>
      </c>
    </row>
    <row r="1378" spans="1:11" ht="15" customHeight="1" x14ac:dyDescent="0.2">
      <c r="A1378" t="s">
        <v>2517</v>
      </c>
      <c r="B1378" t="s">
        <v>6523</v>
      </c>
      <c r="C1378">
        <v>2024</v>
      </c>
      <c r="D1378">
        <v>2023</v>
      </c>
      <c r="E1378" s="7">
        <v>45372</v>
      </c>
      <c r="F1378" s="7">
        <v>45736</v>
      </c>
      <c r="G1378" t="s">
        <v>135</v>
      </c>
      <c r="H1378" t="s">
        <v>105</v>
      </c>
      <c r="I1378" t="s">
        <v>101</v>
      </c>
      <c r="J1378">
        <v>15287.41</v>
      </c>
      <c r="K1378">
        <v>2000000</v>
      </c>
    </row>
    <row r="1379" spans="1:11" ht="15" customHeight="1" x14ac:dyDescent="0.2">
      <c r="A1379" t="s">
        <v>2518</v>
      </c>
      <c r="B1379" t="s">
        <v>7288</v>
      </c>
      <c r="C1379">
        <v>2024</v>
      </c>
      <c r="D1379">
        <v>2023</v>
      </c>
      <c r="E1379" s="7">
        <v>45372</v>
      </c>
      <c r="F1379" s="7">
        <v>45736</v>
      </c>
      <c r="G1379" t="s">
        <v>135</v>
      </c>
      <c r="H1379" t="s">
        <v>113</v>
      </c>
      <c r="I1379" t="s">
        <v>104</v>
      </c>
      <c r="J1379">
        <v>2869.91</v>
      </c>
      <c r="K1379">
        <v>500000</v>
      </c>
    </row>
    <row r="1380" spans="1:11" ht="15" customHeight="1" x14ac:dyDescent="0.2">
      <c r="A1380" t="s">
        <v>2519</v>
      </c>
      <c r="B1380" t="s">
        <v>8203</v>
      </c>
      <c r="C1380">
        <v>2024</v>
      </c>
      <c r="D1380">
        <v>2023</v>
      </c>
      <c r="E1380" s="7">
        <v>45372</v>
      </c>
      <c r="F1380" s="7">
        <v>45736</v>
      </c>
      <c r="G1380" t="s">
        <v>135</v>
      </c>
      <c r="H1380" t="s">
        <v>102</v>
      </c>
      <c r="I1380" t="s">
        <v>101</v>
      </c>
      <c r="J1380">
        <v>15760.37</v>
      </c>
      <c r="K1380">
        <v>2000000</v>
      </c>
    </row>
    <row r="1381" spans="1:11" ht="15" customHeight="1" x14ac:dyDescent="0.2">
      <c r="A1381" t="s">
        <v>2521</v>
      </c>
      <c r="B1381" t="s">
        <v>2058</v>
      </c>
      <c r="C1381">
        <v>2024</v>
      </c>
      <c r="D1381">
        <v>2023</v>
      </c>
      <c r="E1381" s="7">
        <v>45373</v>
      </c>
      <c r="F1381" s="7">
        <v>45737</v>
      </c>
      <c r="G1381" t="s">
        <v>99</v>
      </c>
      <c r="H1381" t="s">
        <v>115</v>
      </c>
      <c r="I1381" t="s">
        <v>104</v>
      </c>
      <c r="J1381">
        <v>8620.33</v>
      </c>
      <c r="K1381">
        <v>1500000</v>
      </c>
    </row>
    <row r="1382" spans="1:11" ht="15" customHeight="1" x14ac:dyDescent="0.2">
      <c r="A1382" t="s">
        <v>2523</v>
      </c>
      <c r="B1382" t="s">
        <v>278</v>
      </c>
      <c r="C1382">
        <v>2024</v>
      </c>
      <c r="D1382">
        <v>2023</v>
      </c>
      <c r="E1382" s="7">
        <v>45373</v>
      </c>
      <c r="F1382" s="7">
        <v>45737</v>
      </c>
      <c r="G1382" t="s">
        <v>135</v>
      </c>
      <c r="H1382" t="s">
        <v>116</v>
      </c>
      <c r="I1382" t="s">
        <v>101</v>
      </c>
      <c r="J1382">
        <v>11317.14</v>
      </c>
      <c r="K1382">
        <v>1500000</v>
      </c>
    </row>
    <row r="1383" spans="1:11" ht="15" customHeight="1" x14ac:dyDescent="0.2">
      <c r="A1383" t="s">
        <v>2525</v>
      </c>
      <c r="B1383" t="s">
        <v>279</v>
      </c>
      <c r="C1383">
        <v>2024</v>
      </c>
      <c r="D1383">
        <v>2023</v>
      </c>
      <c r="E1383" s="7">
        <v>45373</v>
      </c>
      <c r="F1383" s="7">
        <v>45737</v>
      </c>
      <c r="G1383" t="s">
        <v>135</v>
      </c>
      <c r="H1383" t="s">
        <v>102</v>
      </c>
      <c r="I1383" t="s">
        <v>104</v>
      </c>
      <c r="J1383">
        <v>2898.29</v>
      </c>
      <c r="K1383">
        <v>500000</v>
      </c>
    </row>
    <row r="1384" spans="1:11" ht="15" customHeight="1" x14ac:dyDescent="0.2">
      <c r="A1384" t="s">
        <v>2527</v>
      </c>
      <c r="B1384" t="s">
        <v>8204</v>
      </c>
      <c r="C1384">
        <v>2024</v>
      </c>
      <c r="D1384">
        <v>2023</v>
      </c>
      <c r="E1384" s="7">
        <v>45373</v>
      </c>
      <c r="F1384" s="7">
        <v>45737</v>
      </c>
      <c r="G1384" t="s">
        <v>135</v>
      </c>
      <c r="H1384" t="s">
        <v>112</v>
      </c>
      <c r="I1384" t="s">
        <v>101</v>
      </c>
      <c r="J1384">
        <v>8957.7099999999991</v>
      </c>
      <c r="K1384">
        <v>1000000</v>
      </c>
    </row>
    <row r="1385" spans="1:11" ht="15" customHeight="1" x14ac:dyDescent="0.2">
      <c r="A1385" t="s">
        <v>2529</v>
      </c>
      <c r="B1385" t="s">
        <v>6535</v>
      </c>
      <c r="C1385">
        <v>2024</v>
      </c>
      <c r="D1385">
        <v>2023</v>
      </c>
      <c r="E1385" s="7">
        <v>45373</v>
      </c>
      <c r="F1385" s="7">
        <v>45737</v>
      </c>
      <c r="G1385" t="s">
        <v>135</v>
      </c>
      <c r="H1385" t="s">
        <v>6332</v>
      </c>
      <c r="I1385" t="s">
        <v>101</v>
      </c>
      <c r="J1385">
        <v>6566.68</v>
      </c>
      <c r="K1385">
        <v>1000000</v>
      </c>
    </row>
    <row r="1386" spans="1:11" ht="15" customHeight="1" x14ac:dyDescent="0.2">
      <c r="A1386" t="s">
        <v>2530</v>
      </c>
      <c r="B1386" t="s">
        <v>8205</v>
      </c>
      <c r="C1386">
        <v>2024</v>
      </c>
      <c r="D1386">
        <v>2023</v>
      </c>
      <c r="E1386" s="7">
        <v>45373</v>
      </c>
      <c r="F1386" s="7">
        <v>45737</v>
      </c>
      <c r="G1386" t="s">
        <v>135</v>
      </c>
      <c r="H1386" t="s">
        <v>100</v>
      </c>
      <c r="I1386" t="s">
        <v>101</v>
      </c>
      <c r="J1386">
        <v>6579.34</v>
      </c>
      <c r="K1386">
        <v>1000000</v>
      </c>
    </row>
    <row r="1387" spans="1:11" ht="15" customHeight="1" x14ac:dyDescent="0.2">
      <c r="A1387" t="s">
        <v>2531</v>
      </c>
      <c r="B1387" t="s">
        <v>8206</v>
      </c>
      <c r="C1387">
        <v>2024</v>
      </c>
      <c r="D1387">
        <v>2023</v>
      </c>
      <c r="E1387" s="7">
        <v>45373</v>
      </c>
      <c r="F1387" s="7">
        <v>45737</v>
      </c>
      <c r="G1387" t="s">
        <v>135</v>
      </c>
      <c r="H1387" t="s">
        <v>106</v>
      </c>
      <c r="I1387" t="s">
        <v>104</v>
      </c>
      <c r="J1387">
        <v>10217.92</v>
      </c>
      <c r="K1387">
        <v>1500000</v>
      </c>
    </row>
    <row r="1388" spans="1:11" ht="15" customHeight="1" x14ac:dyDescent="0.2">
      <c r="A1388" t="s">
        <v>2532</v>
      </c>
      <c r="B1388" t="s">
        <v>6507</v>
      </c>
      <c r="C1388">
        <v>2024</v>
      </c>
      <c r="D1388">
        <v>2023</v>
      </c>
      <c r="E1388" s="7">
        <v>45373</v>
      </c>
      <c r="F1388" s="7">
        <v>45737</v>
      </c>
      <c r="G1388" t="s">
        <v>135</v>
      </c>
      <c r="H1388" t="s">
        <v>106</v>
      </c>
      <c r="I1388" t="s">
        <v>101</v>
      </c>
      <c r="J1388">
        <v>13512.77</v>
      </c>
      <c r="K1388">
        <v>1500000</v>
      </c>
    </row>
    <row r="1389" spans="1:11" ht="15" customHeight="1" x14ac:dyDescent="0.2">
      <c r="A1389" t="s">
        <v>2533</v>
      </c>
      <c r="B1389" t="s">
        <v>795</v>
      </c>
      <c r="C1389">
        <v>2024</v>
      </c>
      <c r="D1389">
        <v>2023</v>
      </c>
      <c r="E1389" s="7">
        <v>45373</v>
      </c>
      <c r="F1389" s="7">
        <v>45737</v>
      </c>
      <c r="G1389" t="s">
        <v>135</v>
      </c>
      <c r="H1389" t="s">
        <v>103</v>
      </c>
      <c r="I1389" t="s">
        <v>104</v>
      </c>
      <c r="J1389">
        <v>54389.25</v>
      </c>
      <c r="K1389">
        <v>10000000</v>
      </c>
    </row>
    <row r="1390" spans="1:11" ht="15" customHeight="1" x14ac:dyDescent="0.2">
      <c r="A1390" t="s">
        <v>2535</v>
      </c>
      <c r="B1390" t="s">
        <v>6522</v>
      </c>
      <c r="C1390">
        <v>2024</v>
      </c>
      <c r="D1390">
        <v>2023</v>
      </c>
      <c r="E1390" s="7">
        <v>45373</v>
      </c>
      <c r="F1390" s="7">
        <v>45737</v>
      </c>
      <c r="G1390" t="s">
        <v>135</v>
      </c>
      <c r="H1390" t="s">
        <v>103</v>
      </c>
      <c r="I1390" t="s">
        <v>101</v>
      </c>
      <c r="J1390">
        <v>32693.85</v>
      </c>
      <c r="K1390">
        <v>5000000</v>
      </c>
    </row>
    <row r="1391" spans="1:11" ht="15" customHeight="1" x14ac:dyDescent="0.2">
      <c r="A1391" t="s">
        <v>2537</v>
      </c>
      <c r="B1391" t="s">
        <v>280</v>
      </c>
      <c r="C1391">
        <v>2024</v>
      </c>
      <c r="D1391">
        <v>2023</v>
      </c>
      <c r="E1391" s="7">
        <v>45373</v>
      </c>
      <c r="F1391" s="7">
        <v>45737</v>
      </c>
      <c r="G1391" t="s">
        <v>135</v>
      </c>
      <c r="H1391" t="s">
        <v>102</v>
      </c>
      <c r="I1391" t="s">
        <v>104</v>
      </c>
      <c r="J1391">
        <v>12420.27</v>
      </c>
      <c r="K1391">
        <v>2000000</v>
      </c>
    </row>
    <row r="1392" spans="1:11" ht="15" customHeight="1" x14ac:dyDescent="0.2">
      <c r="A1392" t="s">
        <v>2539</v>
      </c>
      <c r="B1392" t="s">
        <v>8207</v>
      </c>
      <c r="C1392">
        <v>2024</v>
      </c>
      <c r="D1392">
        <v>2023</v>
      </c>
      <c r="E1392" s="7">
        <v>45373</v>
      </c>
      <c r="F1392" s="7">
        <v>45737</v>
      </c>
      <c r="G1392" t="s">
        <v>135</v>
      </c>
      <c r="H1392" t="s">
        <v>106</v>
      </c>
      <c r="I1392" t="s">
        <v>101</v>
      </c>
      <c r="J1392">
        <v>8224.57</v>
      </c>
      <c r="K1392">
        <v>1000000</v>
      </c>
    </row>
    <row r="1393" spans="1:11" ht="15" customHeight="1" x14ac:dyDescent="0.2">
      <c r="A1393" t="s">
        <v>2541</v>
      </c>
      <c r="B1393" t="s">
        <v>796</v>
      </c>
      <c r="C1393">
        <v>2024</v>
      </c>
      <c r="D1393">
        <v>2023</v>
      </c>
      <c r="E1393" s="7">
        <v>45373</v>
      </c>
      <c r="F1393" s="7">
        <v>45737</v>
      </c>
      <c r="G1393" t="s">
        <v>135</v>
      </c>
      <c r="H1393" t="s">
        <v>106</v>
      </c>
      <c r="I1393" t="s">
        <v>104</v>
      </c>
      <c r="J1393">
        <v>3320.54</v>
      </c>
      <c r="K1393">
        <v>500000</v>
      </c>
    </row>
    <row r="1394" spans="1:11" ht="15" customHeight="1" x14ac:dyDescent="0.2">
      <c r="A1394" t="s">
        <v>2543</v>
      </c>
      <c r="B1394" t="s">
        <v>8208</v>
      </c>
      <c r="C1394">
        <v>2024</v>
      </c>
      <c r="D1394">
        <v>2023</v>
      </c>
      <c r="E1394" s="7">
        <v>45373</v>
      </c>
      <c r="F1394" s="7">
        <v>45737</v>
      </c>
      <c r="G1394" t="s">
        <v>135</v>
      </c>
      <c r="H1394" t="s">
        <v>105</v>
      </c>
      <c r="I1394" t="s">
        <v>101</v>
      </c>
      <c r="J1394">
        <v>7864.67</v>
      </c>
      <c r="K1394">
        <v>1000000</v>
      </c>
    </row>
    <row r="1395" spans="1:11" ht="15" customHeight="1" x14ac:dyDescent="0.2">
      <c r="A1395" t="s">
        <v>2545</v>
      </c>
      <c r="B1395" t="s">
        <v>797</v>
      </c>
      <c r="C1395">
        <v>2024</v>
      </c>
      <c r="D1395">
        <v>2023</v>
      </c>
      <c r="E1395" s="7">
        <v>45373</v>
      </c>
      <c r="F1395" s="7">
        <v>45737</v>
      </c>
      <c r="G1395" t="s">
        <v>135</v>
      </c>
      <c r="H1395" t="s">
        <v>106</v>
      </c>
      <c r="I1395" t="s">
        <v>104</v>
      </c>
      <c r="J1395">
        <v>3798.95</v>
      </c>
      <c r="K1395">
        <v>500000</v>
      </c>
    </row>
    <row r="1396" spans="1:11" ht="15" customHeight="1" x14ac:dyDescent="0.2">
      <c r="A1396" t="s">
        <v>2546</v>
      </c>
      <c r="B1396" t="s">
        <v>6528</v>
      </c>
      <c r="C1396">
        <v>2024</v>
      </c>
      <c r="D1396">
        <v>2023</v>
      </c>
      <c r="E1396" s="7">
        <v>45373</v>
      </c>
      <c r="F1396" s="7">
        <v>45737</v>
      </c>
      <c r="G1396" t="s">
        <v>135</v>
      </c>
      <c r="H1396" t="s">
        <v>102</v>
      </c>
      <c r="I1396" t="s">
        <v>101</v>
      </c>
      <c r="J1396">
        <v>10675.91</v>
      </c>
      <c r="K1396">
        <v>1500000</v>
      </c>
    </row>
    <row r="1397" spans="1:11" ht="15" customHeight="1" x14ac:dyDescent="0.2">
      <c r="A1397" t="s">
        <v>2547</v>
      </c>
      <c r="B1397" t="s">
        <v>6534</v>
      </c>
      <c r="C1397">
        <v>2024</v>
      </c>
      <c r="D1397">
        <v>2023</v>
      </c>
      <c r="E1397" s="7">
        <v>45373</v>
      </c>
      <c r="F1397" s="7">
        <v>45737</v>
      </c>
      <c r="G1397" t="s">
        <v>135</v>
      </c>
      <c r="H1397" t="s">
        <v>112</v>
      </c>
      <c r="I1397" t="s">
        <v>101</v>
      </c>
      <c r="J1397">
        <v>8453.43</v>
      </c>
      <c r="K1397">
        <v>1000000</v>
      </c>
    </row>
    <row r="1398" spans="1:11" ht="15" customHeight="1" x14ac:dyDescent="0.2">
      <c r="A1398" t="s">
        <v>2548</v>
      </c>
      <c r="B1398" t="s">
        <v>8209</v>
      </c>
      <c r="C1398">
        <v>2024</v>
      </c>
      <c r="D1398">
        <v>2023</v>
      </c>
      <c r="E1398" s="7">
        <v>45373</v>
      </c>
      <c r="F1398" s="7">
        <v>45737</v>
      </c>
      <c r="G1398" t="s">
        <v>135</v>
      </c>
      <c r="H1398" t="s">
        <v>106</v>
      </c>
      <c r="I1398" t="s">
        <v>101</v>
      </c>
      <c r="J1398">
        <v>8411.85</v>
      </c>
      <c r="K1398">
        <v>1000000</v>
      </c>
    </row>
    <row r="1399" spans="1:11" ht="15" customHeight="1" x14ac:dyDescent="0.2">
      <c r="A1399" t="s">
        <v>2549</v>
      </c>
      <c r="B1399" t="s">
        <v>2060</v>
      </c>
      <c r="C1399">
        <v>2024</v>
      </c>
      <c r="D1399">
        <v>2023</v>
      </c>
      <c r="E1399" s="7">
        <v>45374</v>
      </c>
      <c r="F1399" s="7">
        <v>45738</v>
      </c>
      <c r="G1399" t="s">
        <v>99</v>
      </c>
      <c r="H1399" t="s">
        <v>105</v>
      </c>
      <c r="I1399" t="s">
        <v>101</v>
      </c>
      <c r="J1399">
        <v>7273.89</v>
      </c>
      <c r="K1399">
        <v>1000000</v>
      </c>
    </row>
    <row r="1400" spans="1:11" ht="15" customHeight="1" x14ac:dyDescent="0.2">
      <c r="A1400" t="s">
        <v>2550</v>
      </c>
      <c r="B1400" t="s">
        <v>2062</v>
      </c>
      <c r="C1400">
        <v>2024</v>
      </c>
      <c r="D1400">
        <v>2023</v>
      </c>
      <c r="E1400" s="7">
        <v>45374</v>
      </c>
      <c r="F1400" s="7">
        <v>45738</v>
      </c>
      <c r="G1400" t="s">
        <v>99</v>
      </c>
      <c r="H1400" t="s">
        <v>102</v>
      </c>
      <c r="I1400" t="s">
        <v>101</v>
      </c>
      <c r="J1400">
        <v>6970.89</v>
      </c>
      <c r="K1400">
        <v>1000000</v>
      </c>
    </row>
    <row r="1401" spans="1:11" ht="15" customHeight="1" x14ac:dyDescent="0.2">
      <c r="A1401" t="s">
        <v>2551</v>
      </c>
      <c r="B1401" t="s">
        <v>2072</v>
      </c>
      <c r="C1401">
        <v>2024</v>
      </c>
      <c r="D1401">
        <v>2023</v>
      </c>
      <c r="E1401" s="7">
        <v>45374</v>
      </c>
      <c r="F1401" s="7">
        <v>45738</v>
      </c>
      <c r="G1401" t="s">
        <v>99</v>
      </c>
      <c r="H1401" t="s">
        <v>108</v>
      </c>
      <c r="I1401" t="s">
        <v>104</v>
      </c>
      <c r="J1401">
        <v>7865.33</v>
      </c>
      <c r="K1401">
        <v>1000000</v>
      </c>
    </row>
    <row r="1402" spans="1:11" ht="15" customHeight="1" x14ac:dyDescent="0.2">
      <c r="A1402" t="s">
        <v>2552</v>
      </c>
      <c r="B1402" t="s">
        <v>2074</v>
      </c>
      <c r="C1402">
        <v>2024</v>
      </c>
      <c r="D1402">
        <v>2023</v>
      </c>
      <c r="E1402" s="7">
        <v>45374</v>
      </c>
      <c r="F1402" s="7">
        <v>45738</v>
      </c>
      <c r="G1402" t="s">
        <v>99</v>
      </c>
      <c r="H1402" t="s">
        <v>106</v>
      </c>
      <c r="I1402" t="s">
        <v>101</v>
      </c>
      <c r="J1402">
        <v>46112.55</v>
      </c>
      <c r="K1402">
        <v>5000000</v>
      </c>
    </row>
    <row r="1403" spans="1:11" ht="15" customHeight="1" x14ac:dyDescent="0.2">
      <c r="A1403" t="s">
        <v>2553</v>
      </c>
      <c r="B1403" t="s">
        <v>8210</v>
      </c>
      <c r="C1403">
        <v>2024</v>
      </c>
      <c r="D1403">
        <v>2023</v>
      </c>
      <c r="E1403" s="7">
        <v>45374</v>
      </c>
      <c r="F1403" s="7">
        <v>45738</v>
      </c>
      <c r="G1403" t="s">
        <v>135</v>
      </c>
      <c r="H1403" t="s">
        <v>112</v>
      </c>
      <c r="I1403" t="s">
        <v>104</v>
      </c>
      <c r="J1403">
        <v>7156.02</v>
      </c>
      <c r="K1403">
        <v>1000000</v>
      </c>
    </row>
    <row r="1404" spans="1:11" ht="15" customHeight="1" x14ac:dyDescent="0.2">
      <c r="A1404" t="s">
        <v>2555</v>
      </c>
      <c r="B1404" t="s">
        <v>6501</v>
      </c>
      <c r="C1404">
        <v>2024</v>
      </c>
      <c r="D1404">
        <v>2023</v>
      </c>
      <c r="E1404" s="7">
        <v>45374</v>
      </c>
      <c r="F1404" s="7">
        <v>45738</v>
      </c>
      <c r="G1404" t="s">
        <v>135</v>
      </c>
      <c r="H1404" t="s">
        <v>113</v>
      </c>
      <c r="I1404" t="s">
        <v>101</v>
      </c>
      <c r="J1404">
        <v>10897.77</v>
      </c>
      <c r="K1404">
        <v>1500000</v>
      </c>
    </row>
    <row r="1405" spans="1:11" ht="15" customHeight="1" x14ac:dyDescent="0.2">
      <c r="A1405" t="s">
        <v>2557</v>
      </c>
      <c r="B1405" t="s">
        <v>7283</v>
      </c>
      <c r="C1405">
        <v>2024</v>
      </c>
      <c r="D1405">
        <v>2023</v>
      </c>
      <c r="E1405" s="7">
        <v>45374</v>
      </c>
      <c r="F1405" s="7">
        <v>45738</v>
      </c>
      <c r="G1405" t="s">
        <v>135</v>
      </c>
      <c r="H1405" t="s">
        <v>6332</v>
      </c>
      <c r="I1405" t="s">
        <v>101</v>
      </c>
      <c r="J1405">
        <v>13780.44</v>
      </c>
      <c r="K1405">
        <v>2000000</v>
      </c>
    </row>
    <row r="1406" spans="1:11" ht="15" customHeight="1" x14ac:dyDescent="0.2">
      <c r="A1406" t="s">
        <v>2558</v>
      </c>
      <c r="B1406" t="s">
        <v>2076</v>
      </c>
      <c r="C1406">
        <v>2024</v>
      </c>
      <c r="D1406">
        <v>2023</v>
      </c>
      <c r="E1406" s="7">
        <v>45375</v>
      </c>
      <c r="F1406" s="7">
        <v>45739</v>
      </c>
      <c r="G1406" t="s">
        <v>99</v>
      </c>
      <c r="H1406" t="s">
        <v>108</v>
      </c>
      <c r="I1406" t="s">
        <v>101</v>
      </c>
      <c r="J1406">
        <v>8327.64</v>
      </c>
      <c r="K1406">
        <v>1000000</v>
      </c>
    </row>
    <row r="1407" spans="1:11" ht="15" customHeight="1" x14ac:dyDescent="0.2">
      <c r="A1407" t="s">
        <v>2559</v>
      </c>
      <c r="B1407" t="s">
        <v>2078</v>
      </c>
      <c r="C1407">
        <v>2024</v>
      </c>
      <c r="D1407">
        <v>2023</v>
      </c>
      <c r="E1407" s="7">
        <v>45375</v>
      </c>
      <c r="F1407" s="7">
        <v>45739</v>
      </c>
      <c r="G1407" t="s">
        <v>99</v>
      </c>
      <c r="H1407" t="s">
        <v>106</v>
      </c>
      <c r="I1407" t="s">
        <v>104</v>
      </c>
      <c r="J1407">
        <v>3549.27</v>
      </c>
      <c r="K1407">
        <v>500000</v>
      </c>
    </row>
    <row r="1408" spans="1:11" ht="15" customHeight="1" x14ac:dyDescent="0.2">
      <c r="A1408" t="s">
        <v>2560</v>
      </c>
      <c r="B1408" t="s">
        <v>2080</v>
      </c>
      <c r="C1408">
        <v>2024</v>
      </c>
      <c r="D1408">
        <v>2023</v>
      </c>
      <c r="E1408" s="7">
        <v>45375</v>
      </c>
      <c r="F1408" s="7">
        <v>45739</v>
      </c>
      <c r="G1408" t="s">
        <v>99</v>
      </c>
      <c r="H1408" t="s">
        <v>6348</v>
      </c>
      <c r="I1408" t="s">
        <v>101</v>
      </c>
      <c r="J1408">
        <v>3715.95</v>
      </c>
      <c r="K1408">
        <v>500000</v>
      </c>
    </row>
    <row r="1409" spans="1:11" ht="15" customHeight="1" x14ac:dyDescent="0.2">
      <c r="A1409" t="s">
        <v>2561</v>
      </c>
      <c r="B1409" t="s">
        <v>2090</v>
      </c>
      <c r="C1409">
        <v>2024</v>
      </c>
      <c r="D1409">
        <v>2023</v>
      </c>
      <c r="E1409" s="7">
        <v>45375</v>
      </c>
      <c r="F1409" s="7">
        <v>45739</v>
      </c>
      <c r="G1409" t="s">
        <v>99</v>
      </c>
      <c r="H1409" t="s">
        <v>105</v>
      </c>
      <c r="I1409" t="s">
        <v>101</v>
      </c>
      <c r="J1409">
        <v>14641.42</v>
      </c>
      <c r="K1409">
        <v>2000000</v>
      </c>
    </row>
    <row r="1410" spans="1:11" ht="15" customHeight="1" x14ac:dyDescent="0.2">
      <c r="A1410" t="s">
        <v>2562</v>
      </c>
      <c r="B1410" t="s">
        <v>6514</v>
      </c>
      <c r="C1410">
        <v>2024</v>
      </c>
      <c r="D1410">
        <v>2023</v>
      </c>
      <c r="E1410" s="7">
        <v>45375</v>
      </c>
      <c r="F1410" s="7">
        <v>45739</v>
      </c>
      <c r="G1410" t="s">
        <v>135</v>
      </c>
      <c r="H1410" t="s">
        <v>6337</v>
      </c>
      <c r="I1410" t="s">
        <v>104</v>
      </c>
      <c r="J1410">
        <v>7993.56</v>
      </c>
      <c r="K1410">
        <v>1500000</v>
      </c>
    </row>
    <row r="1411" spans="1:11" ht="15" customHeight="1" x14ac:dyDescent="0.2">
      <c r="A1411" t="s">
        <v>2563</v>
      </c>
      <c r="B1411" t="s">
        <v>6538</v>
      </c>
      <c r="C1411">
        <v>2024</v>
      </c>
      <c r="D1411">
        <v>2023</v>
      </c>
      <c r="E1411" s="7">
        <v>45375</v>
      </c>
      <c r="F1411" s="7">
        <v>45739</v>
      </c>
      <c r="G1411" t="s">
        <v>135</v>
      </c>
      <c r="H1411" t="s">
        <v>106</v>
      </c>
      <c r="I1411" t="s">
        <v>104</v>
      </c>
      <c r="J1411">
        <v>35522.53</v>
      </c>
      <c r="K1411">
        <v>5000000</v>
      </c>
    </row>
    <row r="1412" spans="1:11" ht="15" customHeight="1" x14ac:dyDescent="0.2">
      <c r="A1412" t="s">
        <v>2564</v>
      </c>
      <c r="B1412" t="s">
        <v>281</v>
      </c>
      <c r="C1412">
        <v>2024</v>
      </c>
      <c r="D1412">
        <v>2023</v>
      </c>
      <c r="E1412" s="7">
        <v>45375</v>
      </c>
      <c r="F1412" s="7">
        <v>45739</v>
      </c>
      <c r="G1412" t="s">
        <v>135</v>
      </c>
      <c r="H1412" t="s">
        <v>115</v>
      </c>
      <c r="I1412" t="s">
        <v>101</v>
      </c>
      <c r="J1412">
        <v>15654.34</v>
      </c>
      <c r="K1412">
        <v>2000000</v>
      </c>
    </row>
    <row r="1413" spans="1:11" ht="15" customHeight="1" x14ac:dyDescent="0.2">
      <c r="A1413" t="s">
        <v>2565</v>
      </c>
      <c r="B1413" t="s">
        <v>8211</v>
      </c>
      <c r="C1413">
        <v>2024</v>
      </c>
      <c r="D1413">
        <v>2023</v>
      </c>
      <c r="E1413" s="7">
        <v>45375</v>
      </c>
      <c r="F1413" s="7">
        <v>45739</v>
      </c>
      <c r="G1413" t="s">
        <v>135</v>
      </c>
      <c r="H1413" t="s">
        <v>106</v>
      </c>
      <c r="I1413" t="s">
        <v>104</v>
      </c>
      <c r="J1413">
        <v>32851.089999999997</v>
      </c>
      <c r="K1413">
        <v>5000000</v>
      </c>
    </row>
    <row r="1414" spans="1:11" ht="15" customHeight="1" x14ac:dyDescent="0.2">
      <c r="A1414" t="s">
        <v>2567</v>
      </c>
      <c r="B1414" t="s">
        <v>8212</v>
      </c>
      <c r="C1414">
        <v>2024</v>
      </c>
      <c r="D1414">
        <v>2023</v>
      </c>
      <c r="E1414" s="7">
        <v>45375</v>
      </c>
      <c r="F1414" s="7">
        <v>45739</v>
      </c>
      <c r="G1414" t="s">
        <v>135</v>
      </c>
      <c r="H1414" t="s">
        <v>108</v>
      </c>
      <c r="I1414" t="s">
        <v>101</v>
      </c>
      <c r="J1414">
        <v>8756.86</v>
      </c>
      <c r="K1414">
        <v>1000000</v>
      </c>
    </row>
    <row r="1415" spans="1:11" ht="15" customHeight="1" x14ac:dyDescent="0.2">
      <c r="A1415" t="s">
        <v>2569</v>
      </c>
      <c r="B1415" t="s">
        <v>799</v>
      </c>
      <c r="C1415">
        <v>2024</v>
      </c>
      <c r="D1415">
        <v>2023</v>
      </c>
      <c r="E1415" s="7">
        <v>45375</v>
      </c>
      <c r="F1415" s="7">
        <v>45739</v>
      </c>
      <c r="G1415" t="s">
        <v>135</v>
      </c>
      <c r="H1415" t="s">
        <v>102</v>
      </c>
      <c r="I1415" t="s">
        <v>104</v>
      </c>
      <c r="J1415">
        <v>11763.27</v>
      </c>
      <c r="K1415">
        <v>2000000</v>
      </c>
    </row>
    <row r="1416" spans="1:11" ht="15" customHeight="1" x14ac:dyDescent="0.2">
      <c r="A1416" t="s">
        <v>2570</v>
      </c>
      <c r="B1416" t="s">
        <v>798</v>
      </c>
      <c r="C1416">
        <v>2024</v>
      </c>
      <c r="D1416">
        <v>2023</v>
      </c>
      <c r="E1416" s="7">
        <v>45375</v>
      </c>
      <c r="F1416" s="7">
        <v>45739</v>
      </c>
      <c r="G1416" t="s">
        <v>135</v>
      </c>
      <c r="H1416" t="s">
        <v>107</v>
      </c>
      <c r="I1416" t="s">
        <v>101</v>
      </c>
      <c r="J1416">
        <v>6611.36</v>
      </c>
      <c r="K1416">
        <v>1000000</v>
      </c>
    </row>
    <row r="1417" spans="1:11" ht="15" customHeight="1" x14ac:dyDescent="0.2">
      <c r="A1417" t="s">
        <v>2571</v>
      </c>
      <c r="B1417" t="s">
        <v>494</v>
      </c>
      <c r="C1417">
        <v>2024</v>
      </c>
      <c r="D1417">
        <v>2023</v>
      </c>
      <c r="E1417" s="7">
        <v>45375</v>
      </c>
      <c r="F1417" s="7">
        <v>45739</v>
      </c>
      <c r="G1417" t="s">
        <v>135</v>
      </c>
      <c r="H1417" t="s">
        <v>106</v>
      </c>
      <c r="I1417" t="s">
        <v>104</v>
      </c>
      <c r="J1417">
        <v>39420.870000000003</v>
      </c>
      <c r="K1417">
        <v>5000000</v>
      </c>
    </row>
    <row r="1418" spans="1:11" ht="15" customHeight="1" x14ac:dyDescent="0.2">
      <c r="A1418" t="s">
        <v>2572</v>
      </c>
      <c r="B1418" t="s">
        <v>2106</v>
      </c>
      <c r="C1418">
        <v>2024</v>
      </c>
      <c r="D1418">
        <v>2023</v>
      </c>
      <c r="E1418" s="7">
        <v>45376</v>
      </c>
      <c r="F1418" s="7">
        <v>45740</v>
      </c>
      <c r="G1418" t="s">
        <v>99</v>
      </c>
      <c r="H1418" t="s">
        <v>115</v>
      </c>
      <c r="I1418" t="s">
        <v>101</v>
      </c>
      <c r="J1418">
        <v>33011.97</v>
      </c>
      <c r="K1418">
        <v>5000000</v>
      </c>
    </row>
    <row r="1419" spans="1:11" ht="15" customHeight="1" x14ac:dyDescent="0.2">
      <c r="A1419" t="s">
        <v>2573</v>
      </c>
      <c r="B1419" t="s">
        <v>2108</v>
      </c>
      <c r="C1419">
        <v>2024</v>
      </c>
      <c r="D1419">
        <v>2023</v>
      </c>
      <c r="E1419" s="7">
        <v>45376</v>
      </c>
      <c r="F1419" s="7">
        <v>45740</v>
      </c>
      <c r="G1419" t="s">
        <v>99</v>
      </c>
      <c r="H1419" t="s">
        <v>113</v>
      </c>
      <c r="I1419" t="s">
        <v>101</v>
      </c>
      <c r="J1419">
        <v>10638.91</v>
      </c>
      <c r="K1419">
        <v>1500000</v>
      </c>
    </row>
    <row r="1420" spans="1:11" ht="15" customHeight="1" x14ac:dyDescent="0.2">
      <c r="A1420" t="s">
        <v>2574</v>
      </c>
      <c r="B1420" t="s">
        <v>2110</v>
      </c>
      <c r="C1420">
        <v>2024</v>
      </c>
      <c r="D1420">
        <v>2023</v>
      </c>
      <c r="E1420" s="7">
        <v>45376</v>
      </c>
      <c r="F1420" s="7">
        <v>45740</v>
      </c>
      <c r="G1420" t="s">
        <v>99</v>
      </c>
      <c r="H1420" t="s">
        <v>106</v>
      </c>
      <c r="I1420" t="s">
        <v>104</v>
      </c>
      <c r="J1420">
        <v>6876.99</v>
      </c>
      <c r="K1420">
        <v>1000000</v>
      </c>
    </row>
    <row r="1421" spans="1:11" ht="15" customHeight="1" x14ac:dyDescent="0.2">
      <c r="A1421" t="s">
        <v>2575</v>
      </c>
      <c r="B1421" t="s">
        <v>2112</v>
      </c>
      <c r="C1421">
        <v>2024</v>
      </c>
      <c r="D1421">
        <v>2023</v>
      </c>
      <c r="E1421" s="7">
        <v>45376</v>
      </c>
      <c r="F1421" s="7">
        <v>45740</v>
      </c>
      <c r="G1421" t="s">
        <v>99</v>
      </c>
      <c r="H1421" t="s">
        <v>102</v>
      </c>
      <c r="I1421" t="s">
        <v>101</v>
      </c>
      <c r="J1421">
        <v>67660.639999999999</v>
      </c>
      <c r="K1421">
        <v>10000000</v>
      </c>
    </row>
    <row r="1422" spans="1:11" ht="15" customHeight="1" x14ac:dyDescent="0.2">
      <c r="A1422" t="s">
        <v>2576</v>
      </c>
      <c r="B1422" t="s">
        <v>2114</v>
      </c>
      <c r="C1422">
        <v>2024</v>
      </c>
      <c r="D1422">
        <v>2023</v>
      </c>
      <c r="E1422" s="7">
        <v>45376</v>
      </c>
      <c r="F1422" s="7">
        <v>45740</v>
      </c>
      <c r="G1422" t="s">
        <v>99</v>
      </c>
      <c r="H1422" t="s">
        <v>108</v>
      </c>
      <c r="I1422" t="s">
        <v>101</v>
      </c>
      <c r="J1422">
        <v>9650.2800000000007</v>
      </c>
      <c r="K1422">
        <v>1000000</v>
      </c>
    </row>
    <row r="1423" spans="1:11" ht="15" customHeight="1" x14ac:dyDescent="0.2">
      <c r="A1423" t="s">
        <v>2578</v>
      </c>
      <c r="B1423" t="s">
        <v>8213</v>
      </c>
      <c r="C1423">
        <v>2024</v>
      </c>
      <c r="D1423">
        <v>2023</v>
      </c>
      <c r="E1423" s="7">
        <v>45376</v>
      </c>
      <c r="F1423" s="7">
        <v>45740</v>
      </c>
      <c r="G1423" t="s">
        <v>135</v>
      </c>
      <c r="H1423" t="s">
        <v>6337</v>
      </c>
      <c r="I1423" t="s">
        <v>101</v>
      </c>
      <c r="J1423">
        <v>6574.63</v>
      </c>
      <c r="K1423">
        <v>1000000</v>
      </c>
    </row>
    <row r="1424" spans="1:11" ht="15" customHeight="1" x14ac:dyDescent="0.2">
      <c r="A1424" t="s">
        <v>2580</v>
      </c>
      <c r="B1424" t="s">
        <v>8214</v>
      </c>
      <c r="C1424">
        <v>2024</v>
      </c>
      <c r="D1424">
        <v>2023</v>
      </c>
      <c r="E1424" s="7">
        <v>45376</v>
      </c>
      <c r="F1424" s="7">
        <v>45740</v>
      </c>
      <c r="G1424" t="s">
        <v>135</v>
      </c>
      <c r="H1424" t="s">
        <v>107</v>
      </c>
      <c r="I1424" t="s">
        <v>101</v>
      </c>
      <c r="J1424">
        <v>7207.02</v>
      </c>
      <c r="K1424">
        <v>1000000</v>
      </c>
    </row>
    <row r="1425" spans="1:11" ht="15" customHeight="1" x14ac:dyDescent="0.2">
      <c r="A1425" t="s">
        <v>2582</v>
      </c>
      <c r="B1425" t="s">
        <v>6605</v>
      </c>
      <c r="C1425">
        <v>2024</v>
      </c>
      <c r="D1425">
        <v>2023</v>
      </c>
      <c r="E1425" s="7">
        <v>45376</v>
      </c>
      <c r="F1425" s="7">
        <v>45740</v>
      </c>
      <c r="G1425" t="s">
        <v>135</v>
      </c>
      <c r="H1425" t="s">
        <v>111</v>
      </c>
      <c r="I1425" t="s">
        <v>104</v>
      </c>
      <c r="J1425">
        <v>8292.16</v>
      </c>
      <c r="K1425">
        <v>1500000</v>
      </c>
    </row>
    <row r="1426" spans="1:11" ht="15" customHeight="1" x14ac:dyDescent="0.2">
      <c r="A1426" t="s">
        <v>2584</v>
      </c>
      <c r="B1426" t="s">
        <v>8215</v>
      </c>
      <c r="C1426">
        <v>2024</v>
      </c>
      <c r="D1426">
        <v>2023</v>
      </c>
      <c r="E1426" s="7">
        <v>45376</v>
      </c>
      <c r="F1426" s="7">
        <v>45740</v>
      </c>
      <c r="G1426" t="s">
        <v>135</v>
      </c>
      <c r="H1426" t="s">
        <v>112</v>
      </c>
      <c r="I1426" t="s">
        <v>104</v>
      </c>
      <c r="J1426">
        <v>7056.71</v>
      </c>
      <c r="K1426">
        <v>1000000</v>
      </c>
    </row>
    <row r="1427" spans="1:11" ht="15" customHeight="1" x14ac:dyDescent="0.2">
      <c r="A1427" t="s">
        <v>2585</v>
      </c>
      <c r="B1427" t="s">
        <v>6518</v>
      </c>
      <c r="C1427">
        <v>2024</v>
      </c>
      <c r="D1427">
        <v>2023</v>
      </c>
      <c r="E1427" s="7">
        <v>45376</v>
      </c>
      <c r="F1427" s="7">
        <v>45740</v>
      </c>
      <c r="G1427" t="s">
        <v>135</v>
      </c>
      <c r="H1427" t="s">
        <v>6337</v>
      </c>
      <c r="I1427" t="s">
        <v>101</v>
      </c>
      <c r="J1427">
        <v>10100.94</v>
      </c>
      <c r="K1427">
        <v>1500000</v>
      </c>
    </row>
    <row r="1428" spans="1:11" ht="15" customHeight="1" x14ac:dyDescent="0.2">
      <c r="A1428" t="s">
        <v>2586</v>
      </c>
      <c r="B1428" t="s">
        <v>7275</v>
      </c>
      <c r="C1428">
        <v>2024</v>
      </c>
      <c r="D1428">
        <v>2023</v>
      </c>
      <c r="E1428" s="7">
        <v>45376</v>
      </c>
      <c r="F1428" s="7">
        <v>45740</v>
      </c>
      <c r="G1428" t="s">
        <v>135</v>
      </c>
      <c r="H1428" t="s">
        <v>107</v>
      </c>
      <c r="I1428" t="s">
        <v>101</v>
      </c>
      <c r="J1428">
        <v>7828.7</v>
      </c>
      <c r="K1428">
        <v>1000000</v>
      </c>
    </row>
    <row r="1429" spans="1:11" ht="15" customHeight="1" x14ac:dyDescent="0.2">
      <c r="A1429" t="s">
        <v>2587</v>
      </c>
      <c r="B1429" t="s">
        <v>8216</v>
      </c>
      <c r="C1429">
        <v>2024</v>
      </c>
      <c r="D1429">
        <v>2023</v>
      </c>
      <c r="E1429" s="7">
        <v>45376</v>
      </c>
      <c r="F1429" s="7">
        <v>45740</v>
      </c>
      <c r="G1429" t="s">
        <v>135</v>
      </c>
      <c r="H1429" t="s">
        <v>102</v>
      </c>
      <c r="I1429" t="s">
        <v>104</v>
      </c>
      <c r="J1429">
        <v>12521.36</v>
      </c>
      <c r="K1429">
        <v>2000000</v>
      </c>
    </row>
    <row r="1430" spans="1:11" ht="15" customHeight="1" x14ac:dyDescent="0.2">
      <c r="A1430" t="s">
        <v>2588</v>
      </c>
      <c r="B1430" t="s">
        <v>6548</v>
      </c>
      <c r="C1430">
        <v>2024</v>
      </c>
      <c r="D1430">
        <v>2023</v>
      </c>
      <c r="E1430" s="7">
        <v>45376</v>
      </c>
      <c r="F1430" s="7">
        <v>45740</v>
      </c>
      <c r="G1430" t="s">
        <v>135</v>
      </c>
      <c r="H1430" t="s">
        <v>6332</v>
      </c>
      <c r="I1430" t="s">
        <v>104</v>
      </c>
      <c r="J1430">
        <v>51714.58</v>
      </c>
      <c r="K1430">
        <v>10000000</v>
      </c>
    </row>
    <row r="1431" spans="1:11" ht="15" customHeight="1" x14ac:dyDescent="0.2">
      <c r="A1431" t="s">
        <v>2589</v>
      </c>
      <c r="B1431" t="s">
        <v>6539</v>
      </c>
      <c r="C1431">
        <v>2024</v>
      </c>
      <c r="D1431">
        <v>2023</v>
      </c>
      <c r="E1431" s="7">
        <v>45376</v>
      </c>
      <c r="F1431" s="7">
        <v>45740</v>
      </c>
      <c r="G1431" t="s">
        <v>135</v>
      </c>
      <c r="H1431" t="s">
        <v>106</v>
      </c>
      <c r="I1431" t="s">
        <v>101</v>
      </c>
      <c r="J1431">
        <v>8238.8799999999992</v>
      </c>
      <c r="K1431">
        <v>1000000</v>
      </c>
    </row>
    <row r="1432" spans="1:11" ht="15" customHeight="1" x14ac:dyDescent="0.2">
      <c r="A1432" t="s">
        <v>2590</v>
      </c>
      <c r="B1432" t="s">
        <v>800</v>
      </c>
      <c r="C1432">
        <v>2024</v>
      </c>
      <c r="D1432">
        <v>2023</v>
      </c>
      <c r="E1432" s="7">
        <v>45376</v>
      </c>
      <c r="F1432" s="7">
        <v>45740</v>
      </c>
      <c r="G1432" t="s">
        <v>135</v>
      </c>
      <c r="H1432" t="s">
        <v>116</v>
      </c>
      <c r="I1432" t="s">
        <v>104</v>
      </c>
      <c r="J1432">
        <v>2876.07</v>
      </c>
      <c r="K1432">
        <v>500000</v>
      </c>
    </row>
    <row r="1433" spans="1:11" ht="15" customHeight="1" x14ac:dyDescent="0.2">
      <c r="A1433" t="s">
        <v>2591</v>
      </c>
      <c r="B1433" t="s">
        <v>2116</v>
      </c>
      <c r="C1433">
        <v>2024</v>
      </c>
      <c r="D1433">
        <v>2023</v>
      </c>
      <c r="E1433" s="7">
        <v>45377</v>
      </c>
      <c r="F1433" s="7">
        <v>45741</v>
      </c>
      <c r="G1433" t="s">
        <v>99</v>
      </c>
      <c r="H1433" t="s">
        <v>113</v>
      </c>
      <c r="I1433" t="s">
        <v>104</v>
      </c>
      <c r="J1433">
        <v>53102.82</v>
      </c>
      <c r="K1433">
        <v>10000000</v>
      </c>
    </row>
    <row r="1434" spans="1:11" ht="15" customHeight="1" x14ac:dyDescent="0.2">
      <c r="A1434" t="s">
        <v>2592</v>
      </c>
      <c r="B1434" t="s">
        <v>2118</v>
      </c>
      <c r="C1434">
        <v>2024</v>
      </c>
      <c r="D1434">
        <v>2023</v>
      </c>
      <c r="E1434" s="7">
        <v>45377</v>
      </c>
      <c r="F1434" s="7">
        <v>45741</v>
      </c>
      <c r="G1434" t="s">
        <v>99</v>
      </c>
      <c r="H1434" t="s">
        <v>102</v>
      </c>
      <c r="I1434" t="s">
        <v>101</v>
      </c>
      <c r="J1434">
        <v>7779.59</v>
      </c>
      <c r="K1434">
        <v>1000000</v>
      </c>
    </row>
    <row r="1435" spans="1:11" ht="15" customHeight="1" x14ac:dyDescent="0.2">
      <c r="A1435" t="s">
        <v>2593</v>
      </c>
      <c r="B1435" t="s">
        <v>2120</v>
      </c>
      <c r="C1435">
        <v>2024</v>
      </c>
      <c r="D1435">
        <v>2023</v>
      </c>
      <c r="E1435" s="7">
        <v>45377</v>
      </c>
      <c r="F1435" s="7">
        <v>45741</v>
      </c>
      <c r="G1435" t="s">
        <v>99</v>
      </c>
      <c r="H1435" t="s">
        <v>109</v>
      </c>
      <c r="I1435" t="s">
        <v>104</v>
      </c>
      <c r="J1435">
        <v>5371.93</v>
      </c>
      <c r="K1435">
        <v>1000000</v>
      </c>
    </row>
    <row r="1436" spans="1:11" ht="15" customHeight="1" x14ac:dyDescent="0.2">
      <c r="A1436" t="s">
        <v>2594</v>
      </c>
      <c r="B1436" t="s">
        <v>801</v>
      </c>
      <c r="C1436">
        <v>2024</v>
      </c>
      <c r="D1436">
        <v>2023</v>
      </c>
      <c r="E1436" s="7">
        <v>45377</v>
      </c>
      <c r="F1436" s="7">
        <v>45741</v>
      </c>
      <c r="G1436" t="s">
        <v>135</v>
      </c>
      <c r="H1436" t="s">
        <v>106</v>
      </c>
      <c r="I1436" t="s">
        <v>101</v>
      </c>
      <c r="J1436">
        <v>9849.0400000000009</v>
      </c>
      <c r="K1436">
        <v>1000000</v>
      </c>
    </row>
    <row r="1437" spans="1:11" ht="15" customHeight="1" x14ac:dyDescent="0.2">
      <c r="A1437" t="s">
        <v>2596</v>
      </c>
      <c r="B1437" t="s">
        <v>7241</v>
      </c>
      <c r="C1437">
        <v>2024</v>
      </c>
      <c r="D1437">
        <v>2023</v>
      </c>
      <c r="E1437" s="7">
        <v>45377</v>
      </c>
      <c r="F1437" s="7">
        <v>45741</v>
      </c>
      <c r="G1437" t="s">
        <v>135</v>
      </c>
      <c r="H1437" t="s">
        <v>106</v>
      </c>
      <c r="I1437" t="s">
        <v>104</v>
      </c>
      <c r="J1437">
        <v>39474.86</v>
      </c>
      <c r="K1437">
        <v>5000000</v>
      </c>
    </row>
    <row r="1438" spans="1:11" ht="15" customHeight="1" x14ac:dyDescent="0.2">
      <c r="A1438" t="s">
        <v>2598</v>
      </c>
      <c r="B1438" t="s">
        <v>8217</v>
      </c>
      <c r="C1438">
        <v>2024</v>
      </c>
      <c r="D1438">
        <v>2023</v>
      </c>
      <c r="E1438" s="7">
        <v>45377</v>
      </c>
      <c r="F1438" s="7">
        <v>45741</v>
      </c>
      <c r="G1438" t="s">
        <v>135</v>
      </c>
      <c r="H1438" t="s">
        <v>106</v>
      </c>
      <c r="I1438" t="s">
        <v>104</v>
      </c>
      <c r="J1438">
        <v>70103.28</v>
      </c>
      <c r="K1438">
        <v>10000000</v>
      </c>
    </row>
    <row r="1439" spans="1:11" ht="15" customHeight="1" x14ac:dyDescent="0.2">
      <c r="A1439" t="s">
        <v>2600</v>
      </c>
      <c r="B1439" t="s">
        <v>8218</v>
      </c>
      <c r="C1439">
        <v>2024</v>
      </c>
      <c r="D1439">
        <v>2023</v>
      </c>
      <c r="E1439" s="7">
        <v>45377</v>
      </c>
      <c r="F1439" s="7">
        <v>45741</v>
      </c>
      <c r="G1439" t="s">
        <v>135</v>
      </c>
      <c r="H1439" t="s">
        <v>102</v>
      </c>
      <c r="I1439" t="s">
        <v>101</v>
      </c>
      <c r="J1439">
        <v>6967.25</v>
      </c>
      <c r="K1439">
        <v>1000000</v>
      </c>
    </row>
    <row r="1440" spans="1:11" ht="15" customHeight="1" x14ac:dyDescent="0.2">
      <c r="A1440" t="s">
        <v>2602</v>
      </c>
      <c r="B1440" t="s">
        <v>8219</v>
      </c>
      <c r="C1440">
        <v>2024</v>
      </c>
      <c r="D1440">
        <v>2023</v>
      </c>
      <c r="E1440" s="7">
        <v>45377</v>
      </c>
      <c r="F1440" s="7">
        <v>45741</v>
      </c>
      <c r="G1440" t="s">
        <v>135</v>
      </c>
      <c r="H1440" t="s">
        <v>114</v>
      </c>
      <c r="I1440" t="s">
        <v>101</v>
      </c>
      <c r="J1440">
        <v>14508.39</v>
      </c>
      <c r="K1440">
        <v>2000000</v>
      </c>
    </row>
    <row r="1441" spans="1:11" ht="15" customHeight="1" x14ac:dyDescent="0.2">
      <c r="A1441" t="s">
        <v>2604</v>
      </c>
      <c r="B1441" t="s">
        <v>8220</v>
      </c>
      <c r="C1441">
        <v>2024</v>
      </c>
      <c r="D1441">
        <v>2023</v>
      </c>
      <c r="E1441" s="7">
        <v>45377</v>
      </c>
      <c r="F1441" s="7">
        <v>45741</v>
      </c>
      <c r="G1441" t="s">
        <v>135</v>
      </c>
      <c r="H1441" t="s">
        <v>106</v>
      </c>
      <c r="I1441" t="s">
        <v>104</v>
      </c>
      <c r="J1441">
        <v>73187.89</v>
      </c>
      <c r="K1441">
        <v>10000000</v>
      </c>
    </row>
    <row r="1442" spans="1:11" ht="15" customHeight="1" x14ac:dyDescent="0.2">
      <c r="A1442" t="s">
        <v>2605</v>
      </c>
      <c r="B1442" t="s">
        <v>8221</v>
      </c>
      <c r="C1442">
        <v>2024</v>
      </c>
      <c r="D1442">
        <v>2023</v>
      </c>
      <c r="E1442" s="7">
        <v>45377</v>
      </c>
      <c r="F1442" s="7">
        <v>45741</v>
      </c>
      <c r="G1442" t="s">
        <v>135</v>
      </c>
      <c r="H1442" t="s">
        <v>107</v>
      </c>
      <c r="I1442" t="s">
        <v>104</v>
      </c>
      <c r="J1442">
        <v>9090.77</v>
      </c>
      <c r="K1442">
        <v>1500000</v>
      </c>
    </row>
    <row r="1443" spans="1:11" ht="15" customHeight="1" x14ac:dyDescent="0.2">
      <c r="A1443" t="s">
        <v>2606</v>
      </c>
      <c r="B1443" t="s">
        <v>2122</v>
      </c>
      <c r="C1443">
        <v>2024</v>
      </c>
      <c r="D1443">
        <v>2023</v>
      </c>
      <c r="E1443" s="7">
        <v>45378</v>
      </c>
      <c r="F1443" s="7">
        <v>45742</v>
      </c>
      <c r="G1443" t="s">
        <v>99</v>
      </c>
      <c r="H1443" t="s">
        <v>115</v>
      </c>
      <c r="I1443" t="s">
        <v>101</v>
      </c>
      <c r="J1443">
        <v>66435.19</v>
      </c>
      <c r="K1443">
        <v>10000000</v>
      </c>
    </row>
    <row r="1444" spans="1:11" ht="15" customHeight="1" x14ac:dyDescent="0.2">
      <c r="A1444" t="s">
        <v>2607</v>
      </c>
      <c r="B1444" t="s">
        <v>2124</v>
      </c>
      <c r="C1444">
        <v>2024</v>
      </c>
      <c r="D1444">
        <v>2023</v>
      </c>
      <c r="E1444" s="7">
        <v>45378</v>
      </c>
      <c r="F1444" s="7">
        <v>45742</v>
      </c>
      <c r="G1444" t="s">
        <v>99</v>
      </c>
      <c r="H1444" t="s">
        <v>108</v>
      </c>
      <c r="I1444" t="s">
        <v>104</v>
      </c>
      <c r="J1444">
        <v>7241.29</v>
      </c>
      <c r="K1444">
        <v>1000000</v>
      </c>
    </row>
    <row r="1445" spans="1:11" ht="15" customHeight="1" x14ac:dyDescent="0.2">
      <c r="A1445" t="s">
        <v>2608</v>
      </c>
      <c r="B1445" t="s">
        <v>2126</v>
      </c>
      <c r="C1445">
        <v>2024</v>
      </c>
      <c r="D1445">
        <v>2023</v>
      </c>
      <c r="E1445" s="7">
        <v>45378</v>
      </c>
      <c r="F1445" s="7">
        <v>45742</v>
      </c>
      <c r="G1445" t="s">
        <v>99</v>
      </c>
      <c r="H1445" t="s">
        <v>109</v>
      </c>
      <c r="I1445" t="s">
        <v>104</v>
      </c>
      <c r="J1445">
        <v>8881.58</v>
      </c>
      <c r="K1445">
        <v>1500000</v>
      </c>
    </row>
    <row r="1446" spans="1:11" ht="15" customHeight="1" x14ac:dyDescent="0.2">
      <c r="A1446" t="s">
        <v>2609</v>
      </c>
      <c r="B1446" t="s">
        <v>2128</v>
      </c>
      <c r="C1446">
        <v>2024</v>
      </c>
      <c r="D1446">
        <v>2023</v>
      </c>
      <c r="E1446" s="7">
        <v>45378</v>
      </c>
      <c r="F1446" s="7">
        <v>45742</v>
      </c>
      <c r="G1446" t="s">
        <v>99</v>
      </c>
      <c r="H1446" t="s">
        <v>106</v>
      </c>
      <c r="I1446" t="s">
        <v>101</v>
      </c>
      <c r="J1446">
        <v>18368.599999999999</v>
      </c>
      <c r="K1446">
        <v>2000000</v>
      </c>
    </row>
    <row r="1447" spans="1:11" ht="15" customHeight="1" x14ac:dyDescent="0.2">
      <c r="A1447" t="s">
        <v>2610</v>
      </c>
      <c r="B1447" t="s">
        <v>6536</v>
      </c>
      <c r="C1447">
        <v>2024</v>
      </c>
      <c r="D1447">
        <v>2023</v>
      </c>
      <c r="E1447" s="7">
        <v>45378</v>
      </c>
      <c r="F1447" s="7">
        <v>45742</v>
      </c>
      <c r="G1447" t="s">
        <v>135</v>
      </c>
      <c r="H1447" t="s">
        <v>106</v>
      </c>
      <c r="I1447" t="s">
        <v>101</v>
      </c>
      <c r="J1447">
        <v>4293.91</v>
      </c>
      <c r="K1447">
        <v>500000</v>
      </c>
    </row>
    <row r="1448" spans="1:11" ht="15" customHeight="1" x14ac:dyDescent="0.2">
      <c r="A1448" t="s">
        <v>2611</v>
      </c>
      <c r="B1448" t="s">
        <v>8222</v>
      </c>
      <c r="C1448">
        <v>2024</v>
      </c>
      <c r="D1448">
        <v>2023</v>
      </c>
      <c r="E1448" s="7">
        <v>45378</v>
      </c>
      <c r="F1448" s="7">
        <v>45742</v>
      </c>
      <c r="G1448" t="s">
        <v>135</v>
      </c>
      <c r="H1448" t="s">
        <v>108</v>
      </c>
      <c r="I1448" t="s">
        <v>101</v>
      </c>
      <c r="J1448">
        <v>9768.15</v>
      </c>
      <c r="K1448">
        <v>1000000</v>
      </c>
    </row>
    <row r="1449" spans="1:11" ht="15" customHeight="1" x14ac:dyDescent="0.2">
      <c r="A1449" t="s">
        <v>2612</v>
      </c>
      <c r="B1449" t="s">
        <v>8223</v>
      </c>
      <c r="C1449">
        <v>2024</v>
      </c>
      <c r="D1449">
        <v>2023</v>
      </c>
      <c r="E1449" s="7">
        <v>45378</v>
      </c>
      <c r="F1449" s="7">
        <v>45742</v>
      </c>
      <c r="G1449" t="s">
        <v>135</v>
      </c>
      <c r="H1449" t="s">
        <v>106</v>
      </c>
      <c r="I1449" t="s">
        <v>101</v>
      </c>
      <c r="J1449">
        <v>18464.68</v>
      </c>
      <c r="K1449">
        <v>2000000</v>
      </c>
    </row>
    <row r="1450" spans="1:11" ht="15" customHeight="1" x14ac:dyDescent="0.2">
      <c r="A1450" t="s">
        <v>2613</v>
      </c>
      <c r="B1450" t="s">
        <v>6562</v>
      </c>
      <c r="C1450">
        <v>2024</v>
      </c>
      <c r="D1450">
        <v>2023</v>
      </c>
      <c r="E1450" s="7">
        <v>45378</v>
      </c>
      <c r="F1450" s="7">
        <v>45742</v>
      </c>
      <c r="G1450" t="s">
        <v>135</v>
      </c>
      <c r="H1450" t="s">
        <v>108</v>
      </c>
      <c r="I1450" t="s">
        <v>101</v>
      </c>
      <c r="J1450">
        <v>13514.89</v>
      </c>
      <c r="K1450">
        <v>1500000</v>
      </c>
    </row>
    <row r="1451" spans="1:11" ht="15" customHeight="1" x14ac:dyDescent="0.2">
      <c r="A1451" t="s">
        <v>2614</v>
      </c>
      <c r="B1451" t="s">
        <v>8224</v>
      </c>
      <c r="C1451">
        <v>2024</v>
      </c>
      <c r="D1451">
        <v>2023</v>
      </c>
      <c r="E1451" s="7">
        <v>45378</v>
      </c>
      <c r="F1451" s="7">
        <v>45742</v>
      </c>
      <c r="G1451" t="s">
        <v>135</v>
      </c>
      <c r="H1451" t="s">
        <v>106</v>
      </c>
      <c r="I1451" t="s">
        <v>101</v>
      </c>
      <c r="J1451">
        <v>8171.89</v>
      </c>
      <c r="K1451">
        <v>1000000</v>
      </c>
    </row>
    <row r="1452" spans="1:11" ht="15" customHeight="1" x14ac:dyDescent="0.2">
      <c r="A1452" t="s">
        <v>2615</v>
      </c>
      <c r="B1452" t="s">
        <v>8225</v>
      </c>
      <c r="C1452">
        <v>2024</v>
      </c>
      <c r="D1452">
        <v>2023</v>
      </c>
      <c r="E1452" s="7">
        <v>45378</v>
      </c>
      <c r="F1452" s="7">
        <v>45742</v>
      </c>
      <c r="G1452" t="s">
        <v>135</v>
      </c>
      <c r="H1452" t="s">
        <v>108</v>
      </c>
      <c r="I1452" t="s">
        <v>101</v>
      </c>
      <c r="J1452">
        <v>12535.74</v>
      </c>
      <c r="K1452">
        <v>1500000</v>
      </c>
    </row>
    <row r="1453" spans="1:11" ht="15" customHeight="1" x14ac:dyDescent="0.2">
      <c r="A1453" t="s">
        <v>2616</v>
      </c>
      <c r="B1453" t="s">
        <v>8226</v>
      </c>
      <c r="C1453">
        <v>2024</v>
      </c>
      <c r="D1453">
        <v>2023</v>
      </c>
      <c r="E1453" s="7">
        <v>45378</v>
      </c>
      <c r="F1453" s="7">
        <v>45742</v>
      </c>
      <c r="G1453" t="s">
        <v>135</v>
      </c>
      <c r="H1453" t="s">
        <v>113</v>
      </c>
      <c r="I1453" t="s">
        <v>101</v>
      </c>
      <c r="J1453">
        <v>72722.58</v>
      </c>
      <c r="K1453">
        <v>10000000</v>
      </c>
    </row>
    <row r="1454" spans="1:11" ht="15" customHeight="1" x14ac:dyDescent="0.2">
      <c r="A1454" t="s">
        <v>2617</v>
      </c>
      <c r="B1454" t="s">
        <v>2142</v>
      </c>
      <c r="C1454">
        <v>2024</v>
      </c>
      <c r="D1454">
        <v>2023</v>
      </c>
      <c r="E1454" s="7">
        <v>45379</v>
      </c>
      <c r="F1454" s="7">
        <v>45743</v>
      </c>
      <c r="G1454" t="s">
        <v>99</v>
      </c>
      <c r="H1454" t="s">
        <v>108</v>
      </c>
      <c r="I1454" t="s">
        <v>101</v>
      </c>
      <c r="J1454">
        <v>14310.03</v>
      </c>
      <c r="K1454">
        <v>1500000</v>
      </c>
    </row>
    <row r="1455" spans="1:11" ht="15" customHeight="1" x14ac:dyDescent="0.2">
      <c r="A1455" t="s">
        <v>2618</v>
      </c>
      <c r="B1455" t="s">
        <v>8227</v>
      </c>
      <c r="C1455">
        <v>2024</v>
      </c>
      <c r="D1455">
        <v>2023</v>
      </c>
      <c r="E1455" s="7">
        <v>45379</v>
      </c>
      <c r="F1455" s="7">
        <v>45743</v>
      </c>
      <c r="G1455" t="s">
        <v>135</v>
      </c>
      <c r="H1455" t="s">
        <v>107</v>
      </c>
      <c r="I1455" t="s">
        <v>101</v>
      </c>
      <c r="J1455">
        <v>6469.28</v>
      </c>
      <c r="K1455">
        <v>1000000</v>
      </c>
    </row>
    <row r="1456" spans="1:11" ht="15" customHeight="1" x14ac:dyDescent="0.2">
      <c r="A1456" t="s">
        <v>2619</v>
      </c>
      <c r="B1456" t="s">
        <v>6544</v>
      </c>
      <c r="C1456">
        <v>2024</v>
      </c>
      <c r="D1456">
        <v>2023</v>
      </c>
      <c r="E1456" s="7">
        <v>45379</v>
      </c>
      <c r="F1456" s="7">
        <v>45743</v>
      </c>
      <c r="G1456" t="s">
        <v>135</v>
      </c>
      <c r="H1456" t="s">
        <v>115</v>
      </c>
      <c r="I1456" t="s">
        <v>104</v>
      </c>
      <c r="J1456">
        <v>6143.86</v>
      </c>
      <c r="K1456">
        <v>1000000</v>
      </c>
    </row>
    <row r="1457" spans="1:11" ht="15" customHeight="1" x14ac:dyDescent="0.2">
      <c r="A1457" t="s">
        <v>2620</v>
      </c>
      <c r="B1457" t="s">
        <v>6545</v>
      </c>
      <c r="C1457">
        <v>2024</v>
      </c>
      <c r="D1457">
        <v>2023</v>
      </c>
      <c r="E1457" s="7">
        <v>45379</v>
      </c>
      <c r="F1457" s="7">
        <v>45743</v>
      </c>
      <c r="G1457" t="s">
        <v>135</v>
      </c>
      <c r="H1457" t="s">
        <v>108</v>
      </c>
      <c r="I1457" t="s">
        <v>101</v>
      </c>
      <c r="J1457">
        <v>8372.2099999999991</v>
      </c>
      <c r="K1457">
        <v>1000000</v>
      </c>
    </row>
    <row r="1458" spans="1:11" ht="15" customHeight="1" x14ac:dyDescent="0.2">
      <c r="A1458" t="s">
        <v>2621</v>
      </c>
      <c r="B1458" t="s">
        <v>8228</v>
      </c>
      <c r="C1458">
        <v>2024</v>
      </c>
      <c r="D1458">
        <v>2023</v>
      </c>
      <c r="E1458" s="7">
        <v>45379</v>
      </c>
      <c r="F1458" s="7">
        <v>45743</v>
      </c>
      <c r="G1458" t="s">
        <v>135</v>
      </c>
      <c r="H1458" t="s">
        <v>107</v>
      </c>
      <c r="I1458" t="s">
        <v>101</v>
      </c>
      <c r="J1458">
        <v>33097.33</v>
      </c>
      <c r="K1458">
        <v>5000000</v>
      </c>
    </row>
    <row r="1459" spans="1:11" ht="15" customHeight="1" x14ac:dyDescent="0.2">
      <c r="A1459" t="s">
        <v>2622</v>
      </c>
      <c r="B1459" t="s">
        <v>802</v>
      </c>
      <c r="C1459">
        <v>2024</v>
      </c>
      <c r="D1459">
        <v>2023</v>
      </c>
      <c r="E1459" s="7">
        <v>45379</v>
      </c>
      <c r="F1459" s="7">
        <v>45743</v>
      </c>
      <c r="G1459" t="s">
        <v>135</v>
      </c>
      <c r="H1459" t="s">
        <v>113</v>
      </c>
      <c r="I1459" t="s">
        <v>101</v>
      </c>
      <c r="J1459">
        <v>68373.84</v>
      </c>
      <c r="K1459">
        <v>10000000</v>
      </c>
    </row>
    <row r="1460" spans="1:11" ht="15" customHeight="1" x14ac:dyDescent="0.2">
      <c r="A1460" t="s">
        <v>2623</v>
      </c>
      <c r="B1460" t="s">
        <v>8229</v>
      </c>
      <c r="C1460">
        <v>2024</v>
      </c>
      <c r="D1460">
        <v>2023</v>
      </c>
      <c r="E1460" s="7">
        <v>45379</v>
      </c>
      <c r="F1460" s="7">
        <v>45743</v>
      </c>
      <c r="G1460" t="s">
        <v>135</v>
      </c>
      <c r="H1460" t="s">
        <v>107</v>
      </c>
      <c r="I1460" t="s">
        <v>101</v>
      </c>
      <c r="J1460">
        <v>14453.24</v>
      </c>
      <c r="K1460">
        <v>2000000</v>
      </c>
    </row>
    <row r="1461" spans="1:11" ht="15" customHeight="1" x14ac:dyDescent="0.2">
      <c r="A1461" t="s">
        <v>2624</v>
      </c>
      <c r="B1461" t="s">
        <v>8230</v>
      </c>
      <c r="C1461">
        <v>2024</v>
      </c>
      <c r="D1461">
        <v>2023</v>
      </c>
      <c r="E1461" s="7">
        <v>45379</v>
      </c>
      <c r="F1461" s="7">
        <v>45743</v>
      </c>
      <c r="G1461" t="s">
        <v>135</v>
      </c>
      <c r="H1461" t="s">
        <v>111</v>
      </c>
      <c r="I1461" t="s">
        <v>104</v>
      </c>
      <c r="J1461">
        <v>11167.13</v>
      </c>
      <c r="K1461">
        <v>2000000</v>
      </c>
    </row>
    <row r="1462" spans="1:11" ht="15" customHeight="1" x14ac:dyDescent="0.2">
      <c r="A1462" t="s">
        <v>2625</v>
      </c>
      <c r="B1462" t="s">
        <v>8231</v>
      </c>
      <c r="C1462">
        <v>2024</v>
      </c>
      <c r="D1462">
        <v>2023</v>
      </c>
      <c r="E1462" s="7">
        <v>45379</v>
      </c>
      <c r="F1462" s="7">
        <v>45743</v>
      </c>
      <c r="G1462" t="s">
        <v>135</v>
      </c>
      <c r="H1462" t="s">
        <v>109</v>
      </c>
      <c r="I1462" t="s">
        <v>101</v>
      </c>
      <c r="J1462">
        <v>9872.01</v>
      </c>
      <c r="K1462">
        <v>1500000</v>
      </c>
    </row>
    <row r="1463" spans="1:11" ht="15" customHeight="1" x14ac:dyDescent="0.2">
      <c r="A1463" t="s">
        <v>2627</v>
      </c>
      <c r="B1463" t="s">
        <v>8232</v>
      </c>
      <c r="C1463">
        <v>2024</v>
      </c>
      <c r="D1463">
        <v>2023</v>
      </c>
      <c r="E1463" s="7">
        <v>45379</v>
      </c>
      <c r="F1463" s="7">
        <v>45743</v>
      </c>
      <c r="G1463" t="s">
        <v>135</v>
      </c>
      <c r="H1463" t="s">
        <v>111</v>
      </c>
      <c r="I1463" t="s">
        <v>104</v>
      </c>
      <c r="J1463">
        <v>5720.73</v>
      </c>
      <c r="K1463">
        <v>1000000</v>
      </c>
    </row>
    <row r="1464" spans="1:11" ht="15" customHeight="1" x14ac:dyDescent="0.2">
      <c r="A1464" t="s">
        <v>2629</v>
      </c>
      <c r="B1464" t="s">
        <v>6525</v>
      </c>
      <c r="C1464">
        <v>2024</v>
      </c>
      <c r="D1464">
        <v>2023</v>
      </c>
      <c r="E1464" s="7">
        <v>45379</v>
      </c>
      <c r="F1464" s="7">
        <v>45743</v>
      </c>
      <c r="G1464" t="s">
        <v>135</v>
      </c>
      <c r="H1464" t="s">
        <v>112</v>
      </c>
      <c r="I1464" t="s">
        <v>101</v>
      </c>
      <c r="J1464">
        <v>9189.01</v>
      </c>
      <c r="K1464">
        <v>1000000</v>
      </c>
    </row>
    <row r="1465" spans="1:11" ht="15" customHeight="1" x14ac:dyDescent="0.2">
      <c r="A1465" t="s">
        <v>2631</v>
      </c>
      <c r="B1465" t="s">
        <v>803</v>
      </c>
      <c r="C1465">
        <v>2024</v>
      </c>
      <c r="D1465">
        <v>2023</v>
      </c>
      <c r="E1465" s="7">
        <v>45379</v>
      </c>
      <c r="F1465" s="7">
        <v>45743</v>
      </c>
      <c r="G1465" t="s">
        <v>135</v>
      </c>
      <c r="H1465" t="s">
        <v>107</v>
      </c>
      <c r="I1465" t="s">
        <v>101</v>
      </c>
      <c r="J1465">
        <v>14195.37</v>
      </c>
      <c r="K1465">
        <v>2000000</v>
      </c>
    </row>
    <row r="1466" spans="1:11" ht="15" customHeight="1" x14ac:dyDescent="0.2">
      <c r="A1466" t="s">
        <v>2632</v>
      </c>
      <c r="B1466" t="s">
        <v>282</v>
      </c>
      <c r="C1466">
        <v>2024</v>
      </c>
      <c r="D1466">
        <v>2023</v>
      </c>
      <c r="E1466" s="7">
        <v>45379</v>
      </c>
      <c r="F1466" s="7">
        <v>45743</v>
      </c>
      <c r="G1466" t="s">
        <v>135</v>
      </c>
      <c r="H1466" t="s">
        <v>110</v>
      </c>
      <c r="I1466" t="s">
        <v>101</v>
      </c>
      <c r="J1466">
        <v>88869.82</v>
      </c>
      <c r="K1466">
        <v>10000000</v>
      </c>
    </row>
    <row r="1467" spans="1:11" ht="15" customHeight="1" x14ac:dyDescent="0.2">
      <c r="A1467" t="s">
        <v>2633</v>
      </c>
      <c r="B1467" t="s">
        <v>2144</v>
      </c>
      <c r="C1467">
        <v>2024</v>
      </c>
      <c r="D1467">
        <v>2023</v>
      </c>
      <c r="E1467" s="7">
        <v>45380</v>
      </c>
      <c r="F1467" s="7">
        <v>45744</v>
      </c>
      <c r="G1467" t="s">
        <v>99</v>
      </c>
      <c r="H1467" t="s">
        <v>113</v>
      </c>
      <c r="I1467" t="s">
        <v>101</v>
      </c>
      <c r="J1467">
        <v>38636.589999999997</v>
      </c>
      <c r="K1467">
        <v>5000000</v>
      </c>
    </row>
    <row r="1468" spans="1:11" ht="15" customHeight="1" x14ac:dyDescent="0.2">
      <c r="A1468" t="s">
        <v>2634</v>
      </c>
      <c r="B1468" t="s">
        <v>2146</v>
      </c>
      <c r="C1468">
        <v>2024</v>
      </c>
      <c r="D1468">
        <v>2023</v>
      </c>
      <c r="E1468" s="7">
        <v>45380</v>
      </c>
      <c r="F1468" s="7">
        <v>45744</v>
      </c>
      <c r="G1468" t="s">
        <v>99</v>
      </c>
      <c r="H1468" t="s">
        <v>6334</v>
      </c>
      <c r="I1468" t="s">
        <v>104</v>
      </c>
      <c r="J1468">
        <v>27343.24</v>
      </c>
      <c r="K1468">
        <v>5000000</v>
      </c>
    </row>
    <row r="1469" spans="1:11" ht="15" customHeight="1" x14ac:dyDescent="0.2">
      <c r="A1469" t="s">
        <v>2635</v>
      </c>
      <c r="B1469" t="s">
        <v>2148</v>
      </c>
      <c r="C1469">
        <v>2024</v>
      </c>
      <c r="D1469">
        <v>2023</v>
      </c>
      <c r="E1469" s="7">
        <v>45380</v>
      </c>
      <c r="F1469" s="7">
        <v>45744</v>
      </c>
      <c r="G1469" t="s">
        <v>99</v>
      </c>
      <c r="H1469" t="s">
        <v>107</v>
      </c>
      <c r="I1469" t="s">
        <v>101</v>
      </c>
      <c r="J1469">
        <v>72709.73</v>
      </c>
      <c r="K1469">
        <v>10000000</v>
      </c>
    </row>
    <row r="1470" spans="1:11" ht="15" customHeight="1" x14ac:dyDescent="0.2">
      <c r="A1470" t="s">
        <v>2636</v>
      </c>
      <c r="B1470" t="s">
        <v>2150</v>
      </c>
      <c r="C1470">
        <v>2024</v>
      </c>
      <c r="D1470">
        <v>2023</v>
      </c>
      <c r="E1470" s="7">
        <v>45380</v>
      </c>
      <c r="F1470" s="7">
        <v>45744</v>
      </c>
      <c r="G1470" t="s">
        <v>99</v>
      </c>
      <c r="H1470" t="s">
        <v>107</v>
      </c>
      <c r="I1470" t="s">
        <v>101</v>
      </c>
      <c r="J1470">
        <v>7248.19</v>
      </c>
      <c r="K1470">
        <v>1000000</v>
      </c>
    </row>
    <row r="1471" spans="1:11" ht="15" customHeight="1" x14ac:dyDescent="0.2">
      <c r="A1471" t="s">
        <v>2637</v>
      </c>
      <c r="B1471" t="s">
        <v>2152</v>
      </c>
      <c r="C1471">
        <v>2024</v>
      </c>
      <c r="D1471">
        <v>2023</v>
      </c>
      <c r="E1471" s="7">
        <v>45380</v>
      </c>
      <c r="F1471" s="7">
        <v>45744</v>
      </c>
      <c r="G1471" t="s">
        <v>99</v>
      </c>
      <c r="H1471" t="s">
        <v>113</v>
      </c>
      <c r="I1471" t="s">
        <v>104</v>
      </c>
      <c r="J1471">
        <v>9266.65</v>
      </c>
      <c r="K1471">
        <v>1500000</v>
      </c>
    </row>
    <row r="1472" spans="1:11" ht="15" customHeight="1" x14ac:dyDescent="0.2">
      <c r="A1472" t="s">
        <v>2638</v>
      </c>
      <c r="B1472" t="s">
        <v>2167</v>
      </c>
      <c r="C1472">
        <v>2024</v>
      </c>
      <c r="D1472">
        <v>2023</v>
      </c>
      <c r="E1472" s="7">
        <v>45380</v>
      </c>
      <c r="F1472" s="7">
        <v>45744</v>
      </c>
      <c r="G1472" t="s">
        <v>99</v>
      </c>
      <c r="H1472" t="s">
        <v>107</v>
      </c>
      <c r="I1472" t="s">
        <v>101</v>
      </c>
      <c r="J1472">
        <v>13707.56</v>
      </c>
      <c r="K1472">
        <v>2000000</v>
      </c>
    </row>
    <row r="1473" spans="1:11" ht="15" customHeight="1" x14ac:dyDescent="0.2">
      <c r="A1473" t="s">
        <v>2639</v>
      </c>
      <c r="B1473" t="s">
        <v>2169</v>
      </c>
      <c r="C1473">
        <v>2024</v>
      </c>
      <c r="D1473">
        <v>2023</v>
      </c>
      <c r="E1473" s="7">
        <v>45380</v>
      </c>
      <c r="F1473" s="7">
        <v>45744</v>
      </c>
      <c r="G1473" t="s">
        <v>99</v>
      </c>
      <c r="H1473" t="s">
        <v>107</v>
      </c>
      <c r="I1473" t="s">
        <v>104</v>
      </c>
      <c r="J1473">
        <v>9047.08</v>
      </c>
      <c r="K1473">
        <v>1500000</v>
      </c>
    </row>
    <row r="1474" spans="1:11" ht="15" customHeight="1" x14ac:dyDescent="0.2">
      <c r="A1474" t="s">
        <v>2640</v>
      </c>
      <c r="B1474" t="s">
        <v>2171</v>
      </c>
      <c r="C1474">
        <v>2024</v>
      </c>
      <c r="D1474">
        <v>2023</v>
      </c>
      <c r="E1474" s="7">
        <v>45380</v>
      </c>
      <c r="F1474" s="7">
        <v>45744</v>
      </c>
      <c r="G1474" t="s">
        <v>99</v>
      </c>
      <c r="H1474" t="s">
        <v>114</v>
      </c>
      <c r="I1474" t="s">
        <v>104</v>
      </c>
      <c r="J1474">
        <v>2723.64</v>
      </c>
      <c r="K1474">
        <v>500000</v>
      </c>
    </row>
    <row r="1475" spans="1:11" ht="15" customHeight="1" x14ac:dyDescent="0.2">
      <c r="A1475" t="s">
        <v>2641</v>
      </c>
      <c r="B1475" t="s">
        <v>2173</v>
      </c>
      <c r="C1475">
        <v>2024</v>
      </c>
      <c r="D1475">
        <v>2023</v>
      </c>
      <c r="E1475" s="7">
        <v>45380</v>
      </c>
      <c r="F1475" s="7">
        <v>45744</v>
      </c>
      <c r="G1475" t="s">
        <v>99</v>
      </c>
      <c r="H1475" t="s">
        <v>109</v>
      </c>
      <c r="I1475" t="s">
        <v>101</v>
      </c>
      <c r="J1475">
        <v>34020.269999999997</v>
      </c>
      <c r="K1475">
        <v>5000000</v>
      </c>
    </row>
    <row r="1476" spans="1:11" ht="15" customHeight="1" x14ac:dyDescent="0.2">
      <c r="A1476" t="s">
        <v>2642</v>
      </c>
      <c r="B1476" t="s">
        <v>2180</v>
      </c>
      <c r="C1476">
        <v>2024</v>
      </c>
      <c r="D1476">
        <v>2023</v>
      </c>
      <c r="E1476" s="7">
        <v>45380</v>
      </c>
      <c r="F1476" s="7">
        <v>45744</v>
      </c>
      <c r="G1476" t="s">
        <v>99</v>
      </c>
      <c r="H1476" t="s">
        <v>108</v>
      </c>
      <c r="I1476" t="s">
        <v>101</v>
      </c>
      <c r="J1476">
        <v>8957.44</v>
      </c>
      <c r="K1476">
        <v>1000000</v>
      </c>
    </row>
    <row r="1477" spans="1:11" ht="15" customHeight="1" x14ac:dyDescent="0.2">
      <c r="A1477" t="s">
        <v>2643</v>
      </c>
      <c r="B1477" t="s">
        <v>2182</v>
      </c>
      <c r="C1477">
        <v>2024</v>
      </c>
      <c r="D1477">
        <v>2023</v>
      </c>
      <c r="E1477" s="7">
        <v>45380</v>
      </c>
      <c r="F1477" s="7">
        <v>45744</v>
      </c>
      <c r="G1477" t="s">
        <v>99</v>
      </c>
      <c r="H1477" t="s">
        <v>6337</v>
      </c>
      <c r="I1477" t="s">
        <v>101</v>
      </c>
      <c r="J1477">
        <v>15501.64</v>
      </c>
      <c r="K1477">
        <v>2000000</v>
      </c>
    </row>
    <row r="1478" spans="1:11" ht="15" customHeight="1" x14ac:dyDescent="0.2">
      <c r="A1478" t="s">
        <v>2645</v>
      </c>
      <c r="B1478" t="s">
        <v>8233</v>
      </c>
      <c r="C1478">
        <v>2024</v>
      </c>
      <c r="D1478">
        <v>2023</v>
      </c>
      <c r="E1478" s="7">
        <v>45380</v>
      </c>
      <c r="F1478" s="7">
        <v>45744</v>
      </c>
      <c r="G1478" t="s">
        <v>135</v>
      </c>
      <c r="H1478" t="s">
        <v>113</v>
      </c>
      <c r="I1478" t="s">
        <v>101</v>
      </c>
      <c r="J1478">
        <v>32775.08</v>
      </c>
      <c r="K1478">
        <v>5000000</v>
      </c>
    </row>
    <row r="1479" spans="1:11" ht="15" customHeight="1" x14ac:dyDescent="0.2">
      <c r="A1479" t="s">
        <v>2647</v>
      </c>
      <c r="B1479" t="s">
        <v>8234</v>
      </c>
      <c r="C1479">
        <v>2024</v>
      </c>
      <c r="D1479">
        <v>2023</v>
      </c>
      <c r="E1479" s="7">
        <v>45380</v>
      </c>
      <c r="F1479" s="7">
        <v>45744</v>
      </c>
      <c r="G1479" t="s">
        <v>135</v>
      </c>
      <c r="H1479" t="s">
        <v>109</v>
      </c>
      <c r="I1479" t="s">
        <v>101</v>
      </c>
      <c r="J1479">
        <v>14284.48</v>
      </c>
      <c r="K1479">
        <v>2000000</v>
      </c>
    </row>
    <row r="1480" spans="1:11" ht="15" customHeight="1" x14ac:dyDescent="0.2">
      <c r="A1480" t="s">
        <v>2650</v>
      </c>
      <c r="B1480" t="s">
        <v>8235</v>
      </c>
      <c r="C1480">
        <v>2024</v>
      </c>
      <c r="D1480">
        <v>2023</v>
      </c>
      <c r="E1480" s="7">
        <v>45380</v>
      </c>
      <c r="F1480" s="7">
        <v>45744</v>
      </c>
      <c r="G1480" t="s">
        <v>135</v>
      </c>
      <c r="H1480" t="s">
        <v>102</v>
      </c>
      <c r="I1480" t="s">
        <v>101</v>
      </c>
      <c r="J1480">
        <v>10399.200000000001</v>
      </c>
      <c r="K1480">
        <v>1500000</v>
      </c>
    </row>
    <row r="1481" spans="1:11" ht="15" customHeight="1" x14ac:dyDescent="0.2">
      <c r="A1481" t="s">
        <v>2652</v>
      </c>
      <c r="B1481" t="s">
        <v>6542</v>
      </c>
      <c r="C1481">
        <v>2024</v>
      </c>
      <c r="D1481">
        <v>2023</v>
      </c>
      <c r="E1481" s="7">
        <v>45380</v>
      </c>
      <c r="F1481" s="7">
        <v>45744</v>
      </c>
      <c r="G1481" t="s">
        <v>135</v>
      </c>
      <c r="H1481" t="s">
        <v>107</v>
      </c>
      <c r="I1481" t="s">
        <v>104</v>
      </c>
      <c r="J1481">
        <v>12350.34</v>
      </c>
      <c r="K1481">
        <v>2000000</v>
      </c>
    </row>
    <row r="1482" spans="1:11" ht="15" customHeight="1" x14ac:dyDescent="0.2">
      <c r="A1482" t="s">
        <v>2654</v>
      </c>
      <c r="B1482" t="s">
        <v>8236</v>
      </c>
      <c r="C1482">
        <v>2024</v>
      </c>
      <c r="D1482">
        <v>2023</v>
      </c>
      <c r="E1482" s="7">
        <v>45380</v>
      </c>
      <c r="F1482" s="7">
        <v>45744</v>
      </c>
      <c r="G1482" t="s">
        <v>135</v>
      </c>
      <c r="H1482" t="s">
        <v>106</v>
      </c>
      <c r="I1482" t="s">
        <v>101</v>
      </c>
      <c r="J1482">
        <v>43136.85</v>
      </c>
      <c r="K1482">
        <v>5000000</v>
      </c>
    </row>
    <row r="1483" spans="1:11" ht="15" customHeight="1" x14ac:dyDescent="0.2">
      <c r="A1483" t="s">
        <v>2655</v>
      </c>
      <c r="B1483" t="s">
        <v>8237</v>
      </c>
      <c r="C1483">
        <v>2024</v>
      </c>
      <c r="D1483">
        <v>2023</v>
      </c>
      <c r="E1483" s="7">
        <v>45380</v>
      </c>
      <c r="F1483" s="7">
        <v>45744</v>
      </c>
      <c r="G1483" t="s">
        <v>135</v>
      </c>
      <c r="H1483" t="s">
        <v>106</v>
      </c>
      <c r="I1483" t="s">
        <v>104</v>
      </c>
      <c r="J1483">
        <v>11638.73</v>
      </c>
      <c r="K1483">
        <v>1500000</v>
      </c>
    </row>
    <row r="1484" spans="1:11" ht="15" customHeight="1" x14ac:dyDescent="0.2">
      <c r="A1484" t="s">
        <v>2656</v>
      </c>
      <c r="B1484" t="s">
        <v>8238</v>
      </c>
      <c r="C1484">
        <v>2024</v>
      </c>
      <c r="D1484">
        <v>2023</v>
      </c>
      <c r="E1484" s="7">
        <v>45380</v>
      </c>
      <c r="F1484" s="7">
        <v>45744</v>
      </c>
      <c r="G1484" t="s">
        <v>135</v>
      </c>
      <c r="H1484" t="s">
        <v>106</v>
      </c>
      <c r="I1484" t="s">
        <v>101</v>
      </c>
      <c r="J1484">
        <v>12258.88</v>
      </c>
      <c r="K1484">
        <v>1500000</v>
      </c>
    </row>
    <row r="1485" spans="1:11" ht="15" customHeight="1" x14ac:dyDescent="0.2">
      <c r="A1485" t="s">
        <v>2657</v>
      </c>
      <c r="B1485" t="s">
        <v>283</v>
      </c>
      <c r="C1485">
        <v>2024</v>
      </c>
      <c r="D1485">
        <v>2023</v>
      </c>
      <c r="E1485" s="7">
        <v>45380</v>
      </c>
      <c r="F1485" s="7">
        <v>45744</v>
      </c>
      <c r="G1485" t="s">
        <v>135</v>
      </c>
      <c r="H1485" t="s">
        <v>6337</v>
      </c>
      <c r="I1485" t="s">
        <v>104</v>
      </c>
      <c r="J1485">
        <v>8465.65</v>
      </c>
      <c r="K1485">
        <v>1500000</v>
      </c>
    </row>
    <row r="1486" spans="1:11" ht="15" customHeight="1" x14ac:dyDescent="0.2">
      <c r="A1486" t="s">
        <v>2658</v>
      </c>
      <c r="B1486" t="s">
        <v>8239</v>
      </c>
      <c r="C1486">
        <v>2024</v>
      </c>
      <c r="D1486">
        <v>2023</v>
      </c>
      <c r="E1486" s="7">
        <v>45380</v>
      </c>
      <c r="F1486" s="7">
        <v>45744</v>
      </c>
      <c r="G1486" t="s">
        <v>135</v>
      </c>
      <c r="H1486" t="s">
        <v>111</v>
      </c>
      <c r="I1486" t="s">
        <v>104</v>
      </c>
      <c r="J1486">
        <v>5365.25</v>
      </c>
      <c r="K1486">
        <v>1000000</v>
      </c>
    </row>
    <row r="1487" spans="1:11" ht="15" customHeight="1" x14ac:dyDescent="0.2">
      <c r="A1487" t="s">
        <v>2659</v>
      </c>
      <c r="B1487" t="s">
        <v>8240</v>
      </c>
      <c r="C1487">
        <v>2024</v>
      </c>
      <c r="D1487">
        <v>2023</v>
      </c>
      <c r="E1487" s="7">
        <v>45380</v>
      </c>
      <c r="F1487" s="7">
        <v>45744</v>
      </c>
      <c r="G1487" t="s">
        <v>135</v>
      </c>
      <c r="H1487" t="s">
        <v>115</v>
      </c>
      <c r="I1487" t="s">
        <v>104</v>
      </c>
      <c r="J1487">
        <v>8445.15</v>
      </c>
      <c r="K1487">
        <v>1500000</v>
      </c>
    </row>
    <row r="1488" spans="1:11" ht="15" customHeight="1" x14ac:dyDescent="0.2">
      <c r="A1488" t="s">
        <v>2660</v>
      </c>
      <c r="B1488" t="s">
        <v>2184</v>
      </c>
      <c r="C1488">
        <v>2024</v>
      </c>
      <c r="D1488">
        <v>2023</v>
      </c>
      <c r="E1488" s="7">
        <v>45381</v>
      </c>
      <c r="F1488" s="7">
        <v>45745</v>
      </c>
      <c r="G1488" t="s">
        <v>99</v>
      </c>
      <c r="H1488" t="s">
        <v>105</v>
      </c>
      <c r="I1488" t="s">
        <v>101</v>
      </c>
      <c r="J1488">
        <v>15315.18</v>
      </c>
      <c r="K1488">
        <v>2000000</v>
      </c>
    </row>
    <row r="1489" spans="1:11" ht="15" customHeight="1" x14ac:dyDescent="0.2">
      <c r="A1489" t="s">
        <v>2661</v>
      </c>
      <c r="B1489" t="s">
        <v>2186</v>
      </c>
      <c r="C1489">
        <v>2024</v>
      </c>
      <c r="D1489">
        <v>2023</v>
      </c>
      <c r="E1489" s="7">
        <v>45381</v>
      </c>
      <c r="F1489" s="7">
        <v>45745</v>
      </c>
      <c r="G1489" t="s">
        <v>99</v>
      </c>
      <c r="H1489" t="s">
        <v>112</v>
      </c>
      <c r="I1489" t="s">
        <v>101</v>
      </c>
      <c r="J1489">
        <v>18853.55</v>
      </c>
      <c r="K1489">
        <v>2000000</v>
      </c>
    </row>
    <row r="1490" spans="1:11" ht="15" customHeight="1" x14ac:dyDescent="0.2">
      <c r="A1490" t="s">
        <v>2662</v>
      </c>
      <c r="B1490" t="s">
        <v>2188</v>
      </c>
      <c r="C1490">
        <v>2024</v>
      </c>
      <c r="D1490">
        <v>2023</v>
      </c>
      <c r="E1490" s="7">
        <v>45381</v>
      </c>
      <c r="F1490" s="7">
        <v>45745</v>
      </c>
      <c r="G1490" t="s">
        <v>99</v>
      </c>
      <c r="H1490" t="s">
        <v>6334</v>
      </c>
      <c r="I1490" t="s">
        <v>104</v>
      </c>
      <c r="J1490">
        <v>9163.24</v>
      </c>
      <c r="K1490">
        <v>1500000</v>
      </c>
    </row>
    <row r="1491" spans="1:11" ht="15" customHeight="1" x14ac:dyDescent="0.2">
      <c r="A1491" t="s">
        <v>2663</v>
      </c>
      <c r="B1491" t="s">
        <v>8241</v>
      </c>
      <c r="C1491">
        <v>2024</v>
      </c>
      <c r="D1491">
        <v>2023</v>
      </c>
      <c r="E1491" s="7">
        <v>45381</v>
      </c>
      <c r="F1491" s="7">
        <v>45745</v>
      </c>
      <c r="G1491" t="s">
        <v>135</v>
      </c>
      <c r="H1491" t="s">
        <v>108</v>
      </c>
      <c r="I1491" t="s">
        <v>104</v>
      </c>
      <c r="J1491">
        <v>74191.55</v>
      </c>
      <c r="K1491">
        <v>10000000</v>
      </c>
    </row>
    <row r="1492" spans="1:11" ht="15" customHeight="1" x14ac:dyDescent="0.2">
      <c r="A1492" t="s">
        <v>2664</v>
      </c>
      <c r="B1492" t="s">
        <v>8242</v>
      </c>
      <c r="C1492">
        <v>2024</v>
      </c>
      <c r="D1492">
        <v>2023</v>
      </c>
      <c r="E1492" s="7">
        <v>45381</v>
      </c>
      <c r="F1492" s="7">
        <v>45745</v>
      </c>
      <c r="G1492" t="s">
        <v>135</v>
      </c>
      <c r="H1492" t="s">
        <v>103</v>
      </c>
      <c r="I1492" t="s">
        <v>101</v>
      </c>
      <c r="J1492">
        <v>7391.84</v>
      </c>
      <c r="K1492">
        <v>1000000</v>
      </c>
    </row>
    <row r="1493" spans="1:11" ht="15" customHeight="1" x14ac:dyDescent="0.2">
      <c r="A1493" t="s">
        <v>2665</v>
      </c>
      <c r="B1493" t="s">
        <v>8243</v>
      </c>
      <c r="C1493">
        <v>2024</v>
      </c>
      <c r="D1493">
        <v>2023</v>
      </c>
      <c r="E1493" s="7">
        <v>45381</v>
      </c>
      <c r="F1493" s="7">
        <v>45745</v>
      </c>
      <c r="G1493" t="s">
        <v>135</v>
      </c>
      <c r="H1493" t="s">
        <v>103</v>
      </c>
      <c r="I1493" t="s">
        <v>101</v>
      </c>
      <c r="J1493">
        <v>6632.76</v>
      </c>
      <c r="K1493">
        <v>1000000</v>
      </c>
    </row>
    <row r="1494" spans="1:11" ht="15" customHeight="1" x14ac:dyDescent="0.2">
      <c r="A1494" t="s">
        <v>2667</v>
      </c>
      <c r="B1494" t="s">
        <v>8244</v>
      </c>
      <c r="C1494">
        <v>2024</v>
      </c>
      <c r="D1494">
        <v>2023</v>
      </c>
      <c r="E1494" s="7">
        <v>45381</v>
      </c>
      <c r="F1494" s="7">
        <v>45745</v>
      </c>
      <c r="G1494" t="s">
        <v>135</v>
      </c>
      <c r="H1494" t="s">
        <v>102</v>
      </c>
      <c r="I1494" t="s">
        <v>104</v>
      </c>
      <c r="J1494">
        <v>53187.57</v>
      </c>
      <c r="K1494">
        <v>10000000</v>
      </c>
    </row>
    <row r="1495" spans="1:11" ht="15" customHeight="1" x14ac:dyDescent="0.2">
      <c r="A1495" t="s">
        <v>2669</v>
      </c>
      <c r="B1495" t="s">
        <v>8245</v>
      </c>
      <c r="C1495">
        <v>2024</v>
      </c>
      <c r="D1495">
        <v>2023</v>
      </c>
      <c r="E1495" s="7">
        <v>45381</v>
      </c>
      <c r="F1495" s="7">
        <v>45745</v>
      </c>
      <c r="G1495" t="s">
        <v>135</v>
      </c>
      <c r="H1495" t="s">
        <v>114</v>
      </c>
      <c r="I1495" t="s">
        <v>104</v>
      </c>
      <c r="J1495">
        <v>30663.05</v>
      </c>
      <c r="K1495">
        <v>5000000</v>
      </c>
    </row>
    <row r="1496" spans="1:11" ht="15" customHeight="1" x14ac:dyDescent="0.2">
      <c r="A1496" t="s">
        <v>2671</v>
      </c>
      <c r="B1496" t="s">
        <v>6546</v>
      </c>
      <c r="C1496">
        <v>2024</v>
      </c>
      <c r="D1496">
        <v>2023</v>
      </c>
      <c r="E1496" s="7">
        <v>45381</v>
      </c>
      <c r="F1496" s="7">
        <v>45745</v>
      </c>
      <c r="G1496" t="s">
        <v>135</v>
      </c>
      <c r="H1496" t="s">
        <v>107</v>
      </c>
      <c r="I1496" t="s">
        <v>101</v>
      </c>
      <c r="J1496">
        <v>10413.73</v>
      </c>
      <c r="K1496">
        <v>1500000</v>
      </c>
    </row>
    <row r="1497" spans="1:11" ht="15" customHeight="1" x14ac:dyDescent="0.2">
      <c r="A1497" t="s">
        <v>2672</v>
      </c>
      <c r="B1497" t="s">
        <v>8246</v>
      </c>
      <c r="C1497">
        <v>2024</v>
      </c>
      <c r="D1497">
        <v>2023</v>
      </c>
      <c r="E1497" s="7">
        <v>45381</v>
      </c>
      <c r="F1497" s="7">
        <v>45745</v>
      </c>
      <c r="G1497" t="s">
        <v>135</v>
      </c>
      <c r="H1497" t="s">
        <v>115</v>
      </c>
      <c r="I1497" t="s">
        <v>101</v>
      </c>
      <c r="J1497">
        <v>10866.05</v>
      </c>
      <c r="K1497">
        <v>1500000</v>
      </c>
    </row>
    <row r="1498" spans="1:11" ht="15" customHeight="1" x14ac:dyDescent="0.2">
      <c r="A1498" t="s">
        <v>2673</v>
      </c>
      <c r="B1498" t="s">
        <v>2208</v>
      </c>
      <c r="C1498">
        <v>2024</v>
      </c>
      <c r="D1498">
        <v>2023</v>
      </c>
      <c r="E1498" s="7">
        <v>45382</v>
      </c>
      <c r="F1498" s="7">
        <v>45746</v>
      </c>
      <c r="G1498" t="s">
        <v>99</v>
      </c>
      <c r="H1498" t="s">
        <v>114</v>
      </c>
      <c r="I1498" t="s">
        <v>104</v>
      </c>
      <c r="J1498">
        <v>55565.93</v>
      </c>
      <c r="K1498">
        <v>10000000</v>
      </c>
    </row>
    <row r="1499" spans="1:11" ht="15" customHeight="1" x14ac:dyDescent="0.2">
      <c r="A1499" t="s">
        <v>2674</v>
      </c>
      <c r="B1499" t="s">
        <v>2210</v>
      </c>
      <c r="C1499">
        <v>2024</v>
      </c>
      <c r="D1499">
        <v>2023</v>
      </c>
      <c r="E1499" s="7">
        <v>45382</v>
      </c>
      <c r="F1499" s="7">
        <v>45746</v>
      </c>
      <c r="G1499" t="s">
        <v>99</v>
      </c>
      <c r="H1499" t="s">
        <v>107</v>
      </c>
      <c r="I1499" t="s">
        <v>101</v>
      </c>
      <c r="J1499">
        <v>70632.710000000006</v>
      </c>
      <c r="K1499">
        <v>10000000</v>
      </c>
    </row>
    <row r="1500" spans="1:11" ht="15" customHeight="1" x14ac:dyDescent="0.2">
      <c r="A1500" t="s">
        <v>2676</v>
      </c>
      <c r="B1500" t="s">
        <v>805</v>
      </c>
      <c r="C1500">
        <v>2024</v>
      </c>
      <c r="D1500">
        <v>2023</v>
      </c>
      <c r="E1500" s="7">
        <v>45382</v>
      </c>
      <c r="F1500" s="7">
        <v>45746</v>
      </c>
      <c r="G1500" t="s">
        <v>135</v>
      </c>
      <c r="H1500" t="s">
        <v>113</v>
      </c>
      <c r="I1500" t="s">
        <v>104</v>
      </c>
      <c r="J1500">
        <v>7895.35</v>
      </c>
      <c r="K1500">
        <v>1500000</v>
      </c>
    </row>
    <row r="1501" spans="1:11" ht="15" customHeight="1" x14ac:dyDescent="0.2">
      <c r="A1501" t="s">
        <v>2677</v>
      </c>
      <c r="B1501" t="s">
        <v>193</v>
      </c>
      <c r="C1501">
        <v>2024</v>
      </c>
      <c r="D1501">
        <v>2023</v>
      </c>
      <c r="E1501" s="7">
        <v>45382</v>
      </c>
      <c r="F1501" s="7">
        <v>45746</v>
      </c>
      <c r="G1501" t="s">
        <v>135</v>
      </c>
      <c r="H1501" t="s">
        <v>109</v>
      </c>
      <c r="I1501" t="s">
        <v>101</v>
      </c>
      <c r="J1501">
        <v>7359.72</v>
      </c>
      <c r="K1501">
        <v>1000000</v>
      </c>
    </row>
    <row r="1502" spans="1:11" ht="15" customHeight="1" x14ac:dyDescent="0.2">
      <c r="A1502" t="s">
        <v>2678</v>
      </c>
      <c r="B1502" t="s">
        <v>804</v>
      </c>
      <c r="C1502">
        <v>2024</v>
      </c>
      <c r="D1502">
        <v>2023</v>
      </c>
      <c r="E1502" s="7">
        <v>45382</v>
      </c>
      <c r="F1502" s="7">
        <v>45746</v>
      </c>
      <c r="G1502" t="s">
        <v>135</v>
      </c>
      <c r="H1502" t="s">
        <v>112</v>
      </c>
      <c r="I1502" t="s">
        <v>104</v>
      </c>
      <c r="J1502">
        <v>14485.87</v>
      </c>
      <c r="K1502">
        <v>2000000</v>
      </c>
    </row>
    <row r="1503" spans="1:11" ht="15" customHeight="1" x14ac:dyDescent="0.2">
      <c r="A1503" t="s">
        <v>2679</v>
      </c>
      <c r="B1503" t="s">
        <v>8247</v>
      </c>
      <c r="C1503">
        <v>2024</v>
      </c>
      <c r="D1503">
        <v>2023</v>
      </c>
      <c r="E1503" s="7">
        <v>45382</v>
      </c>
      <c r="F1503" s="7">
        <v>45746</v>
      </c>
      <c r="G1503" t="s">
        <v>135</v>
      </c>
      <c r="H1503" t="s">
        <v>106</v>
      </c>
      <c r="I1503" t="s">
        <v>101</v>
      </c>
      <c r="J1503">
        <v>89615.98</v>
      </c>
      <c r="K1503">
        <v>10000000</v>
      </c>
    </row>
    <row r="1504" spans="1:11" ht="15" customHeight="1" x14ac:dyDescent="0.2">
      <c r="A1504" t="s">
        <v>2680</v>
      </c>
      <c r="B1504" t="s">
        <v>2212</v>
      </c>
      <c r="C1504">
        <v>2024</v>
      </c>
      <c r="D1504">
        <v>2024</v>
      </c>
      <c r="E1504" s="7">
        <v>45383</v>
      </c>
      <c r="F1504" s="7">
        <v>45747</v>
      </c>
      <c r="G1504" t="s">
        <v>99</v>
      </c>
      <c r="H1504" t="s">
        <v>109</v>
      </c>
      <c r="I1504" t="s">
        <v>104</v>
      </c>
      <c r="J1504">
        <v>10671.8</v>
      </c>
      <c r="K1504">
        <v>2000000</v>
      </c>
    </row>
    <row r="1505" spans="1:11" ht="15" customHeight="1" x14ac:dyDescent="0.2">
      <c r="A1505" t="s">
        <v>2681</v>
      </c>
      <c r="B1505" t="s">
        <v>2214</v>
      </c>
      <c r="C1505">
        <v>2024</v>
      </c>
      <c r="D1505">
        <v>2024</v>
      </c>
      <c r="E1505" s="7">
        <v>45383</v>
      </c>
      <c r="F1505" s="7">
        <v>45747</v>
      </c>
      <c r="G1505" t="s">
        <v>99</v>
      </c>
      <c r="H1505" t="s">
        <v>6337</v>
      </c>
      <c r="I1505" t="s">
        <v>104</v>
      </c>
      <c r="J1505">
        <v>8889.4500000000007</v>
      </c>
      <c r="K1505">
        <v>1500000</v>
      </c>
    </row>
    <row r="1506" spans="1:11" ht="15" customHeight="1" x14ac:dyDescent="0.2">
      <c r="A1506" t="s">
        <v>2682</v>
      </c>
      <c r="B1506" t="s">
        <v>2225</v>
      </c>
      <c r="C1506">
        <v>2024</v>
      </c>
      <c r="D1506">
        <v>2024</v>
      </c>
      <c r="E1506" s="7">
        <v>45383</v>
      </c>
      <c r="F1506" s="7">
        <v>45747</v>
      </c>
      <c r="G1506" t="s">
        <v>99</v>
      </c>
      <c r="H1506" t="s">
        <v>102</v>
      </c>
      <c r="I1506" t="s">
        <v>101</v>
      </c>
      <c r="J1506">
        <v>3704.56</v>
      </c>
      <c r="K1506">
        <v>500000</v>
      </c>
    </row>
    <row r="1507" spans="1:11" ht="15" customHeight="1" x14ac:dyDescent="0.2">
      <c r="A1507" t="s">
        <v>2683</v>
      </c>
      <c r="B1507" t="s">
        <v>2226</v>
      </c>
      <c r="C1507">
        <v>2024</v>
      </c>
      <c r="D1507">
        <v>2024</v>
      </c>
      <c r="E1507" s="7">
        <v>45383</v>
      </c>
      <c r="F1507" s="7">
        <v>45747</v>
      </c>
      <c r="G1507" t="s">
        <v>99</v>
      </c>
      <c r="H1507" t="s">
        <v>107</v>
      </c>
      <c r="I1507" t="s">
        <v>104</v>
      </c>
      <c r="J1507">
        <v>5246.77</v>
      </c>
      <c r="K1507">
        <v>1000000</v>
      </c>
    </row>
    <row r="1508" spans="1:11" ht="15" customHeight="1" x14ac:dyDescent="0.2">
      <c r="A1508" t="s">
        <v>2684</v>
      </c>
      <c r="B1508" t="s">
        <v>2228</v>
      </c>
      <c r="C1508">
        <v>2024</v>
      </c>
      <c r="D1508">
        <v>2024</v>
      </c>
      <c r="E1508" s="7">
        <v>45383</v>
      </c>
      <c r="F1508" s="7">
        <v>45747</v>
      </c>
      <c r="G1508" t="s">
        <v>99</v>
      </c>
      <c r="H1508" t="s">
        <v>113</v>
      </c>
      <c r="I1508" t="s">
        <v>104</v>
      </c>
      <c r="J1508">
        <v>9215.0300000000007</v>
      </c>
      <c r="K1508">
        <v>1500000</v>
      </c>
    </row>
    <row r="1509" spans="1:11" ht="15" customHeight="1" x14ac:dyDescent="0.2">
      <c r="A1509" t="s">
        <v>2686</v>
      </c>
      <c r="B1509" t="s">
        <v>2230</v>
      </c>
      <c r="C1509">
        <v>2024</v>
      </c>
      <c r="D1509">
        <v>2024</v>
      </c>
      <c r="E1509" s="7">
        <v>45383</v>
      </c>
      <c r="F1509" s="7">
        <v>45747</v>
      </c>
      <c r="G1509" t="s">
        <v>99</v>
      </c>
      <c r="H1509" t="s">
        <v>109</v>
      </c>
      <c r="I1509" t="s">
        <v>101</v>
      </c>
      <c r="J1509">
        <v>7527.11</v>
      </c>
      <c r="K1509">
        <v>1000000</v>
      </c>
    </row>
    <row r="1510" spans="1:11" ht="15" customHeight="1" x14ac:dyDescent="0.2">
      <c r="A1510" t="s">
        <v>2688</v>
      </c>
      <c r="B1510" t="s">
        <v>2232</v>
      </c>
      <c r="C1510">
        <v>2024</v>
      </c>
      <c r="D1510">
        <v>2024</v>
      </c>
      <c r="E1510" s="7">
        <v>45383</v>
      </c>
      <c r="F1510" s="7">
        <v>45747</v>
      </c>
      <c r="G1510" t="s">
        <v>99</v>
      </c>
      <c r="H1510" t="s">
        <v>109</v>
      </c>
      <c r="I1510" t="s">
        <v>101</v>
      </c>
      <c r="J1510">
        <v>7774.13</v>
      </c>
      <c r="K1510">
        <v>1000000</v>
      </c>
    </row>
    <row r="1511" spans="1:11" ht="15" customHeight="1" x14ac:dyDescent="0.2">
      <c r="A1511" t="s">
        <v>2690</v>
      </c>
      <c r="B1511" t="s">
        <v>2234</v>
      </c>
      <c r="C1511">
        <v>2024</v>
      </c>
      <c r="D1511">
        <v>2024</v>
      </c>
      <c r="E1511" s="7">
        <v>45383</v>
      </c>
      <c r="F1511" s="7">
        <v>45747</v>
      </c>
      <c r="G1511" t="s">
        <v>99</v>
      </c>
      <c r="H1511" t="s">
        <v>113</v>
      </c>
      <c r="I1511" t="s">
        <v>101</v>
      </c>
      <c r="J1511">
        <v>6859.17</v>
      </c>
      <c r="K1511">
        <v>1000000</v>
      </c>
    </row>
    <row r="1512" spans="1:11" ht="15" customHeight="1" x14ac:dyDescent="0.2">
      <c r="A1512" t="s">
        <v>2692</v>
      </c>
      <c r="B1512" t="s">
        <v>2244</v>
      </c>
      <c r="C1512">
        <v>2024</v>
      </c>
      <c r="D1512">
        <v>2024</v>
      </c>
      <c r="E1512" s="7">
        <v>45383</v>
      </c>
      <c r="F1512" s="7">
        <v>45747</v>
      </c>
      <c r="G1512" t="s">
        <v>99</v>
      </c>
      <c r="H1512" t="s">
        <v>106</v>
      </c>
      <c r="I1512" t="s">
        <v>101</v>
      </c>
      <c r="J1512">
        <v>9655.32</v>
      </c>
      <c r="K1512">
        <v>1000000</v>
      </c>
    </row>
    <row r="1513" spans="1:11" ht="15" customHeight="1" x14ac:dyDescent="0.2">
      <c r="A1513" t="s">
        <v>2694</v>
      </c>
      <c r="B1513" t="s">
        <v>8248</v>
      </c>
      <c r="C1513">
        <v>2024</v>
      </c>
      <c r="D1513">
        <v>2024</v>
      </c>
      <c r="E1513" s="7">
        <v>45383</v>
      </c>
      <c r="F1513" s="7">
        <v>45747</v>
      </c>
      <c r="G1513" t="s">
        <v>135</v>
      </c>
      <c r="H1513" t="s">
        <v>106</v>
      </c>
      <c r="I1513" t="s">
        <v>104</v>
      </c>
      <c r="J1513">
        <v>6595.56</v>
      </c>
      <c r="K1513">
        <v>1000000</v>
      </c>
    </row>
    <row r="1514" spans="1:11" ht="15" customHeight="1" x14ac:dyDescent="0.2">
      <c r="A1514" t="s">
        <v>2696</v>
      </c>
      <c r="B1514" t="s">
        <v>8249</v>
      </c>
      <c r="C1514">
        <v>2024</v>
      </c>
      <c r="D1514">
        <v>2024</v>
      </c>
      <c r="E1514" s="7">
        <v>45383</v>
      </c>
      <c r="F1514" s="7">
        <v>45747</v>
      </c>
      <c r="G1514" t="s">
        <v>135</v>
      </c>
      <c r="H1514" t="s">
        <v>102</v>
      </c>
      <c r="I1514" t="s">
        <v>104</v>
      </c>
      <c r="J1514">
        <v>7910.78</v>
      </c>
      <c r="K1514">
        <v>1500000</v>
      </c>
    </row>
    <row r="1515" spans="1:11" ht="15" customHeight="1" x14ac:dyDescent="0.2">
      <c r="A1515" t="s">
        <v>2697</v>
      </c>
      <c r="B1515" t="s">
        <v>284</v>
      </c>
      <c r="C1515">
        <v>2024</v>
      </c>
      <c r="D1515">
        <v>2024</v>
      </c>
      <c r="E1515" s="7">
        <v>45383</v>
      </c>
      <c r="F1515" s="7">
        <v>45747</v>
      </c>
      <c r="G1515" t="s">
        <v>135</v>
      </c>
      <c r="H1515" t="s">
        <v>107</v>
      </c>
      <c r="I1515" t="s">
        <v>101</v>
      </c>
      <c r="J1515">
        <v>36737.599999999999</v>
      </c>
      <c r="K1515">
        <v>5000000</v>
      </c>
    </row>
    <row r="1516" spans="1:11" ht="15" customHeight="1" x14ac:dyDescent="0.2">
      <c r="A1516" t="s">
        <v>2698</v>
      </c>
      <c r="B1516" t="s">
        <v>6551</v>
      </c>
      <c r="C1516">
        <v>2024</v>
      </c>
      <c r="D1516">
        <v>2024</v>
      </c>
      <c r="E1516" s="7">
        <v>45383</v>
      </c>
      <c r="F1516" s="7">
        <v>45747</v>
      </c>
      <c r="G1516" t="s">
        <v>135</v>
      </c>
      <c r="H1516" t="s">
        <v>115</v>
      </c>
      <c r="I1516" t="s">
        <v>101</v>
      </c>
      <c r="J1516">
        <v>6461.55</v>
      </c>
      <c r="K1516">
        <v>1000000</v>
      </c>
    </row>
    <row r="1517" spans="1:11" ht="15" customHeight="1" x14ac:dyDescent="0.2">
      <c r="A1517" t="s">
        <v>2699</v>
      </c>
      <c r="B1517" t="s">
        <v>6554</v>
      </c>
      <c r="C1517">
        <v>2024</v>
      </c>
      <c r="D1517">
        <v>2024</v>
      </c>
      <c r="E1517" s="7">
        <v>45383</v>
      </c>
      <c r="F1517" s="7">
        <v>45747</v>
      </c>
      <c r="G1517" t="s">
        <v>135</v>
      </c>
      <c r="H1517" t="s">
        <v>107</v>
      </c>
      <c r="I1517" t="s">
        <v>101</v>
      </c>
      <c r="J1517">
        <v>12987.67</v>
      </c>
      <c r="K1517">
        <v>2000000</v>
      </c>
    </row>
    <row r="1518" spans="1:11" ht="15" customHeight="1" x14ac:dyDescent="0.2">
      <c r="A1518" t="s">
        <v>2700</v>
      </c>
      <c r="B1518" t="s">
        <v>809</v>
      </c>
      <c r="C1518">
        <v>2024</v>
      </c>
      <c r="D1518">
        <v>2024</v>
      </c>
      <c r="E1518" s="7">
        <v>45383</v>
      </c>
      <c r="F1518" s="7">
        <v>45747</v>
      </c>
      <c r="G1518" t="s">
        <v>135</v>
      </c>
      <c r="H1518" t="s">
        <v>105</v>
      </c>
      <c r="I1518" t="s">
        <v>104</v>
      </c>
      <c r="J1518">
        <v>6188.41</v>
      </c>
      <c r="K1518">
        <v>1000000</v>
      </c>
    </row>
    <row r="1519" spans="1:11" ht="15" customHeight="1" x14ac:dyDescent="0.2">
      <c r="A1519" t="s">
        <v>2701</v>
      </c>
      <c r="B1519" t="s">
        <v>808</v>
      </c>
      <c r="C1519">
        <v>2024</v>
      </c>
      <c r="D1519">
        <v>2024</v>
      </c>
      <c r="E1519" s="7">
        <v>45383</v>
      </c>
      <c r="F1519" s="7">
        <v>45747</v>
      </c>
      <c r="G1519" t="s">
        <v>135</v>
      </c>
      <c r="H1519" t="s">
        <v>106</v>
      </c>
      <c r="I1519" t="s">
        <v>104</v>
      </c>
      <c r="J1519">
        <v>7644.94</v>
      </c>
      <c r="K1519">
        <v>1000000</v>
      </c>
    </row>
    <row r="1520" spans="1:11" ht="15" customHeight="1" x14ac:dyDescent="0.2">
      <c r="A1520" t="s">
        <v>2702</v>
      </c>
      <c r="B1520" t="s">
        <v>8250</v>
      </c>
      <c r="C1520">
        <v>2024</v>
      </c>
      <c r="D1520">
        <v>2024</v>
      </c>
      <c r="E1520" s="7">
        <v>45383</v>
      </c>
      <c r="F1520" s="7">
        <v>45747</v>
      </c>
      <c r="G1520" t="s">
        <v>135</v>
      </c>
      <c r="H1520" t="s">
        <v>102</v>
      </c>
      <c r="I1520" t="s">
        <v>101</v>
      </c>
      <c r="J1520">
        <v>14285.32</v>
      </c>
      <c r="K1520">
        <v>2000000</v>
      </c>
    </row>
    <row r="1521" spans="1:11" ht="15" customHeight="1" x14ac:dyDescent="0.2">
      <c r="A1521" t="s">
        <v>2703</v>
      </c>
      <c r="B1521" t="s">
        <v>807</v>
      </c>
      <c r="C1521">
        <v>2024</v>
      </c>
      <c r="D1521">
        <v>2024</v>
      </c>
      <c r="E1521" s="7">
        <v>45383</v>
      </c>
      <c r="F1521" s="7">
        <v>45747</v>
      </c>
      <c r="G1521" t="s">
        <v>135</v>
      </c>
      <c r="H1521" t="s">
        <v>114</v>
      </c>
      <c r="I1521" t="s">
        <v>101</v>
      </c>
      <c r="J1521">
        <v>9692.68</v>
      </c>
      <c r="K1521">
        <v>1500000</v>
      </c>
    </row>
    <row r="1522" spans="1:11" ht="15" customHeight="1" x14ac:dyDescent="0.2">
      <c r="A1522" t="s">
        <v>2705</v>
      </c>
      <c r="B1522" t="s">
        <v>8251</v>
      </c>
      <c r="C1522">
        <v>2024</v>
      </c>
      <c r="D1522">
        <v>2024</v>
      </c>
      <c r="E1522" s="7">
        <v>45383</v>
      </c>
      <c r="F1522" s="7">
        <v>45747</v>
      </c>
      <c r="G1522" t="s">
        <v>135</v>
      </c>
      <c r="H1522" t="s">
        <v>103</v>
      </c>
      <c r="I1522" t="s">
        <v>104</v>
      </c>
      <c r="J1522">
        <v>27140.34</v>
      </c>
      <c r="K1522">
        <v>5000000</v>
      </c>
    </row>
    <row r="1523" spans="1:11" ht="15" customHeight="1" x14ac:dyDescent="0.2">
      <c r="A1523" t="s">
        <v>2707</v>
      </c>
      <c r="B1523" t="s">
        <v>8252</v>
      </c>
      <c r="C1523">
        <v>2024</v>
      </c>
      <c r="D1523">
        <v>2024</v>
      </c>
      <c r="E1523" s="7">
        <v>45383</v>
      </c>
      <c r="F1523" s="7">
        <v>45747</v>
      </c>
      <c r="G1523" t="s">
        <v>135</v>
      </c>
      <c r="H1523" t="s">
        <v>107</v>
      </c>
      <c r="I1523" t="s">
        <v>104</v>
      </c>
      <c r="J1523">
        <v>5631.08</v>
      </c>
      <c r="K1523">
        <v>1000000</v>
      </c>
    </row>
    <row r="1524" spans="1:11" ht="15" customHeight="1" x14ac:dyDescent="0.2">
      <c r="A1524" t="s">
        <v>2709</v>
      </c>
      <c r="B1524" t="s">
        <v>806</v>
      </c>
      <c r="C1524">
        <v>2024</v>
      </c>
      <c r="D1524">
        <v>2024</v>
      </c>
      <c r="E1524" s="7">
        <v>45383</v>
      </c>
      <c r="F1524" s="7">
        <v>45747</v>
      </c>
      <c r="G1524" t="s">
        <v>135</v>
      </c>
      <c r="H1524" t="s">
        <v>6332</v>
      </c>
      <c r="I1524" t="s">
        <v>101</v>
      </c>
      <c r="J1524">
        <v>32461.75</v>
      </c>
      <c r="K1524">
        <v>5000000</v>
      </c>
    </row>
    <row r="1525" spans="1:11" ht="15" customHeight="1" x14ac:dyDescent="0.2">
      <c r="A1525" t="s">
        <v>2711</v>
      </c>
      <c r="B1525" t="s">
        <v>8253</v>
      </c>
      <c r="C1525">
        <v>2024</v>
      </c>
      <c r="D1525">
        <v>2024</v>
      </c>
      <c r="E1525" s="7">
        <v>45383</v>
      </c>
      <c r="F1525" s="7">
        <v>45747</v>
      </c>
      <c r="G1525" t="s">
        <v>135</v>
      </c>
      <c r="H1525" t="s">
        <v>110</v>
      </c>
      <c r="I1525" t="s">
        <v>104</v>
      </c>
      <c r="J1525">
        <v>6661.43</v>
      </c>
      <c r="K1525">
        <v>1000000</v>
      </c>
    </row>
    <row r="1526" spans="1:11" ht="15" customHeight="1" x14ac:dyDescent="0.2">
      <c r="A1526" t="s">
        <v>2713</v>
      </c>
      <c r="B1526" t="s">
        <v>194</v>
      </c>
      <c r="C1526">
        <v>2024</v>
      </c>
      <c r="D1526">
        <v>2024</v>
      </c>
      <c r="E1526" s="7">
        <v>45383</v>
      </c>
      <c r="F1526" s="7">
        <v>45747</v>
      </c>
      <c r="G1526" t="s">
        <v>135</v>
      </c>
      <c r="H1526" t="s">
        <v>102</v>
      </c>
      <c r="I1526" t="s">
        <v>104</v>
      </c>
      <c r="J1526">
        <v>6093.14</v>
      </c>
      <c r="K1526">
        <v>1000000</v>
      </c>
    </row>
    <row r="1527" spans="1:11" ht="15" customHeight="1" x14ac:dyDescent="0.2">
      <c r="A1527" t="s">
        <v>2715</v>
      </c>
      <c r="B1527" t="s">
        <v>2246</v>
      </c>
      <c r="C1527">
        <v>2024</v>
      </c>
      <c r="D1527">
        <v>2024</v>
      </c>
      <c r="E1527" s="7">
        <v>45384</v>
      </c>
      <c r="F1527" s="7">
        <v>45748</v>
      </c>
      <c r="G1527" t="s">
        <v>99</v>
      </c>
      <c r="H1527" t="s">
        <v>108</v>
      </c>
      <c r="I1527" t="s">
        <v>104</v>
      </c>
      <c r="J1527">
        <v>38175.839999999997</v>
      </c>
      <c r="K1527">
        <v>5000000</v>
      </c>
    </row>
    <row r="1528" spans="1:11" ht="15" customHeight="1" x14ac:dyDescent="0.2">
      <c r="A1528" t="s">
        <v>2717</v>
      </c>
      <c r="B1528" t="s">
        <v>2248</v>
      </c>
      <c r="C1528">
        <v>2024</v>
      </c>
      <c r="D1528">
        <v>2024</v>
      </c>
      <c r="E1528" s="7">
        <v>45384</v>
      </c>
      <c r="F1528" s="7">
        <v>45748</v>
      </c>
      <c r="G1528" t="s">
        <v>99</v>
      </c>
      <c r="H1528" t="s">
        <v>107</v>
      </c>
      <c r="I1528" t="s">
        <v>101</v>
      </c>
      <c r="J1528">
        <v>7336.31</v>
      </c>
      <c r="K1528">
        <v>1000000</v>
      </c>
    </row>
    <row r="1529" spans="1:11" ht="15" customHeight="1" x14ac:dyDescent="0.2">
      <c r="A1529" t="s">
        <v>2719</v>
      </c>
      <c r="B1529" t="s">
        <v>2250</v>
      </c>
      <c r="C1529">
        <v>2024</v>
      </c>
      <c r="D1529">
        <v>2024</v>
      </c>
      <c r="E1529" s="7">
        <v>45384</v>
      </c>
      <c r="F1529" s="7">
        <v>45748</v>
      </c>
      <c r="G1529" t="s">
        <v>99</v>
      </c>
      <c r="H1529" t="s">
        <v>108</v>
      </c>
      <c r="I1529" t="s">
        <v>101</v>
      </c>
      <c r="J1529">
        <v>18797.150000000001</v>
      </c>
      <c r="K1529">
        <v>2000000</v>
      </c>
    </row>
    <row r="1530" spans="1:11" ht="15" customHeight="1" x14ac:dyDescent="0.2">
      <c r="A1530" t="s">
        <v>2721</v>
      </c>
      <c r="B1530" t="s">
        <v>6555</v>
      </c>
      <c r="C1530">
        <v>2024</v>
      </c>
      <c r="D1530">
        <v>2024</v>
      </c>
      <c r="E1530" s="7">
        <v>45384</v>
      </c>
      <c r="F1530" s="7">
        <v>45748</v>
      </c>
      <c r="G1530" t="s">
        <v>135</v>
      </c>
      <c r="H1530" t="s">
        <v>110</v>
      </c>
      <c r="I1530" t="s">
        <v>104</v>
      </c>
      <c r="J1530">
        <v>14935.4</v>
      </c>
      <c r="K1530">
        <v>2000000</v>
      </c>
    </row>
    <row r="1531" spans="1:11" ht="15" customHeight="1" x14ac:dyDescent="0.2">
      <c r="A1531" t="s">
        <v>2722</v>
      </c>
      <c r="B1531" t="s">
        <v>285</v>
      </c>
      <c r="C1531">
        <v>2024</v>
      </c>
      <c r="D1531">
        <v>2024</v>
      </c>
      <c r="E1531" s="7">
        <v>45384</v>
      </c>
      <c r="F1531" s="7">
        <v>45748</v>
      </c>
      <c r="G1531" t="s">
        <v>135</v>
      </c>
      <c r="H1531" t="s">
        <v>110</v>
      </c>
      <c r="I1531" t="s">
        <v>101</v>
      </c>
      <c r="J1531">
        <v>4566.92</v>
      </c>
      <c r="K1531">
        <v>500000</v>
      </c>
    </row>
    <row r="1532" spans="1:11" ht="15" customHeight="1" x14ac:dyDescent="0.2">
      <c r="A1532" t="s">
        <v>2723</v>
      </c>
      <c r="B1532" t="s">
        <v>8254</v>
      </c>
      <c r="C1532">
        <v>2024</v>
      </c>
      <c r="D1532">
        <v>2024</v>
      </c>
      <c r="E1532" s="7">
        <v>45384</v>
      </c>
      <c r="F1532" s="7">
        <v>45748</v>
      </c>
      <c r="G1532" t="s">
        <v>135</v>
      </c>
      <c r="H1532" t="s">
        <v>107</v>
      </c>
      <c r="I1532" t="s">
        <v>104</v>
      </c>
      <c r="J1532">
        <v>62119.75</v>
      </c>
      <c r="K1532">
        <v>10000000</v>
      </c>
    </row>
    <row r="1533" spans="1:11" ht="15" customHeight="1" x14ac:dyDescent="0.2">
      <c r="A1533" t="s">
        <v>2724</v>
      </c>
      <c r="B1533" t="s">
        <v>8255</v>
      </c>
      <c r="C1533">
        <v>2024</v>
      </c>
      <c r="D1533">
        <v>2024</v>
      </c>
      <c r="E1533" s="7">
        <v>45384</v>
      </c>
      <c r="F1533" s="7">
        <v>45748</v>
      </c>
      <c r="G1533" t="s">
        <v>135</v>
      </c>
      <c r="H1533" t="s">
        <v>102</v>
      </c>
      <c r="I1533" t="s">
        <v>101</v>
      </c>
      <c r="J1533">
        <v>15699.74</v>
      </c>
      <c r="K1533">
        <v>2000000</v>
      </c>
    </row>
    <row r="1534" spans="1:11" ht="15" customHeight="1" x14ac:dyDescent="0.2">
      <c r="A1534" t="s">
        <v>2725</v>
      </c>
      <c r="B1534" t="s">
        <v>8256</v>
      </c>
      <c r="C1534">
        <v>2024</v>
      </c>
      <c r="D1534">
        <v>2024</v>
      </c>
      <c r="E1534" s="7">
        <v>45384</v>
      </c>
      <c r="F1534" s="7">
        <v>45748</v>
      </c>
      <c r="G1534" t="s">
        <v>135</v>
      </c>
      <c r="H1534" t="s">
        <v>112</v>
      </c>
      <c r="I1534" t="s">
        <v>101</v>
      </c>
      <c r="J1534">
        <v>8168.07</v>
      </c>
      <c r="K1534">
        <v>1000000</v>
      </c>
    </row>
    <row r="1535" spans="1:11" ht="15" customHeight="1" x14ac:dyDescent="0.2">
      <c r="A1535" t="s">
        <v>2726</v>
      </c>
      <c r="B1535" t="s">
        <v>495</v>
      </c>
      <c r="C1535">
        <v>2024</v>
      </c>
      <c r="D1535">
        <v>2024</v>
      </c>
      <c r="E1535" s="7">
        <v>45384</v>
      </c>
      <c r="F1535" s="7">
        <v>45748</v>
      </c>
      <c r="G1535" t="s">
        <v>135</v>
      </c>
      <c r="H1535" t="s">
        <v>102</v>
      </c>
      <c r="I1535" t="s">
        <v>101</v>
      </c>
      <c r="J1535">
        <v>73465.02</v>
      </c>
      <c r="K1535">
        <v>10000000</v>
      </c>
    </row>
    <row r="1536" spans="1:11" ht="15" customHeight="1" x14ac:dyDescent="0.2">
      <c r="A1536" t="s">
        <v>2727</v>
      </c>
      <c r="B1536" t="s">
        <v>2252</v>
      </c>
      <c r="C1536">
        <v>2024</v>
      </c>
      <c r="D1536">
        <v>2024</v>
      </c>
      <c r="E1536" s="7">
        <v>45385</v>
      </c>
      <c r="F1536" s="7">
        <v>45749</v>
      </c>
      <c r="G1536" t="s">
        <v>99</v>
      </c>
      <c r="H1536" t="s">
        <v>111</v>
      </c>
      <c r="I1536" t="s">
        <v>101</v>
      </c>
      <c r="J1536">
        <v>7050.9</v>
      </c>
      <c r="K1536">
        <v>1000000</v>
      </c>
    </row>
    <row r="1537" spans="1:11" ht="15" customHeight="1" x14ac:dyDescent="0.2">
      <c r="A1537" t="s">
        <v>2728</v>
      </c>
      <c r="B1537" t="s">
        <v>2266</v>
      </c>
      <c r="C1537">
        <v>2024</v>
      </c>
      <c r="D1537">
        <v>2024</v>
      </c>
      <c r="E1537" s="7">
        <v>45385</v>
      </c>
      <c r="F1537" s="7">
        <v>45749</v>
      </c>
      <c r="G1537" t="s">
        <v>99</v>
      </c>
      <c r="H1537" t="s">
        <v>114</v>
      </c>
      <c r="I1537" t="s">
        <v>104</v>
      </c>
      <c r="J1537">
        <v>11532.45</v>
      </c>
      <c r="K1537">
        <v>2000000</v>
      </c>
    </row>
    <row r="1538" spans="1:11" ht="15" customHeight="1" x14ac:dyDescent="0.2">
      <c r="A1538" t="s">
        <v>2729</v>
      </c>
      <c r="B1538" t="s">
        <v>8257</v>
      </c>
      <c r="C1538">
        <v>2024</v>
      </c>
      <c r="D1538">
        <v>2024</v>
      </c>
      <c r="E1538" s="7">
        <v>45385</v>
      </c>
      <c r="F1538" s="7">
        <v>45749</v>
      </c>
      <c r="G1538" t="s">
        <v>135</v>
      </c>
      <c r="H1538" t="s">
        <v>102</v>
      </c>
      <c r="I1538" t="s">
        <v>101</v>
      </c>
      <c r="J1538">
        <v>73728.84</v>
      </c>
      <c r="K1538">
        <v>10000000</v>
      </c>
    </row>
    <row r="1539" spans="1:11" ht="15" customHeight="1" x14ac:dyDescent="0.2">
      <c r="A1539" t="s">
        <v>2730</v>
      </c>
      <c r="B1539" t="s">
        <v>286</v>
      </c>
      <c r="C1539">
        <v>2024</v>
      </c>
      <c r="D1539">
        <v>2024</v>
      </c>
      <c r="E1539" s="7">
        <v>45385</v>
      </c>
      <c r="F1539" s="7">
        <v>45749</v>
      </c>
      <c r="G1539" t="s">
        <v>135</v>
      </c>
      <c r="H1539" t="s">
        <v>6337</v>
      </c>
      <c r="I1539" t="s">
        <v>101</v>
      </c>
      <c r="J1539">
        <v>7838.51</v>
      </c>
      <c r="K1539">
        <v>1000000</v>
      </c>
    </row>
    <row r="1540" spans="1:11" ht="15" customHeight="1" x14ac:dyDescent="0.2">
      <c r="A1540" t="s">
        <v>2731</v>
      </c>
      <c r="B1540" t="s">
        <v>8258</v>
      </c>
      <c r="C1540">
        <v>2024</v>
      </c>
      <c r="D1540">
        <v>2024</v>
      </c>
      <c r="E1540" s="7">
        <v>45385</v>
      </c>
      <c r="F1540" s="7">
        <v>45749</v>
      </c>
      <c r="G1540" t="s">
        <v>135</v>
      </c>
      <c r="H1540" t="s">
        <v>107</v>
      </c>
      <c r="I1540" t="s">
        <v>101</v>
      </c>
      <c r="J1540">
        <v>15767.61</v>
      </c>
      <c r="K1540">
        <v>2000000</v>
      </c>
    </row>
    <row r="1541" spans="1:11" ht="15" customHeight="1" x14ac:dyDescent="0.2">
      <c r="A1541" t="s">
        <v>2732</v>
      </c>
      <c r="B1541" t="s">
        <v>8259</v>
      </c>
      <c r="C1541">
        <v>2024</v>
      </c>
      <c r="D1541">
        <v>2024</v>
      </c>
      <c r="E1541" s="7">
        <v>45385</v>
      </c>
      <c r="F1541" s="7">
        <v>45749</v>
      </c>
      <c r="G1541" t="s">
        <v>135</v>
      </c>
      <c r="H1541" t="s">
        <v>6334</v>
      </c>
      <c r="I1541" t="s">
        <v>101</v>
      </c>
      <c r="J1541">
        <v>9957.31</v>
      </c>
      <c r="K1541">
        <v>1500000</v>
      </c>
    </row>
    <row r="1542" spans="1:11" ht="15" customHeight="1" x14ac:dyDescent="0.2">
      <c r="A1542" t="s">
        <v>2733</v>
      </c>
      <c r="B1542" t="s">
        <v>6550</v>
      </c>
      <c r="C1542">
        <v>2024</v>
      </c>
      <c r="D1542">
        <v>2024</v>
      </c>
      <c r="E1542" s="7">
        <v>45385</v>
      </c>
      <c r="F1542" s="7">
        <v>45749</v>
      </c>
      <c r="G1542" t="s">
        <v>135</v>
      </c>
      <c r="H1542" t="s">
        <v>106</v>
      </c>
      <c r="I1542" t="s">
        <v>104</v>
      </c>
      <c r="J1542">
        <v>10320.969999999999</v>
      </c>
      <c r="K1542">
        <v>1500000</v>
      </c>
    </row>
    <row r="1543" spans="1:11" ht="15" customHeight="1" x14ac:dyDescent="0.2">
      <c r="A1543" t="s">
        <v>2735</v>
      </c>
      <c r="B1543" t="s">
        <v>810</v>
      </c>
      <c r="C1543">
        <v>2024</v>
      </c>
      <c r="D1543">
        <v>2024</v>
      </c>
      <c r="E1543" s="7">
        <v>45385</v>
      </c>
      <c r="F1543" s="7">
        <v>45749</v>
      </c>
      <c r="G1543" t="s">
        <v>135</v>
      </c>
      <c r="H1543" t="s">
        <v>6337</v>
      </c>
      <c r="I1543" t="s">
        <v>104</v>
      </c>
      <c r="J1543">
        <v>11867.95</v>
      </c>
      <c r="K1543">
        <v>2000000</v>
      </c>
    </row>
    <row r="1544" spans="1:11" ht="15" customHeight="1" x14ac:dyDescent="0.2">
      <c r="A1544" t="s">
        <v>2737</v>
      </c>
      <c r="B1544" t="s">
        <v>8260</v>
      </c>
      <c r="C1544">
        <v>2024</v>
      </c>
      <c r="D1544">
        <v>2024</v>
      </c>
      <c r="E1544" s="7">
        <v>45385</v>
      </c>
      <c r="F1544" s="7">
        <v>45749</v>
      </c>
      <c r="G1544" t="s">
        <v>135</v>
      </c>
      <c r="H1544" t="s">
        <v>109</v>
      </c>
      <c r="I1544" t="s">
        <v>101</v>
      </c>
      <c r="J1544">
        <v>10285.01</v>
      </c>
      <c r="K1544">
        <v>1500000</v>
      </c>
    </row>
    <row r="1545" spans="1:11" ht="15" customHeight="1" x14ac:dyDescent="0.2">
      <c r="A1545" t="s">
        <v>2739</v>
      </c>
      <c r="B1545" t="s">
        <v>6576</v>
      </c>
      <c r="C1545">
        <v>2024</v>
      </c>
      <c r="D1545">
        <v>2024</v>
      </c>
      <c r="E1545" s="7">
        <v>45385</v>
      </c>
      <c r="F1545" s="7">
        <v>45749</v>
      </c>
      <c r="G1545" t="s">
        <v>135</v>
      </c>
      <c r="H1545" t="s">
        <v>106</v>
      </c>
      <c r="I1545" t="s">
        <v>104</v>
      </c>
      <c r="J1545">
        <v>6831.58</v>
      </c>
      <c r="K1545">
        <v>1000000</v>
      </c>
    </row>
    <row r="1546" spans="1:11" ht="15" customHeight="1" x14ac:dyDescent="0.2">
      <c r="A1546" t="s">
        <v>2741</v>
      </c>
      <c r="B1546" t="s">
        <v>2277</v>
      </c>
      <c r="C1546">
        <v>2024</v>
      </c>
      <c r="D1546">
        <v>2024</v>
      </c>
      <c r="E1546" s="7">
        <v>45386</v>
      </c>
      <c r="F1546" s="7">
        <v>45750</v>
      </c>
      <c r="G1546" t="s">
        <v>99</v>
      </c>
      <c r="H1546" t="s">
        <v>108</v>
      </c>
      <c r="I1546" t="s">
        <v>101</v>
      </c>
      <c r="J1546">
        <v>8999.1200000000008</v>
      </c>
      <c r="K1546">
        <v>1000000</v>
      </c>
    </row>
    <row r="1547" spans="1:11" ht="15" customHeight="1" x14ac:dyDescent="0.2">
      <c r="A1547" t="s">
        <v>2743</v>
      </c>
      <c r="B1547" t="s">
        <v>2279</v>
      </c>
      <c r="C1547">
        <v>2024</v>
      </c>
      <c r="D1547">
        <v>2024</v>
      </c>
      <c r="E1547" s="7">
        <v>45386</v>
      </c>
      <c r="F1547" s="7">
        <v>45750</v>
      </c>
      <c r="G1547" t="s">
        <v>99</v>
      </c>
      <c r="H1547" t="s">
        <v>6334</v>
      </c>
      <c r="I1547" t="s">
        <v>101</v>
      </c>
      <c r="J1547">
        <v>7837.8</v>
      </c>
      <c r="K1547">
        <v>1000000</v>
      </c>
    </row>
    <row r="1548" spans="1:11" ht="15" customHeight="1" x14ac:dyDescent="0.2">
      <c r="A1548" t="s">
        <v>2745</v>
      </c>
      <c r="B1548" t="s">
        <v>2281</v>
      </c>
      <c r="C1548">
        <v>2024</v>
      </c>
      <c r="D1548">
        <v>2024</v>
      </c>
      <c r="E1548" s="7">
        <v>45386</v>
      </c>
      <c r="F1548" s="7">
        <v>45750</v>
      </c>
      <c r="G1548" t="s">
        <v>99</v>
      </c>
      <c r="H1548" t="s">
        <v>106</v>
      </c>
      <c r="I1548" t="s">
        <v>104</v>
      </c>
      <c r="J1548">
        <v>7128.54</v>
      </c>
      <c r="K1548">
        <v>1000000</v>
      </c>
    </row>
    <row r="1549" spans="1:11" ht="15" customHeight="1" x14ac:dyDescent="0.2">
      <c r="A1549" t="s">
        <v>2746</v>
      </c>
      <c r="B1549" t="s">
        <v>8261</v>
      </c>
      <c r="C1549">
        <v>2024</v>
      </c>
      <c r="D1549">
        <v>2024</v>
      </c>
      <c r="E1549" s="7">
        <v>45386</v>
      </c>
      <c r="F1549" s="7">
        <v>45750</v>
      </c>
      <c r="G1549" t="s">
        <v>135</v>
      </c>
      <c r="H1549" t="s">
        <v>107</v>
      </c>
      <c r="I1549" t="s">
        <v>101</v>
      </c>
      <c r="J1549">
        <v>14518.96</v>
      </c>
      <c r="K1549">
        <v>2000000</v>
      </c>
    </row>
    <row r="1550" spans="1:11" ht="15" customHeight="1" x14ac:dyDescent="0.2">
      <c r="A1550" t="s">
        <v>2747</v>
      </c>
      <c r="B1550" t="s">
        <v>6552</v>
      </c>
      <c r="C1550">
        <v>2024</v>
      </c>
      <c r="D1550">
        <v>2024</v>
      </c>
      <c r="E1550" s="7">
        <v>45386</v>
      </c>
      <c r="F1550" s="7">
        <v>45750</v>
      </c>
      <c r="G1550" t="s">
        <v>135</v>
      </c>
      <c r="H1550" t="s">
        <v>115</v>
      </c>
      <c r="I1550" t="s">
        <v>101</v>
      </c>
      <c r="J1550">
        <v>3671.94</v>
      </c>
      <c r="K1550">
        <v>500000</v>
      </c>
    </row>
    <row r="1551" spans="1:11" ht="15" customHeight="1" x14ac:dyDescent="0.2">
      <c r="A1551" t="s">
        <v>2748</v>
      </c>
      <c r="B1551" t="s">
        <v>6556</v>
      </c>
      <c r="C1551">
        <v>2024</v>
      </c>
      <c r="D1551">
        <v>2024</v>
      </c>
      <c r="E1551" s="7">
        <v>45386</v>
      </c>
      <c r="F1551" s="7">
        <v>45750</v>
      </c>
      <c r="G1551" t="s">
        <v>135</v>
      </c>
      <c r="H1551" t="s">
        <v>112</v>
      </c>
      <c r="I1551" t="s">
        <v>104</v>
      </c>
      <c r="J1551">
        <v>6983.29</v>
      </c>
      <c r="K1551">
        <v>1000000</v>
      </c>
    </row>
    <row r="1552" spans="1:11" ht="15" customHeight="1" x14ac:dyDescent="0.2">
      <c r="A1552" t="s">
        <v>2749</v>
      </c>
      <c r="B1552" t="s">
        <v>811</v>
      </c>
      <c r="C1552">
        <v>2024</v>
      </c>
      <c r="D1552">
        <v>2024</v>
      </c>
      <c r="E1552" s="7">
        <v>45386</v>
      </c>
      <c r="F1552" s="7">
        <v>45750</v>
      </c>
      <c r="G1552" t="s">
        <v>135</v>
      </c>
      <c r="H1552" t="s">
        <v>114</v>
      </c>
      <c r="I1552" t="s">
        <v>101</v>
      </c>
      <c r="J1552">
        <v>7334.28</v>
      </c>
      <c r="K1552">
        <v>1000000</v>
      </c>
    </row>
    <row r="1553" spans="1:11" ht="15" customHeight="1" x14ac:dyDescent="0.2">
      <c r="A1553" t="s">
        <v>2750</v>
      </c>
      <c r="B1553" t="s">
        <v>147</v>
      </c>
      <c r="C1553">
        <v>2024</v>
      </c>
      <c r="D1553">
        <v>2024</v>
      </c>
      <c r="E1553" s="7">
        <v>45386</v>
      </c>
      <c r="F1553" s="7">
        <v>45750</v>
      </c>
      <c r="G1553" t="s">
        <v>135</v>
      </c>
      <c r="H1553" t="s">
        <v>113</v>
      </c>
      <c r="I1553" t="s">
        <v>101</v>
      </c>
      <c r="J1553">
        <v>10413.17</v>
      </c>
      <c r="K1553">
        <v>1500000</v>
      </c>
    </row>
    <row r="1554" spans="1:11" ht="15" customHeight="1" x14ac:dyDescent="0.2">
      <c r="A1554" t="s">
        <v>2751</v>
      </c>
      <c r="B1554" t="s">
        <v>6553</v>
      </c>
      <c r="C1554">
        <v>2024</v>
      </c>
      <c r="D1554">
        <v>2024</v>
      </c>
      <c r="E1554" s="7">
        <v>45386</v>
      </c>
      <c r="F1554" s="7">
        <v>45750</v>
      </c>
      <c r="G1554" t="s">
        <v>135</v>
      </c>
      <c r="H1554" t="s">
        <v>115</v>
      </c>
      <c r="I1554" t="s">
        <v>101</v>
      </c>
      <c r="J1554">
        <v>7667.94</v>
      </c>
      <c r="K1554">
        <v>1000000</v>
      </c>
    </row>
    <row r="1555" spans="1:11" ht="15" customHeight="1" x14ac:dyDescent="0.2">
      <c r="A1555" t="s">
        <v>2752</v>
      </c>
      <c r="B1555" t="s">
        <v>8262</v>
      </c>
      <c r="C1555">
        <v>2024</v>
      </c>
      <c r="D1555">
        <v>2024</v>
      </c>
      <c r="E1555" s="7">
        <v>45386</v>
      </c>
      <c r="F1555" s="7">
        <v>45750</v>
      </c>
      <c r="G1555" t="s">
        <v>135</v>
      </c>
      <c r="H1555" t="s">
        <v>111</v>
      </c>
      <c r="I1555" t="s">
        <v>101</v>
      </c>
      <c r="J1555">
        <v>6793.18</v>
      </c>
      <c r="K1555">
        <v>1000000</v>
      </c>
    </row>
    <row r="1556" spans="1:11" ht="15" customHeight="1" x14ac:dyDescent="0.2">
      <c r="A1556" t="s">
        <v>2753</v>
      </c>
      <c r="B1556" t="s">
        <v>8263</v>
      </c>
      <c r="C1556">
        <v>2024</v>
      </c>
      <c r="D1556">
        <v>2024</v>
      </c>
      <c r="E1556" s="7">
        <v>45386</v>
      </c>
      <c r="F1556" s="7">
        <v>45750</v>
      </c>
      <c r="G1556" t="s">
        <v>135</v>
      </c>
      <c r="H1556" t="s">
        <v>102</v>
      </c>
      <c r="I1556" t="s">
        <v>104</v>
      </c>
      <c r="J1556">
        <v>11031.8</v>
      </c>
      <c r="K1556">
        <v>2000000</v>
      </c>
    </row>
    <row r="1557" spans="1:11" ht="15" customHeight="1" x14ac:dyDescent="0.2">
      <c r="A1557" t="s">
        <v>2755</v>
      </c>
      <c r="B1557" t="s">
        <v>287</v>
      </c>
      <c r="C1557">
        <v>2024</v>
      </c>
      <c r="D1557">
        <v>2024</v>
      </c>
      <c r="E1557" s="7">
        <v>45386</v>
      </c>
      <c r="F1557" s="7">
        <v>45750</v>
      </c>
      <c r="G1557" t="s">
        <v>135</v>
      </c>
      <c r="H1557" t="s">
        <v>115</v>
      </c>
      <c r="I1557" t="s">
        <v>104</v>
      </c>
      <c r="J1557">
        <v>6134.02</v>
      </c>
      <c r="K1557">
        <v>1000000</v>
      </c>
    </row>
    <row r="1558" spans="1:11" ht="15" customHeight="1" x14ac:dyDescent="0.2">
      <c r="A1558" t="s">
        <v>2757</v>
      </c>
      <c r="B1558" t="s">
        <v>8264</v>
      </c>
      <c r="C1558">
        <v>2024</v>
      </c>
      <c r="D1558">
        <v>2024</v>
      </c>
      <c r="E1558" s="7">
        <v>45386</v>
      </c>
      <c r="F1558" s="7">
        <v>45750</v>
      </c>
      <c r="G1558" t="s">
        <v>135</v>
      </c>
      <c r="H1558" t="s">
        <v>110</v>
      </c>
      <c r="I1558" t="s">
        <v>104</v>
      </c>
      <c r="J1558">
        <v>6587.06</v>
      </c>
      <c r="K1558">
        <v>1000000</v>
      </c>
    </row>
    <row r="1559" spans="1:11" ht="15" customHeight="1" x14ac:dyDescent="0.2">
      <c r="A1559" t="s">
        <v>2759</v>
      </c>
      <c r="B1559" t="s">
        <v>8265</v>
      </c>
      <c r="C1559">
        <v>2024</v>
      </c>
      <c r="D1559">
        <v>2024</v>
      </c>
      <c r="E1559" s="7">
        <v>45386</v>
      </c>
      <c r="F1559" s="7">
        <v>45750</v>
      </c>
      <c r="G1559" t="s">
        <v>135</v>
      </c>
      <c r="H1559" t="s">
        <v>108</v>
      </c>
      <c r="I1559" t="s">
        <v>101</v>
      </c>
      <c r="J1559">
        <v>13955.73</v>
      </c>
      <c r="K1559">
        <v>1500000</v>
      </c>
    </row>
    <row r="1560" spans="1:11" ht="15" customHeight="1" x14ac:dyDescent="0.2">
      <c r="A1560" t="s">
        <v>2761</v>
      </c>
      <c r="B1560" t="s">
        <v>2283</v>
      </c>
      <c r="C1560">
        <v>2024</v>
      </c>
      <c r="D1560">
        <v>2024</v>
      </c>
      <c r="E1560" s="7">
        <v>45387</v>
      </c>
      <c r="F1560" s="7">
        <v>45751</v>
      </c>
      <c r="G1560" t="s">
        <v>99</v>
      </c>
      <c r="H1560" t="s">
        <v>102</v>
      </c>
      <c r="I1560" t="s">
        <v>101</v>
      </c>
      <c r="J1560">
        <v>32386.799999999999</v>
      </c>
      <c r="K1560">
        <v>5000000</v>
      </c>
    </row>
    <row r="1561" spans="1:11" ht="15" customHeight="1" x14ac:dyDescent="0.2">
      <c r="A1561" t="s">
        <v>2763</v>
      </c>
      <c r="B1561" t="s">
        <v>2285</v>
      </c>
      <c r="C1561">
        <v>2024</v>
      </c>
      <c r="D1561">
        <v>2024</v>
      </c>
      <c r="E1561" s="7">
        <v>45387</v>
      </c>
      <c r="F1561" s="7">
        <v>45751</v>
      </c>
      <c r="G1561" t="s">
        <v>99</v>
      </c>
      <c r="H1561" t="s">
        <v>107</v>
      </c>
      <c r="I1561" t="s">
        <v>104</v>
      </c>
      <c r="J1561">
        <v>8110.72</v>
      </c>
      <c r="K1561">
        <v>1500000</v>
      </c>
    </row>
    <row r="1562" spans="1:11" ht="15" customHeight="1" x14ac:dyDescent="0.2">
      <c r="A1562" t="s">
        <v>2765</v>
      </c>
      <c r="B1562" t="s">
        <v>2294</v>
      </c>
      <c r="C1562">
        <v>2024</v>
      </c>
      <c r="D1562">
        <v>2024</v>
      </c>
      <c r="E1562" s="7">
        <v>45387</v>
      </c>
      <c r="F1562" s="7">
        <v>45751</v>
      </c>
      <c r="G1562" t="s">
        <v>99</v>
      </c>
      <c r="H1562" t="s">
        <v>107</v>
      </c>
      <c r="I1562" t="s">
        <v>104</v>
      </c>
      <c r="J1562">
        <v>8383.68</v>
      </c>
      <c r="K1562">
        <v>1500000</v>
      </c>
    </row>
    <row r="1563" spans="1:11" ht="15" customHeight="1" x14ac:dyDescent="0.2">
      <c r="A1563" t="s">
        <v>2767</v>
      </c>
      <c r="B1563" t="s">
        <v>6563</v>
      </c>
      <c r="C1563">
        <v>2024</v>
      </c>
      <c r="D1563">
        <v>2024</v>
      </c>
      <c r="E1563" s="7">
        <v>45387</v>
      </c>
      <c r="F1563" s="7">
        <v>45751</v>
      </c>
      <c r="G1563" t="s">
        <v>135</v>
      </c>
      <c r="H1563" t="s">
        <v>107</v>
      </c>
      <c r="I1563" t="s">
        <v>101</v>
      </c>
      <c r="J1563">
        <v>6714.29</v>
      </c>
      <c r="K1563">
        <v>1000000</v>
      </c>
    </row>
    <row r="1564" spans="1:11" ht="15" customHeight="1" x14ac:dyDescent="0.2">
      <c r="A1564" t="s">
        <v>2769</v>
      </c>
      <c r="B1564" t="s">
        <v>8266</v>
      </c>
      <c r="C1564">
        <v>2024</v>
      </c>
      <c r="D1564">
        <v>2024</v>
      </c>
      <c r="E1564" s="7">
        <v>45387</v>
      </c>
      <c r="F1564" s="7">
        <v>45751</v>
      </c>
      <c r="G1564" t="s">
        <v>135</v>
      </c>
      <c r="H1564" t="s">
        <v>116</v>
      </c>
      <c r="I1564" t="s">
        <v>104</v>
      </c>
      <c r="J1564">
        <v>6046.24</v>
      </c>
      <c r="K1564">
        <v>1000000</v>
      </c>
    </row>
    <row r="1565" spans="1:11" ht="15" customHeight="1" x14ac:dyDescent="0.2">
      <c r="A1565" t="s">
        <v>2771</v>
      </c>
      <c r="B1565" t="s">
        <v>8267</v>
      </c>
      <c r="C1565">
        <v>2024</v>
      </c>
      <c r="D1565">
        <v>2024</v>
      </c>
      <c r="E1565" s="7">
        <v>45387</v>
      </c>
      <c r="F1565" s="7">
        <v>45751</v>
      </c>
      <c r="G1565" t="s">
        <v>135</v>
      </c>
      <c r="H1565" t="s">
        <v>113</v>
      </c>
      <c r="I1565" t="s">
        <v>104</v>
      </c>
      <c r="J1565">
        <v>5600.16</v>
      </c>
      <c r="K1565">
        <v>1000000</v>
      </c>
    </row>
    <row r="1566" spans="1:11" ht="15" customHeight="1" x14ac:dyDescent="0.2">
      <c r="A1566" t="s">
        <v>2772</v>
      </c>
      <c r="B1566" t="s">
        <v>8268</v>
      </c>
      <c r="C1566">
        <v>2024</v>
      </c>
      <c r="D1566">
        <v>2024</v>
      </c>
      <c r="E1566" s="7">
        <v>45387</v>
      </c>
      <c r="F1566" s="7">
        <v>45751</v>
      </c>
      <c r="G1566" t="s">
        <v>135</v>
      </c>
      <c r="H1566" t="s">
        <v>106</v>
      </c>
      <c r="I1566" t="s">
        <v>101</v>
      </c>
      <c r="J1566">
        <v>13588.17</v>
      </c>
      <c r="K1566">
        <v>1500000</v>
      </c>
    </row>
    <row r="1567" spans="1:11" ht="15" customHeight="1" x14ac:dyDescent="0.2">
      <c r="A1567" t="s">
        <v>2773</v>
      </c>
      <c r="B1567" t="s">
        <v>8269</v>
      </c>
      <c r="C1567">
        <v>2024</v>
      </c>
      <c r="D1567">
        <v>2024</v>
      </c>
      <c r="E1567" s="7">
        <v>45387</v>
      </c>
      <c r="F1567" s="7">
        <v>45751</v>
      </c>
      <c r="G1567" t="s">
        <v>135</v>
      </c>
      <c r="H1567" t="s">
        <v>106</v>
      </c>
      <c r="I1567" t="s">
        <v>104</v>
      </c>
      <c r="J1567">
        <v>6877.32</v>
      </c>
      <c r="K1567">
        <v>1000000</v>
      </c>
    </row>
    <row r="1568" spans="1:11" ht="15" customHeight="1" x14ac:dyDescent="0.2">
      <c r="A1568" t="s">
        <v>2774</v>
      </c>
      <c r="B1568" t="s">
        <v>6529</v>
      </c>
      <c r="C1568">
        <v>2024</v>
      </c>
      <c r="D1568">
        <v>2024</v>
      </c>
      <c r="E1568" s="7">
        <v>45387</v>
      </c>
      <c r="F1568" s="7">
        <v>45751</v>
      </c>
      <c r="G1568" t="s">
        <v>135</v>
      </c>
      <c r="H1568" t="s">
        <v>108</v>
      </c>
      <c r="I1568" t="s">
        <v>104</v>
      </c>
      <c r="J1568">
        <v>11809.98</v>
      </c>
      <c r="K1568">
        <v>1500000</v>
      </c>
    </row>
    <row r="1569" spans="1:11" ht="15" customHeight="1" x14ac:dyDescent="0.2">
      <c r="A1569" t="s">
        <v>2775</v>
      </c>
      <c r="B1569" t="s">
        <v>8270</v>
      </c>
      <c r="C1569">
        <v>2024</v>
      </c>
      <c r="D1569">
        <v>2024</v>
      </c>
      <c r="E1569" s="7">
        <v>45387</v>
      </c>
      <c r="F1569" s="7">
        <v>45751</v>
      </c>
      <c r="G1569" t="s">
        <v>135</v>
      </c>
      <c r="H1569" t="s">
        <v>107</v>
      </c>
      <c r="I1569" t="s">
        <v>101</v>
      </c>
      <c r="J1569">
        <v>14403.47</v>
      </c>
      <c r="K1569">
        <v>2000000</v>
      </c>
    </row>
    <row r="1570" spans="1:11" ht="15" customHeight="1" x14ac:dyDescent="0.2">
      <c r="A1570" t="s">
        <v>2776</v>
      </c>
      <c r="B1570" t="s">
        <v>6560</v>
      </c>
      <c r="C1570">
        <v>2024</v>
      </c>
      <c r="D1570">
        <v>2024</v>
      </c>
      <c r="E1570" s="7">
        <v>45387</v>
      </c>
      <c r="F1570" s="7">
        <v>45751</v>
      </c>
      <c r="G1570" t="s">
        <v>135</v>
      </c>
      <c r="H1570" t="s">
        <v>105</v>
      </c>
      <c r="I1570" t="s">
        <v>101</v>
      </c>
      <c r="J1570">
        <v>15746.22</v>
      </c>
      <c r="K1570">
        <v>2000000</v>
      </c>
    </row>
    <row r="1571" spans="1:11" ht="15" customHeight="1" x14ac:dyDescent="0.2">
      <c r="A1571" t="s">
        <v>2777</v>
      </c>
      <c r="B1571" t="s">
        <v>6541</v>
      </c>
      <c r="C1571">
        <v>2024</v>
      </c>
      <c r="D1571">
        <v>2024</v>
      </c>
      <c r="E1571" s="7">
        <v>45387</v>
      </c>
      <c r="F1571" s="7">
        <v>45751</v>
      </c>
      <c r="G1571" t="s">
        <v>135</v>
      </c>
      <c r="H1571" t="s">
        <v>107</v>
      </c>
      <c r="I1571" t="s">
        <v>101</v>
      </c>
      <c r="J1571">
        <v>10512.74</v>
      </c>
      <c r="K1571">
        <v>1500000</v>
      </c>
    </row>
    <row r="1572" spans="1:11" ht="15" customHeight="1" x14ac:dyDescent="0.2">
      <c r="A1572" t="s">
        <v>2778</v>
      </c>
      <c r="B1572" t="s">
        <v>2296</v>
      </c>
      <c r="C1572">
        <v>2024</v>
      </c>
      <c r="D1572">
        <v>2024</v>
      </c>
      <c r="E1572" s="7">
        <v>45388</v>
      </c>
      <c r="F1572" s="7">
        <v>45752</v>
      </c>
      <c r="G1572" t="s">
        <v>99</v>
      </c>
      <c r="H1572" t="s">
        <v>109</v>
      </c>
      <c r="I1572" t="s">
        <v>101</v>
      </c>
      <c r="J1572">
        <v>14497.6</v>
      </c>
      <c r="K1572">
        <v>2000000</v>
      </c>
    </row>
    <row r="1573" spans="1:11" ht="15" customHeight="1" x14ac:dyDescent="0.2">
      <c r="A1573" t="s">
        <v>2779</v>
      </c>
      <c r="B1573" t="s">
        <v>2297</v>
      </c>
      <c r="C1573">
        <v>2024</v>
      </c>
      <c r="D1573">
        <v>2024</v>
      </c>
      <c r="E1573" s="7">
        <v>45388</v>
      </c>
      <c r="F1573" s="7">
        <v>45752</v>
      </c>
      <c r="G1573" t="s">
        <v>99</v>
      </c>
      <c r="H1573" t="s">
        <v>107</v>
      </c>
      <c r="I1573" t="s">
        <v>101</v>
      </c>
      <c r="J1573">
        <v>7568.53</v>
      </c>
      <c r="K1573">
        <v>1000000</v>
      </c>
    </row>
    <row r="1574" spans="1:11" ht="15" customHeight="1" x14ac:dyDescent="0.2">
      <c r="A1574" t="s">
        <v>2780</v>
      </c>
      <c r="B1574" t="s">
        <v>8271</v>
      </c>
      <c r="C1574">
        <v>2024</v>
      </c>
      <c r="D1574">
        <v>2024</v>
      </c>
      <c r="E1574" s="7">
        <v>45388</v>
      </c>
      <c r="F1574" s="7">
        <v>45752</v>
      </c>
      <c r="G1574" t="s">
        <v>135</v>
      </c>
      <c r="H1574" t="s">
        <v>6334</v>
      </c>
      <c r="I1574" t="s">
        <v>101</v>
      </c>
      <c r="J1574">
        <v>11768.12</v>
      </c>
      <c r="K1574">
        <v>1500000</v>
      </c>
    </row>
    <row r="1575" spans="1:11" ht="15" customHeight="1" x14ac:dyDescent="0.2">
      <c r="A1575" t="s">
        <v>2781</v>
      </c>
      <c r="B1575" t="s">
        <v>8272</v>
      </c>
      <c r="C1575">
        <v>2024</v>
      </c>
      <c r="D1575">
        <v>2024</v>
      </c>
      <c r="E1575" s="7">
        <v>45388</v>
      </c>
      <c r="F1575" s="7">
        <v>45752</v>
      </c>
      <c r="G1575" t="s">
        <v>135</v>
      </c>
      <c r="H1575" t="s">
        <v>106</v>
      </c>
      <c r="I1575" t="s">
        <v>101</v>
      </c>
      <c r="J1575">
        <v>13371.82</v>
      </c>
      <c r="K1575">
        <v>1500000</v>
      </c>
    </row>
    <row r="1576" spans="1:11" ht="15" customHeight="1" x14ac:dyDescent="0.2">
      <c r="A1576" t="s">
        <v>2783</v>
      </c>
      <c r="B1576" t="s">
        <v>8273</v>
      </c>
      <c r="C1576">
        <v>2024</v>
      </c>
      <c r="D1576">
        <v>2024</v>
      </c>
      <c r="E1576" s="7">
        <v>45388</v>
      </c>
      <c r="F1576" s="7">
        <v>45752</v>
      </c>
      <c r="G1576" t="s">
        <v>135</v>
      </c>
      <c r="H1576" t="s">
        <v>103</v>
      </c>
      <c r="I1576" t="s">
        <v>104</v>
      </c>
      <c r="J1576">
        <v>3017.46</v>
      </c>
      <c r="K1576">
        <v>500000</v>
      </c>
    </row>
    <row r="1577" spans="1:11" ht="15" customHeight="1" x14ac:dyDescent="0.2">
      <c r="A1577" t="s">
        <v>2785</v>
      </c>
      <c r="B1577" t="s">
        <v>496</v>
      </c>
      <c r="C1577">
        <v>2024</v>
      </c>
      <c r="D1577">
        <v>2024</v>
      </c>
      <c r="E1577" s="7">
        <v>45388</v>
      </c>
      <c r="F1577" s="7">
        <v>45752</v>
      </c>
      <c r="G1577" t="s">
        <v>135</v>
      </c>
      <c r="H1577" t="s">
        <v>102</v>
      </c>
      <c r="I1577" t="s">
        <v>101</v>
      </c>
      <c r="J1577">
        <v>15260.78</v>
      </c>
      <c r="K1577">
        <v>2000000</v>
      </c>
    </row>
    <row r="1578" spans="1:11" ht="15" customHeight="1" x14ac:dyDescent="0.2">
      <c r="A1578" t="s">
        <v>2787</v>
      </c>
      <c r="B1578" t="s">
        <v>8274</v>
      </c>
      <c r="C1578">
        <v>2024</v>
      </c>
      <c r="D1578">
        <v>2024</v>
      </c>
      <c r="E1578" s="7">
        <v>45388</v>
      </c>
      <c r="F1578" s="7">
        <v>45752</v>
      </c>
      <c r="G1578" t="s">
        <v>135</v>
      </c>
      <c r="H1578" t="s">
        <v>116</v>
      </c>
      <c r="I1578" t="s">
        <v>104</v>
      </c>
      <c r="J1578">
        <v>11637.84</v>
      </c>
      <c r="K1578">
        <v>2000000</v>
      </c>
    </row>
    <row r="1579" spans="1:11" ht="15" customHeight="1" x14ac:dyDescent="0.2">
      <c r="A1579" t="s">
        <v>2789</v>
      </c>
      <c r="B1579" t="s">
        <v>8275</v>
      </c>
      <c r="C1579">
        <v>2024</v>
      </c>
      <c r="D1579">
        <v>2024</v>
      </c>
      <c r="E1579" s="7">
        <v>45388</v>
      </c>
      <c r="F1579" s="7">
        <v>45752</v>
      </c>
      <c r="G1579" t="s">
        <v>135</v>
      </c>
      <c r="H1579" t="s">
        <v>107</v>
      </c>
      <c r="I1579" t="s">
        <v>104</v>
      </c>
      <c r="J1579">
        <v>5582.94</v>
      </c>
      <c r="K1579">
        <v>1000000</v>
      </c>
    </row>
    <row r="1580" spans="1:11" ht="15" customHeight="1" x14ac:dyDescent="0.2">
      <c r="A1580" t="s">
        <v>2791</v>
      </c>
      <c r="B1580" t="s">
        <v>8276</v>
      </c>
      <c r="C1580">
        <v>2024</v>
      </c>
      <c r="D1580">
        <v>2024</v>
      </c>
      <c r="E1580" s="7">
        <v>45388</v>
      </c>
      <c r="F1580" s="7">
        <v>45752</v>
      </c>
      <c r="G1580" t="s">
        <v>135</v>
      </c>
      <c r="H1580" t="s">
        <v>102</v>
      </c>
      <c r="I1580" t="s">
        <v>104</v>
      </c>
      <c r="J1580">
        <v>5982.87</v>
      </c>
      <c r="K1580">
        <v>1000000</v>
      </c>
    </row>
    <row r="1581" spans="1:11" ht="15" customHeight="1" x14ac:dyDescent="0.2">
      <c r="A1581" t="s">
        <v>2793</v>
      </c>
      <c r="B1581" t="s">
        <v>288</v>
      </c>
      <c r="C1581">
        <v>2024</v>
      </c>
      <c r="D1581">
        <v>2024</v>
      </c>
      <c r="E1581" s="7">
        <v>45388</v>
      </c>
      <c r="F1581" s="7">
        <v>45752</v>
      </c>
      <c r="G1581" t="s">
        <v>135</v>
      </c>
      <c r="H1581" t="s">
        <v>108</v>
      </c>
      <c r="I1581" t="s">
        <v>101</v>
      </c>
      <c r="J1581">
        <v>4369.83</v>
      </c>
      <c r="K1581">
        <v>500000</v>
      </c>
    </row>
    <row r="1582" spans="1:11" ht="15" customHeight="1" x14ac:dyDescent="0.2">
      <c r="A1582" t="s">
        <v>2794</v>
      </c>
      <c r="B1582" t="s">
        <v>812</v>
      </c>
      <c r="C1582">
        <v>2024</v>
      </c>
      <c r="D1582">
        <v>2024</v>
      </c>
      <c r="E1582" s="7">
        <v>45388</v>
      </c>
      <c r="F1582" s="7">
        <v>45752</v>
      </c>
      <c r="G1582" t="s">
        <v>135</v>
      </c>
      <c r="H1582" t="s">
        <v>102</v>
      </c>
      <c r="I1582" t="s">
        <v>104</v>
      </c>
      <c r="J1582">
        <v>8505.4599999999991</v>
      </c>
      <c r="K1582">
        <v>1500000</v>
      </c>
    </row>
    <row r="1583" spans="1:11" ht="15" customHeight="1" x14ac:dyDescent="0.2">
      <c r="A1583" t="s">
        <v>2795</v>
      </c>
      <c r="B1583" t="s">
        <v>195</v>
      </c>
      <c r="C1583">
        <v>2024</v>
      </c>
      <c r="D1583">
        <v>2024</v>
      </c>
      <c r="E1583" s="7">
        <v>45388</v>
      </c>
      <c r="F1583" s="7">
        <v>45752</v>
      </c>
      <c r="G1583" t="s">
        <v>135</v>
      </c>
      <c r="H1583" t="s">
        <v>103</v>
      </c>
      <c r="I1583" t="s">
        <v>101</v>
      </c>
      <c r="J1583">
        <v>7795.75</v>
      </c>
      <c r="K1583">
        <v>1000000</v>
      </c>
    </row>
    <row r="1584" spans="1:11" ht="15" customHeight="1" x14ac:dyDescent="0.2">
      <c r="A1584" t="s">
        <v>2796</v>
      </c>
      <c r="B1584" t="s">
        <v>6557</v>
      </c>
      <c r="C1584">
        <v>2024</v>
      </c>
      <c r="D1584">
        <v>2024</v>
      </c>
      <c r="E1584" s="7">
        <v>45388</v>
      </c>
      <c r="F1584" s="7">
        <v>45752</v>
      </c>
      <c r="G1584" t="s">
        <v>135</v>
      </c>
      <c r="H1584" t="s">
        <v>108</v>
      </c>
      <c r="I1584" t="s">
        <v>104</v>
      </c>
      <c r="J1584">
        <v>37253.589999999997</v>
      </c>
      <c r="K1584">
        <v>5000000</v>
      </c>
    </row>
    <row r="1585" spans="1:11" ht="15" customHeight="1" x14ac:dyDescent="0.2">
      <c r="A1585" t="s">
        <v>2797</v>
      </c>
      <c r="B1585" t="s">
        <v>8277</v>
      </c>
      <c r="C1585">
        <v>2024</v>
      </c>
      <c r="D1585">
        <v>2024</v>
      </c>
      <c r="E1585" s="7">
        <v>45388</v>
      </c>
      <c r="F1585" s="7">
        <v>45752</v>
      </c>
      <c r="G1585" t="s">
        <v>135</v>
      </c>
      <c r="H1585" t="s">
        <v>6348</v>
      </c>
      <c r="I1585" t="s">
        <v>104</v>
      </c>
      <c r="J1585">
        <v>8279.7999999999993</v>
      </c>
      <c r="K1585">
        <v>1500000</v>
      </c>
    </row>
    <row r="1586" spans="1:11" ht="15" customHeight="1" x14ac:dyDescent="0.2">
      <c r="A1586" t="s">
        <v>2798</v>
      </c>
      <c r="B1586" t="s">
        <v>2299</v>
      </c>
      <c r="C1586">
        <v>2024</v>
      </c>
      <c r="D1586">
        <v>2024</v>
      </c>
      <c r="E1586" s="7">
        <v>45389</v>
      </c>
      <c r="F1586" s="7">
        <v>45753</v>
      </c>
      <c r="G1586" t="s">
        <v>99</v>
      </c>
      <c r="H1586" t="s">
        <v>108</v>
      </c>
      <c r="I1586" t="s">
        <v>101</v>
      </c>
      <c r="J1586">
        <v>17820.52</v>
      </c>
      <c r="K1586">
        <v>2000000</v>
      </c>
    </row>
    <row r="1587" spans="1:11" ht="15" customHeight="1" x14ac:dyDescent="0.2">
      <c r="A1587" t="s">
        <v>2799</v>
      </c>
      <c r="B1587" t="s">
        <v>2301</v>
      </c>
      <c r="C1587">
        <v>2024</v>
      </c>
      <c r="D1587">
        <v>2024</v>
      </c>
      <c r="E1587" s="7">
        <v>45389</v>
      </c>
      <c r="F1587" s="7">
        <v>45753</v>
      </c>
      <c r="G1587" t="s">
        <v>99</v>
      </c>
      <c r="H1587" t="s">
        <v>112</v>
      </c>
      <c r="I1587" t="s">
        <v>104</v>
      </c>
      <c r="J1587">
        <v>7444</v>
      </c>
      <c r="K1587">
        <v>1000000</v>
      </c>
    </row>
    <row r="1588" spans="1:11" ht="15" customHeight="1" x14ac:dyDescent="0.2">
      <c r="A1588" t="s">
        <v>2800</v>
      </c>
      <c r="B1588" t="s">
        <v>8278</v>
      </c>
      <c r="C1588">
        <v>2024</v>
      </c>
      <c r="D1588">
        <v>2024</v>
      </c>
      <c r="E1588" s="7">
        <v>45389</v>
      </c>
      <c r="F1588" s="7">
        <v>45753</v>
      </c>
      <c r="G1588" t="s">
        <v>135</v>
      </c>
      <c r="H1588" t="s">
        <v>108</v>
      </c>
      <c r="I1588" t="s">
        <v>104</v>
      </c>
      <c r="J1588">
        <v>72996.960000000006</v>
      </c>
      <c r="K1588">
        <v>10000000</v>
      </c>
    </row>
    <row r="1589" spans="1:11" ht="15" customHeight="1" x14ac:dyDescent="0.2">
      <c r="A1589" t="s">
        <v>2801</v>
      </c>
      <c r="B1589" t="s">
        <v>148</v>
      </c>
      <c r="C1589">
        <v>2024</v>
      </c>
      <c r="D1589">
        <v>2024</v>
      </c>
      <c r="E1589" s="7">
        <v>45389</v>
      </c>
      <c r="F1589" s="7">
        <v>45753</v>
      </c>
      <c r="G1589" t="s">
        <v>135</v>
      </c>
      <c r="H1589" t="s">
        <v>107</v>
      </c>
      <c r="I1589" t="s">
        <v>101</v>
      </c>
      <c r="J1589">
        <v>6569.9</v>
      </c>
      <c r="K1589">
        <v>1000000</v>
      </c>
    </row>
    <row r="1590" spans="1:11" ht="15" customHeight="1" x14ac:dyDescent="0.2">
      <c r="A1590" t="s">
        <v>2802</v>
      </c>
      <c r="B1590" t="s">
        <v>815</v>
      </c>
      <c r="C1590">
        <v>2024</v>
      </c>
      <c r="D1590">
        <v>2024</v>
      </c>
      <c r="E1590" s="7">
        <v>45389</v>
      </c>
      <c r="F1590" s="7">
        <v>45753</v>
      </c>
      <c r="G1590" t="s">
        <v>135</v>
      </c>
      <c r="H1590" t="s">
        <v>6334</v>
      </c>
      <c r="I1590" t="s">
        <v>101</v>
      </c>
      <c r="J1590">
        <v>10301.4</v>
      </c>
      <c r="K1590">
        <v>1500000</v>
      </c>
    </row>
    <row r="1591" spans="1:11" ht="15" customHeight="1" x14ac:dyDescent="0.2">
      <c r="A1591" t="s">
        <v>2803</v>
      </c>
      <c r="B1591" t="s">
        <v>6547</v>
      </c>
      <c r="C1591">
        <v>2024</v>
      </c>
      <c r="D1591">
        <v>2024</v>
      </c>
      <c r="E1591" s="7">
        <v>45389</v>
      </c>
      <c r="F1591" s="7">
        <v>45753</v>
      </c>
      <c r="G1591" t="s">
        <v>135</v>
      </c>
      <c r="H1591" t="s">
        <v>111</v>
      </c>
      <c r="I1591" t="s">
        <v>101</v>
      </c>
      <c r="J1591">
        <v>7105.94</v>
      </c>
      <c r="K1591">
        <v>1000000</v>
      </c>
    </row>
    <row r="1592" spans="1:11" ht="15" customHeight="1" x14ac:dyDescent="0.2">
      <c r="A1592" t="s">
        <v>2804</v>
      </c>
      <c r="B1592" t="s">
        <v>813</v>
      </c>
      <c r="C1592">
        <v>2024</v>
      </c>
      <c r="D1592">
        <v>2024</v>
      </c>
      <c r="E1592" s="7">
        <v>45389</v>
      </c>
      <c r="F1592" s="7">
        <v>45753</v>
      </c>
      <c r="G1592" t="s">
        <v>135</v>
      </c>
      <c r="H1592" t="s">
        <v>114</v>
      </c>
      <c r="I1592" t="s">
        <v>101</v>
      </c>
      <c r="J1592">
        <v>10417.18</v>
      </c>
      <c r="K1592">
        <v>1500000</v>
      </c>
    </row>
    <row r="1593" spans="1:11" ht="15" customHeight="1" x14ac:dyDescent="0.2">
      <c r="A1593" t="s">
        <v>2805</v>
      </c>
      <c r="B1593" t="s">
        <v>814</v>
      </c>
      <c r="C1593">
        <v>2024</v>
      </c>
      <c r="D1593">
        <v>2024</v>
      </c>
      <c r="E1593" s="7">
        <v>45389</v>
      </c>
      <c r="F1593" s="7">
        <v>45753</v>
      </c>
      <c r="G1593" t="s">
        <v>135</v>
      </c>
      <c r="H1593" t="s">
        <v>6334</v>
      </c>
      <c r="I1593" t="s">
        <v>104</v>
      </c>
      <c r="J1593">
        <v>26271.15</v>
      </c>
      <c r="K1593">
        <v>5000000</v>
      </c>
    </row>
    <row r="1594" spans="1:11" ht="15" customHeight="1" x14ac:dyDescent="0.2">
      <c r="A1594" t="s">
        <v>2807</v>
      </c>
      <c r="B1594" t="s">
        <v>6559</v>
      </c>
      <c r="C1594">
        <v>2024</v>
      </c>
      <c r="D1594">
        <v>2024</v>
      </c>
      <c r="E1594" s="7">
        <v>45389</v>
      </c>
      <c r="F1594" s="7">
        <v>45753</v>
      </c>
      <c r="G1594" t="s">
        <v>135</v>
      </c>
      <c r="H1594" t="s">
        <v>102</v>
      </c>
      <c r="I1594" t="s">
        <v>104</v>
      </c>
      <c r="J1594">
        <v>2952.95</v>
      </c>
      <c r="K1594">
        <v>500000</v>
      </c>
    </row>
    <row r="1595" spans="1:11" ht="15" customHeight="1" x14ac:dyDescent="0.2">
      <c r="A1595" t="s">
        <v>2809</v>
      </c>
      <c r="B1595" t="s">
        <v>8279</v>
      </c>
      <c r="C1595">
        <v>2024</v>
      </c>
      <c r="D1595">
        <v>2024</v>
      </c>
      <c r="E1595" s="7">
        <v>45389</v>
      </c>
      <c r="F1595" s="7">
        <v>45753</v>
      </c>
      <c r="G1595" t="s">
        <v>135</v>
      </c>
      <c r="H1595" t="s">
        <v>105</v>
      </c>
      <c r="I1595" t="s">
        <v>104</v>
      </c>
      <c r="J1595">
        <v>8006.57</v>
      </c>
      <c r="K1595">
        <v>1500000</v>
      </c>
    </row>
    <row r="1596" spans="1:11" ht="15" customHeight="1" x14ac:dyDescent="0.2">
      <c r="A1596" t="s">
        <v>2811</v>
      </c>
      <c r="B1596" t="s">
        <v>289</v>
      </c>
      <c r="C1596">
        <v>2024</v>
      </c>
      <c r="D1596">
        <v>2024</v>
      </c>
      <c r="E1596" s="7">
        <v>45389</v>
      </c>
      <c r="F1596" s="7">
        <v>45753</v>
      </c>
      <c r="G1596" t="s">
        <v>135</v>
      </c>
      <c r="H1596" t="s">
        <v>110</v>
      </c>
      <c r="I1596" t="s">
        <v>101</v>
      </c>
      <c r="J1596">
        <v>8250.86</v>
      </c>
      <c r="K1596">
        <v>1000000</v>
      </c>
    </row>
    <row r="1597" spans="1:11" ht="15" customHeight="1" x14ac:dyDescent="0.2">
      <c r="A1597" t="s">
        <v>2813</v>
      </c>
      <c r="B1597" t="s">
        <v>6564</v>
      </c>
      <c r="C1597">
        <v>2024</v>
      </c>
      <c r="D1597">
        <v>2024</v>
      </c>
      <c r="E1597" s="7">
        <v>45390</v>
      </c>
      <c r="F1597" s="7">
        <v>45754</v>
      </c>
      <c r="G1597" t="s">
        <v>135</v>
      </c>
      <c r="H1597" t="s">
        <v>116</v>
      </c>
      <c r="I1597" t="s">
        <v>104</v>
      </c>
      <c r="J1597">
        <v>53021.72</v>
      </c>
      <c r="K1597">
        <v>10000000</v>
      </c>
    </row>
    <row r="1598" spans="1:11" ht="15" customHeight="1" x14ac:dyDescent="0.2">
      <c r="A1598" t="s">
        <v>2815</v>
      </c>
      <c r="B1598" t="s">
        <v>6549</v>
      </c>
      <c r="C1598">
        <v>2024</v>
      </c>
      <c r="D1598">
        <v>2024</v>
      </c>
      <c r="E1598" s="7">
        <v>45390</v>
      </c>
      <c r="F1598" s="7">
        <v>45754</v>
      </c>
      <c r="G1598" t="s">
        <v>135</v>
      </c>
      <c r="H1598" t="s">
        <v>103</v>
      </c>
      <c r="I1598" t="s">
        <v>101</v>
      </c>
      <c r="J1598">
        <v>7263.59</v>
      </c>
      <c r="K1598">
        <v>1000000</v>
      </c>
    </row>
    <row r="1599" spans="1:11" ht="15" customHeight="1" x14ac:dyDescent="0.2">
      <c r="A1599" t="s">
        <v>2816</v>
      </c>
      <c r="B1599" t="s">
        <v>290</v>
      </c>
      <c r="C1599">
        <v>2024</v>
      </c>
      <c r="D1599">
        <v>2024</v>
      </c>
      <c r="E1599" s="7">
        <v>45390</v>
      </c>
      <c r="F1599" s="7">
        <v>45754</v>
      </c>
      <c r="G1599" t="s">
        <v>135</v>
      </c>
      <c r="H1599" t="s">
        <v>6348</v>
      </c>
      <c r="I1599" t="s">
        <v>104</v>
      </c>
      <c r="J1599">
        <v>5892.18</v>
      </c>
      <c r="K1599">
        <v>1000000</v>
      </c>
    </row>
    <row r="1600" spans="1:11" ht="15" customHeight="1" x14ac:dyDescent="0.2">
      <c r="A1600" t="s">
        <v>2817</v>
      </c>
      <c r="B1600" t="s">
        <v>8280</v>
      </c>
      <c r="C1600">
        <v>2024</v>
      </c>
      <c r="D1600">
        <v>2024</v>
      </c>
      <c r="E1600" s="7">
        <v>45390</v>
      </c>
      <c r="F1600" s="7">
        <v>45754</v>
      </c>
      <c r="G1600" t="s">
        <v>135</v>
      </c>
      <c r="H1600" t="s">
        <v>105</v>
      </c>
      <c r="I1600" t="s">
        <v>101</v>
      </c>
      <c r="J1600">
        <v>3270.91</v>
      </c>
      <c r="K1600">
        <v>500000</v>
      </c>
    </row>
    <row r="1601" spans="1:11" ht="15" customHeight="1" x14ac:dyDescent="0.2">
      <c r="A1601" t="s">
        <v>2818</v>
      </c>
      <c r="B1601" t="s">
        <v>8281</v>
      </c>
      <c r="C1601">
        <v>2024</v>
      </c>
      <c r="D1601">
        <v>2024</v>
      </c>
      <c r="E1601" s="7">
        <v>45390</v>
      </c>
      <c r="F1601" s="7">
        <v>45754</v>
      </c>
      <c r="G1601" t="s">
        <v>135</v>
      </c>
      <c r="H1601" t="s">
        <v>113</v>
      </c>
      <c r="I1601" t="s">
        <v>101</v>
      </c>
      <c r="J1601">
        <v>70879.39</v>
      </c>
      <c r="K1601">
        <v>10000000</v>
      </c>
    </row>
    <row r="1602" spans="1:11" ht="15" customHeight="1" x14ac:dyDescent="0.2">
      <c r="A1602" t="s">
        <v>2819</v>
      </c>
      <c r="B1602" t="s">
        <v>7299</v>
      </c>
      <c r="C1602">
        <v>2024</v>
      </c>
      <c r="D1602">
        <v>2024</v>
      </c>
      <c r="E1602" s="7">
        <v>45390</v>
      </c>
      <c r="F1602" s="7">
        <v>45754</v>
      </c>
      <c r="G1602" t="s">
        <v>135</v>
      </c>
      <c r="H1602" t="s">
        <v>109</v>
      </c>
      <c r="I1602" t="s">
        <v>104</v>
      </c>
      <c r="J1602">
        <v>60083.72</v>
      </c>
      <c r="K1602">
        <v>10000000</v>
      </c>
    </row>
    <row r="1603" spans="1:11" ht="15" customHeight="1" x14ac:dyDescent="0.2">
      <c r="A1603" t="s">
        <v>2820</v>
      </c>
      <c r="B1603" t="s">
        <v>6565</v>
      </c>
      <c r="C1603">
        <v>2024</v>
      </c>
      <c r="D1603">
        <v>2024</v>
      </c>
      <c r="E1603" s="7">
        <v>45390</v>
      </c>
      <c r="F1603" s="7">
        <v>45754</v>
      </c>
      <c r="G1603" t="s">
        <v>135</v>
      </c>
      <c r="H1603" t="s">
        <v>102</v>
      </c>
      <c r="I1603" t="s">
        <v>101</v>
      </c>
      <c r="J1603">
        <v>9933.5300000000007</v>
      </c>
      <c r="K1603">
        <v>1500000</v>
      </c>
    </row>
    <row r="1604" spans="1:11" ht="15" customHeight="1" x14ac:dyDescent="0.2">
      <c r="A1604" t="s">
        <v>2822</v>
      </c>
      <c r="B1604" t="s">
        <v>497</v>
      </c>
      <c r="C1604">
        <v>2024</v>
      </c>
      <c r="D1604">
        <v>2024</v>
      </c>
      <c r="E1604" s="7">
        <v>45390</v>
      </c>
      <c r="F1604" s="7">
        <v>45754</v>
      </c>
      <c r="G1604" t="s">
        <v>135</v>
      </c>
      <c r="H1604" t="s">
        <v>108</v>
      </c>
      <c r="I1604" t="s">
        <v>104</v>
      </c>
      <c r="J1604">
        <v>7383.34</v>
      </c>
      <c r="K1604">
        <v>1000000</v>
      </c>
    </row>
    <row r="1605" spans="1:11" ht="15" customHeight="1" x14ac:dyDescent="0.2">
      <c r="A1605" t="s">
        <v>2824</v>
      </c>
      <c r="B1605" t="s">
        <v>8282</v>
      </c>
      <c r="C1605">
        <v>2024</v>
      </c>
      <c r="D1605">
        <v>2024</v>
      </c>
      <c r="E1605" s="7">
        <v>45390</v>
      </c>
      <c r="F1605" s="7">
        <v>45754</v>
      </c>
      <c r="G1605" t="s">
        <v>135</v>
      </c>
      <c r="H1605" t="s">
        <v>106</v>
      </c>
      <c r="I1605" t="s">
        <v>101</v>
      </c>
      <c r="J1605">
        <v>49111.9</v>
      </c>
      <c r="K1605">
        <v>5000000</v>
      </c>
    </row>
    <row r="1606" spans="1:11" ht="15" customHeight="1" x14ac:dyDescent="0.2">
      <c r="A1606" t="s">
        <v>2826</v>
      </c>
      <c r="B1606" t="s">
        <v>816</v>
      </c>
      <c r="C1606">
        <v>2024</v>
      </c>
      <c r="D1606">
        <v>2024</v>
      </c>
      <c r="E1606" s="7">
        <v>45390</v>
      </c>
      <c r="F1606" s="7">
        <v>45754</v>
      </c>
      <c r="G1606" t="s">
        <v>135</v>
      </c>
      <c r="H1606" t="s">
        <v>114</v>
      </c>
      <c r="I1606" t="s">
        <v>101</v>
      </c>
      <c r="J1606">
        <v>6859.32</v>
      </c>
      <c r="K1606">
        <v>1000000</v>
      </c>
    </row>
    <row r="1607" spans="1:11" ht="15" customHeight="1" x14ac:dyDescent="0.2">
      <c r="A1607" t="s">
        <v>2827</v>
      </c>
      <c r="B1607" t="s">
        <v>8283</v>
      </c>
      <c r="C1607">
        <v>2024</v>
      </c>
      <c r="D1607">
        <v>2024</v>
      </c>
      <c r="E1607" s="7">
        <v>45390</v>
      </c>
      <c r="F1607" s="7">
        <v>45754</v>
      </c>
      <c r="G1607" t="s">
        <v>135</v>
      </c>
      <c r="H1607" t="s">
        <v>106</v>
      </c>
      <c r="I1607" t="s">
        <v>104</v>
      </c>
      <c r="J1607">
        <v>13088.54</v>
      </c>
      <c r="K1607">
        <v>2000000</v>
      </c>
    </row>
    <row r="1608" spans="1:11" ht="15" customHeight="1" x14ac:dyDescent="0.2">
      <c r="A1608" t="s">
        <v>2828</v>
      </c>
      <c r="B1608" t="s">
        <v>8284</v>
      </c>
      <c r="C1608">
        <v>2024</v>
      </c>
      <c r="D1608">
        <v>2024</v>
      </c>
      <c r="E1608" s="7">
        <v>45390</v>
      </c>
      <c r="F1608" s="7">
        <v>45754</v>
      </c>
      <c r="G1608" t="s">
        <v>135</v>
      </c>
      <c r="H1608" t="s">
        <v>113</v>
      </c>
      <c r="I1608" t="s">
        <v>101</v>
      </c>
      <c r="J1608">
        <v>15512.87</v>
      </c>
      <c r="K1608">
        <v>2000000</v>
      </c>
    </row>
    <row r="1609" spans="1:11" ht="15" customHeight="1" x14ac:dyDescent="0.2">
      <c r="A1609" t="s">
        <v>2829</v>
      </c>
      <c r="B1609" t="s">
        <v>8285</v>
      </c>
      <c r="C1609">
        <v>2024</v>
      </c>
      <c r="D1609">
        <v>2024</v>
      </c>
      <c r="E1609" s="7">
        <v>45390</v>
      </c>
      <c r="F1609" s="7">
        <v>45754</v>
      </c>
      <c r="G1609" t="s">
        <v>135</v>
      </c>
      <c r="H1609" t="s">
        <v>6334</v>
      </c>
      <c r="I1609" t="s">
        <v>104</v>
      </c>
      <c r="J1609">
        <v>5743.03</v>
      </c>
      <c r="K1609">
        <v>1000000</v>
      </c>
    </row>
    <row r="1610" spans="1:11" ht="15" customHeight="1" x14ac:dyDescent="0.2">
      <c r="A1610" t="s">
        <v>2830</v>
      </c>
      <c r="B1610" t="s">
        <v>2312</v>
      </c>
      <c r="C1610">
        <v>2024</v>
      </c>
      <c r="D1610">
        <v>2024</v>
      </c>
      <c r="E1610" s="7">
        <v>45391</v>
      </c>
      <c r="F1610" s="7">
        <v>45755</v>
      </c>
      <c r="G1610" t="s">
        <v>99</v>
      </c>
      <c r="H1610" t="s">
        <v>108</v>
      </c>
      <c r="I1610" t="s">
        <v>104</v>
      </c>
      <c r="J1610">
        <v>11184.29</v>
      </c>
      <c r="K1610">
        <v>1500000</v>
      </c>
    </row>
    <row r="1611" spans="1:11" ht="15" customHeight="1" x14ac:dyDescent="0.2">
      <c r="A1611" t="s">
        <v>2831</v>
      </c>
      <c r="B1611" t="s">
        <v>2314</v>
      </c>
      <c r="C1611">
        <v>2024</v>
      </c>
      <c r="D1611">
        <v>2024</v>
      </c>
      <c r="E1611" s="7">
        <v>45391</v>
      </c>
      <c r="F1611" s="7">
        <v>45755</v>
      </c>
      <c r="G1611" t="s">
        <v>99</v>
      </c>
      <c r="H1611" t="s">
        <v>103</v>
      </c>
      <c r="I1611" t="s">
        <v>104</v>
      </c>
      <c r="J1611">
        <v>5361.36</v>
      </c>
      <c r="K1611">
        <v>1000000</v>
      </c>
    </row>
    <row r="1612" spans="1:11" ht="15" customHeight="1" x14ac:dyDescent="0.2">
      <c r="A1612" t="s">
        <v>2832</v>
      </c>
      <c r="B1612" t="s">
        <v>498</v>
      </c>
      <c r="C1612">
        <v>2024</v>
      </c>
      <c r="D1612">
        <v>2024</v>
      </c>
      <c r="E1612" s="7">
        <v>45391</v>
      </c>
      <c r="F1612" s="7">
        <v>45755</v>
      </c>
      <c r="G1612" t="s">
        <v>135</v>
      </c>
      <c r="H1612" t="s">
        <v>115</v>
      </c>
      <c r="I1612" t="s">
        <v>101</v>
      </c>
      <c r="J1612">
        <v>10774.49</v>
      </c>
      <c r="K1612">
        <v>1500000</v>
      </c>
    </row>
    <row r="1613" spans="1:11" ht="15" customHeight="1" x14ac:dyDescent="0.2">
      <c r="A1613" t="s">
        <v>2833</v>
      </c>
      <c r="B1613" t="s">
        <v>6561</v>
      </c>
      <c r="C1613">
        <v>2024</v>
      </c>
      <c r="D1613">
        <v>2024</v>
      </c>
      <c r="E1613" s="7">
        <v>45391</v>
      </c>
      <c r="F1613" s="7">
        <v>45755</v>
      </c>
      <c r="G1613" t="s">
        <v>135</v>
      </c>
      <c r="H1613" t="s">
        <v>102</v>
      </c>
      <c r="I1613" t="s">
        <v>101</v>
      </c>
      <c r="J1613">
        <v>37221.129999999997</v>
      </c>
      <c r="K1613">
        <v>5000000</v>
      </c>
    </row>
    <row r="1614" spans="1:11" ht="15" customHeight="1" x14ac:dyDescent="0.2">
      <c r="A1614" t="s">
        <v>2835</v>
      </c>
      <c r="B1614" t="s">
        <v>8286</v>
      </c>
      <c r="C1614">
        <v>2024</v>
      </c>
      <c r="D1614">
        <v>2024</v>
      </c>
      <c r="E1614" s="7">
        <v>45391</v>
      </c>
      <c r="F1614" s="7">
        <v>45755</v>
      </c>
      <c r="G1614" t="s">
        <v>135</v>
      </c>
      <c r="H1614" t="s">
        <v>6332</v>
      </c>
      <c r="I1614" t="s">
        <v>101</v>
      </c>
      <c r="J1614">
        <v>7551.96</v>
      </c>
      <c r="K1614">
        <v>1000000</v>
      </c>
    </row>
    <row r="1615" spans="1:11" ht="15" customHeight="1" x14ac:dyDescent="0.2">
      <c r="A1615" t="s">
        <v>2837</v>
      </c>
      <c r="B1615" t="s">
        <v>8287</v>
      </c>
      <c r="C1615">
        <v>2024</v>
      </c>
      <c r="D1615">
        <v>2024</v>
      </c>
      <c r="E1615" s="7">
        <v>45391</v>
      </c>
      <c r="F1615" s="7">
        <v>45755</v>
      </c>
      <c r="G1615" t="s">
        <v>135</v>
      </c>
      <c r="H1615" t="s">
        <v>107</v>
      </c>
      <c r="I1615" t="s">
        <v>101</v>
      </c>
      <c r="J1615">
        <v>3339.4</v>
      </c>
      <c r="K1615">
        <v>500000</v>
      </c>
    </row>
    <row r="1616" spans="1:11" ht="15" customHeight="1" x14ac:dyDescent="0.2">
      <c r="A1616" t="s">
        <v>2839</v>
      </c>
      <c r="B1616" t="s">
        <v>8288</v>
      </c>
      <c r="C1616">
        <v>2024</v>
      </c>
      <c r="D1616">
        <v>2024</v>
      </c>
      <c r="E1616" s="7">
        <v>45391</v>
      </c>
      <c r="F1616" s="7">
        <v>45755</v>
      </c>
      <c r="G1616" t="s">
        <v>135</v>
      </c>
      <c r="H1616" t="s">
        <v>108</v>
      </c>
      <c r="I1616" t="s">
        <v>101</v>
      </c>
      <c r="J1616">
        <v>14747.75</v>
      </c>
      <c r="K1616">
        <v>1500000</v>
      </c>
    </row>
    <row r="1617" spans="1:11" ht="15" customHeight="1" x14ac:dyDescent="0.2">
      <c r="A1617" t="s">
        <v>2840</v>
      </c>
      <c r="B1617" t="s">
        <v>2316</v>
      </c>
      <c r="C1617">
        <v>2024</v>
      </c>
      <c r="D1617">
        <v>2024</v>
      </c>
      <c r="E1617" s="7">
        <v>45392</v>
      </c>
      <c r="F1617" s="7">
        <v>45756</v>
      </c>
      <c r="G1617" t="s">
        <v>99</v>
      </c>
      <c r="H1617" t="s">
        <v>107</v>
      </c>
      <c r="I1617" t="s">
        <v>101</v>
      </c>
      <c r="J1617">
        <v>7595.14</v>
      </c>
      <c r="K1617">
        <v>1000000</v>
      </c>
    </row>
    <row r="1618" spans="1:11" ht="15" customHeight="1" x14ac:dyDescent="0.2">
      <c r="A1618" t="s">
        <v>2841</v>
      </c>
      <c r="B1618" t="s">
        <v>2331</v>
      </c>
      <c r="C1618">
        <v>2024</v>
      </c>
      <c r="D1618">
        <v>2024</v>
      </c>
      <c r="E1618" s="7">
        <v>45392</v>
      </c>
      <c r="F1618" s="7">
        <v>45756</v>
      </c>
      <c r="G1618" t="s">
        <v>99</v>
      </c>
      <c r="H1618" t="s">
        <v>113</v>
      </c>
      <c r="I1618" t="s">
        <v>101</v>
      </c>
      <c r="J1618">
        <v>14823.39</v>
      </c>
      <c r="K1618">
        <v>2000000</v>
      </c>
    </row>
    <row r="1619" spans="1:11" ht="15" customHeight="1" x14ac:dyDescent="0.2">
      <c r="A1619" t="s">
        <v>2842</v>
      </c>
      <c r="B1619" t="s">
        <v>2333</v>
      </c>
      <c r="C1619">
        <v>2024</v>
      </c>
      <c r="D1619">
        <v>2024</v>
      </c>
      <c r="E1619" s="7">
        <v>45392</v>
      </c>
      <c r="F1619" s="7">
        <v>45756</v>
      </c>
      <c r="G1619" t="s">
        <v>99</v>
      </c>
      <c r="H1619" t="s">
        <v>103</v>
      </c>
      <c r="I1619" t="s">
        <v>104</v>
      </c>
      <c r="J1619">
        <v>6027.28</v>
      </c>
      <c r="K1619">
        <v>1000000</v>
      </c>
    </row>
    <row r="1620" spans="1:11" ht="15" customHeight="1" x14ac:dyDescent="0.2">
      <c r="A1620" t="s">
        <v>2843</v>
      </c>
      <c r="B1620" t="s">
        <v>8289</v>
      </c>
      <c r="C1620">
        <v>2024</v>
      </c>
      <c r="D1620">
        <v>2024</v>
      </c>
      <c r="E1620" s="7">
        <v>45392</v>
      </c>
      <c r="F1620" s="7">
        <v>45756</v>
      </c>
      <c r="G1620" t="s">
        <v>135</v>
      </c>
      <c r="H1620" t="s">
        <v>102</v>
      </c>
      <c r="I1620" t="s">
        <v>104</v>
      </c>
      <c r="J1620">
        <v>3060.76</v>
      </c>
      <c r="K1620">
        <v>500000</v>
      </c>
    </row>
    <row r="1621" spans="1:11" ht="15" customHeight="1" x14ac:dyDescent="0.2">
      <c r="A1621" t="s">
        <v>2844</v>
      </c>
      <c r="B1621" t="s">
        <v>291</v>
      </c>
      <c r="C1621">
        <v>2024</v>
      </c>
      <c r="D1621">
        <v>2024</v>
      </c>
      <c r="E1621" s="7">
        <v>45392</v>
      </c>
      <c r="F1621" s="7">
        <v>45756</v>
      </c>
      <c r="G1621" t="s">
        <v>135</v>
      </c>
      <c r="H1621" t="s">
        <v>115</v>
      </c>
      <c r="I1621" t="s">
        <v>104</v>
      </c>
      <c r="J1621">
        <v>8685.67</v>
      </c>
      <c r="K1621">
        <v>1500000</v>
      </c>
    </row>
    <row r="1622" spans="1:11" ht="15" customHeight="1" x14ac:dyDescent="0.2">
      <c r="A1622" t="s">
        <v>2845</v>
      </c>
      <c r="B1622" t="s">
        <v>499</v>
      </c>
      <c r="C1622">
        <v>2024</v>
      </c>
      <c r="D1622">
        <v>2024</v>
      </c>
      <c r="E1622" s="7">
        <v>45392</v>
      </c>
      <c r="F1622" s="7">
        <v>45756</v>
      </c>
      <c r="G1622" t="s">
        <v>135</v>
      </c>
      <c r="H1622" t="s">
        <v>107</v>
      </c>
      <c r="I1622" t="s">
        <v>101</v>
      </c>
      <c r="J1622">
        <v>7334.62</v>
      </c>
      <c r="K1622">
        <v>1000000</v>
      </c>
    </row>
    <row r="1623" spans="1:11" ht="15" customHeight="1" x14ac:dyDescent="0.2">
      <c r="A1623" t="s">
        <v>2846</v>
      </c>
      <c r="B1623" t="s">
        <v>6573</v>
      </c>
      <c r="C1623">
        <v>2024</v>
      </c>
      <c r="D1623">
        <v>2024</v>
      </c>
      <c r="E1623" s="7">
        <v>45392</v>
      </c>
      <c r="F1623" s="7">
        <v>45756</v>
      </c>
      <c r="G1623" t="s">
        <v>135</v>
      </c>
      <c r="H1623" t="s">
        <v>110</v>
      </c>
      <c r="I1623" t="s">
        <v>101</v>
      </c>
      <c r="J1623">
        <v>14691.11</v>
      </c>
      <c r="K1623">
        <v>1500000</v>
      </c>
    </row>
    <row r="1624" spans="1:11" ht="15" customHeight="1" x14ac:dyDescent="0.2">
      <c r="A1624" t="s">
        <v>2847</v>
      </c>
      <c r="B1624" t="s">
        <v>8290</v>
      </c>
      <c r="C1624">
        <v>2024</v>
      </c>
      <c r="D1624">
        <v>2024</v>
      </c>
      <c r="E1624" s="7">
        <v>45392</v>
      </c>
      <c r="F1624" s="7">
        <v>45756</v>
      </c>
      <c r="G1624" t="s">
        <v>135</v>
      </c>
      <c r="H1624" t="s">
        <v>106</v>
      </c>
      <c r="I1624" t="s">
        <v>101</v>
      </c>
      <c r="J1624">
        <v>13536.55</v>
      </c>
      <c r="K1624">
        <v>1500000</v>
      </c>
    </row>
    <row r="1625" spans="1:11" ht="15" customHeight="1" x14ac:dyDescent="0.2">
      <c r="A1625" t="s">
        <v>2848</v>
      </c>
      <c r="B1625" t="s">
        <v>8291</v>
      </c>
      <c r="C1625">
        <v>2024</v>
      </c>
      <c r="D1625">
        <v>2024</v>
      </c>
      <c r="E1625" s="7">
        <v>45392</v>
      </c>
      <c r="F1625" s="7">
        <v>45756</v>
      </c>
      <c r="G1625" t="s">
        <v>135</v>
      </c>
      <c r="H1625" t="s">
        <v>116</v>
      </c>
      <c r="I1625" t="s">
        <v>104</v>
      </c>
      <c r="J1625">
        <v>10697.64</v>
      </c>
      <c r="K1625">
        <v>2000000</v>
      </c>
    </row>
    <row r="1626" spans="1:11" ht="15" customHeight="1" x14ac:dyDescent="0.2">
      <c r="A1626" t="s">
        <v>2849</v>
      </c>
      <c r="B1626" t="s">
        <v>8292</v>
      </c>
      <c r="C1626">
        <v>2024</v>
      </c>
      <c r="D1626">
        <v>2024</v>
      </c>
      <c r="E1626" s="7">
        <v>45392</v>
      </c>
      <c r="F1626" s="7">
        <v>45756</v>
      </c>
      <c r="G1626" t="s">
        <v>135</v>
      </c>
      <c r="H1626" t="s">
        <v>6334</v>
      </c>
      <c r="I1626" t="s">
        <v>104</v>
      </c>
      <c r="J1626">
        <v>8139.58</v>
      </c>
      <c r="K1626">
        <v>1500000</v>
      </c>
    </row>
    <row r="1627" spans="1:11" ht="15" customHeight="1" x14ac:dyDescent="0.2">
      <c r="A1627" t="s">
        <v>2850</v>
      </c>
      <c r="B1627" t="s">
        <v>8293</v>
      </c>
      <c r="C1627">
        <v>2024</v>
      </c>
      <c r="D1627">
        <v>2024</v>
      </c>
      <c r="E1627" s="7">
        <v>45392</v>
      </c>
      <c r="F1627" s="7">
        <v>45756</v>
      </c>
      <c r="G1627" t="s">
        <v>135</v>
      </c>
      <c r="H1627" t="s">
        <v>106</v>
      </c>
      <c r="I1627" t="s">
        <v>104</v>
      </c>
      <c r="J1627">
        <v>7689.97</v>
      </c>
      <c r="K1627">
        <v>1000000</v>
      </c>
    </row>
    <row r="1628" spans="1:11" ht="15" customHeight="1" x14ac:dyDescent="0.2">
      <c r="A1628" t="s">
        <v>2851</v>
      </c>
      <c r="B1628" t="s">
        <v>817</v>
      </c>
      <c r="C1628">
        <v>2024</v>
      </c>
      <c r="D1628">
        <v>2024</v>
      </c>
      <c r="E1628" s="7">
        <v>45392</v>
      </c>
      <c r="F1628" s="7">
        <v>45756</v>
      </c>
      <c r="G1628" t="s">
        <v>135</v>
      </c>
      <c r="H1628" t="s">
        <v>112</v>
      </c>
      <c r="I1628" t="s">
        <v>101</v>
      </c>
      <c r="J1628">
        <v>9512.34</v>
      </c>
      <c r="K1628">
        <v>1000000</v>
      </c>
    </row>
    <row r="1629" spans="1:11" ht="15" customHeight="1" x14ac:dyDescent="0.2">
      <c r="A1629" t="s">
        <v>2852</v>
      </c>
      <c r="B1629" t="s">
        <v>8294</v>
      </c>
      <c r="C1629">
        <v>2024</v>
      </c>
      <c r="D1629">
        <v>2024</v>
      </c>
      <c r="E1629" s="7">
        <v>45392</v>
      </c>
      <c r="F1629" s="7">
        <v>45756</v>
      </c>
      <c r="G1629" t="s">
        <v>135</v>
      </c>
      <c r="H1629" t="s">
        <v>106</v>
      </c>
      <c r="I1629" t="s">
        <v>104</v>
      </c>
      <c r="J1629">
        <v>7538.28</v>
      </c>
      <c r="K1629">
        <v>1000000</v>
      </c>
    </row>
    <row r="1630" spans="1:11" ht="15" customHeight="1" x14ac:dyDescent="0.2">
      <c r="A1630" t="s">
        <v>2853</v>
      </c>
      <c r="B1630" t="s">
        <v>6569</v>
      </c>
      <c r="C1630">
        <v>2024</v>
      </c>
      <c r="D1630">
        <v>2024</v>
      </c>
      <c r="E1630" s="7">
        <v>45392</v>
      </c>
      <c r="F1630" s="7">
        <v>45756</v>
      </c>
      <c r="G1630" t="s">
        <v>135</v>
      </c>
      <c r="H1630" t="s">
        <v>105</v>
      </c>
      <c r="I1630" t="s">
        <v>101</v>
      </c>
      <c r="J1630">
        <v>36782.300000000003</v>
      </c>
      <c r="K1630">
        <v>5000000</v>
      </c>
    </row>
    <row r="1631" spans="1:11" ht="15" customHeight="1" x14ac:dyDescent="0.2">
      <c r="A1631" t="s">
        <v>2854</v>
      </c>
      <c r="B1631" t="s">
        <v>2345</v>
      </c>
      <c r="C1631">
        <v>2024</v>
      </c>
      <c r="D1631">
        <v>2024</v>
      </c>
      <c r="E1631" s="7">
        <v>45393</v>
      </c>
      <c r="F1631" s="7">
        <v>45757</v>
      </c>
      <c r="G1631" t="s">
        <v>99</v>
      </c>
      <c r="H1631" t="s">
        <v>102</v>
      </c>
      <c r="I1631" t="s">
        <v>101</v>
      </c>
      <c r="J1631">
        <v>70087.34</v>
      </c>
      <c r="K1631">
        <v>10000000</v>
      </c>
    </row>
    <row r="1632" spans="1:11" ht="15" customHeight="1" x14ac:dyDescent="0.2">
      <c r="A1632" t="s">
        <v>2856</v>
      </c>
      <c r="B1632" t="s">
        <v>2347</v>
      </c>
      <c r="C1632">
        <v>2024</v>
      </c>
      <c r="D1632">
        <v>2024</v>
      </c>
      <c r="E1632" s="7">
        <v>45393</v>
      </c>
      <c r="F1632" s="7">
        <v>45757</v>
      </c>
      <c r="G1632" t="s">
        <v>99</v>
      </c>
      <c r="H1632" t="s">
        <v>103</v>
      </c>
      <c r="I1632" t="s">
        <v>104</v>
      </c>
      <c r="J1632">
        <v>51934.22</v>
      </c>
      <c r="K1632">
        <v>10000000</v>
      </c>
    </row>
    <row r="1633" spans="1:11" ht="15" customHeight="1" x14ac:dyDescent="0.2">
      <c r="A1633" t="s">
        <v>2857</v>
      </c>
      <c r="B1633" t="s">
        <v>2349</v>
      </c>
      <c r="C1633">
        <v>2024</v>
      </c>
      <c r="D1633">
        <v>2024</v>
      </c>
      <c r="E1633" s="7">
        <v>45393</v>
      </c>
      <c r="F1633" s="7">
        <v>45757</v>
      </c>
      <c r="G1633" t="s">
        <v>99</v>
      </c>
      <c r="H1633" t="s">
        <v>102</v>
      </c>
      <c r="I1633" t="s">
        <v>101</v>
      </c>
      <c r="J1633">
        <v>68631.39</v>
      </c>
      <c r="K1633">
        <v>10000000</v>
      </c>
    </row>
    <row r="1634" spans="1:11" ht="15" customHeight="1" x14ac:dyDescent="0.2">
      <c r="A1634" t="s">
        <v>2858</v>
      </c>
      <c r="B1634" t="s">
        <v>2357</v>
      </c>
      <c r="C1634">
        <v>2024</v>
      </c>
      <c r="D1634">
        <v>2024</v>
      </c>
      <c r="E1634" s="7">
        <v>45393</v>
      </c>
      <c r="F1634" s="7">
        <v>45757</v>
      </c>
      <c r="G1634" t="s">
        <v>99</v>
      </c>
      <c r="H1634" t="s">
        <v>115</v>
      </c>
      <c r="I1634" t="s">
        <v>101</v>
      </c>
      <c r="J1634">
        <v>14306.48</v>
      </c>
      <c r="K1634">
        <v>2000000</v>
      </c>
    </row>
    <row r="1635" spans="1:11" ht="15" customHeight="1" x14ac:dyDescent="0.2">
      <c r="A1635" t="s">
        <v>2859</v>
      </c>
      <c r="B1635" t="s">
        <v>6570</v>
      </c>
      <c r="C1635">
        <v>2024</v>
      </c>
      <c r="D1635">
        <v>2024</v>
      </c>
      <c r="E1635" s="7">
        <v>45393</v>
      </c>
      <c r="F1635" s="7">
        <v>45757</v>
      </c>
      <c r="G1635" t="s">
        <v>135</v>
      </c>
      <c r="H1635" t="s">
        <v>106</v>
      </c>
      <c r="I1635" t="s">
        <v>101</v>
      </c>
      <c r="J1635">
        <v>44476.54</v>
      </c>
      <c r="K1635">
        <v>5000000</v>
      </c>
    </row>
    <row r="1636" spans="1:11" ht="15" customHeight="1" x14ac:dyDescent="0.2">
      <c r="A1636" t="s">
        <v>2860</v>
      </c>
      <c r="B1636" t="s">
        <v>6540</v>
      </c>
      <c r="C1636">
        <v>2024</v>
      </c>
      <c r="D1636">
        <v>2024</v>
      </c>
      <c r="E1636" s="7">
        <v>45393</v>
      </c>
      <c r="F1636" s="7">
        <v>45757</v>
      </c>
      <c r="G1636" t="s">
        <v>135</v>
      </c>
      <c r="H1636" t="s">
        <v>107</v>
      </c>
      <c r="I1636" t="s">
        <v>104</v>
      </c>
      <c r="J1636">
        <v>8132.34</v>
      </c>
      <c r="K1636">
        <v>1500000</v>
      </c>
    </row>
    <row r="1637" spans="1:11" ht="15" customHeight="1" x14ac:dyDescent="0.2">
      <c r="A1637" t="s">
        <v>2861</v>
      </c>
      <c r="B1637" t="s">
        <v>196</v>
      </c>
      <c r="C1637">
        <v>2024</v>
      </c>
      <c r="D1637">
        <v>2024</v>
      </c>
      <c r="E1637" s="7">
        <v>45393</v>
      </c>
      <c r="F1637" s="7">
        <v>45757</v>
      </c>
      <c r="G1637" t="s">
        <v>135</v>
      </c>
      <c r="H1637" t="s">
        <v>116</v>
      </c>
      <c r="I1637" t="s">
        <v>101</v>
      </c>
      <c r="J1637">
        <v>3865.89</v>
      </c>
      <c r="K1637">
        <v>500000</v>
      </c>
    </row>
    <row r="1638" spans="1:11" ht="15" customHeight="1" x14ac:dyDescent="0.2">
      <c r="A1638" t="s">
        <v>2862</v>
      </c>
      <c r="B1638" t="s">
        <v>818</v>
      </c>
      <c r="C1638">
        <v>2024</v>
      </c>
      <c r="D1638">
        <v>2024</v>
      </c>
      <c r="E1638" s="7">
        <v>45393</v>
      </c>
      <c r="F1638" s="7">
        <v>45757</v>
      </c>
      <c r="G1638" t="s">
        <v>135</v>
      </c>
      <c r="H1638" t="s">
        <v>111</v>
      </c>
      <c r="I1638" t="s">
        <v>101</v>
      </c>
      <c r="J1638">
        <v>36459.99</v>
      </c>
      <c r="K1638">
        <v>5000000</v>
      </c>
    </row>
    <row r="1639" spans="1:11" ht="15" customHeight="1" x14ac:dyDescent="0.2">
      <c r="A1639" t="s">
        <v>2863</v>
      </c>
      <c r="B1639" t="s">
        <v>819</v>
      </c>
      <c r="C1639">
        <v>2024</v>
      </c>
      <c r="D1639">
        <v>2024</v>
      </c>
      <c r="E1639" s="7">
        <v>45393</v>
      </c>
      <c r="F1639" s="7">
        <v>45757</v>
      </c>
      <c r="G1639" t="s">
        <v>135</v>
      </c>
      <c r="H1639" t="s">
        <v>6348</v>
      </c>
      <c r="I1639" t="s">
        <v>101</v>
      </c>
      <c r="J1639">
        <v>14943.29</v>
      </c>
      <c r="K1639">
        <v>2000000</v>
      </c>
    </row>
    <row r="1640" spans="1:11" ht="15" customHeight="1" x14ac:dyDescent="0.2">
      <c r="A1640" t="s">
        <v>2865</v>
      </c>
      <c r="B1640" t="s">
        <v>8295</v>
      </c>
      <c r="C1640">
        <v>2024</v>
      </c>
      <c r="D1640">
        <v>2024</v>
      </c>
      <c r="E1640" s="7">
        <v>45393</v>
      </c>
      <c r="F1640" s="7">
        <v>45757</v>
      </c>
      <c r="G1640" t="s">
        <v>135</v>
      </c>
      <c r="H1640" t="s">
        <v>110</v>
      </c>
      <c r="I1640" t="s">
        <v>104</v>
      </c>
      <c r="J1640">
        <v>6685.18</v>
      </c>
      <c r="K1640">
        <v>1000000</v>
      </c>
    </row>
    <row r="1641" spans="1:11" ht="15" customHeight="1" x14ac:dyDescent="0.2">
      <c r="A1641" t="s">
        <v>2867</v>
      </c>
      <c r="B1641" t="s">
        <v>7248</v>
      </c>
      <c r="C1641">
        <v>2024</v>
      </c>
      <c r="D1641">
        <v>2024</v>
      </c>
      <c r="E1641" s="7">
        <v>45393</v>
      </c>
      <c r="F1641" s="7">
        <v>45757</v>
      </c>
      <c r="G1641" t="s">
        <v>135</v>
      </c>
      <c r="H1641" t="s">
        <v>102</v>
      </c>
      <c r="I1641" t="s">
        <v>101</v>
      </c>
      <c r="J1641">
        <v>15008.38</v>
      </c>
      <c r="K1641">
        <v>2000000</v>
      </c>
    </row>
    <row r="1642" spans="1:11" ht="15" customHeight="1" x14ac:dyDescent="0.2">
      <c r="A1642" t="s">
        <v>2869</v>
      </c>
      <c r="B1642" t="s">
        <v>2359</v>
      </c>
      <c r="C1642">
        <v>2024</v>
      </c>
      <c r="D1642">
        <v>2024</v>
      </c>
      <c r="E1642" s="7">
        <v>45394</v>
      </c>
      <c r="F1642" s="7">
        <v>45758</v>
      </c>
      <c r="G1642" t="s">
        <v>99</v>
      </c>
      <c r="H1642" t="s">
        <v>109</v>
      </c>
      <c r="I1642" t="s">
        <v>101</v>
      </c>
      <c r="J1642">
        <v>3569.7</v>
      </c>
      <c r="K1642">
        <v>500000</v>
      </c>
    </row>
    <row r="1643" spans="1:11" ht="15" customHeight="1" x14ac:dyDescent="0.2">
      <c r="A1643" t="s">
        <v>2871</v>
      </c>
      <c r="B1643" t="s">
        <v>2375</v>
      </c>
      <c r="C1643">
        <v>2024</v>
      </c>
      <c r="D1643">
        <v>2024</v>
      </c>
      <c r="E1643" s="7">
        <v>45394</v>
      </c>
      <c r="F1643" s="7">
        <v>45758</v>
      </c>
      <c r="G1643" t="s">
        <v>99</v>
      </c>
      <c r="H1643" t="s">
        <v>102</v>
      </c>
      <c r="I1643" t="s">
        <v>101</v>
      </c>
      <c r="J1643">
        <v>3283.81</v>
      </c>
      <c r="K1643">
        <v>500000</v>
      </c>
    </row>
    <row r="1644" spans="1:11" ht="15" customHeight="1" x14ac:dyDescent="0.2">
      <c r="A1644" t="s">
        <v>2873</v>
      </c>
      <c r="B1644" t="s">
        <v>2377</v>
      </c>
      <c r="C1644">
        <v>2024</v>
      </c>
      <c r="D1644">
        <v>2024</v>
      </c>
      <c r="E1644" s="7">
        <v>45394</v>
      </c>
      <c r="F1644" s="7">
        <v>45758</v>
      </c>
      <c r="G1644" t="s">
        <v>99</v>
      </c>
      <c r="H1644" t="s">
        <v>106</v>
      </c>
      <c r="I1644" t="s">
        <v>101</v>
      </c>
      <c r="J1644">
        <v>19159.89</v>
      </c>
      <c r="K1644">
        <v>2000000</v>
      </c>
    </row>
    <row r="1645" spans="1:11" ht="15" customHeight="1" x14ac:dyDescent="0.2">
      <c r="A1645" t="s">
        <v>2875</v>
      </c>
      <c r="B1645" t="s">
        <v>2388</v>
      </c>
      <c r="C1645">
        <v>2024</v>
      </c>
      <c r="D1645">
        <v>2024</v>
      </c>
      <c r="E1645" s="7">
        <v>45394</v>
      </c>
      <c r="F1645" s="7">
        <v>45758</v>
      </c>
      <c r="G1645" t="s">
        <v>99</v>
      </c>
      <c r="H1645" t="s">
        <v>102</v>
      </c>
      <c r="I1645" t="s">
        <v>101</v>
      </c>
      <c r="J1645">
        <v>7895.08</v>
      </c>
      <c r="K1645">
        <v>1000000</v>
      </c>
    </row>
    <row r="1646" spans="1:11" ht="15" customHeight="1" x14ac:dyDescent="0.2">
      <c r="A1646" t="s">
        <v>2877</v>
      </c>
      <c r="B1646" t="s">
        <v>2402</v>
      </c>
      <c r="C1646">
        <v>2024</v>
      </c>
      <c r="D1646">
        <v>2024</v>
      </c>
      <c r="E1646" s="7">
        <v>45394</v>
      </c>
      <c r="F1646" s="7">
        <v>45758</v>
      </c>
      <c r="G1646" t="s">
        <v>99</v>
      </c>
      <c r="H1646" t="s">
        <v>108</v>
      </c>
      <c r="I1646" t="s">
        <v>104</v>
      </c>
      <c r="J1646">
        <v>6937.55</v>
      </c>
      <c r="K1646">
        <v>1000000</v>
      </c>
    </row>
    <row r="1647" spans="1:11" ht="15" customHeight="1" x14ac:dyDescent="0.2">
      <c r="A1647" t="s">
        <v>2878</v>
      </c>
      <c r="B1647" t="s">
        <v>820</v>
      </c>
      <c r="C1647">
        <v>2024</v>
      </c>
      <c r="D1647">
        <v>2024</v>
      </c>
      <c r="E1647" s="7">
        <v>45394</v>
      </c>
      <c r="F1647" s="7">
        <v>45758</v>
      </c>
      <c r="G1647" t="s">
        <v>135</v>
      </c>
      <c r="H1647" t="s">
        <v>108</v>
      </c>
      <c r="I1647" t="s">
        <v>101</v>
      </c>
      <c r="J1647">
        <v>4785.51</v>
      </c>
      <c r="K1647">
        <v>500000</v>
      </c>
    </row>
    <row r="1648" spans="1:11" ht="15" customHeight="1" x14ac:dyDescent="0.2">
      <c r="A1648" t="s">
        <v>2879</v>
      </c>
      <c r="B1648" t="s">
        <v>8296</v>
      </c>
      <c r="C1648">
        <v>2024</v>
      </c>
      <c r="D1648">
        <v>2024</v>
      </c>
      <c r="E1648" s="7">
        <v>45394</v>
      </c>
      <c r="F1648" s="7">
        <v>45758</v>
      </c>
      <c r="G1648" t="s">
        <v>135</v>
      </c>
      <c r="H1648" t="s">
        <v>114</v>
      </c>
      <c r="I1648" t="s">
        <v>101</v>
      </c>
      <c r="J1648">
        <v>6788.11</v>
      </c>
      <c r="K1648">
        <v>1000000</v>
      </c>
    </row>
    <row r="1649" spans="1:11" ht="15" customHeight="1" x14ac:dyDescent="0.2">
      <c r="A1649" t="s">
        <v>2880</v>
      </c>
      <c r="B1649" t="s">
        <v>8297</v>
      </c>
      <c r="C1649">
        <v>2024</v>
      </c>
      <c r="D1649">
        <v>2024</v>
      </c>
      <c r="E1649" s="7">
        <v>45394</v>
      </c>
      <c r="F1649" s="7">
        <v>45758</v>
      </c>
      <c r="G1649" t="s">
        <v>135</v>
      </c>
      <c r="H1649" t="s">
        <v>107</v>
      </c>
      <c r="I1649" t="s">
        <v>101</v>
      </c>
      <c r="J1649">
        <v>75115.86</v>
      </c>
      <c r="K1649">
        <v>10000000</v>
      </c>
    </row>
    <row r="1650" spans="1:11" ht="15" customHeight="1" x14ac:dyDescent="0.2">
      <c r="A1650" t="s">
        <v>2881</v>
      </c>
      <c r="B1650" t="s">
        <v>8299</v>
      </c>
      <c r="C1650">
        <v>2024</v>
      </c>
      <c r="D1650">
        <v>2024</v>
      </c>
      <c r="E1650" s="7">
        <v>45394</v>
      </c>
      <c r="F1650" s="7">
        <v>45758</v>
      </c>
      <c r="G1650" t="s">
        <v>135</v>
      </c>
      <c r="H1650" t="s">
        <v>111</v>
      </c>
      <c r="I1650" t="s">
        <v>101</v>
      </c>
      <c r="J1650">
        <v>74903.179999999993</v>
      </c>
      <c r="K1650">
        <v>10000000</v>
      </c>
    </row>
    <row r="1651" spans="1:11" ht="15" customHeight="1" x14ac:dyDescent="0.2">
      <c r="A1651" t="s">
        <v>2882</v>
      </c>
      <c r="B1651" t="s">
        <v>6568</v>
      </c>
      <c r="C1651">
        <v>2024</v>
      </c>
      <c r="D1651">
        <v>2024</v>
      </c>
      <c r="E1651" s="7">
        <v>45394</v>
      </c>
      <c r="F1651" s="7">
        <v>45758</v>
      </c>
      <c r="G1651" t="s">
        <v>135</v>
      </c>
      <c r="H1651" t="s">
        <v>102</v>
      </c>
      <c r="I1651" t="s">
        <v>104</v>
      </c>
      <c r="J1651">
        <v>5522.34</v>
      </c>
      <c r="K1651">
        <v>1000000</v>
      </c>
    </row>
    <row r="1652" spans="1:11" ht="15" customHeight="1" x14ac:dyDescent="0.2">
      <c r="A1652" t="s">
        <v>2883</v>
      </c>
      <c r="B1652" t="s">
        <v>8300</v>
      </c>
      <c r="C1652">
        <v>2024</v>
      </c>
      <c r="D1652">
        <v>2024</v>
      </c>
      <c r="E1652" s="7">
        <v>45394</v>
      </c>
      <c r="F1652" s="7">
        <v>45758</v>
      </c>
      <c r="G1652" t="s">
        <v>135</v>
      </c>
      <c r="H1652" t="s">
        <v>110</v>
      </c>
      <c r="I1652" t="s">
        <v>104</v>
      </c>
      <c r="J1652">
        <v>3674.67</v>
      </c>
      <c r="K1652">
        <v>500000</v>
      </c>
    </row>
    <row r="1653" spans="1:11" ht="15" customHeight="1" x14ac:dyDescent="0.2">
      <c r="A1653" t="s">
        <v>2884</v>
      </c>
      <c r="B1653" t="s">
        <v>8301</v>
      </c>
      <c r="C1653">
        <v>2024</v>
      </c>
      <c r="D1653">
        <v>2024</v>
      </c>
      <c r="E1653" s="7">
        <v>45394</v>
      </c>
      <c r="F1653" s="7">
        <v>45758</v>
      </c>
      <c r="G1653" t="s">
        <v>135</v>
      </c>
      <c r="H1653" t="s">
        <v>103</v>
      </c>
      <c r="I1653" t="s">
        <v>104</v>
      </c>
      <c r="J1653">
        <v>2684.9</v>
      </c>
      <c r="K1653">
        <v>500000</v>
      </c>
    </row>
    <row r="1654" spans="1:11" ht="15" customHeight="1" x14ac:dyDescent="0.2">
      <c r="A1654" t="s">
        <v>2885</v>
      </c>
      <c r="B1654" t="s">
        <v>8302</v>
      </c>
      <c r="C1654">
        <v>2024</v>
      </c>
      <c r="D1654">
        <v>2024</v>
      </c>
      <c r="E1654" s="7">
        <v>45394</v>
      </c>
      <c r="F1654" s="7">
        <v>45758</v>
      </c>
      <c r="G1654" t="s">
        <v>135</v>
      </c>
      <c r="H1654" t="s">
        <v>115</v>
      </c>
      <c r="I1654" t="s">
        <v>101</v>
      </c>
      <c r="J1654">
        <v>3779.26</v>
      </c>
      <c r="K1654">
        <v>500000</v>
      </c>
    </row>
    <row r="1655" spans="1:11" ht="15" customHeight="1" x14ac:dyDescent="0.2">
      <c r="A1655" t="s">
        <v>2886</v>
      </c>
      <c r="B1655" t="s">
        <v>6574</v>
      </c>
      <c r="C1655">
        <v>2024</v>
      </c>
      <c r="D1655">
        <v>2024</v>
      </c>
      <c r="E1655" s="7">
        <v>45394</v>
      </c>
      <c r="F1655" s="7">
        <v>45758</v>
      </c>
      <c r="G1655" t="s">
        <v>135</v>
      </c>
      <c r="H1655" t="s">
        <v>107</v>
      </c>
      <c r="I1655" t="s">
        <v>101</v>
      </c>
      <c r="J1655">
        <v>67789.56</v>
      </c>
      <c r="K1655">
        <v>10000000</v>
      </c>
    </row>
    <row r="1656" spans="1:11" ht="15" customHeight="1" x14ac:dyDescent="0.2">
      <c r="A1656" t="s">
        <v>2887</v>
      </c>
      <c r="B1656" t="s">
        <v>8303</v>
      </c>
      <c r="C1656">
        <v>2024</v>
      </c>
      <c r="D1656">
        <v>2024</v>
      </c>
      <c r="E1656" s="7">
        <v>45394</v>
      </c>
      <c r="F1656" s="7">
        <v>45758</v>
      </c>
      <c r="G1656" t="s">
        <v>135</v>
      </c>
      <c r="H1656" t="s">
        <v>107</v>
      </c>
      <c r="I1656" t="s">
        <v>101</v>
      </c>
      <c r="J1656">
        <v>7375.39</v>
      </c>
      <c r="K1656">
        <v>1000000</v>
      </c>
    </row>
    <row r="1657" spans="1:11" ht="15" customHeight="1" x14ac:dyDescent="0.2">
      <c r="A1657" t="s">
        <v>2888</v>
      </c>
      <c r="B1657" t="s">
        <v>8304</v>
      </c>
      <c r="C1657">
        <v>2024</v>
      </c>
      <c r="D1657">
        <v>2024</v>
      </c>
      <c r="E1657" s="7">
        <v>45394</v>
      </c>
      <c r="F1657" s="7">
        <v>45758</v>
      </c>
      <c r="G1657" t="s">
        <v>135</v>
      </c>
      <c r="H1657" t="s">
        <v>113</v>
      </c>
      <c r="I1657" t="s">
        <v>104</v>
      </c>
      <c r="J1657">
        <v>10795.02</v>
      </c>
      <c r="K1657">
        <v>2000000</v>
      </c>
    </row>
    <row r="1658" spans="1:11" ht="15" customHeight="1" x14ac:dyDescent="0.2">
      <c r="A1658" t="s">
        <v>2889</v>
      </c>
      <c r="B1658" t="s">
        <v>8305</v>
      </c>
      <c r="C1658">
        <v>2024</v>
      </c>
      <c r="D1658">
        <v>2024</v>
      </c>
      <c r="E1658" s="7">
        <v>45394</v>
      </c>
      <c r="F1658" s="7">
        <v>45758</v>
      </c>
      <c r="G1658" t="s">
        <v>135</v>
      </c>
      <c r="H1658" t="s">
        <v>102</v>
      </c>
      <c r="I1658" t="s">
        <v>101</v>
      </c>
      <c r="J1658">
        <v>10853.17</v>
      </c>
      <c r="K1658">
        <v>1500000</v>
      </c>
    </row>
    <row r="1659" spans="1:11" ht="15" customHeight="1" x14ac:dyDescent="0.2">
      <c r="A1659" t="s">
        <v>2890</v>
      </c>
      <c r="B1659" t="s">
        <v>2404</v>
      </c>
      <c r="C1659">
        <v>2024</v>
      </c>
      <c r="D1659">
        <v>2024</v>
      </c>
      <c r="E1659" s="7">
        <v>45395</v>
      </c>
      <c r="F1659" s="7">
        <v>45759</v>
      </c>
      <c r="G1659" t="s">
        <v>99</v>
      </c>
      <c r="H1659" t="s">
        <v>102</v>
      </c>
      <c r="I1659" t="s">
        <v>104</v>
      </c>
      <c r="J1659">
        <v>5172.87</v>
      </c>
      <c r="K1659">
        <v>1000000</v>
      </c>
    </row>
    <row r="1660" spans="1:11" ht="15" customHeight="1" x14ac:dyDescent="0.2">
      <c r="A1660" t="s">
        <v>2892</v>
      </c>
      <c r="B1660" t="s">
        <v>6577</v>
      </c>
      <c r="C1660">
        <v>2024</v>
      </c>
      <c r="D1660">
        <v>2024</v>
      </c>
      <c r="E1660" s="7">
        <v>45395</v>
      </c>
      <c r="F1660" s="7">
        <v>45759</v>
      </c>
      <c r="G1660" t="s">
        <v>135</v>
      </c>
      <c r="H1660" t="s">
        <v>106</v>
      </c>
      <c r="I1660" t="s">
        <v>101</v>
      </c>
      <c r="J1660">
        <v>9856.61</v>
      </c>
      <c r="K1660">
        <v>1000000</v>
      </c>
    </row>
    <row r="1661" spans="1:11" ht="15" customHeight="1" x14ac:dyDescent="0.2">
      <c r="A1661" t="s">
        <v>2894</v>
      </c>
      <c r="B1661" t="s">
        <v>6543</v>
      </c>
      <c r="C1661">
        <v>2024</v>
      </c>
      <c r="D1661">
        <v>2024</v>
      </c>
      <c r="E1661" s="7">
        <v>45395</v>
      </c>
      <c r="F1661" s="7">
        <v>45759</v>
      </c>
      <c r="G1661" t="s">
        <v>135</v>
      </c>
      <c r="H1661" t="s">
        <v>115</v>
      </c>
      <c r="I1661" t="s">
        <v>101</v>
      </c>
      <c r="J1661">
        <v>3477.32</v>
      </c>
      <c r="K1661">
        <v>500000</v>
      </c>
    </row>
    <row r="1662" spans="1:11" ht="15" customHeight="1" x14ac:dyDescent="0.2">
      <c r="A1662" t="s">
        <v>2896</v>
      </c>
      <c r="B1662" t="s">
        <v>293</v>
      </c>
      <c r="C1662">
        <v>2024</v>
      </c>
      <c r="D1662">
        <v>2024</v>
      </c>
      <c r="E1662" s="7">
        <v>45395</v>
      </c>
      <c r="F1662" s="7">
        <v>45759</v>
      </c>
      <c r="G1662" t="s">
        <v>135</v>
      </c>
      <c r="H1662" t="s">
        <v>111</v>
      </c>
      <c r="I1662" t="s">
        <v>101</v>
      </c>
      <c r="J1662">
        <v>13016.22</v>
      </c>
      <c r="K1662">
        <v>2000000</v>
      </c>
    </row>
    <row r="1663" spans="1:11" ht="15" customHeight="1" x14ac:dyDescent="0.2">
      <c r="A1663" t="s">
        <v>2898</v>
      </c>
      <c r="B1663" t="s">
        <v>8306</v>
      </c>
      <c r="C1663">
        <v>2024</v>
      </c>
      <c r="D1663">
        <v>2024</v>
      </c>
      <c r="E1663" s="7">
        <v>45395</v>
      </c>
      <c r="F1663" s="7">
        <v>45759</v>
      </c>
      <c r="G1663" t="s">
        <v>135</v>
      </c>
      <c r="H1663" t="s">
        <v>115</v>
      </c>
      <c r="I1663" t="s">
        <v>101</v>
      </c>
      <c r="J1663">
        <v>10386.219999999999</v>
      </c>
      <c r="K1663">
        <v>1500000</v>
      </c>
    </row>
    <row r="1664" spans="1:11" ht="15" customHeight="1" x14ac:dyDescent="0.2">
      <c r="A1664" t="s">
        <v>2900</v>
      </c>
      <c r="B1664" t="s">
        <v>8307</v>
      </c>
      <c r="C1664">
        <v>2024</v>
      </c>
      <c r="D1664">
        <v>2024</v>
      </c>
      <c r="E1664" s="7">
        <v>45395</v>
      </c>
      <c r="F1664" s="7">
        <v>45759</v>
      </c>
      <c r="G1664" t="s">
        <v>135</v>
      </c>
      <c r="H1664" t="s">
        <v>102</v>
      </c>
      <c r="I1664" t="s">
        <v>104</v>
      </c>
      <c r="J1664">
        <v>11979.73</v>
      </c>
      <c r="K1664">
        <v>2000000</v>
      </c>
    </row>
    <row r="1665" spans="1:11" ht="15" customHeight="1" x14ac:dyDescent="0.2">
      <c r="A1665" t="s">
        <v>2901</v>
      </c>
      <c r="B1665" t="s">
        <v>500</v>
      </c>
      <c r="C1665">
        <v>2024</v>
      </c>
      <c r="D1665">
        <v>2024</v>
      </c>
      <c r="E1665" s="7">
        <v>45395</v>
      </c>
      <c r="F1665" s="7">
        <v>45759</v>
      </c>
      <c r="G1665" t="s">
        <v>135</v>
      </c>
      <c r="H1665" t="s">
        <v>115</v>
      </c>
      <c r="I1665" t="s">
        <v>104</v>
      </c>
      <c r="J1665">
        <v>9360.2199999999993</v>
      </c>
      <c r="K1665">
        <v>1500000</v>
      </c>
    </row>
    <row r="1666" spans="1:11" ht="15" customHeight="1" x14ac:dyDescent="0.2">
      <c r="A1666" t="s">
        <v>2902</v>
      </c>
      <c r="B1666" t="s">
        <v>821</v>
      </c>
      <c r="C1666">
        <v>2024</v>
      </c>
      <c r="D1666">
        <v>2024</v>
      </c>
      <c r="E1666" s="7">
        <v>45395</v>
      </c>
      <c r="F1666" s="7">
        <v>45759</v>
      </c>
      <c r="G1666" t="s">
        <v>135</v>
      </c>
      <c r="H1666" t="s">
        <v>103</v>
      </c>
      <c r="I1666" t="s">
        <v>104</v>
      </c>
      <c r="J1666">
        <v>8276.6200000000008</v>
      </c>
      <c r="K1666">
        <v>1500000</v>
      </c>
    </row>
    <row r="1667" spans="1:11" ht="15" customHeight="1" x14ac:dyDescent="0.2">
      <c r="A1667" t="s">
        <v>2903</v>
      </c>
      <c r="B1667" t="s">
        <v>8308</v>
      </c>
      <c r="C1667">
        <v>2024</v>
      </c>
      <c r="D1667">
        <v>2024</v>
      </c>
      <c r="E1667" s="7">
        <v>45395</v>
      </c>
      <c r="F1667" s="7">
        <v>45759</v>
      </c>
      <c r="G1667" t="s">
        <v>135</v>
      </c>
      <c r="H1667" t="s">
        <v>109</v>
      </c>
      <c r="I1667" t="s">
        <v>101</v>
      </c>
      <c r="J1667">
        <v>6821.94</v>
      </c>
      <c r="K1667">
        <v>1000000</v>
      </c>
    </row>
    <row r="1668" spans="1:11" ht="15" customHeight="1" x14ac:dyDescent="0.2">
      <c r="A1668" t="s">
        <v>2904</v>
      </c>
      <c r="B1668" t="s">
        <v>8309</v>
      </c>
      <c r="C1668">
        <v>2024</v>
      </c>
      <c r="D1668">
        <v>2024</v>
      </c>
      <c r="E1668" s="7">
        <v>45395</v>
      </c>
      <c r="F1668" s="7">
        <v>45759</v>
      </c>
      <c r="G1668" t="s">
        <v>135</v>
      </c>
      <c r="H1668" t="s">
        <v>100</v>
      </c>
      <c r="I1668" t="s">
        <v>104</v>
      </c>
      <c r="J1668">
        <v>10864.57</v>
      </c>
      <c r="K1668">
        <v>2000000</v>
      </c>
    </row>
    <row r="1669" spans="1:11" ht="15" customHeight="1" x14ac:dyDescent="0.2">
      <c r="A1669" t="s">
        <v>2905</v>
      </c>
      <c r="B1669" t="s">
        <v>6571</v>
      </c>
      <c r="C1669">
        <v>2024</v>
      </c>
      <c r="D1669">
        <v>2024</v>
      </c>
      <c r="E1669" s="7">
        <v>45395</v>
      </c>
      <c r="F1669" s="7">
        <v>45759</v>
      </c>
      <c r="G1669" t="s">
        <v>135</v>
      </c>
      <c r="H1669" t="s">
        <v>102</v>
      </c>
      <c r="I1669" t="s">
        <v>104</v>
      </c>
      <c r="J1669">
        <v>9368.7900000000009</v>
      </c>
      <c r="K1669">
        <v>1500000</v>
      </c>
    </row>
    <row r="1670" spans="1:11" ht="15" customHeight="1" x14ac:dyDescent="0.2">
      <c r="A1670" t="s">
        <v>2906</v>
      </c>
      <c r="B1670" t="s">
        <v>8310</v>
      </c>
      <c r="C1670">
        <v>2024</v>
      </c>
      <c r="D1670">
        <v>2024</v>
      </c>
      <c r="E1670" s="7">
        <v>45395</v>
      </c>
      <c r="F1670" s="7">
        <v>45759</v>
      </c>
      <c r="G1670" t="s">
        <v>135</v>
      </c>
      <c r="H1670" t="s">
        <v>106</v>
      </c>
      <c r="I1670" t="s">
        <v>101</v>
      </c>
      <c r="J1670">
        <v>14302.11</v>
      </c>
      <c r="K1670">
        <v>1500000</v>
      </c>
    </row>
    <row r="1671" spans="1:11" ht="15" customHeight="1" x14ac:dyDescent="0.2">
      <c r="A1671" t="s">
        <v>2907</v>
      </c>
      <c r="B1671" t="s">
        <v>2406</v>
      </c>
      <c r="C1671">
        <v>2024</v>
      </c>
      <c r="D1671">
        <v>2024</v>
      </c>
      <c r="E1671" s="7">
        <v>45396</v>
      </c>
      <c r="F1671" s="7">
        <v>45760</v>
      </c>
      <c r="G1671" t="s">
        <v>99</v>
      </c>
      <c r="H1671" t="s">
        <v>108</v>
      </c>
      <c r="I1671" t="s">
        <v>101</v>
      </c>
      <c r="J1671">
        <v>12817.79</v>
      </c>
      <c r="K1671">
        <v>1500000</v>
      </c>
    </row>
    <row r="1672" spans="1:11" ht="15" customHeight="1" x14ac:dyDescent="0.2">
      <c r="A1672" t="s">
        <v>2908</v>
      </c>
      <c r="B1672" t="s">
        <v>2416</v>
      </c>
      <c r="C1672">
        <v>2024</v>
      </c>
      <c r="D1672">
        <v>2024</v>
      </c>
      <c r="E1672" s="7">
        <v>45396</v>
      </c>
      <c r="F1672" s="7">
        <v>45760</v>
      </c>
      <c r="G1672" t="s">
        <v>99</v>
      </c>
      <c r="H1672" t="s">
        <v>106</v>
      </c>
      <c r="I1672" t="s">
        <v>101</v>
      </c>
      <c r="J1672">
        <v>14236.81</v>
      </c>
      <c r="K1672">
        <v>1500000</v>
      </c>
    </row>
    <row r="1673" spans="1:11" ht="15" customHeight="1" x14ac:dyDescent="0.2">
      <c r="A1673" t="s">
        <v>2912</v>
      </c>
      <c r="B1673" t="s">
        <v>2420</v>
      </c>
      <c r="C1673">
        <v>2024</v>
      </c>
      <c r="D1673">
        <v>2024</v>
      </c>
      <c r="E1673" s="7">
        <v>45396</v>
      </c>
      <c r="F1673" s="7">
        <v>45760</v>
      </c>
      <c r="G1673" t="s">
        <v>99</v>
      </c>
      <c r="H1673" t="s">
        <v>6334</v>
      </c>
      <c r="I1673" t="s">
        <v>104</v>
      </c>
      <c r="J1673">
        <v>9249.42</v>
      </c>
      <c r="K1673">
        <v>1500000</v>
      </c>
    </row>
    <row r="1674" spans="1:11" ht="15" customHeight="1" x14ac:dyDescent="0.2">
      <c r="A1674" t="s">
        <v>2914</v>
      </c>
      <c r="B1674" t="s">
        <v>2422</v>
      </c>
      <c r="C1674">
        <v>2024</v>
      </c>
      <c r="D1674">
        <v>2024</v>
      </c>
      <c r="E1674" s="7">
        <v>45396</v>
      </c>
      <c r="F1674" s="7">
        <v>45760</v>
      </c>
      <c r="G1674" t="s">
        <v>99</v>
      </c>
      <c r="H1674" t="s">
        <v>108</v>
      </c>
      <c r="I1674" t="s">
        <v>104</v>
      </c>
      <c r="J1674">
        <v>3807.65</v>
      </c>
      <c r="K1674">
        <v>500000</v>
      </c>
    </row>
    <row r="1675" spans="1:11" ht="15" customHeight="1" x14ac:dyDescent="0.2">
      <c r="A1675" t="s">
        <v>2916</v>
      </c>
      <c r="B1675" t="s">
        <v>294</v>
      </c>
      <c r="C1675">
        <v>2024</v>
      </c>
      <c r="D1675">
        <v>2024</v>
      </c>
      <c r="E1675" s="7">
        <v>45396</v>
      </c>
      <c r="F1675" s="7">
        <v>45760</v>
      </c>
      <c r="G1675" t="s">
        <v>135</v>
      </c>
      <c r="H1675" t="s">
        <v>107</v>
      </c>
      <c r="I1675" t="s">
        <v>104</v>
      </c>
      <c r="J1675">
        <v>8080.49</v>
      </c>
      <c r="K1675">
        <v>1500000</v>
      </c>
    </row>
    <row r="1676" spans="1:11" ht="15" customHeight="1" x14ac:dyDescent="0.2">
      <c r="A1676" t="s">
        <v>2918</v>
      </c>
      <c r="B1676" t="s">
        <v>6595</v>
      </c>
      <c r="C1676">
        <v>2024</v>
      </c>
      <c r="D1676">
        <v>2024</v>
      </c>
      <c r="E1676" s="7">
        <v>45396</v>
      </c>
      <c r="F1676" s="7">
        <v>45760</v>
      </c>
      <c r="G1676" t="s">
        <v>135</v>
      </c>
      <c r="H1676" t="s">
        <v>115</v>
      </c>
      <c r="I1676" t="s">
        <v>101</v>
      </c>
      <c r="J1676">
        <v>3581.6</v>
      </c>
      <c r="K1676">
        <v>500000</v>
      </c>
    </row>
    <row r="1677" spans="1:11" ht="15" customHeight="1" x14ac:dyDescent="0.2">
      <c r="A1677" t="s">
        <v>2920</v>
      </c>
      <c r="B1677" t="s">
        <v>501</v>
      </c>
      <c r="C1677">
        <v>2024</v>
      </c>
      <c r="D1677">
        <v>2024</v>
      </c>
      <c r="E1677" s="7">
        <v>45396</v>
      </c>
      <c r="F1677" s="7">
        <v>45760</v>
      </c>
      <c r="G1677" t="s">
        <v>135</v>
      </c>
      <c r="H1677" t="s">
        <v>108</v>
      </c>
      <c r="I1677" t="s">
        <v>101</v>
      </c>
      <c r="J1677">
        <v>17953.27</v>
      </c>
      <c r="K1677">
        <v>2000000</v>
      </c>
    </row>
    <row r="1678" spans="1:11" ht="15" customHeight="1" x14ac:dyDescent="0.2">
      <c r="A1678" t="s">
        <v>2922</v>
      </c>
      <c r="B1678" t="s">
        <v>8311</v>
      </c>
      <c r="C1678">
        <v>2024</v>
      </c>
      <c r="D1678">
        <v>2024</v>
      </c>
      <c r="E1678" s="7">
        <v>45396</v>
      </c>
      <c r="F1678" s="7">
        <v>45760</v>
      </c>
      <c r="G1678" t="s">
        <v>135</v>
      </c>
      <c r="H1678" t="s">
        <v>106</v>
      </c>
      <c r="I1678" t="s">
        <v>101</v>
      </c>
      <c r="J1678">
        <v>4071.17</v>
      </c>
      <c r="K1678">
        <v>500000</v>
      </c>
    </row>
    <row r="1679" spans="1:11" ht="15" customHeight="1" x14ac:dyDescent="0.2">
      <c r="A1679" t="s">
        <v>2924</v>
      </c>
      <c r="B1679" t="s">
        <v>824</v>
      </c>
      <c r="C1679">
        <v>2024</v>
      </c>
      <c r="D1679">
        <v>2024</v>
      </c>
      <c r="E1679" s="7">
        <v>45396</v>
      </c>
      <c r="F1679" s="7">
        <v>45760</v>
      </c>
      <c r="G1679" t="s">
        <v>135</v>
      </c>
      <c r="H1679" t="s">
        <v>106</v>
      </c>
      <c r="I1679" t="s">
        <v>104</v>
      </c>
      <c r="J1679">
        <v>3903.77</v>
      </c>
      <c r="K1679">
        <v>500000</v>
      </c>
    </row>
    <row r="1680" spans="1:11" ht="15" customHeight="1" x14ac:dyDescent="0.2">
      <c r="A1680" t="s">
        <v>2925</v>
      </c>
      <c r="B1680" t="s">
        <v>822</v>
      </c>
      <c r="C1680">
        <v>2024</v>
      </c>
      <c r="D1680">
        <v>2024</v>
      </c>
      <c r="E1680" s="7">
        <v>45396</v>
      </c>
      <c r="F1680" s="7">
        <v>45760</v>
      </c>
      <c r="G1680" t="s">
        <v>135</v>
      </c>
      <c r="H1680" t="s">
        <v>116</v>
      </c>
      <c r="I1680" t="s">
        <v>101</v>
      </c>
      <c r="J1680">
        <v>67991.009999999995</v>
      </c>
      <c r="K1680">
        <v>10000000</v>
      </c>
    </row>
    <row r="1681" spans="1:11" ht="15" customHeight="1" x14ac:dyDescent="0.2">
      <c r="A1681" t="s">
        <v>2926</v>
      </c>
      <c r="B1681" t="s">
        <v>6575</v>
      </c>
      <c r="C1681">
        <v>2024</v>
      </c>
      <c r="D1681">
        <v>2024</v>
      </c>
      <c r="E1681" s="7">
        <v>45396</v>
      </c>
      <c r="F1681" s="7">
        <v>45760</v>
      </c>
      <c r="G1681" t="s">
        <v>135</v>
      </c>
      <c r="H1681" t="s">
        <v>6348</v>
      </c>
      <c r="I1681" t="s">
        <v>104</v>
      </c>
      <c r="J1681">
        <v>53130.29</v>
      </c>
      <c r="K1681">
        <v>10000000</v>
      </c>
    </row>
    <row r="1682" spans="1:11" ht="15" customHeight="1" x14ac:dyDescent="0.2">
      <c r="A1682" t="s">
        <v>2927</v>
      </c>
      <c r="B1682" t="s">
        <v>295</v>
      </c>
      <c r="C1682">
        <v>2024</v>
      </c>
      <c r="D1682">
        <v>2024</v>
      </c>
      <c r="E1682" s="7">
        <v>45396</v>
      </c>
      <c r="F1682" s="7">
        <v>45760</v>
      </c>
      <c r="G1682" t="s">
        <v>135</v>
      </c>
      <c r="H1682" t="s">
        <v>111</v>
      </c>
      <c r="I1682" t="s">
        <v>101</v>
      </c>
      <c r="J1682">
        <v>10450.44</v>
      </c>
      <c r="K1682">
        <v>1500000</v>
      </c>
    </row>
    <row r="1683" spans="1:11" ht="15" customHeight="1" x14ac:dyDescent="0.2">
      <c r="A1683" t="s">
        <v>2928</v>
      </c>
      <c r="B1683" t="s">
        <v>6579</v>
      </c>
      <c r="C1683">
        <v>2024</v>
      </c>
      <c r="D1683">
        <v>2024</v>
      </c>
      <c r="E1683" s="7">
        <v>45396</v>
      </c>
      <c r="F1683" s="7">
        <v>45760</v>
      </c>
      <c r="G1683" t="s">
        <v>135</v>
      </c>
      <c r="H1683" t="s">
        <v>108</v>
      </c>
      <c r="I1683" t="s">
        <v>104</v>
      </c>
      <c r="J1683">
        <v>10651.82</v>
      </c>
      <c r="K1683">
        <v>1500000</v>
      </c>
    </row>
    <row r="1684" spans="1:11" ht="15" customHeight="1" x14ac:dyDescent="0.2">
      <c r="A1684" t="s">
        <v>2929</v>
      </c>
      <c r="B1684" t="s">
        <v>502</v>
      </c>
      <c r="C1684">
        <v>2024</v>
      </c>
      <c r="D1684">
        <v>2024</v>
      </c>
      <c r="E1684" s="7">
        <v>45396</v>
      </c>
      <c r="F1684" s="7">
        <v>45760</v>
      </c>
      <c r="G1684" t="s">
        <v>135</v>
      </c>
      <c r="H1684" t="s">
        <v>108</v>
      </c>
      <c r="I1684" t="s">
        <v>104</v>
      </c>
      <c r="J1684">
        <v>14085.12</v>
      </c>
      <c r="K1684">
        <v>2000000</v>
      </c>
    </row>
    <row r="1685" spans="1:11" ht="15" customHeight="1" x14ac:dyDescent="0.2">
      <c r="A1685" t="s">
        <v>2930</v>
      </c>
      <c r="B1685" t="s">
        <v>823</v>
      </c>
      <c r="C1685">
        <v>2024</v>
      </c>
      <c r="D1685">
        <v>2024</v>
      </c>
      <c r="E1685" s="7">
        <v>45396</v>
      </c>
      <c r="F1685" s="7">
        <v>45760</v>
      </c>
      <c r="G1685" t="s">
        <v>135</v>
      </c>
      <c r="H1685" t="s">
        <v>113</v>
      </c>
      <c r="I1685" t="s">
        <v>101</v>
      </c>
      <c r="J1685">
        <v>33145.07</v>
      </c>
      <c r="K1685">
        <v>5000000</v>
      </c>
    </row>
    <row r="1686" spans="1:11" ht="15" customHeight="1" x14ac:dyDescent="0.2">
      <c r="A1686" t="s">
        <v>2931</v>
      </c>
      <c r="B1686" t="s">
        <v>2424</v>
      </c>
      <c r="C1686">
        <v>2024</v>
      </c>
      <c r="D1686">
        <v>2024</v>
      </c>
      <c r="E1686" s="7">
        <v>45397</v>
      </c>
      <c r="F1686" s="7">
        <v>45761</v>
      </c>
      <c r="G1686" t="s">
        <v>99</v>
      </c>
      <c r="H1686" t="s">
        <v>110</v>
      </c>
      <c r="I1686" t="s">
        <v>101</v>
      </c>
      <c r="J1686">
        <v>12858.71</v>
      </c>
      <c r="K1686">
        <v>1500000</v>
      </c>
    </row>
    <row r="1687" spans="1:11" ht="15" customHeight="1" x14ac:dyDescent="0.2">
      <c r="A1687" t="s">
        <v>2933</v>
      </c>
      <c r="B1687" t="s">
        <v>2435</v>
      </c>
      <c r="C1687">
        <v>2024</v>
      </c>
      <c r="D1687">
        <v>2024</v>
      </c>
      <c r="E1687" s="7">
        <v>45397</v>
      </c>
      <c r="F1687" s="7">
        <v>45761</v>
      </c>
      <c r="G1687" t="s">
        <v>99</v>
      </c>
      <c r="H1687" t="s">
        <v>114</v>
      </c>
      <c r="I1687" t="s">
        <v>104</v>
      </c>
      <c r="J1687">
        <v>8016.37</v>
      </c>
      <c r="K1687">
        <v>1500000</v>
      </c>
    </row>
    <row r="1688" spans="1:11" ht="15" customHeight="1" x14ac:dyDescent="0.2">
      <c r="A1688" t="s">
        <v>2935</v>
      </c>
      <c r="B1688" t="s">
        <v>503</v>
      </c>
      <c r="C1688">
        <v>2024</v>
      </c>
      <c r="D1688">
        <v>2024</v>
      </c>
      <c r="E1688" s="7">
        <v>45397</v>
      </c>
      <c r="F1688" s="7">
        <v>45761</v>
      </c>
      <c r="G1688" t="s">
        <v>135</v>
      </c>
      <c r="H1688" t="s">
        <v>108</v>
      </c>
      <c r="I1688" t="s">
        <v>101</v>
      </c>
      <c r="J1688">
        <v>41228.49</v>
      </c>
      <c r="K1688">
        <v>5000000</v>
      </c>
    </row>
    <row r="1689" spans="1:11" ht="15" customHeight="1" x14ac:dyDescent="0.2">
      <c r="A1689" t="s">
        <v>2936</v>
      </c>
      <c r="B1689" t="s">
        <v>825</v>
      </c>
      <c r="C1689">
        <v>2024</v>
      </c>
      <c r="D1689">
        <v>2024</v>
      </c>
      <c r="E1689" s="7">
        <v>45397</v>
      </c>
      <c r="F1689" s="7">
        <v>45761</v>
      </c>
      <c r="G1689" t="s">
        <v>135</v>
      </c>
      <c r="H1689" t="s">
        <v>106</v>
      </c>
      <c r="I1689" t="s">
        <v>101</v>
      </c>
      <c r="J1689">
        <v>9183.7099999999991</v>
      </c>
      <c r="K1689">
        <v>1000000</v>
      </c>
    </row>
    <row r="1690" spans="1:11" ht="15" customHeight="1" x14ac:dyDescent="0.2">
      <c r="A1690" t="s">
        <v>2937</v>
      </c>
      <c r="B1690" t="s">
        <v>8312</v>
      </c>
      <c r="C1690">
        <v>2024</v>
      </c>
      <c r="D1690">
        <v>2024</v>
      </c>
      <c r="E1690" s="7">
        <v>45397</v>
      </c>
      <c r="F1690" s="7">
        <v>45761</v>
      </c>
      <c r="G1690" t="s">
        <v>135</v>
      </c>
      <c r="H1690" t="s">
        <v>102</v>
      </c>
      <c r="I1690" t="s">
        <v>101</v>
      </c>
      <c r="J1690">
        <v>6889.1</v>
      </c>
      <c r="K1690">
        <v>1000000</v>
      </c>
    </row>
    <row r="1691" spans="1:11" ht="15" customHeight="1" x14ac:dyDescent="0.2">
      <c r="A1691" t="s">
        <v>2938</v>
      </c>
      <c r="B1691" t="s">
        <v>504</v>
      </c>
      <c r="C1691">
        <v>2024</v>
      </c>
      <c r="D1691">
        <v>2024</v>
      </c>
      <c r="E1691" s="7">
        <v>45397</v>
      </c>
      <c r="F1691" s="7">
        <v>45761</v>
      </c>
      <c r="G1691" t="s">
        <v>135</v>
      </c>
      <c r="H1691" t="s">
        <v>107</v>
      </c>
      <c r="I1691" t="s">
        <v>104</v>
      </c>
      <c r="J1691">
        <v>6056.18</v>
      </c>
      <c r="K1691">
        <v>1000000</v>
      </c>
    </row>
    <row r="1692" spans="1:11" ht="15" customHeight="1" x14ac:dyDescent="0.2">
      <c r="A1692" t="s">
        <v>2939</v>
      </c>
      <c r="B1692" t="s">
        <v>6567</v>
      </c>
      <c r="C1692">
        <v>2024</v>
      </c>
      <c r="D1692">
        <v>2024</v>
      </c>
      <c r="E1692" s="7">
        <v>45397</v>
      </c>
      <c r="F1692" s="7">
        <v>45761</v>
      </c>
      <c r="G1692" t="s">
        <v>135</v>
      </c>
      <c r="H1692" t="s">
        <v>6332</v>
      </c>
      <c r="I1692" t="s">
        <v>101</v>
      </c>
      <c r="J1692">
        <v>3567.66</v>
      </c>
      <c r="K1692">
        <v>500000</v>
      </c>
    </row>
    <row r="1693" spans="1:11" ht="15" customHeight="1" x14ac:dyDescent="0.2">
      <c r="A1693" t="s">
        <v>2940</v>
      </c>
      <c r="B1693" t="s">
        <v>6578</v>
      </c>
      <c r="C1693">
        <v>2024</v>
      </c>
      <c r="D1693">
        <v>2024</v>
      </c>
      <c r="E1693" s="7">
        <v>45397</v>
      </c>
      <c r="F1693" s="7">
        <v>45761</v>
      </c>
      <c r="G1693" t="s">
        <v>135</v>
      </c>
      <c r="H1693" t="s">
        <v>108</v>
      </c>
      <c r="I1693" t="s">
        <v>104</v>
      </c>
      <c r="J1693">
        <v>12974.89</v>
      </c>
      <c r="K1693">
        <v>2000000</v>
      </c>
    </row>
    <row r="1694" spans="1:11" ht="15" customHeight="1" x14ac:dyDescent="0.2">
      <c r="A1694" t="s">
        <v>2941</v>
      </c>
      <c r="B1694" t="s">
        <v>8313</v>
      </c>
      <c r="C1694">
        <v>2024</v>
      </c>
      <c r="D1694">
        <v>2024</v>
      </c>
      <c r="E1694" s="7">
        <v>45397</v>
      </c>
      <c r="F1694" s="7">
        <v>45761</v>
      </c>
      <c r="G1694" t="s">
        <v>135</v>
      </c>
      <c r="H1694" t="s">
        <v>6348</v>
      </c>
      <c r="I1694" t="s">
        <v>104</v>
      </c>
      <c r="J1694">
        <v>6250.6</v>
      </c>
      <c r="K1694">
        <v>1000000</v>
      </c>
    </row>
    <row r="1695" spans="1:11" ht="15" customHeight="1" x14ac:dyDescent="0.2">
      <c r="A1695" t="s">
        <v>2943</v>
      </c>
      <c r="B1695" t="s">
        <v>8314</v>
      </c>
      <c r="C1695">
        <v>2024</v>
      </c>
      <c r="D1695">
        <v>2024</v>
      </c>
      <c r="E1695" s="7">
        <v>45397</v>
      </c>
      <c r="F1695" s="7">
        <v>45761</v>
      </c>
      <c r="G1695" t="s">
        <v>135</v>
      </c>
      <c r="H1695" t="s">
        <v>6348</v>
      </c>
      <c r="I1695" t="s">
        <v>101</v>
      </c>
      <c r="J1695">
        <v>7286.44</v>
      </c>
      <c r="K1695">
        <v>1000000</v>
      </c>
    </row>
    <row r="1696" spans="1:11" ht="15" customHeight="1" x14ac:dyDescent="0.2">
      <c r="A1696" t="s">
        <v>2945</v>
      </c>
      <c r="B1696" t="s">
        <v>2437</v>
      </c>
      <c r="C1696">
        <v>2024</v>
      </c>
      <c r="D1696">
        <v>2024</v>
      </c>
      <c r="E1696" s="7">
        <v>45398</v>
      </c>
      <c r="F1696" s="7">
        <v>45762</v>
      </c>
      <c r="G1696" t="s">
        <v>99</v>
      </c>
      <c r="H1696" t="s">
        <v>106</v>
      </c>
      <c r="I1696" t="s">
        <v>101</v>
      </c>
      <c r="J1696">
        <v>9373.0499999999993</v>
      </c>
      <c r="K1696">
        <v>1000000</v>
      </c>
    </row>
    <row r="1697" spans="1:11" ht="15" customHeight="1" x14ac:dyDescent="0.2">
      <c r="A1697" t="s">
        <v>2947</v>
      </c>
      <c r="B1697" t="s">
        <v>2443</v>
      </c>
      <c r="C1697">
        <v>2024</v>
      </c>
      <c r="D1697">
        <v>2024</v>
      </c>
      <c r="E1697" s="7">
        <v>45398</v>
      </c>
      <c r="F1697" s="7">
        <v>45762</v>
      </c>
      <c r="G1697" t="s">
        <v>99</v>
      </c>
      <c r="H1697" t="s">
        <v>103</v>
      </c>
      <c r="I1697" t="s">
        <v>104</v>
      </c>
      <c r="J1697">
        <v>56816.28</v>
      </c>
      <c r="K1697">
        <v>10000000</v>
      </c>
    </row>
    <row r="1698" spans="1:11" ht="15" customHeight="1" x14ac:dyDescent="0.2">
      <c r="A1698" t="s">
        <v>2949</v>
      </c>
      <c r="B1698" t="s">
        <v>2445</v>
      </c>
      <c r="C1698">
        <v>2024</v>
      </c>
      <c r="D1698">
        <v>2024</v>
      </c>
      <c r="E1698" s="7">
        <v>45398</v>
      </c>
      <c r="F1698" s="7">
        <v>45762</v>
      </c>
      <c r="G1698" t="s">
        <v>99</v>
      </c>
      <c r="H1698" t="s">
        <v>116</v>
      </c>
      <c r="I1698" t="s">
        <v>101</v>
      </c>
      <c r="J1698">
        <v>7343.17</v>
      </c>
      <c r="K1698">
        <v>1000000</v>
      </c>
    </row>
    <row r="1699" spans="1:11" ht="15" customHeight="1" x14ac:dyDescent="0.2">
      <c r="A1699" t="s">
        <v>2951</v>
      </c>
      <c r="B1699" t="s">
        <v>8315</v>
      </c>
      <c r="C1699">
        <v>2024</v>
      </c>
      <c r="D1699">
        <v>2024</v>
      </c>
      <c r="E1699" s="7">
        <v>45398</v>
      </c>
      <c r="F1699" s="7">
        <v>45762</v>
      </c>
      <c r="G1699" t="s">
        <v>135</v>
      </c>
      <c r="H1699" t="s">
        <v>116</v>
      </c>
      <c r="I1699" t="s">
        <v>101</v>
      </c>
      <c r="J1699">
        <v>7305.34</v>
      </c>
      <c r="K1699">
        <v>1000000</v>
      </c>
    </row>
    <row r="1700" spans="1:11" ht="15" customHeight="1" x14ac:dyDescent="0.2">
      <c r="A1700" t="s">
        <v>2952</v>
      </c>
      <c r="B1700" t="s">
        <v>121</v>
      </c>
      <c r="C1700">
        <v>2024</v>
      </c>
      <c r="D1700">
        <v>2024</v>
      </c>
      <c r="E1700" s="7">
        <v>45398</v>
      </c>
      <c r="F1700" s="7">
        <v>45762</v>
      </c>
      <c r="G1700" t="s">
        <v>135</v>
      </c>
      <c r="H1700" t="s">
        <v>113</v>
      </c>
      <c r="I1700" t="s">
        <v>101</v>
      </c>
      <c r="J1700">
        <v>7250.48</v>
      </c>
      <c r="K1700">
        <v>1000000</v>
      </c>
    </row>
    <row r="1701" spans="1:11" ht="15" customHeight="1" x14ac:dyDescent="0.2">
      <c r="A1701" t="s">
        <v>2953</v>
      </c>
      <c r="B1701" t="s">
        <v>6582</v>
      </c>
      <c r="C1701">
        <v>2024</v>
      </c>
      <c r="D1701">
        <v>2024</v>
      </c>
      <c r="E1701" s="7">
        <v>45398</v>
      </c>
      <c r="F1701" s="7">
        <v>45762</v>
      </c>
      <c r="G1701" t="s">
        <v>135</v>
      </c>
      <c r="H1701" t="s">
        <v>6332</v>
      </c>
      <c r="I1701" t="s">
        <v>101</v>
      </c>
      <c r="J1701">
        <v>10887.91</v>
      </c>
      <c r="K1701">
        <v>1500000</v>
      </c>
    </row>
    <row r="1702" spans="1:11" ht="15" customHeight="1" x14ac:dyDescent="0.2">
      <c r="A1702" t="s">
        <v>2954</v>
      </c>
      <c r="B1702" t="s">
        <v>8316</v>
      </c>
      <c r="C1702">
        <v>2024</v>
      </c>
      <c r="D1702">
        <v>2024</v>
      </c>
      <c r="E1702" s="7">
        <v>45398</v>
      </c>
      <c r="F1702" s="7">
        <v>45762</v>
      </c>
      <c r="G1702" t="s">
        <v>135</v>
      </c>
      <c r="H1702" t="s">
        <v>106</v>
      </c>
      <c r="I1702" t="s">
        <v>101</v>
      </c>
      <c r="J1702">
        <v>9709.2999999999993</v>
      </c>
      <c r="K1702">
        <v>1000000</v>
      </c>
    </row>
    <row r="1703" spans="1:11" ht="15" customHeight="1" x14ac:dyDescent="0.2">
      <c r="A1703" t="s">
        <v>2955</v>
      </c>
      <c r="B1703" t="s">
        <v>8317</v>
      </c>
      <c r="C1703">
        <v>2024</v>
      </c>
      <c r="D1703">
        <v>2024</v>
      </c>
      <c r="E1703" s="7">
        <v>45398</v>
      </c>
      <c r="F1703" s="7">
        <v>45762</v>
      </c>
      <c r="G1703" t="s">
        <v>135</v>
      </c>
      <c r="H1703" t="s">
        <v>102</v>
      </c>
      <c r="I1703" t="s">
        <v>101</v>
      </c>
      <c r="J1703">
        <v>15469.9</v>
      </c>
      <c r="K1703">
        <v>2000000</v>
      </c>
    </row>
    <row r="1704" spans="1:11" ht="15" customHeight="1" x14ac:dyDescent="0.2">
      <c r="A1704" t="s">
        <v>2956</v>
      </c>
      <c r="B1704" t="s">
        <v>7296</v>
      </c>
      <c r="C1704">
        <v>2024</v>
      </c>
      <c r="D1704">
        <v>2024</v>
      </c>
      <c r="E1704" s="7">
        <v>45398</v>
      </c>
      <c r="F1704" s="7">
        <v>45762</v>
      </c>
      <c r="G1704" t="s">
        <v>135</v>
      </c>
      <c r="H1704" t="s">
        <v>102</v>
      </c>
      <c r="I1704" t="s">
        <v>101</v>
      </c>
      <c r="J1704">
        <v>11673.21</v>
      </c>
      <c r="K1704">
        <v>1500000</v>
      </c>
    </row>
    <row r="1705" spans="1:11" ht="15" customHeight="1" x14ac:dyDescent="0.2">
      <c r="A1705" t="s">
        <v>2958</v>
      </c>
      <c r="B1705" t="s">
        <v>6572</v>
      </c>
      <c r="C1705">
        <v>2024</v>
      </c>
      <c r="D1705">
        <v>2024</v>
      </c>
      <c r="E1705" s="7">
        <v>45398</v>
      </c>
      <c r="F1705" s="7">
        <v>45762</v>
      </c>
      <c r="G1705" t="s">
        <v>135</v>
      </c>
      <c r="H1705" t="s">
        <v>100</v>
      </c>
      <c r="I1705" t="s">
        <v>101</v>
      </c>
      <c r="J1705">
        <v>6717.01</v>
      </c>
      <c r="K1705">
        <v>1000000</v>
      </c>
    </row>
    <row r="1706" spans="1:11" ht="15" customHeight="1" x14ac:dyDescent="0.2">
      <c r="A1706" t="s">
        <v>2960</v>
      </c>
      <c r="B1706" t="s">
        <v>8318</v>
      </c>
      <c r="C1706">
        <v>2024</v>
      </c>
      <c r="D1706">
        <v>2024</v>
      </c>
      <c r="E1706" s="7">
        <v>45398</v>
      </c>
      <c r="F1706" s="7">
        <v>45762</v>
      </c>
      <c r="G1706" t="s">
        <v>135</v>
      </c>
      <c r="H1706" t="s">
        <v>102</v>
      </c>
      <c r="I1706" t="s">
        <v>104</v>
      </c>
      <c r="J1706">
        <v>6156.26</v>
      </c>
      <c r="K1706">
        <v>1000000</v>
      </c>
    </row>
    <row r="1707" spans="1:11" ht="15" customHeight="1" x14ac:dyDescent="0.2">
      <c r="A1707" t="s">
        <v>2962</v>
      </c>
      <c r="B1707" t="s">
        <v>6600</v>
      </c>
      <c r="C1707">
        <v>2024</v>
      </c>
      <c r="D1707">
        <v>2024</v>
      </c>
      <c r="E1707" s="7">
        <v>45398</v>
      </c>
      <c r="F1707" s="7">
        <v>45762</v>
      </c>
      <c r="G1707" t="s">
        <v>135</v>
      </c>
      <c r="H1707" t="s">
        <v>105</v>
      </c>
      <c r="I1707" t="s">
        <v>101</v>
      </c>
      <c r="J1707">
        <v>7400.75</v>
      </c>
      <c r="K1707">
        <v>1000000</v>
      </c>
    </row>
    <row r="1708" spans="1:11" ht="15" customHeight="1" x14ac:dyDescent="0.2">
      <c r="A1708" t="s">
        <v>2964</v>
      </c>
      <c r="B1708" t="s">
        <v>8319</v>
      </c>
      <c r="C1708">
        <v>2024</v>
      </c>
      <c r="D1708">
        <v>2024</v>
      </c>
      <c r="E1708" s="7">
        <v>45398</v>
      </c>
      <c r="F1708" s="7">
        <v>45762</v>
      </c>
      <c r="G1708" t="s">
        <v>135</v>
      </c>
      <c r="H1708" t="s">
        <v>105</v>
      </c>
      <c r="I1708" t="s">
        <v>101</v>
      </c>
      <c r="J1708">
        <v>3332.64</v>
      </c>
      <c r="K1708">
        <v>500000</v>
      </c>
    </row>
    <row r="1709" spans="1:11" ht="15" customHeight="1" x14ac:dyDescent="0.2">
      <c r="A1709" t="s">
        <v>2965</v>
      </c>
      <c r="B1709" t="s">
        <v>296</v>
      </c>
      <c r="C1709">
        <v>2024</v>
      </c>
      <c r="D1709">
        <v>2024</v>
      </c>
      <c r="E1709" s="7">
        <v>45398</v>
      </c>
      <c r="F1709" s="7">
        <v>45762</v>
      </c>
      <c r="G1709" t="s">
        <v>135</v>
      </c>
      <c r="H1709" t="s">
        <v>106</v>
      </c>
      <c r="I1709" t="s">
        <v>101</v>
      </c>
      <c r="J1709">
        <v>12268.13</v>
      </c>
      <c r="K1709">
        <v>1500000</v>
      </c>
    </row>
    <row r="1710" spans="1:11" ht="15" customHeight="1" x14ac:dyDescent="0.2">
      <c r="A1710" t="s">
        <v>2966</v>
      </c>
      <c r="B1710" t="s">
        <v>6585</v>
      </c>
      <c r="C1710">
        <v>2024</v>
      </c>
      <c r="D1710">
        <v>2024</v>
      </c>
      <c r="E1710" s="7">
        <v>45398</v>
      </c>
      <c r="F1710" s="7">
        <v>45762</v>
      </c>
      <c r="G1710" t="s">
        <v>135</v>
      </c>
      <c r="H1710" t="s">
        <v>105</v>
      </c>
      <c r="I1710" t="s">
        <v>101</v>
      </c>
      <c r="J1710">
        <v>7758.86</v>
      </c>
      <c r="K1710">
        <v>1000000</v>
      </c>
    </row>
    <row r="1711" spans="1:11" ht="15" customHeight="1" x14ac:dyDescent="0.2">
      <c r="A1711" t="s">
        <v>2967</v>
      </c>
      <c r="B1711" t="s">
        <v>8320</v>
      </c>
      <c r="C1711">
        <v>2024</v>
      </c>
      <c r="D1711">
        <v>2024</v>
      </c>
      <c r="E1711" s="7">
        <v>45398</v>
      </c>
      <c r="F1711" s="7">
        <v>45762</v>
      </c>
      <c r="G1711" t="s">
        <v>135</v>
      </c>
      <c r="H1711" t="s">
        <v>103</v>
      </c>
      <c r="I1711" t="s">
        <v>104</v>
      </c>
      <c r="J1711">
        <v>31373.71</v>
      </c>
      <c r="K1711">
        <v>5000000</v>
      </c>
    </row>
    <row r="1712" spans="1:11" ht="15" customHeight="1" x14ac:dyDescent="0.2">
      <c r="A1712" t="s">
        <v>2968</v>
      </c>
      <c r="B1712" t="s">
        <v>2447</v>
      </c>
      <c r="C1712">
        <v>2024</v>
      </c>
      <c r="D1712">
        <v>2024</v>
      </c>
      <c r="E1712" s="7">
        <v>45399</v>
      </c>
      <c r="F1712" s="7">
        <v>45763</v>
      </c>
      <c r="G1712" t="s">
        <v>99</v>
      </c>
      <c r="H1712" t="s">
        <v>109</v>
      </c>
      <c r="I1712" t="s">
        <v>101</v>
      </c>
      <c r="J1712">
        <v>6936.4</v>
      </c>
      <c r="K1712">
        <v>1000000</v>
      </c>
    </row>
    <row r="1713" spans="1:11" ht="15" customHeight="1" x14ac:dyDescent="0.2">
      <c r="A1713" t="s">
        <v>2969</v>
      </c>
      <c r="B1713" t="s">
        <v>2460</v>
      </c>
      <c r="C1713">
        <v>2024</v>
      </c>
      <c r="D1713">
        <v>2024</v>
      </c>
      <c r="E1713" s="7">
        <v>45399</v>
      </c>
      <c r="F1713" s="7">
        <v>45763</v>
      </c>
      <c r="G1713" t="s">
        <v>99</v>
      </c>
      <c r="H1713" t="s">
        <v>106</v>
      </c>
      <c r="I1713" t="s">
        <v>104</v>
      </c>
      <c r="J1713">
        <v>7591.01</v>
      </c>
      <c r="K1713">
        <v>1000000</v>
      </c>
    </row>
    <row r="1714" spans="1:11" ht="15" customHeight="1" x14ac:dyDescent="0.2">
      <c r="A1714" t="s">
        <v>2970</v>
      </c>
      <c r="B1714" t="s">
        <v>2462</v>
      </c>
      <c r="C1714">
        <v>2024</v>
      </c>
      <c r="D1714">
        <v>2024</v>
      </c>
      <c r="E1714" s="7">
        <v>45399</v>
      </c>
      <c r="F1714" s="7">
        <v>45763</v>
      </c>
      <c r="G1714" t="s">
        <v>99</v>
      </c>
      <c r="H1714" t="s">
        <v>106</v>
      </c>
      <c r="I1714" t="s">
        <v>101</v>
      </c>
      <c r="J1714">
        <v>17361.169999999998</v>
      </c>
      <c r="K1714">
        <v>2000000</v>
      </c>
    </row>
    <row r="1715" spans="1:11" ht="15" customHeight="1" x14ac:dyDescent="0.2">
      <c r="A1715" t="s">
        <v>2971</v>
      </c>
      <c r="B1715" t="s">
        <v>2464</v>
      </c>
      <c r="C1715">
        <v>2024</v>
      </c>
      <c r="D1715">
        <v>2024</v>
      </c>
      <c r="E1715" s="7">
        <v>45399</v>
      </c>
      <c r="F1715" s="7">
        <v>45763</v>
      </c>
      <c r="G1715" t="s">
        <v>99</v>
      </c>
      <c r="H1715" t="s">
        <v>114</v>
      </c>
      <c r="I1715" t="s">
        <v>104</v>
      </c>
      <c r="J1715">
        <v>3028.5</v>
      </c>
      <c r="K1715">
        <v>500000</v>
      </c>
    </row>
    <row r="1716" spans="1:11" ht="15" customHeight="1" x14ac:dyDescent="0.2">
      <c r="A1716" t="s">
        <v>2972</v>
      </c>
      <c r="B1716" t="s">
        <v>2466</v>
      </c>
      <c r="C1716">
        <v>2024</v>
      </c>
      <c r="D1716">
        <v>2024</v>
      </c>
      <c r="E1716" s="7">
        <v>45399</v>
      </c>
      <c r="F1716" s="7">
        <v>45763</v>
      </c>
      <c r="G1716" t="s">
        <v>99</v>
      </c>
      <c r="H1716" t="s">
        <v>108</v>
      </c>
      <c r="I1716" t="s">
        <v>104</v>
      </c>
      <c r="J1716">
        <v>11288.83</v>
      </c>
      <c r="K1716">
        <v>1500000</v>
      </c>
    </row>
    <row r="1717" spans="1:11" ht="15" customHeight="1" x14ac:dyDescent="0.2">
      <c r="A1717" t="s">
        <v>2974</v>
      </c>
      <c r="B1717" t="s">
        <v>505</v>
      </c>
      <c r="C1717">
        <v>2024</v>
      </c>
      <c r="D1717">
        <v>2024</v>
      </c>
      <c r="E1717" s="7">
        <v>45399</v>
      </c>
      <c r="F1717" s="7">
        <v>45763</v>
      </c>
      <c r="G1717" t="s">
        <v>135</v>
      </c>
      <c r="H1717" t="s">
        <v>107</v>
      </c>
      <c r="I1717" t="s">
        <v>101</v>
      </c>
      <c r="J1717">
        <v>6894.21</v>
      </c>
      <c r="K1717">
        <v>1000000</v>
      </c>
    </row>
    <row r="1718" spans="1:11" ht="15" customHeight="1" x14ac:dyDescent="0.2">
      <c r="A1718" t="s">
        <v>2976</v>
      </c>
      <c r="B1718" t="s">
        <v>826</v>
      </c>
      <c r="C1718">
        <v>2024</v>
      </c>
      <c r="D1718">
        <v>2024</v>
      </c>
      <c r="E1718" s="7">
        <v>45399</v>
      </c>
      <c r="F1718" s="7">
        <v>45763</v>
      </c>
      <c r="G1718" t="s">
        <v>135</v>
      </c>
      <c r="H1718" t="s">
        <v>102</v>
      </c>
      <c r="I1718" t="s">
        <v>104</v>
      </c>
      <c r="J1718">
        <v>3048.13</v>
      </c>
      <c r="K1718">
        <v>500000</v>
      </c>
    </row>
    <row r="1719" spans="1:11" ht="15" customHeight="1" x14ac:dyDescent="0.2">
      <c r="A1719" t="s">
        <v>2978</v>
      </c>
      <c r="B1719" t="s">
        <v>506</v>
      </c>
      <c r="C1719">
        <v>2024</v>
      </c>
      <c r="D1719">
        <v>2024</v>
      </c>
      <c r="E1719" s="7">
        <v>45399</v>
      </c>
      <c r="F1719" s="7">
        <v>45763</v>
      </c>
      <c r="G1719" t="s">
        <v>135</v>
      </c>
      <c r="H1719" t="s">
        <v>113</v>
      </c>
      <c r="I1719" t="s">
        <v>104</v>
      </c>
      <c r="J1719">
        <v>11961.73</v>
      </c>
      <c r="K1719">
        <v>2000000</v>
      </c>
    </row>
    <row r="1720" spans="1:11" ht="15" customHeight="1" x14ac:dyDescent="0.2">
      <c r="A1720" t="s">
        <v>2980</v>
      </c>
      <c r="B1720" t="s">
        <v>297</v>
      </c>
      <c r="C1720">
        <v>2024</v>
      </c>
      <c r="D1720">
        <v>2024</v>
      </c>
      <c r="E1720" s="7">
        <v>45399</v>
      </c>
      <c r="F1720" s="7">
        <v>45763</v>
      </c>
      <c r="G1720" t="s">
        <v>135</v>
      </c>
      <c r="H1720" t="s">
        <v>108</v>
      </c>
      <c r="I1720" t="s">
        <v>101</v>
      </c>
      <c r="J1720">
        <v>41518.870000000003</v>
      </c>
      <c r="K1720">
        <v>5000000</v>
      </c>
    </row>
    <row r="1721" spans="1:11" ht="15" customHeight="1" x14ac:dyDescent="0.2">
      <c r="A1721" t="s">
        <v>2982</v>
      </c>
      <c r="B1721" t="s">
        <v>8321</v>
      </c>
      <c r="C1721">
        <v>2024</v>
      </c>
      <c r="D1721">
        <v>2024</v>
      </c>
      <c r="E1721" s="7">
        <v>45399</v>
      </c>
      <c r="F1721" s="7">
        <v>45763</v>
      </c>
      <c r="G1721" t="s">
        <v>135</v>
      </c>
      <c r="H1721" t="s">
        <v>6348</v>
      </c>
      <c r="I1721" t="s">
        <v>101</v>
      </c>
      <c r="J1721">
        <v>7160.03</v>
      </c>
      <c r="K1721">
        <v>1000000</v>
      </c>
    </row>
    <row r="1722" spans="1:11" ht="15" customHeight="1" x14ac:dyDescent="0.2">
      <c r="A1722" t="s">
        <v>2984</v>
      </c>
      <c r="B1722" t="s">
        <v>827</v>
      </c>
      <c r="C1722">
        <v>2024</v>
      </c>
      <c r="D1722">
        <v>2024</v>
      </c>
      <c r="E1722" s="7">
        <v>45399</v>
      </c>
      <c r="F1722" s="7">
        <v>45763</v>
      </c>
      <c r="G1722" t="s">
        <v>135</v>
      </c>
      <c r="H1722" t="s">
        <v>113</v>
      </c>
      <c r="I1722" t="s">
        <v>101</v>
      </c>
      <c r="J1722">
        <v>36131.15</v>
      </c>
      <c r="K1722">
        <v>5000000</v>
      </c>
    </row>
    <row r="1723" spans="1:11" ht="15" customHeight="1" x14ac:dyDescent="0.2">
      <c r="A1723" t="s">
        <v>2985</v>
      </c>
      <c r="B1723" t="s">
        <v>2468</v>
      </c>
      <c r="C1723">
        <v>2024</v>
      </c>
      <c r="D1723">
        <v>2024</v>
      </c>
      <c r="E1723" s="7">
        <v>45400</v>
      </c>
      <c r="F1723" s="7">
        <v>45764</v>
      </c>
      <c r="G1723" t="s">
        <v>99</v>
      </c>
      <c r="H1723" t="s">
        <v>100</v>
      </c>
      <c r="I1723" t="s">
        <v>101</v>
      </c>
      <c r="J1723">
        <v>36345.33</v>
      </c>
      <c r="K1723">
        <v>5000000</v>
      </c>
    </row>
    <row r="1724" spans="1:11" ht="15" customHeight="1" x14ac:dyDescent="0.2">
      <c r="A1724" t="s">
        <v>2986</v>
      </c>
      <c r="B1724" t="s">
        <v>6586</v>
      </c>
      <c r="C1724">
        <v>2024</v>
      </c>
      <c r="D1724">
        <v>2024</v>
      </c>
      <c r="E1724" s="7">
        <v>45400</v>
      </c>
      <c r="F1724" s="7">
        <v>45764</v>
      </c>
      <c r="G1724" t="s">
        <v>135</v>
      </c>
      <c r="H1724" t="s">
        <v>6332</v>
      </c>
      <c r="I1724" t="s">
        <v>101</v>
      </c>
      <c r="J1724">
        <v>13027.94</v>
      </c>
      <c r="K1724">
        <v>2000000</v>
      </c>
    </row>
    <row r="1725" spans="1:11" ht="15" customHeight="1" x14ac:dyDescent="0.2">
      <c r="A1725" t="s">
        <v>2987</v>
      </c>
      <c r="B1725" t="s">
        <v>8322</v>
      </c>
      <c r="C1725">
        <v>2024</v>
      </c>
      <c r="D1725">
        <v>2024</v>
      </c>
      <c r="E1725" s="7">
        <v>45400</v>
      </c>
      <c r="F1725" s="7">
        <v>45764</v>
      </c>
      <c r="G1725" t="s">
        <v>135</v>
      </c>
      <c r="H1725" t="s">
        <v>6348</v>
      </c>
      <c r="I1725" t="s">
        <v>104</v>
      </c>
      <c r="J1725">
        <v>11719.82</v>
      </c>
      <c r="K1725">
        <v>2000000</v>
      </c>
    </row>
    <row r="1726" spans="1:11" ht="15" customHeight="1" x14ac:dyDescent="0.2">
      <c r="A1726" t="s">
        <v>2988</v>
      </c>
      <c r="B1726" t="s">
        <v>6604</v>
      </c>
      <c r="C1726">
        <v>2024</v>
      </c>
      <c r="D1726">
        <v>2024</v>
      </c>
      <c r="E1726" s="7">
        <v>45400</v>
      </c>
      <c r="F1726" s="7">
        <v>45764</v>
      </c>
      <c r="G1726" t="s">
        <v>135</v>
      </c>
      <c r="H1726" t="s">
        <v>107</v>
      </c>
      <c r="I1726" t="s">
        <v>101</v>
      </c>
      <c r="J1726">
        <v>7860.27</v>
      </c>
      <c r="K1726">
        <v>1000000</v>
      </c>
    </row>
    <row r="1727" spans="1:11" ht="15" customHeight="1" x14ac:dyDescent="0.2">
      <c r="A1727" t="s">
        <v>2989</v>
      </c>
      <c r="B1727" t="s">
        <v>8323</v>
      </c>
      <c r="C1727">
        <v>2024</v>
      </c>
      <c r="D1727">
        <v>2024</v>
      </c>
      <c r="E1727" s="7">
        <v>45400</v>
      </c>
      <c r="F1727" s="7">
        <v>45764</v>
      </c>
      <c r="G1727" t="s">
        <v>135</v>
      </c>
      <c r="H1727" t="s">
        <v>107</v>
      </c>
      <c r="I1727" t="s">
        <v>104</v>
      </c>
      <c r="J1727">
        <v>10407.73</v>
      </c>
      <c r="K1727">
        <v>2000000</v>
      </c>
    </row>
    <row r="1728" spans="1:11" ht="15" customHeight="1" x14ac:dyDescent="0.2">
      <c r="A1728" t="s">
        <v>2990</v>
      </c>
      <c r="B1728" t="s">
        <v>8324</v>
      </c>
      <c r="C1728">
        <v>2024</v>
      </c>
      <c r="D1728">
        <v>2024</v>
      </c>
      <c r="E1728" s="7">
        <v>45400</v>
      </c>
      <c r="F1728" s="7">
        <v>45764</v>
      </c>
      <c r="G1728" t="s">
        <v>135</v>
      </c>
      <c r="H1728" t="s">
        <v>102</v>
      </c>
      <c r="I1728" t="s">
        <v>104</v>
      </c>
      <c r="J1728">
        <v>5478.29</v>
      </c>
      <c r="K1728">
        <v>1000000</v>
      </c>
    </row>
    <row r="1729" spans="1:11" ht="15" customHeight="1" x14ac:dyDescent="0.2">
      <c r="A1729" t="s">
        <v>2991</v>
      </c>
      <c r="B1729" t="s">
        <v>507</v>
      </c>
      <c r="C1729">
        <v>2024</v>
      </c>
      <c r="D1729">
        <v>2024</v>
      </c>
      <c r="E1729" s="7">
        <v>45400</v>
      </c>
      <c r="F1729" s="7">
        <v>45764</v>
      </c>
      <c r="G1729" t="s">
        <v>135</v>
      </c>
      <c r="H1729" t="s">
        <v>110</v>
      </c>
      <c r="I1729" t="s">
        <v>101</v>
      </c>
      <c r="J1729">
        <v>12345.76</v>
      </c>
      <c r="K1729">
        <v>1500000</v>
      </c>
    </row>
    <row r="1730" spans="1:11" ht="15" customHeight="1" x14ac:dyDescent="0.2">
      <c r="A1730" t="s">
        <v>2992</v>
      </c>
      <c r="B1730" t="s">
        <v>6589</v>
      </c>
      <c r="C1730">
        <v>2024</v>
      </c>
      <c r="D1730">
        <v>2024</v>
      </c>
      <c r="E1730" s="7">
        <v>45400</v>
      </c>
      <c r="F1730" s="7">
        <v>45764</v>
      </c>
      <c r="G1730" t="s">
        <v>135</v>
      </c>
      <c r="H1730" t="s">
        <v>108</v>
      </c>
      <c r="I1730" t="s">
        <v>101</v>
      </c>
      <c r="J1730">
        <v>12608.69</v>
      </c>
      <c r="K1730">
        <v>1500000</v>
      </c>
    </row>
    <row r="1731" spans="1:11" ht="15" customHeight="1" x14ac:dyDescent="0.2">
      <c r="A1731" t="s">
        <v>2993</v>
      </c>
      <c r="B1731" t="s">
        <v>149</v>
      </c>
      <c r="C1731">
        <v>2024</v>
      </c>
      <c r="D1731">
        <v>2024</v>
      </c>
      <c r="E1731" s="7">
        <v>45400</v>
      </c>
      <c r="F1731" s="7">
        <v>45764</v>
      </c>
      <c r="G1731" t="s">
        <v>135</v>
      </c>
      <c r="H1731" t="s">
        <v>102</v>
      </c>
      <c r="I1731" t="s">
        <v>101</v>
      </c>
      <c r="J1731">
        <v>6756.69</v>
      </c>
      <c r="K1731">
        <v>1000000</v>
      </c>
    </row>
    <row r="1732" spans="1:11" ht="15" customHeight="1" x14ac:dyDescent="0.2">
      <c r="A1732" t="s">
        <v>2994</v>
      </c>
      <c r="B1732" t="s">
        <v>828</v>
      </c>
      <c r="C1732">
        <v>2024</v>
      </c>
      <c r="D1732">
        <v>2024</v>
      </c>
      <c r="E1732" s="7">
        <v>45400</v>
      </c>
      <c r="F1732" s="7">
        <v>45764</v>
      </c>
      <c r="G1732" t="s">
        <v>135</v>
      </c>
      <c r="H1732" t="s">
        <v>102</v>
      </c>
      <c r="I1732" t="s">
        <v>101</v>
      </c>
      <c r="J1732">
        <v>6910.63</v>
      </c>
      <c r="K1732">
        <v>1000000</v>
      </c>
    </row>
    <row r="1733" spans="1:11" ht="15" customHeight="1" x14ac:dyDescent="0.2">
      <c r="A1733" t="s">
        <v>2995</v>
      </c>
      <c r="B1733" t="s">
        <v>8325</v>
      </c>
      <c r="C1733">
        <v>2024</v>
      </c>
      <c r="D1733">
        <v>2024</v>
      </c>
      <c r="E1733" s="7">
        <v>45400</v>
      </c>
      <c r="F1733" s="7">
        <v>45764</v>
      </c>
      <c r="G1733" t="s">
        <v>135</v>
      </c>
      <c r="H1733" t="s">
        <v>108</v>
      </c>
      <c r="I1733" t="s">
        <v>101</v>
      </c>
      <c r="J1733">
        <v>12459.97</v>
      </c>
      <c r="K1733">
        <v>1500000</v>
      </c>
    </row>
    <row r="1734" spans="1:11" ht="15" customHeight="1" x14ac:dyDescent="0.2">
      <c r="A1734" t="s">
        <v>2996</v>
      </c>
      <c r="B1734" t="s">
        <v>2475</v>
      </c>
      <c r="C1734">
        <v>2024</v>
      </c>
      <c r="D1734">
        <v>2024</v>
      </c>
      <c r="E1734" s="7">
        <v>45401</v>
      </c>
      <c r="F1734" s="7">
        <v>45765</v>
      </c>
      <c r="G1734" t="s">
        <v>99</v>
      </c>
      <c r="H1734" t="s">
        <v>110</v>
      </c>
      <c r="I1734" t="s">
        <v>101</v>
      </c>
      <c r="J1734">
        <v>47689.85</v>
      </c>
      <c r="K1734">
        <v>5000000</v>
      </c>
    </row>
    <row r="1735" spans="1:11" ht="15" customHeight="1" x14ac:dyDescent="0.2">
      <c r="A1735" t="s">
        <v>2997</v>
      </c>
      <c r="B1735" t="s">
        <v>2477</v>
      </c>
      <c r="C1735">
        <v>2024</v>
      </c>
      <c r="D1735">
        <v>2024</v>
      </c>
      <c r="E1735" s="7">
        <v>45401</v>
      </c>
      <c r="F1735" s="7">
        <v>45765</v>
      </c>
      <c r="G1735" t="s">
        <v>99</v>
      </c>
      <c r="H1735" t="s">
        <v>106</v>
      </c>
      <c r="I1735" t="s">
        <v>101</v>
      </c>
      <c r="J1735">
        <v>8590.77</v>
      </c>
      <c r="K1735">
        <v>1000000</v>
      </c>
    </row>
    <row r="1736" spans="1:11" ht="15" customHeight="1" x14ac:dyDescent="0.2">
      <c r="A1736" t="s">
        <v>2998</v>
      </c>
      <c r="B1736" t="s">
        <v>830</v>
      </c>
      <c r="C1736">
        <v>2024</v>
      </c>
      <c r="D1736">
        <v>2024</v>
      </c>
      <c r="E1736" s="7">
        <v>45401</v>
      </c>
      <c r="F1736" s="7">
        <v>45765</v>
      </c>
      <c r="G1736" t="s">
        <v>135</v>
      </c>
      <c r="H1736" t="s">
        <v>6332</v>
      </c>
      <c r="I1736" t="s">
        <v>101</v>
      </c>
      <c r="J1736">
        <v>9809.2900000000009</v>
      </c>
      <c r="K1736">
        <v>1500000</v>
      </c>
    </row>
    <row r="1737" spans="1:11" ht="15" customHeight="1" x14ac:dyDescent="0.2">
      <c r="A1737" t="s">
        <v>2999</v>
      </c>
      <c r="B1737" t="s">
        <v>8326</v>
      </c>
      <c r="C1737">
        <v>2024</v>
      </c>
      <c r="D1737">
        <v>2024</v>
      </c>
      <c r="E1737" s="7">
        <v>45401</v>
      </c>
      <c r="F1737" s="7">
        <v>45765</v>
      </c>
      <c r="G1737" t="s">
        <v>135</v>
      </c>
      <c r="H1737" t="s">
        <v>6332</v>
      </c>
      <c r="I1737" t="s">
        <v>101</v>
      </c>
      <c r="J1737">
        <v>11490.17</v>
      </c>
      <c r="K1737">
        <v>1500000</v>
      </c>
    </row>
    <row r="1738" spans="1:11" ht="15" customHeight="1" x14ac:dyDescent="0.2">
      <c r="A1738" t="s">
        <v>3000</v>
      </c>
      <c r="B1738" t="s">
        <v>8327</v>
      </c>
      <c r="C1738">
        <v>2024</v>
      </c>
      <c r="D1738">
        <v>2024</v>
      </c>
      <c r="E1738" s="7">
        <v>45401</v>
      </c>
      <c r="F1738" s="7">
        <v>45765</v>
      </c>
      <c r="G1738" t="s">
        <v>135</v>
      </c>
      <c r="H1738" t="s">
        <v>116</v>
      </c>
      <c r="I1738" t="s">
        <v>101</v>
      </c>
      <c r="J1738">
        <v>3412.28</v>
      </c>
      <c r="K1738">
        <v>500000</v>
      </c>
    </row>
    <row r="1739" spans="1:11" ht="15" customHeight="1" x14ac:dyDescent="0.2">
      <c r="A1739" t="s">
        <v>3001</v>
      </c>
      <c r="B1739" t="s">
        <v>8328</v>
      </c>
      <c r="C1739">
        <v>2024</v>
      </c>
      <c r="D1739">
        <v>2024</v>
      </c>
      <c r="E1739" s="7">
        <v>45401</v>
      </c>
      <c r="F1739" s="7">
        <v>45765</v>
      </c>
      <c r="G1739" t="s">
        <v>135</v>
      </c>
      <c r="H1739" t="s">
        <v>106</v>
      </c>
      <c r="I1739" t="s">
        <v>104</v>
      </c>
      <c r="J1739">
        <v>7049.07</v>
      </c>
      <c r="K1739">
        <v>1000000</v>
      </c>
    </row>
    <row r="1740" spans="1:11" ht="15" customHeight="1" x14ac:dyDescent="0.2">
      <c r="A1740" t="s">
        <v>3002</v>
      </c>
      <c r="B1740" t="s">
        <v>829</v>
      </c>
      <c r="C1740">
        <v>2024</v>
      </c>
      <c r="D1740">
        <v>2024</v>
      </c>
      <c r="E1740" s="7">
        <v>45401</v>
      </c>
      <c r="F1740" s="7">
        <v>45765</v>
      </c>
      <c r="G1740" t="s">
        <v>135</v>
      </c>
      <c r="H1740" t="s">
        <v>106</v>
      </c>
      <c r="I1740" t="s">
        <v>101</v>
      </c>
      <c r="J1740">
        <v>18015.419999999998</v>
      </c>
      <c r="K1740">
        <v>2000000</v>
      </c>
    </row>
    <row r="1741" spans="1:11" ht="15" customHeight="1" x14ac:dyDescent="0.2">
      <c r="A1741" t="s">
        <v>3004</v>
      </c>
      <c r="B1741" t="s">
        <v>2479</v>
      </c>
      <c r="C1741">
        <v>2024</v>
      </c>
      <c r="D1741">
        <v>2024</v>
      </c>
      <c r="E1741" s="7">
        <v>45402</v>
      </c>
      <c r="F1741" s="7">
        <v>45766</v>
      </c>
      <c r="G1741" t="s">
        <v>99</v>
      </c>
      <c r="H1741" t="s">
        <v>102</v>
      </c>
      <c r="I1741" t="s">
        <v>104</v>
      </c>
      <c r="J1741">
        <v>5315.97</v>
      </c>
      <c r="K1741">
        <v>1000000</v>
      </c>
    </row>
    <row r="1742" spans="1:11" ht="15" customHeight="1" x14ac:dyDescent="0.2">
      <c r="A1742" t="s">
        <v>3006</v>
      </c>
      <c r="B1742" t="s">
        <v>2495</v>
      </c>
      <c r="C1742">
        <v>2024</v>
      </c>
      <c r="D1742">
        <v>2024</v>
      </c>
      <c r="E1742" s="7">
        <v>45402</v>
      </c>
      <c r="F1742" s="7">
        <v>45766</v>
      </c>
      <c r="G1742" t="s">
        <v>99</v>
      </c>
      <c r="H1742" t="s">
        <v>6332</v>
      </c>
      <c r="I1742" t="s">
        <v>101</v>
      </c>
      <c r="J1742">
        <v>15642.35</v>
      </c>
      <c r="K1742">
        <v>2000000</v>
      </c>
    </row>
    <row r="1743" spans="1:11" ht="15" customHeight="1" x14ac:dyDescent="0.2">
      <c r="A1743" t="s">
        <v>3008</v>
      </c>
      <c r="B1743" t="s">
        <v>508</v>
      </c>
      <c r="C1743">
        <v>2024</v>
      </c>
      <c r="D1743">
        <v>2024</v>
      </c>
      <c r="E1743" s="7">
        <v>45402</v>
      </c>
      <c r="F1743" s="7">
        <v>45766</v>
      </c>
      <c r="G1743" t="s">
        <v>135</v>
      </c>
      <c r="H1743" t="s">
        <v>102</v>
      </c>
      <c r="I1743" t="s">
        <v>104</v>
      </c>
      <c r="J1743">
        <v>9432.2900000000009</v>
      </c>
      <c r="K1743">
        <v>1500000</v>
      </c>
    </row>
    <row r="1744" spans="1:11" ht="15" customHeight="1" x14ac:dyDescent="0.2">
      <c r="A1744" t="s">
        <v>3010</v>
      </c>
      <c r="B1744" t="s">
        <v>8329</v>
      </c>
      <c r="C1744">
        <v>2024</v>
      </c>
      <c r="D1744">
        <v>2024</v>
      </c>
      <c r="E1744" s="7">
        <v>45402</v>
      </c>
      <c r="F1744" s="7">
        <v>45766</v>
      </c>
      <c r="G1744" t="s">
        <v>135</v>
      </c>
      <c r="H1744" t="s">
        <v>106</v>
      </c>
      <c r="I1744" t="s">
        <v>101</v>
      </c>
      <c r="J1744">
        <v>16909.82</v>
      </c>
      <c r="K1744">
        <v>2000000</v>
      </c>
    </row>
    <row r="1745" spans="1:11" ht="15" customHeight="1" x14ac:dyDescent="0.2">
      <c r="A1745" t="s">
        <v>3011</v>
      </c>
      <c r="B1745" t="s">
        <v>8330</v>
      </c>
      <c r="C1745">
        <v>2024</v>
      </c>
      <c r="D1745">
        <v>2024</v>
      </c>
      <c r="E1745" s="7">
        <v>45402</v>
      </c>
      <c r="F1745" s="7">
        <v>45766</v>
      </c>
      <c r="G1745" t="s">
        <v>135</v>
      </c>
      <c r="H1745" t="s">
        <v>115</v>
      </c>
      <c r="I1745" t="s">
        <v>101</v>
      </c>
      <c r="J1745">
        <v>7032.22</v>
      </c>
      <c r="K1745">
        <v>1000000</v>
      </c>
    </row>
    <row r="1746" spans="1:11" ht="15" customHeight="1" x14ac:dyDescent="0.2">
      <c r="A1746" t="s">
        <v>3012</v>
      </c>
      <c r="B1746" t="s">
        <v>8331</v>
      </c>
      <c r="C1746">
        <v>2024</v>
      </c>
      <c r="D1746">
        <v>2024</v>
      </c>
      <c r="E1746" s="7">
        <v>45402</v>
      </c>
      <c r="F1746" s="7">
        <v>45766</v>
      </c>
      <c r="G1746" t="s">
        <v>135</v>
      </c>
      <c r="H1746" t="s">
        <v>102</v>
      </c>
      <c r="I1746" t="s">
        <v>104</v>
      </c>
      <c r="J1746">
        <v>11540.08</v>
      </c>
      <c r="K1746">
        <v>2000000</v>
      </c>
    </row>
    <row r="1747" spans="1:11" ht="15" customHeight="1" x14ac:dyDescent="0.2">
      <c r="A1747" t="s">
        <v>3013</v>
      </c>
      <c r="B1747" t="s">
        <v>509</v>
      </c>
      <c r="C1747">
        <v>2024</v>
      </c>
      <c r="D1747">
        <v>2024</v>
      </c>
      <c r="E1747" s="7">
        <v>45402</v>
      </c>
      <c r="F1747" s="7">
        <v>45766</v>
      </c>
      <c r="G1747" t="s">
        <v>135</v>
      </c>
      <c r="H1747" t="s">
        <v>106</v>
      </c>
      <c r="I1747" t="s">
        <v>104</v>
      </c>
      <c r="J1747">
        <v>6802.68</v>
      </c>
      <c r="K1747">
        <v>1000000</v>
      </c>
    </row>
    <row r="1748" spans="1:11" ht="15" customHeight="1" x14ac:dyDescent="0.2">
      <c r="A1748" t="s">
        <v>3014</v>
      </c>
      <c r="B1748" t="s">
        <v>6587</v>
      </c>
      <c r="C1748">
        <v>2024</v>
      </c>
      <c r="D1748">
        <v>2024</v>
      </c>
      <c r="E1748" s="7">
        <v>45402</v>
      </c>
      <c r="F1748" s="7">
        <v>45766</v>
      </c>
      <c r="G1748" t="s">
        <v>135</v>
      </c>
      <c r="H1748" t="s">
        <v>108</v>
      </c>
      <c r="I1748" t="s">
        <v>101</v>
      </c>
      <c r="J1748">
        <v>12798.77</v>
      </c>
      <c r="K1748">
        <v>1500000</v>
      </c>
    </row>
    <row r="1749" spans="1:11" ht="15" customHeight="1" x14ac:dyDescent="0.2">
      <c r="A1749" t="s">
        <v>3015</v>
      </c>
      <c r="B1749" t="s">
        <v>6613</v>
      </c>
      <c r="C1749">
        <v>2024</v>
      </c>
      <c r="D1749">
        <v>2024</v>
      </c>
      <c r="E1749" s="7">
        <v>45402</v>
      </c>
      <c r="F1749" s="7">
        <v>45766</v>
      </c>
      <c r="G1749" t="s">
        <v>135</v>
      </c>
      <c r="H1749" t="s">
        <v>103</v>
      </c>
      <c r="I1749" t="s">
        <v>101</v>
      </c>
      <c r="J1749">
        <v>6936.14</v>
      </c>
      <c r="K1749">
        <v>1000000</v>
      </c>
    </row>
    <row r="1750" spans="1:11" ht="15" customHeight="1" x14ac:dyDescent="0.2">
      <c r="A1750" t="s">
        <v>3016</v>
      </c>
      <c r="B1750" t="s">
        <v>8332</v>
      </c>
      <c r="C1750">
        <v>2024</v>
      </c>
      <c r="D1750">
        <v>2024</v>
      </c>
      <c r="E1750" s="7">
        <v>45402</v>
      </c>
      <c r="F1750" s="7">
        <v>45766</v>
      </c>
      <c r="G1750" t="s">
        <v>135</v>
      </c>
      <c r="H1750" t="s">
        <v>107</v>
      </c>
      <c r="I1750" t="s">
        <v>101</v>
      </c>
      <c r="J1750">
        <v>3926.1</v>
      </c>
      <c r="K1750">
        <v>500000</v>
      </c>
    </row>
    <row r="1751" spans="1:11" ht="15" customHeight="1" x14ac:dyDescent="0.2">
      <c r="A1751" t="s">
        <v>3017</v>
      </c>
      <c r="B1751" t="s">
        <v>831</v>
      </c>
      <c r="C1751">
        <v>2024</v>
      </c>
      <c r="D1751">
        <v>2024</v>
      </c>
      <c r="E1751" s="7">
        <v>45402</v>
      </c>
      <c r="F1751" s="7">
        <v>45766</v>
      </c>
      <c r="G1751" t="s">
        <v>135</v>
      </c>
      <c r="H1751" t="s">
        <v>102</v>
      </c>
      <c r="I1751" t="s">
        <v>104</v>
      </c>
      <c r="J1751">
        <v>5368.55</v>
      </c>
      <c r="K1751">
        <v>1000000</v>
      </c>
    </row>
    <row r="1752" spans="1:11" ht="15" customHeight="1" x14ac:dyDescent="0.2">
      <c r="A1752" t="s">
        <v>3019</v>
      </c>
      <c r="B1752" t="s">
        <v>298</v>
      </c>
      <c r="C1752">
        <v>2024</v>
      </c>
      <c r="D1752">
        <v>2024</v>
      </c>
      <c r="E1752" s="7">
        <v>45402</v>
      </c>
      <c r="F1752" s="7">
        <v>45766</v>
      </c>
      <c r="G1752" t="s">
        <v>135</v>
      </c>
      <c r="H1752" t="s">
        <v>106</v>
      </c>
      <c r="I1752" t="s">
        <v>101</v>
      </c>
      <c r="J1752">
        <v>13204.37</v>
      </c>
      <c r="K1752">
        <v>1500000</v>
      </c>
    </row>
    <row r="1753" spans="1:11" ht="15" customHeight="1" x14ac:dyDescent="0.2">
      <c r="A1753" t="s">
        <v>3021</v>
      </c>
      <c r="B1753" t="s">
        <v>122</v>
      </c>
      <c r="C1753">
        <v>2024</v>
      </c>
      <c r="D1753">
        <v>2024</v>
      </c>
      <c r="E1753" s="7">
        <v>45402</v>
      </c>
      <c r="F1753" s="7">
        <v>45766</v>
      </c>
      <c r="G1753" t="s">
        <v>135</v>
      </c>
      <c r="H1753" t="s">
        <v>102</v>
      </c>
      <c r="I1753" t="s">
        <v>101</v>
      </c>
      <c r="J1753">
        <v>3377.7</v>
      </c>
      <c r="K1753">
        <v>500000</v>
      </c>
    </row>
    <row r="1754" spans="1:11" ht="15" customHeight="1" x14ac:dyDescent="0.2">
      <c r="A1754" t="s">
        <v>3023</v>
      </c>
      <c r="B1754" t="s">
        <v>8333</v>
      </c>
      <c r="C1754">
        <v>2024</v>
      </c>
      <c r="D1754">
        <v>2024</v>
      </c>
      <c r="E1754" s="7">
        <v>45402</v>
      </c>
      <c r="F1754" s="7">
        <v>45766</v>
      </c>
      <c r="G1754" t="s">
        <v>135</v>
      </c>
      <c r="H1754" t="s">
        <v>113</v>
      </c>
      <c r="I1754" t="s">
        <v>101</v>
      </c>
      <c r="J1754">
        <v>15538.19</v>
      </c>
      <c r="K1754">
        <v>2000000</v>
      </c>
    </row>
    <row r="1755" spans="1:11" ht="15" customHeight="1" x14ac:dyDescent="0.2">
      <c r="A1755" t="s">
        <v>3025</v>
      </c>
      <c r="B1755" t="s">
        <v>8334</v>
      </c>
      <c r="C1755">
        <v>2024</v>
      </c>
      <c r="D1755">
        <v>2024</v>
      </c>
      <c r="E1755" s="7">
        <v>45402</v>
      </c>
      <c r="F1755" s="7">
        <v>45766</v>
      </c>
      <c r="G1755" t="s">
        <v>135</v>
      </c>
      <c r="H1755" t="s">
        <v>106</v>
      </c>
      <c r="I1755" t="s">
        <v>104</v>
      </c>
      <c r="J1755">
        <v>6746.06</v>
      </c>
      <c r="K1755">
        <v>1000000</v>
      </c>
    </row>
    <row r="1756" spans="1:11" ht="15" customHeight="1" x14ac:dyDescent="0.2">
      <c r="A1756" t="s">
        <v>3026</v>
      </c>
      <c r="B1756" t="s">
        <v>6624</v>
      </c>
      <c r="C1756">
        <v>2024</v>
      </c>
      <c r="D1756">
        <v>2024</v>
      </c>
      <c r="E1756" s="7">
        <v>45403</v>
      </c>
      <c r="F1756" s="7">
        <v>45767</v>
      </c>
      <c r="G1756" t="s">
        <v>135</v>
      </c>
      <c r="H1756" t="s">
        <v>108</v>
      </c>
      <c r="I1756" t="s">
        <v>101</v>
      </c>
      <c r="J1756">
        <v>9603.76</v>
      </c>
      <c r="K1756">
        <v>1000000</v>
      </c>
    </row>
    <row r="1757" spans="1:11" ht="15" customHeight="1" x14ac:dyDescent="0.2">
      <c r="A1757" t="s">
        <v>3027</v>
      </c>
      <c r="B1757" t="s">
        <v>8335</v>
      </c>
      <c r="C1757">
        <v>2024</v>
      </c>
      <c r="D1757">
        <v>2024</v>
      </c>
      <c r="E1757" s="7">
        <v>45403</v>
      </c>
      <c r="F1757" s="7">
        <v>45767</v>
      </c>
      <c r="G1757" t="s">
        <v>135</v>
      </c>
      <c r="H1757" t="s">
        <v>102</v>
      </c>
      <c r="I1757" t="s">
        <v>104</v>
      </c>
      <c r="J1757">
        <v>2648.82</v>
      </c>
      <c r="K1757">
        <v>500000</v>
      </c>
    </row>
    <row r="1758" spans="1:11" ht="15" customHeight="1" x14ac:dyDescent="0.2">
      <c r="A1758" t="s">
        <v>3028</v>
      </c>
      <c r="B1758" t="s">
        <v>8336</v>
      </c>
      <c r="C1758">
        <v>2024</v>
      </c>
      <c r="D1758">
        <v>2024</v>
      </c>
      <c r="E1758" s="7">
        <v>45403</v>
      </c>
      <c r="F1758" s="7">
        <v>45767</v>
      </c>
      <c r="G1758" t="s">
        <v>135</v>
      </c>
      <c r="H1758" t="s">
        <v>113</v>
      </c>
      <c r="I1758" t="s">
        <v>104</v>
      </c>
      <c r="J1758">
        <v>11515.05</v>
      </c>
      <c r="K1758">
        <v>2000000</v>
      </c>
    </row>
    <row r="1759" spans="1:11" ht="15" customHeight="1" x14ac:dyDescent="0.2">
      <c r="A1759" t="s">
        <v>3030</v>
      </c>
      <c r="B1759" t="s">
        <v>511</v>
      </c>
      <c r="C1759">
        <v>2024</v>
      </c>
      <c r="D1759">
        <v>2024</v>
      </c>
      <c r="E1759" s="7">
        <v>45403</v>
      </c>
      <c r="F1759" s="7">
        <v>45767</v>
      </c>
      <c r="G1759" t="s">
        <v>135</v>
      </c>
      <c r="H1759" t="s">
        <v>106</v>
      </c>
      <c r="I1759" t="s">
        <v>101</v>
      </c>
      <c r="J1759">
        <v>8942.6299999999992</v>
      </c>
      <c r="K1759">
        <v>1000000</v>
      </c>
    </row>
    <row r="1760" spans="1:11" ht="15" customHeight="1" x14ac:dyDescent="0.2">
      <c r="A1760" t="s">
        <v>3032</v>
      </c>
      <c r="B1760" t="s">
        <v>8337</v>
      </c>
      <c r="C1760">
        <v>2024</v>
      </c>
      <c r="D1760">
        <v>2024</v>
      </c>
      <c r="E1760" s="7">
        <v>45403</v>
      </c>
      <c r="F1760" s="7">
        <v>45767</v>
      </c>
      <c r="G1760" t="s">
        <v>135</v>
      </c>
      <c r="H1760" t="s">
        <v>102</v>
      </c>
      <c r="I1760" t="s">
        <v>101</v>
      </c>
      <c r="J1760">
        <v>7743.06</v>
      </c>
      <c r="K1760">
        <v>1000000</v>
      </c>
    </row>
    <row r="1761" spans="1:11" ht="15" customHeight="1" x14ac:dyDescent="0.2">
      <c r="A1761" t="s">
        <v>3033</v>
      </c>
      <c r="B1761" t="s">
        <v>8338</v>
      </c>
      <c r="C1761">
        <v>2024</v>
      </c>
      <c r="D1761">
        <v>2024</v>
      </c>
      <c r="E1761" s="7">
        <v>45403</v>
      </c>
      <c r="F1761" s="7">
        <v>45767</v>
      </c>
      <c r="G1761" t="s">
        <v>135</v>
      </c>
      <c r="H1761" t="s">
        <v>6334</v>
      </c>
      <c r="I1761" t="s">
        <v>101</v>
      </c>
      <c r="J1761">
        <v>7545.5</v>
      </c>
      <c r="K1761">
        <v>1000000</v>
      </c>
    </row>
    <row r="1762" spans="1:11" ht="15" customHeight="1" x14ac:dyDescent="0.2">
      <c r="A1762" t="s">
        <v>3034</v>
      </c>
      <c r="B1762" t="s">
        <v>6626</v>
      </c>
      <c r="C1762">
        <v>2024</v>
      </c>
      <c r="D1762">
        <v>2024</v>
      </c>
      <c r="E1762" s="7">
        <v>45403</v>
      </c>
      <c r="F1762" s="7">
        <v>45767</v>
      </c>
      <c r="G1762" t="s">
        <v>135</v>
      </c>
      <c r="H1762" t="s">
        <v>6337</v>
      </c>
      <c r="I1762" t="s">
        <v>101</v>
      </c>
      <c r="J1762">
        <v>11643.47</v>
      </c>
      <c r="K1762">
        <v>1500000</v>
      </c>
    </row>
    <row r="1763" spans="1:11" ht="15" customHeight="1" x14ac:dyDescent="0.2">
      <c r="A1763" t="s">
        <v>3035</v>
      </c>
      <c r="B1763" t="s">
        <v>832</v>
      </c>
      <c r="C1763">
        <v>2024</v>
      </c>
      <c r="D1763">
        <v>2024</v>
      </c>
      <c r="E1763" s="7">
        <v>45403</v>
      </c>
      <c r="F1763" s="7">
        <v>45767</v>
      </c>
      <c r="G1763" t="s">
        <v>135</v>
      </c>
      <c r="H1763" t="s">
        <v>103</v>
      </c>
      <c r="I1763" t="s">
        <v>104</v>
      </c>
      <c r="J1763">
        <v>57689.65</v>
      </c>
      <c r="K1763">
        <v>10000000</v>
      </c>
    </row>
    <row r="1764" spans="1:11" ht="15" customHeight="1" x14ac:dyDescent="0.2">
      <c r="A1764" t="s">
        <v>3036</v>
      </c>
      <c r="B1764" t="s">
        <v>510</v>
      </c>
      <c r="C1764">
        <v>2024</v>
      </c>
      <c r="D1764">
        <v>2024</v>
      </c>
      <c r="E1764" s="7">
        <v>45403</v>
      </c>
      <c r="F1764" s="7">
        <v>45767</v>
      </c>
      <c r="G1764" t="s">
        <v>135</v>
      </c>
      <c r="H1764" t="s">
        <v>115</v>
      </c>
      <c r="I1764" t="s">
        <v>104</v>
      </c>
      <c r="J1764">
        <v>27149.29</v>
      </c>
      <c r="K1764">
        <v>5000000</v>
      </c>
    </row>
    <row r="1765" spans="1:11" ht="15" customHeight="1" x14ac:dyDescent="0.2">
      <c r="A1765" t="s">
        <v>3037</v>
      </c>
      <c r="B1765" t="s">
        <v>8339</v>
      </c>
      <c r="C1765">
        <v>2024</v>
      </c>
      <c r="D1765">
        <v>2024</v>
      </c>
      <c r="E1765" s="7">
        <v>45403</v>
      </c>
      <c r="F1765" s="7">
        <v>45767</v>
      </c>
      <c r="G1765" t="s">
        <v>135</v>
      </c>
      <c r="H1765" t="s">
        <v>102</v>
      </c>
      <c r="I1765" t="s">
        <v>104</v>
      </c>
      <c r="J1765">
        <v>8512.42</v>
      </c>
      <c r="K1765">
        <v>1500000</v>
      </c>
    </row>
    <row r="1766" spans="1:11" ht="15" customHeight="1" x14ac:dyDescent="0.2">
      <c r="A1766" t="s">
        <v>3038</v>
      </c>
      <c r="B1766" t="s">
        <v>8340</v>
      </c>
      <c r="C1766">
        <v>2024</v>
      </c>
      <c r="D1766">
        <v>2024</v>
      </c>
      <c r="E1766" s="7">
        <v>45403</v>
      </c>
      <c r="F1766" s="7">
        <v>45767</v>
      </c>
      <c r="G1766" t="s">
        <v>135</v>
      </c>
      <c r="H1766" t="s">
        <v>113</v>
      </c>
      <c r="I1766" t="s">
        <v>101</v>
      </c>
      <c r="J1766">
        <v>7633.19</v>
      </c>
      <c r="K1766">
        <v>1000000</v>
      </c>
    </row>
    <row r="1767" spans="1:11" ht="15" customHeight="1" x14ac:dyDescent="0.2">
      <c r="A1767" t="s">
        <v>3039</v>
      </c>
      <c r="B1767" t="s">
        <v>8341</v>
      </c>
      <c r="C1767">
        <v>2024</v>
      </c>
      <c r="D1767">
        <v>2024</v>
      </c>
      <c r="E1767" s="7">
        <v>45403</v>
      </c>
      <c r="F1767" s="7">
        <v>45767</v>
      </c>
      <c r="G1767" t="s">
        <v>135</v>
      </c>
      <c r="H1767" t="s">
        <v>113</v>
      </c>
      <c r="I1767" t="s">
        <v>101</v>
      </c>
      <c r="J1767">
        <v>64781.82</v>
      </c>
      <c r="K1767">
        <v>10000000</v>
      </c>
    </row>
    <row r="1768" spans="1:11" ht="15" customHeight="1" x14ac:dyDescent="0.2">
      <c r="A1768" t="s">
        <v>3040</v>
      </c>
      <c r="B1768" t="s">
        <v>8342</v>
      </c>
      <c r="C1768">
        <v>2024</v>
      </c>
      <c r="D1768">
        <v>2024</v>
      </c>
      <c r="E1768" s="7">
        <v>45403</v>
      </c>
      <c r="F1768" s="7">
        <v>45767</v>
      </c>
      <c r="G1768" t="s">
        <v>135</v>
      </c>
      <c r="H1768" t="s">
        <v>108</v>
      </c>
      <c r="I1768" t="s">
        <v>104</v>
      </c>
      <c r="J1768">
        <v>11827.79</v>
      </c>
      <c r="K1768">
        <v>1500000</v>
      </c>
    </row>
    <row r="1769" spans="1:11" ht="15" customHeight="1" x14ac:dyDescent="0.2">
      <c r="A1769" t="s">
        <v>3042</v>
      </c>
      <c r="B1769" t="s">
        <v>8343</v>
      </c>
      <c r="C1769">
        <v>2024</v>
      </c>
      <c r="D1769">
        <v>2024</v>
      </c>
      <c r="E1769" s="7">
        <v>45403</v>
      </c>
      <c r="F1769" s="7">
        <v>45767</v>
      </c>
      <c r="G1769" t="s">
        <v>135</v>
      </c>
      <c r="H1769" t="s">
        <v>108</v>
      </c>
      <c r="I1769" t="s">
        <v>101</v>
      </c>
      <c r="J1769">
        <v>17279.990000000002</v>
      </c>
      <c r="K1769">
        <v>2000000</v>
      </c>
    </row>
    <row r="1770" spans="1:11" ht="15" customHeight="1" x14ac:dyDescent="0.2">
      <c r="A1770" t="s">
        <v>3044</v>
      </c>
      <c r="B1770" t="s">
        <v>6625</v>
      </c>
      <c r="C1770">
        <v>2024</v>
      </c>
      <c r="D1770">
        <v>2024</v>
      </c>
      <c r="E1770" s="7">
        <v>45403</v>
      </c>
      <c r="F1770" s="7">
        <v>45767</v>
      </c>
      <c r="G1770" t="s">
        <v>135</v>
      </c>
      <c r="H1770" t="s">
        <v>106</v>
      </c>
      <c r="I1770" t="s">
        <v>104</v>
      </c>
      <c r="J1770">
        <v>7551.12</v>
      </c>
      <c r="K1770">
        <v>1000000</v>
      </c>
    </row>
    <row r="1771" spans="1:11" ht="15" customHeight="1" x14ac:dyDescent="0.2">
      <c r="A1771" t="s">
        <v>3046</v>
      </c>
      <c r="B1771" t="s">
        <v>8344</v>
      </c>
      <c r="C1771">
        <v>2024</v>
      </c>
      <c r="D1771">
        <v>2024</v>
      </c>
      <c r="E1771" s="7">
        <v>45403</v>
      </c>
      <c r="F1771" s="7">
        <v>45767</v>
      </c>
      <c r="G1771" t="s">
        <v>135</v>
      </c>
      <c r="H1771" t="s">
        <v>116</v>
      </c>
      <c r="I1771" t="s">
        <v>104</v>
      </c>
      <c r="J1771">
        <v>54661.97</v>
      </c>
      <c r="K1771">
        <v>10000000</v>
      </c>
    </row>
    <row r="1772" spans="1:11" ht="15" customHeight="1" x14ac:dyDescent="0.2">
      <c r="A1772" t="s">
        <v>3047</v>
      </c>
      <c r="B1772" t="s">
        <v>8345</v>
      </c>
      <c r="C1772">
        <v>2024</v>
      </c>
      <c r="D1772">
        <v>2024</v>
      </c>
      <c r="E1772" s="7">
        <v>45403</v>
      </c>
      <c r="F1772" s="7">
        <v>45767</v>
      </c>
      <c r="G1772" t="s">
        <v>135</v>
      </c>
      <c r="H1772" t="s">
        <v>107</v>
      </c>
      <c r="I1772" t="s">
        <v>104</v>
      </c>
      <c r="J1772">
        <v>5971.49</v>
      </c>
      <c r="K1772">
        <v>1000000</v>
      </c>
    </row>
    <row r="1773" spans="1:11" ht="15" customHeight="1" x14ac:dyDescent="0.2">
      <c r="A1773" t="s">
        <v>3048</v>
      </c>
      <c r="B1773" t="s">
        <v>2497</v>
      </c>
      <c r="C1773">
        <v>2024</v>
      </c>
      <c r="D1773">
        <v>2024</v>
      </c>
      <c r="E1773" s="7">
        <v>45404</v>
      </c>
      <c r="F1773" s="7">
        <v>45768</v>
      </c>
      <c r="G1773" t="s">
        <v>99</v>
      </c>
      <c r="H1773" t="s">
        <v>103</v>
      </c>
      <c r="I1773" t="s">
        <v>101</v>
      </c>
      <c r="J1773">
        <v>3914.8</v>
      </c>
      <c r="K1773">
        <v>500000</v>
      </c>
    </row>
    <row r="1774" spans="1:11" ht="15" customHeight="1" x14ac:dyDescent="0.2">
      <c r="A1774" t="s">
        <v>3049</v>
      </c>
      <c r="B1774" t="s">
        <v>2499</v>
      </c>
      <c r="C1774">
        <v>2024</v>
      </c>
      <c r="D1774">
        <v>2024</v>
      </c>
      <c r="E1774" s="7">
        <v>45404</v>
      </c>
      <c r="F1774" s="7">
        <v>45768</v>
      </c>
      <c r="G1774" t="s">
        <v>99</v>
      </c>
      <c r="H1774" t="s">
        <v>106</v>
      </c>
      <c r="I1774" t="s">
        <v>101</v>
      </c>
      <c r="J1774">
        <v>8746.7000000000007</v>
      </c>
      <c r="K1774">
        <v>1000000</v>
      </c>
    </row>
    <row r="1775" spans="1:11" ht="15" customHeight="1" x14ac:dyDescent="0.2">
      <c r="A1775" t="s">
        <v>3050</v>
      </c>
      <c r="B1775" t="s">
        <v>2501</v>
      </c>
      <c r="C1775">
        <v>2024</v>
      </c>
      <c r="D1775">
        <v>2024</v>
      </c>
      <c r="E1775" s="7">
        <v>45404</v>
      </c>
      <c r="F1775" s="7">
        <v>45768</v>
      </c>
      <c r="G1775" t="s">
        <v>99</v>
      </c>
      <c r="H1775" t="s">
        <v>113</v>
      </c>
      <c r="I1775" t="s">
        <v>101</v>
      </c>
      <c r="J1775">
        <v>6717.94</v>
      </c>
      <c r="K1775">
        <v>1000000</v>
      </c>
    </row>
    <row r="1776" spans="1:11" ht="15" customHeight="1" x14ac:dyDescent="0.2">
      <c r="A1776" t="s">
        <v>3051</v>
      </c>
      <c r="B1776" t="s">
        <v>2503</v>
      </c>
      <c r="C1776">
        <v>2024</v>
      </c>
      <c r="D1776">
        <v>2024</v>
      </c>
      <c r="E1776" s="7">
        <v>45404</v>
      </c>
      <c r="F1776" s="7">
        <v>45768</v>
      </c>
      <c r="G1776" t="s">
        <v>99</v>
      </c>
      <c r="H1776" t="s">
        <v>115</v>
      </c>
      <c r="I1776" t="s">
        <v>104</v>
      </c>
      <c r="J1776">
        <v>12329.36</v>
      </c>
      <c r="K1776">
        <v>2000000</v>
      </c>
    </row>
    <row r="1777" spans="1:11" ht="15" customHeight="1" x14ac:dyDescent="0.2">
      <c r="A1777" t="s">
        <v>3052</v>
      </c>
      <c r="B1777" t="s">
        <v>8346</v>
      </c>
      <c r="C1777">
        <v>2024</v>
      </c>
      <c r="D1777">
        <v>2024</v>
      </c>
      <c r="E1777" s="7">
        <v>45404</v>
      </c>
      <c r="F1777" s="7">
        <v>45768</v>
      </c>
      <c r="G1777" t="s">
        <v>135</v>
      </c>
      <c r="H1777" t="s">
        <v>107</v>
      </c>
      <c r="I1777" t="s">
        <v>104</v>
      </c>
      <c r="J1777">
        <v>5514.08</v>
      </c>
      <c r="K1777">
        <v>1000000</v>
      </c>
    </row>
    <row r="1778" spans="1:11" ht="15" customHeight="1" x14ac:dyDescent="0.2">
      <c r="A1778" t="s">
        <v>3053</v>
      </c>
      <c r="B1778" t="s">
        <v>8347</v>
      </c>
      <c r="C1778">
        <v>2024</v>
      </c>
      <c r="D1778">
        <v>2024</v>
      </c>
      <c r="E1778" s="7">
        <v>45404</v>
      </c>
      <c r="F1778" s="7">
        <v>45768</v>
      </c>
      <c r="G1778" t="s">
        <v>135</v>
      </c>
      <c r="H1778" t="s">
        <v>106</v>
      </c>
      <c r="I1778" t="s">
        <v>101</v>
      </c>
      <c r="J1778">
        <v>17629.23</v>
      </c>
      <c r="K1778">
        <v>2000000</v>
      </c>
    </row>
    <row r="1779" spans="1:11" ht="15" customHeight="1" x14ac:dyDescent="0.2">
      <c r="A1779" t="s">
        <v>3055</v>
      </c>
      <c r="B1779" t="s">
        <v>513</v>
      </c>
      <c r="C1779">
        <v>2024</v>
      </c>
      <c r="D1779">
        <v>2024</v>
      </c>
      <c r="E1779" s="7">
        <v>45404</v>
      </c>
      <c r="F1779" s="7">
        <v>45768</v>
      </c>
      <c r="G1779" t="s">
        <v>135</v>
      </c>
      <c r="H1779" t="s">
        <v>115</v>
      </c>
      <c r="I1779" t="s">
        <v>101</v>
      </c>
      <c r="J1779">
        <v>76075.02</v>
      </c>
      <c r="K1779">
        <v>10000000</v>
      </c>
    </row>
    <row r="1780" spans="1:11" ht="15" customHeight="1" x14ac:dyDescent="0.2">
      <c r="A1780" t="s">
        <v>3057</v>
      </c>
      <c r="B1780" t="s">
        <v>6601</v>
      </c>
      <c r="C1780">
        <v>2024</v>
      </c>
      <c r="D1780">
        <v>2024</v>
      </c>
      <c r="E1780" s="7">
        <v>45404</v>
      </c>
      <c r="F1780" s="7">
        <v>45768</v>
      </c>
      <c r="G1780" t="s">
        <v>135</v>
      </c>
      <c r="H1780" t="s">
        <v>102</v>
      </c>
      <c r="I1780" t="s">
        <v>104</v>
      </c>
      <c r="J1780">
        <v>8536.6200000000008</v>
      </c>
      <c r="K1780">
        <v>1500000</v>
      </c>
    </row>
    <row r="1781" spans="1:11" ht="15" customHeight="1" x14ac:dyDescent="0.2">
      <c r="A1781" t="s">
        <v>3058</v>
      </c>
      <c r="B1781" t="s">
        <v>8348</v>
      </c>
      <c r="C1781">
        <v>2024</v>
      </c>
      <c r="D1781">
        <v>2024</v>
      </c>
      <c r="E1781" s="7">
        <v>45404</v>
      </c>
      <c r="F1781" s="7">
        <v>45768</v>
      </c>
      <c r="G1781" t="s">
        <v>135</v>
      </c>
      <c r="H1781" t="s">
        <v>102</v>
      </c>
      <c r="I1781" t="s">
        <v>101</v>
      </c>
      <c r="J1781">
        <v>13304.48</v>
      </c>
      <c r="K1781">
        <v>2000000</v>
      </c>
    </row>
    <row r="1782" spans="1:11" ht="15" customHeight="1" x14ac:dyDescent="0.2">
      <c r="A1782" t="s">
        <v>3059</v>
      </c>
      <c r="B1782" t="s">
        <v>512</v>
      </c>
      <c r="C1782">
        <v>2024</v>
      </c>
      <c r="D1782">
        <v>2024</v>
      </c>
      <c r="E1782" s="7">
        <v>45404</v>
      </c>
      <c r="F1782" s="7">
        <v>45768</v>
      </c>
      <c r="G1782" t="s">
        <v>135</v>
      </c>
      <c r="H1782" t="s">
        <v>113</v>
      </c>
      <c r="I1782" t="s">
        <v>101</v>
      </c>
      <c r="J1782">
        <v>7674.35</v>
      </c>
      <c r="K1782">
        <v>1000000</v>
      </c>
    </row>
    <row r="1783" spans="1:11" ht="15" customHeight="1" x14ac:dyDescent="0.2">
      <c r="A1783" t="s">
        <v>3060</v>
      </c>
      <c r="B1783" t="s">
        <v>8349</v>
      </c>
      <c r="C1783">
        <v>2024</v>
      </c>
      <c r="D1783">
        <v>2024</v>
      </c>
      <c r="E1783" s="7">
        <v>45404</v>
      </c>
      <c r="F1783" s="7">
        <v>45768</v>
      </c>
      <c r="G1783" t="s">
        <v>135</v>
      </c>
      <c r="H1783" t="s">
        <v>106</v>
      </c>
      <c r="I1783" t="s">
        <v>101</v>
      </c>
      <c r="J1783">
        <v>13973.67</v>
      </c>
      <c r="K1783">
        <v>1500000</v>
      </c>
    </row>
    <row r="1784" spans="1:11" ht="15" customHeight="1" x14ac:dyDescent="0.2">
      <c r="A1784" t="s">
        <v>3061</v>
      </c>
      <c r="B1784" t="s">
        <v>6596</v>
      </c>
      <c r="C1784">
        <v>2024</v>
      </c>
      <c r="D1784">
        <v>2024</v>
      </c>
      <c r="E1784" s="7">
        <v>45404</v>
      </c>
      <c r="F1784" s="7">
        <v>45768</v>
      </c>
      <c r="G1784" t="s">
        <v>135</v>
      </c>
      <c r="H1784" t="s">
        <v>107</v>
      </c>
      <c r="I1784" t="s">
        <v>104</v>
      </c>
      <c r="J1784">
        <v>5861.3</v>
      </c>
      <c r="K1784">
        <v>1000000</v>
      </c>
    </row>
    <row r="1785" spans="1:11" ht="15" customHeight="1" x14ac:dyDescent="0.2">
      <c r="A1785" t="s">
        <v>3062</v>
      </c>
      <c r="B1785" t="s">
        <v>2505</v>
      </c>
      <c r="C1785">
        <v>2024</v>
      </c>
      <c r="D1785">
        <v>2024</v>
      </c>
      <c r="E1785" s="7">
        <v>45405</v>
      </c>
      <c r="F1785" s="7">
        <v>45769</v>
      </c>
      <c r="G1785" t="s">
        <v>99</v>
      </c>
      <c r="H1785" t="s">
        <v>102</v>
      </c>
      <c r="I1785" t="s">
        <v>101</v>
      </c>
      <c r="J1785">
        <v>13553.49</v>
      </c>
      <c r="K1785">
        <v>2000000</v>
      </c>
    </row>
    <row r="1786" spans="1:11" ht="15" customHeight="1" x14ac:dyDescent="0.2">
      <c r="A1786" t="s">
        <v>3063</v>
      </c>
      <c r="B1786" t="s">
        <v>6633</v>
      </c>
      <c r="C1786">
        <v>2024</v>
      </c>
      <c r="D1786">
        <v>2024</v>
      </c>
      <c r="E1786" s="7">
        <v>45405</v>
      </c>
      <c r="F1786" s="7">
        <v>45769</v>
      </c>
      <c r="G1786" t="s">
        <v>135</v>
      </c>
      <c r="H1786" t="s">
        <v>114</v>
      </c>
      <c r="I1786" t="s">
        <v>104</v>
      </c>
      <c r="J1786">
        <v>60204.25</v>
      </c>
      <c r="K1786">
        <v>10000000</v>
      </c>
    </row>
    <row r="1787" spans="1:11" ht="15" customHeight="1" x14ac:dyDescent="0.2">
      <c r="A1787" t="s">
        <v>3064</v>
      </c>
      <c r="B1787" t="s">
        <v>8350</v>
      </c>
      <c r="C1787">
        <v>2024</v>
      </c>
      <c r="D1787">
        <v>2024</v>
      </c>
      <c r="E1787" s="7">
        <v>45405</v>
      </c>
      <c r="F1787" s="7">
        <v>45769</v>
      </c>
      <c r="G1787" t="s">
        <v>135</v>
      </c>
      <c r="H1787" t="s">
        <v>6337</v>
      </c>
      <c r="I1787" t="s">
        <v>104</v>
      </c>
      <c r="J1787">
        <v>52370.51</v>
      </c>
      <c r="K1787">
        <v>10000000</v>
      </c>
    </row>
    <row r="1788" spans="1:11" ht="15" customHeight="1" x14ac:dyDescent="0.2">
      <c r="A1788" t="s">
        <v>3065</v>
      </c>
      <c r="B1788" t="s">
        <v>8351</v>
      </c>
      <c r="C1788">
        <v>2024</v>
      </c>
      <c r="D1788">
        <v>2024</v>
      </c>
      <c r="E1788" s="7">
        <v>45405</v>
      </c>
      <c r="F1788" s="7">
        <v>45769</v>
      </c>
      <c r="G1788" t="s">
        <v>135</v>
      </c>
      <c r="H1788" t="s">
        <v>108</v>
      </c>
      <c r="I1788" t="s">
        <v>104</v>
      </c>
      <c r="J1788">
        <v>39343.9</v>
      </c>
      <c r="K1788">
        <v>5000000</v>
      </c>
    </row>
    <row r="1789" spans="1:11" ht="15" customHeight="1" x14ac:dyDescent="0.2">
      <c r="A1789" t="s">
        <v>3066</v>
      </c>
      <c r="B1789" t="s">
        <v>8352</v>
      </c>
      <c r="C1789">
        <v>2024</v>
      </c>
      <c r="D1789">
        <v>2024</v>
      </c>
      <c r="E1789" s="7">
        <v>45405</v>
      </c>
      <c r="F1789" s="7">
        <v>45769</v>
      </c>
      <c r="G1789" t="s">
        <v>135</v>
      </c>
      <c r="H1789" t="s">
        <v>107</v>
      </c>
      <c r="I1789" t="s">
        <v>101</v>
      </c>
      <c r="J1789">
        <v>9907.77</v>
      </c>
      <c r="K1789">
        <v>1500000</v>
      </c>
    </row>
    <row r="1790" spans="1:11" ht="15" customHeight="1" x14ac:dyDescent="0.2">
      <c r="A1790" t="s">
        <v>3067</v>
      </c>
      <c r="B1790" t="s">
        <v>8353</v>
      </c>
      <c r="C1790">
        <v>2024</v>
      </c>
      <c r="D1790">
        <v>2024</v>
      </c>
      <c r="E1790" s="7">
        <v>45405</v>
      </c>
      <c r="F1790" s="7">
        <v>45769</v>
      </c>
      <c r="G1790" t="s">
        <v>135</v>
      </c>
      <c r="H1790" t="s">
        <v>110</v>
      </c>
      <c r="I1790" t="s">
        <v>104</v>
      </c>
      <c r="J1790">
        <v>6734.22</v>
      </c>
      <c r="K1790">
        <v>1000000</v>
      </c>
    </row>
    <row r="1791" spans="1:11" ht="15" customHeight="1" x14ac:dyDescent="0.2">
      <c r="A1791" t="s">
        <v>3068</v>
      </c>
      <c r="B1791" t="s">
        <v>8354</v>
      </c>
      <c r="C1791">
        <v>2024</v>
      </c>
      <c r="D1791">
        <v>2024</v>
      </c>
      <c r="E1791" s="7">
        <v>45405</v>
      </c>
      <c r="F1791" s="7">
        <v>45769</v>
      </c>
      <c r="G1791" t="s">
        <v>135</v>
      </c>
      <c r="H1791" t="s">
        <v>109</v>
      </c>
      <c r="I1791" t="s">
        <v>101</v>
      </c>
      <c r="J1791">
        <v>35020.49</v>
      </c>
      <c r="K1791">
        <v>5000000</v>
      </c>
    </row>
    <row r="1792" spans="1:11" ht="15" customHeight="1" x14ac:dyDescent="0.2">
      <c r="A1792" t="s">
        <v>3069</v>
      </c>
      <c r="B1792" t="s">
        <v>8355</v>
      </c>
      <c r="C1792">
        <v>2024</v>
      </c>
      <c r="D1792">
        <v>2024</v>
      </c>
      <c r="E1792" s="7">
        <v>45405</v>
      </c>
      <c r="F1792" s="7">
        <v>45769</v>
      </c>
      <c r="G1792" t="s">
        <v>135</v>
      </c>
      <c r="H1792" t="s">
        <v>112</v>
      </c>
      <c r="I1792" t="s">
        <v>104</v>
      </c>
      <c r="J1792">
        <v>14171.93</v>
      </c>
      <c r="K1792">
        <v>2000000</v>
      </c>
    </row>
    <row r="1793" spans="1:11" ht="15" customHeight="1" x14ac:dyDescent="0.2">
      <c r="A1793" t="s">
        <v>3070</v>
      </c>
      <c r="B1793" t="s">
        <v>8356</v>
      </c>
      <c r="C1793">
        <v>2024</v>
      </c>
      <c r="D1793">
        <v>2024</v>
      </c>
      <c r="E1793" s="7">
        <v>45405</v>
      </c>
      <c r="F1793" s="7">
        <v>45769</v>
      </c>
      <c r="G1793" t="s">
        <v>135</v>
      </c>
      <c r="H1793" t="s">
        <v>103</v>
      </c>
      <c r="I1793" t="s">
        <v>104</v>
      </c>
      <c r="J1793">
        <v>5222.3500000000004</v>
      </c>
      <c r="K1793">
        <v>1000000</v>
      </c>
    </row>
    <row r="1794" spans="1:11" ht="15" customHeight="1" x14ac:dyDescent="0.2">
      <c r="A1794" t="s">
        <v>3071</v>
      </c>
      <c r="B1794" t="s">
        <v>6593</v>
      </c>
      <c r="C1794">
        <v>2024</v>
      </c>
      <c r="D1794">
        <v>2024</v>
      </c>
      <c r="E1794" s="7">
        <v>45405</v>
      </c>
      <c r="F1794" s="7">
        <v>45769</v>
      </c>
      <c r="G1794" t="s">
        <v>135</v>
      </c>
      <c r="H1794" t="s">
        <v>102</v>
      </c>
      <c r="I1794" t="s">
        <v>101</v>
      </c>
      <c r="J1794">
        <v>35207.360000000001</v>
      </c>
      <c r="K1794">
        <v>5000000</v>
      </c>
    </row>
    <row r="1795" spans="1:11" ht="15" customHeight="1" x14ac:dyDescent="0.2">
      <c r="A1795" t="s">
        <v>3073</v>
      </c>
      <c r="B1795" t="s">
        <v>6583</v>
      </c>
      <c r="C1795">
        <v>2024</v>
      </c>
      <c r="D1795">
        <v>2024</v>
      </c>
      <c r="E1795" s="7">
        <v>45405</v>
      </c>
      <c r="F1795" s="7">
        <v>45769</v>
      </c>
      <c r="G1795" t="s">
        <v>135</v>
      </c>
      <c r="H1795" t="s">
        <v>110</v>
      </c>
      <c r="I1795" t="s">
        <v>104</v>
      </c>
      <c r="J1795">
        <v>34651.800000000003</v>
      </c>
      <c r="K1795">
        <v>5000000</v>
      </c>
    </row>
    <row r="1796" spans="1:11" ht="15" customHeight="1" x14ac:dyDescent="0.2">
      <c r="A1796" t="s">
        <v>3075</v>
      </c>
      <c r="B1796" t="s">
        <v>8357</v>
      </c>
      <c r="C1796">
        <v>2024</v>
      </c>
      <c r="D1796">
        <v>2024</v>
      </c>
      <c r="E1796" s="7">
        <v>45405</v>
      </c>
      <c r="F1796" s="7">
        <v>45769</v>
      </c>
      <c r="G1796" t="s">
        <v>135</v>
      </c>
      <c r="H1796" t="s">
        <v>103</v>
      </c>
      <c r="I1796" t="s">
        <v>104</v>
      </c>
      <c r="J1796">
        <v>-137.19999999999999</v>
      </c>
      <c r="K1796">
        <v>500000</v>
      </c>
    </row>
    <row r="1797" spans="1:11" ht="15" customHeight="1" x14ac:dyDescent="0.2">
      <c r="A1797" t="s">
        <v>3077</v>
      </c>
      <c r="B1797" t="s">
        <v>8358</v>
      </c>
      <c r="C1797">
        <v>2024</v>
      </c>
      <c r="D1797">
        <v>2024</v>
      </c>
      <c r="E1797" s="7">
        <v>45405</v>
      </c>
      <c r="F1797" s="7">
        <v>45769</v>
      </c>
      <c r="G1797" t="s">
        <v>135</v>
      </c>
      <c r="H1797" t="s">
        <v>106</v>
      </c>
      <c r="I1797" t="s">
        <v>101</v>
      </c>
      <c r="J1797">
        <v>9383.84</v>
      </c>
      <c r="K1797">
        <v>1000000</v>
      </c>
    </row>
    <row r="1798" spans="1:11" ht="15" customHeight="1" x14ac:dyDescent="0.2">
      <c r="A1798" t="s">
        <v>3079</v>
      </c>
      <c r="B1798" t="s">
        <v>8359</v>
      </c>
      <c r="C1798">
        <v>2024</v>
      </c>
      <c r="D1798">
        <v>2024</v>
      </c>
      <c r="E1798" s="7">
        <v>45405</v>
      </c>
      <c r="F1798" s="7">
        <v>45769</v>
      </c>
      <c r="G1798" t="s">
        <v>135</v>
      </c>
      <c r="H1798" t="s">
        <v>115</v>
      </c>
      <c r="I1798" t="s">
        <v>104</v>
      </c>
      <c r="J1798">
        <v>5537.78</v>
      </c>
      <c r="K1798">
        <v>1000000</v>
      </c>
    </row>
    <row r="1799" spans="1:11" ht="15" customHeight="1" x14ac:dyDescent="0.2">
      <c r="A1799" t="s">
        <v>3081</v>
      </c>
      <c r="B1799" t="s">
        <v>6584</v>
      </c>
      <c r="C1799">
        <v>2024</v>
      </c>
      <c r="D1799">
        <v>2024</v>
      </c>
      <c r="E1799" s="7">
        <v>45405</v>
      </c>
      <c r="F1799" s="7">
        <v>45769</v>
      </c>
      <c r="G1799" t="s">
        <v>135</v>
      </c>
      <c r="H1799" t="s">
        <v>106</v>
      </c>
      <c r="I1799" t="s">
        <v>101</v>
      </c>
      <c r="J1799">
        <v>9455.89</v>
      </c>
      <c r="K1799">
        <v>1000000</v>
      </c>
    </row>
    <row r="1800" spans="1:11" ht="15" customHeight="1" x14ac:dyDescent="0.2">
      <c r="A1800" t="s">
        <v>3083</v>
      </c>
      <c r="B1800" t="s">
        <v>6592</v>
      </c>
      <c r="C1800">
        <v>2024</v>
      </c>
      <c r="D1800">
        <v>2024</v>
      </c>
      <c r="E1800" s="7">
        <v>45405</v>
      </c>
      <c r="F1800" s="7">
        <v>45769</v>
      </c>
      <c r="G1800" t="s">
        <v>135</v>
      </c>
      <c r="H1800" t="s">
        <v>106</v>
      </c>
      <c r="I1800" t="s">
        <v>101</v>
      </c>
      <c r="J1800">
        <v>48222.69</v>
      </c>
      <c r="K1800">
        <v>5000000</v>
      </c>
    </row>
    <row r="1801" spans="1:11" ht="15" customHeight="1" x14ac:dyDescent="0.2">
      <c r="A1801" t="s">
        <v>3084</v>
      </c>
      <c r="B1801" t="s">
        <v>8360</v>
      </c>
      <c r="C1801">
        <v>2024</v>
      </c>
      <c r="D1801">
        <v>2024</v>
      </c>
      <c r="E1801" s="7">
        <v>45405</v>
      </c>
      <c r="F1801" s="7">
        <v>45769</v>
      </c>
      <c r="G1801" t="s">
        <v>135</v>
      </c>
      <c r="H1801" t="s">
        <v>102</v>
      </c>
      <c r="I1801" t="s">
        <v>101</v>
      </c>
      <c r="J1801">
        <v>15467.87</v>
      </c>
      <c r="K1801">
        <v>2000000</v>
      </c>
    </row>
    <row r="1802" spans="1:11" ht="15" customHeight="1" x14ac:dyDescent="0.2">
      <c r="A1802" t="s">
        <v>3085</v>
      </c>
      <c r="B1802" t="s">
        <v>2507</v>
      </c>
      <c r="C1802">
        <v>2024</v>
      </c>
      <c r="D1802">
        <v>2024</v>
      </c>
      <c r="E1802" s="7">
        <v>45406</v>
      </c>
      <c r="F1802" s="7">
        <v>45770</v>
      </c>
      <c r="G1802" t="s">
        <v>99</v>
      </c>
      <c r="H1802" t="s">
        <v>114</v>
      </c>
      <c r="I1802" t="s">
        <v>101</v>
      </c>
      <c r="J1802">
        <v>35438.699999999997</v>
      </c>
      <c r="K1802">
        <v>5000000</v>
      </c>
    </row>
    <row r="1803" spans="1:11" ht="15" customHeight="1" x14ac:dyDescent="0.2">
      <c r="A1803" t="s">
        <v>3086</v>
      </c>
      <c r="B1803" t="s">
        <v>2509</v>
      </c>
      <c r="C1803">
        <v>2024</v>
      </c>
      <c r="D1803">
        <v>2024</v>
      </c>
      <c r="E1803" s="7">
        <v>45406</v>
      </c>
      <c r="F1803" s="7">
        <v>45770</v>
      </c>
      <c r="G1803" t="s">
        <v>99</v>
      </c>
      <c r="H1803" t="s">
        <v>102</v>
      </c>
      <c r="I1803" t="s">
        <v>101</v>
      </c>
      <c r="J1803">
        <v>11784.55</v>
      </c>
      <c r="K1803">
        <v>1500000</v>
      </c>
    </row>
    <row r="1804" spans="1:11" ht="15" customHeight="1" x14ac:dyDescent="0.2">
      <c r="A1804" t="s">
        <v>3087</v>
      </c>
      <c r="B1804" t="s">
        <v>2511</v>
      </c>
      <c r="C1804">
        <v>2024</v>
      </c>
      <c r="D1804">
        <v>2024</v>
      </c>
      <c r="E1804" s="7">
        <v>45406</v>
      </c>
      <c r="F1804" s="7">
        <v>45770</v>
      </c>
      <c r="G1804" t="s">
        <v>99</v>
      </c>
      <c r="H1804" t="s">
        <v>106</v>
      </c>
      <c r="I1804" t="s">
        <v>104</v>
      </c>
      <c r="J1804">
        <v>10688.92</v>
      </c>
      <c r="K1804">
        <v>1500000</v>
      </c>
    </row>
    <row r="1805" spans="1:11" ht="15" customHeight="1" x14ac:dyDescent="0.2">
      <c r="A1805" t="s">
        <v>3088</v>
      </c>
      <c r="B1805" t="s">
        <v>150</v>
      </c>
      <c r="C1805">
        <v>2024</v>
      </c>
      <c r="D1805">
        <v>2024</v>
      </c>
      <c r="E1805" s="7">
        <v>45406</v>
      </c>
      <c r="F1805" s="7">
        <v>45770</v>
      </c>
      <c r="G1805" t="s">
        <v>135</v>
      </c>
      <c r="H1805" t="s">
        <v>107</v>
      </c>
      <c r="I1805" t="s">
        <v>104</v>
      </c>
      <c r="J1805">
        <v>11062.15</v>
      </c>
      <c r="K1805">
        <v>2000000</v>
      </c>
    </row>
    <row r="1806" spans="1:11" ht="15" customHeight="1" x14ac:dyDescent="0.2">
      <c r="A1806" t="s">
        <v>3089</v>
      </c>
      <c r="B1806" t="s">
        <v>8361</v>
      </c>
      <c r="C1806">
        <v>2024</v>
      </c>
      <c r="D1806">
        <v>2024</v>
      </c>
      <c r="E1806" s="7">
        <v>45406</v>
      </c>
      <c r="F1806" s="7">
        <v>45770</v>
      </c>
      <c r="G1806" t="s">
        <v>135</v>
      </c>
      <c r="H1806" t="s">
        <v>106</v>
      </c>
      <c r="I1806" t="s">
        <v>101</v>
      </c>
      <c r="J1806">
        <v>14514.83</v>
      </c>
      <c r="K1806">
        <v>1500000</v>
      </c>
    </row>
    <row r="1807" spans="1:11" ht="15" customHeight="1" x14ac:dyDescent="0.2">
      <c r="A1807" t="s">
        <v>3091</v>
      </c>
      <c r="B1807" t="s">
        <v>6603</v>
      </c>
      <c r="C1807">
        <v>2024</v>
      </c>
      <c r="D1807">
        <v>2024</v>
      </c>
      <c r="E1807" s="7">
        <v>45406</v>
      </c>
      <c r="F1807" s="7">
        <v>45770</v>
      </c>
      <c r="G1807" t="s">
        <v>135</v>
      </c>
      <c r="H1807" t="s">
        <v>108</v>
      </c>
      <c r="I1807" t="s">
        <v>101</v>
      </c>
      <c r="J1807">
        <v>42717.19</v>
      </c>
      <c r="K1807">
        <v>5000000</v>
      </c>
    </row>
    <row r="1808" spans="1:11" ht="15" customHeight="1" x14ac:dyDescent="0.2">
      <c r="A1808" t="s">
        <v>3093</v>
      </c>
      <c r="B1808" t="s">
        <v>299</v>
      </c>
      <c r="C1808">
        <v>2024</v>
      </c>
      <c r="D1808">
        <v>2024</v>
      </c>
      <c r="E1808" s="7">
        <v>45406</v>
      </c>
      <c r="F1808" s="7">
        <v>45770</v>
      </c>
      <c r="G1808" t="s">
        <v>135</v>
      </c>
      <c r="H1808" t="s">
        <v>6348</v>
      </c>
      <c r="I1808" t="s">
        <v>104</v>
      </c>
      <c r="J1808">
        <v>5835.99</v>
      </c>
      <c r="K1808">
        <v>1000000</v>
      </c>
    </row>
    <row r="1809" spans="1:11" ht="15" customHeight="1" x14ac:dyDescent="0.2">
      <c r="A1809" t="s">
        <v>3095</v>
      </c>
      <c r="B1809" t="s">
        <v>8362</v>
      </c>
      <c r="C1809">
        <v>2024</v>
      </c>
      <c r="D1809">
        <v>2024</v>
      </c>
      <c r="E1809" s="7">
        <v>45406</v>
      </c>
      <c r="F1809" s="7">
        <v>45770</v>
      </c>
      <c r="G1809" t="s">
        <v>135</v>
      </c>
      <c r="H1809" t="s">
        <v>109</v>
      </c>
      <c r="I1809" t="s">
        <v>101</v>
      </c>
      <c r="J1809">
        <v>10831.39</v>
      </c>
      <c r="K1809">
        <v>1500000</v>
      </c>
    </row>
    <row r="1810" spans="1:11" ht="15" customHeight="1" x14ac:dyDescent="0.2">
      <c r="A1810" t="s">
        <v>3097</v>
      </c>
      <c r="B1810" t="s">
        <v>8363</v>
      </c>
      <c r="C1810">
        <v>2024</v>
      </c>
      <c r="D1810">
        <v>2024</v>
      </c>
      <c r="E1810" s="7">
        <v>45406</v>
      </c>
      <c r="F1810" s="7">
        <v>45770</v>
      </c>
      <c r="G1810" t="s">
        <v>135</v>
      </c>
      <c r="H1810" t="s">
        <v>102</v>
      </c>
      <c r="I1810" t="s">
        <v>104</v>
      </c>
      <c r="J1810">
        <v>8001.72</v>
      </c>
      <c r="K1810">
        <v>1500000</v>
      </c>
    </row>
    <row r="1811" spans="1:11" ht="15" customHeight="1" x14ac:dyDescent="0.2">
      <c r="A1811" t="s">
        <v>3099</v>
      </c>
      <c r="B1811" t="s">
        <v>8364</v>
      </c>
      <c r="C1811">
        <v>2024</v>
      </c>
      <c r="D1811">
        <v>2024</v>
      </c>
      <c r="E1811" s="7">
        <v>45406</v>
      </c>
      <c r="F1811" s="7">
        <v>45770</v>
      </c>
      <c r="G1811" t="s">
        <v>135</v>
      </c>
      <c r="H1811" t="s">
        <v>6337</v>
      </c>
      <c r="I1811" t="s">
        <v>104</v>
      </c>
      <c r="J1811">
        <v>5235.87</v>
      </c>
      <c r="K1811">
        <v>1000000</v>
      </c>
    </row>
    <row r="1812" spans="1:11" ht="15" customHeight="1" x14ac:dyDescent="0.2">
      <c r="A1812" t="s">
        <v>3101</v>
      </c>
      <c r="B1812" t="s">
        <v>300</v>
      </c>
      <c r="C1812">
        <v>2024</v>
      </c>
      <c r="D1812">
        <v>2024</v>
      </c>
      <c r="E1812" s="7">
        <v>45406</v>
      </c>
      <c r="F1812" s="7">
        <v>45770</v>
      </c>
      <c r="G1812" t="s">
        <v>135</v>
      </c>
      <c r="H1812" t="s">
        <v>103</v>
      </c>
      <c r="I1812" t="s">
        <v>104</v>
      </c>
      <c r="J1812">
        <v>62155.33</v>
      </c>
      <c r="K1812">
        <v>10000000</v>
      </c>
    </row>
    <row r="1813" spans="1:11" ht="15" customHeight="1" x14ac:dyDescent="0.2">
      <c r="A1813" t="s">
        <v>3103</v>
      </c>
      <c r="B1813" t="s">
        <v>8365</v>
      </c>
      <c r="C1813">
        <v>2024</v>
      </c>
      <c r="D1813">
        <v>2024</v>
      </c>
      <c r="E1813" s="7">
        <v>45406</v>
      </c>
      <c r="F1813" s="7">
        <v>45770</v>
      </c>
      <c r="G1813" t="s">
        <v>135</v>
      </c>
      <c r="H1813" t="s">
        <v>102</v>
      </c>
      <c r="I1813" t="s">
        <v>101</v>
      </c>
      <c r="J1813">
        <v>32385.72</v>
      </c>
      <c r="K1813">
        <v>5000000</v>
      </c>
    </row>
    <row r="1814" spans="1:11" ht="15" customHeight="1" x14ac:dyDescent="0.2">
      <c r="A1814" t="s">
        <v>3104</v>
      </c>
      <c r="B1814" t="s">
        <v>8366</v>
      </c>
      <c r="C1814">
        <v>2024</v>
      </c>
      <c r="D1814">
        <v>2024</v>
      </c>
      <c r="E1814" s="7">
        <v>45406</v>
      </c>
      <c r="F1814" s="7">
        <v>45770</v>
      </c>
      <c r="G1814" t="s">
        <v>135</v>
      </c>
      <c r="H1814" t="s">
        <v>107</v>
      </c>
      <c r="I1814" t="s">
        <v>101</v>
      </c>
      <c r="J1814">
        <v>15355.27</v>
      </c>
      <c r="K1814">
        <v>2000000</v>
      </c>
    </row>
    <row r="1815" spans="1:11" ht="15" customHeight="1" x14ac:dyDescent="0.2">
      <c r="A1815" t="s">
        <v>3105</v>
      </c>
      <c r="B1815" t="s">
        <v>7303</v>
      </c>
      <c r="C1815">
        <v>2024</v>
      </c>
      <c r="D1815">
        <v>2024</v>
      </c>
      <c r="E1815" s="7">
        <v>45406</v>
      </c>
      <c r="F1815" s="7">
        <v>45770</v>
      </c>
      <c r="G1815" t="s">
        <v>135</v>
      </c>
      <c r="H1815" t="s">
        <v>110</v>
      </c>
      <c r="I1815" t="s">
        <v>101</v>
      </c>
      <c r="J1815">
        <v>12136.04</v>
      </c>
      <c r="K1815">
        <v>1500000</v>
      </c>
    </row>
    <row r="1816" spans="1:11" ht="15" customHeight="1" x14ac:dyDescent="0.2">
      <c r="A1816" t="s">
        <v>3106</v>
      </c>
      <c r="B1816" t="s">
        <v>2520</v>
      </c>
      <c r="C1816">
        <v>2024</v>
      </c>
      <c r="D1816">
        <v>2024</v>
      </c>
      <c r="E1816" s="7">
        <v>45407</v>
      </c>
      <c r="F1816" s="7">
        <v>45771</v>
      </c>
      <c r="G1816" t="s">
        <v>99</v>
      </c>
      <c r="H1816" t="s">
        <v>108</v>
      </c>
      <c r="I1816" t="s">
        <v>104</v>
      </c>
      <c r="J1816">
        <v>10207.66</v>
      </c>
      <c r="K1816">
        <v>1500000</v>
      </c>
    </row>
    <row r="1817" spans="1:11" ht="15" customHeight="1" x14ac:dyDescent="0.2">
      <c r="A1817" t="s">
        <v>3107</v>
      </c>
      <c r="B1817" t="s">
        <v>2522</v>
      </c>
      <c r="C1817">
        <v>2024</v>
      </c>
      <c r="D1817">
        <v>2024</v>
      </c>
      <c r="E1817" s="7">
        <v>45407</v>
      </c>
      <c r="F1817" s="7">
        <v>45771</v>
      </c>
      <c r="G1817" t="s">
        <v>99</v>
      </c>
      <c r="H1817" t="s">
        <v>102</v>
      </c>
      <c r="I1817" t="s">
        <v>101</v>
      </c>
      <c r="J1817">
        <v>7023.71</v>
      </c>
      <c r="K1817">
        <v>1000000</v>
      </c>
    </row>
    <row r="1818" spans="1:11" ht="15" customHeight="1" x14ac:dyDescent="0.2">
      <c r="A1818" t="s">
        <v>3108</v>
      </c>
      <c r="B1818" t="s">
        <v>2524</v>
      </c>
      <c r="C1818">
        <v>2024</v>
      </c>
      <c r="D1818">
        <v>2024</v>
      </c>
      <c r="E1818" s="7">
        <v>45407</v>
      </c>
      <c r="F1818" s="7">
        <v>45771</v>
      </c>
      <c r="G1818" t="s">
        <v>99</v>
      </c>
      <c r="H1818" t="s">
        <v>105</v>
      </c>
      <c r="I1818" t="s">
        <v>104</v>
      </c>
      <c r="J1818">
        <v>5930.24</v>
      </c>
      <c r="K1818">
        <v>1000000</v>
      </c>
    </row>
    <row r="1819" spans="1:11" ht="15" customHeight="1" x14ac:dyDescent="0.2">
      <c r="A1819" t="s">
        <v>3109</v>
      </c>
      <c r="B1819" t="s">
        <v>151</v>
      </c>
      <c r="C1819">
        <v>2024</v>
      </c>
      <c r="D1819">
        <v>2024</v>
      </c>
      <c r="E1819" s="7">
        <v>45407</v>
      </c>
      <c r="F1819" s="7">
        <v>45771</v>
      </c>
      <c r="G1819" t="s">
        <v>135</v>
      </c>
      <c r="H1819" t="s">
        <v>102</v>
      </c>
      <c r="I1819" t="s">
        <v>101</v>
      </c>
      <c r="J1819">
        <v>10685.6</v>
      </c>
      <c r="K1819">
        <v>1500000</v>
      </c>
    </row>
    <row r="1820" spans="1:11" ht="15" customHeight="1" x14ac:dyDescent="0.2">
      <c r="A1820" t="s">
        <v>3110</v>
      </c>
      <c r="B1820" t="s">
        <v>123</v>
      </c>
      <c r="C1820">
        <v>2024</v>
      </c>
      <c r="D1820">
        <v>2024</v>
      </c>
      <c r="E1820" s="7">
        <v>45407</v>
      </c>
      <c r="F1820" s="7">
        <v>45771</v>
      </c>
      <c r="G1820" t="s">
        <v>135</v>
      </c>
      <c r="H1820" t="s">
        <v>115</v>
      </c>
      <c r="I1820" t="s">
        <v>101</v>
      </c>
      <c r="J1820">
        <v>6898.3</v>
      </c>
      <c r="K1820">
        <v>1000000</v>
      </c>
    </row>
    <row r="1821" spans="1:11" ht="15" customHeight="1" x14ac:dyDescent="0.2">
      <c r="A1821" t="s">
        <v>3111</v>
      </c>
      <c r="B1821" t="s">
        <v>6616</v>
      </c>
      <c r="C1821">
        <v>2024</v>
      </c>
      <c r="D1821">
        <v>2024</v>
      </c>
      <c r="E1821" s="7">
        <v>45407</v>
      </c>
      <c r="F1821" s="7">
        <v>45771</v>
      </c>
      <c r="G1821" t="s">
        <v>135</v>
      </c>
      <c r="H1821" t="s">
        <v>115</v>
      </c>
      <c r="I1821" t="s">
        <v>101</v>
      </c>
      <c r="J1821">
        <v>15620.72</v>
      </c>
      <c r="K1821">
        <v>2000000</v>
      </c>
    </row>
    <row r="1822" spans="1:11" ht="15" customHeight="1" x14ac:dyDescent="0.2">
      <c r="A1822" t="s">
        <v>3112</v>
      </c>
      <c r="B1822" t="s">
        <v>8367</v>
      </c>
      <c r="C1822">
        <v>2024</v>
      </c>
      <c r="D1822">
        <v>2024</v>
      </c>
      <c r="E1822" s="7">
        <v>45407</v>
      </c>
      <c r="F1822" s="7">
        <v>45771</v>
      </c>
      <c r="G1822" t="s">
        <v>135</v>
      </c>
      <c r="H1822" t="s">
        <v>106</v>
      </c>
      <c r="I1822" t="s">
        <v>101</v>
      </c>
      <c r="J1822">
        <v>8506.99</v>
      </c>
      <c r="K1822">
        <v>1000000</v>
      </c>
    </row>
    <row r="1823" spans="1:11" ht="15" customHeight="1" x14ac:dyDescent="0.2">
      <c r="A1823" t="s">
        <v>3113</v>
      </c>
      <c r="B1823" t="s">
        <v>6588</v>
      </c>
      <c r="C1823">
        <v>2024</v>
      </c>
      <c r="D1823">
        <v>2024</v>
      </c>
      <c r="E1823" s="7">
        <v>45407</v>
      </c>
      <c r="F1823" s="7">
        <v>45771</v>
      </c>
      <c r="G1823" t="s">
        <v>135</v>
      </c>
      <c r="H1823" t="s">
        <v>106</v>
      </c>
      <c r="I1823" t="s">
        <v>104</v>
      </c>
      <c r="J1823">
        <v>13323.08</v>
      </c>
      <c r="K1823">
        <v>2000000</v>
      </c>
    </row>
    <row r="1824" spans="1:11" ht="15" customHeight="1" x14ac:dyDescent="0.2">
      <c r="A1824" t="s">
        <v>3115</v>
      </c>
      <c r="B1824" t="s">
        <v>301</v>
      </c>
      <c r="C1824">
        <v>2024</v>
      </c>
      <c r="D1824">
        <v>2024</v>
      </c>
      <c r="E1824" s="7">
        <v>45407</v>
      </c>
      <c r="F1824" s="7">
        <v>45771</v>
      </c>
      <c r="G1824" t="s">
        <v>135</v>
      </c>
      <c r="H1824" t="s">
        <v>113</v>
      </c>
      <c r="I1824" t="s">
        <v>101</v>
      </c>
      <c r="J1824">
        <v>3686.23</v>
      </c>
      <c r="K1824">
        <v>500000</v>
      </c>
    </row>
    <row r="1825" spans="1:11" ht="15" customHeight="1" x14ac:dyDescent="0.2">
      <c r="A1825" t="s">
        <v>3117</v>
      </c>
      <c r="B1825" t="s">
        <v>6591</v>
      </c>
      <c r="C1825">
        <v>2024</v>
      </c>
      <c r="D1825">
        <v>2024</v>
      </c>
      <c r="E1825" s="7">
        <v>45407</v>
      </c>
      <c r="F1825" s="7">
        <v>45771</v>
      </c>
      <c r="G1825" t="s">
        <v>135</v>
      </c>
      <c r="H1825" t="s">
        <v>102</v>
      </c>
      <c r="I1825" t="s">
        <v>101</v>
      </c>
      <c r="J1825">
        <v>9825.2900000000009</v>
      </c>
      <c r="K1825">
        <v>1500000</v>
      </c>
    </row>
    <row r="1826" spans="1:11" ht="15" customHeight="1" x14ac:dyDescent="0.2">
      <c r="A1826" t="s">
        <v>3119</v>
      </c>
      <c r="B1826" t="s">
        <v>8368</v>
      </c>
      <c r="C1826">
        <v>2024</v>
      </c>
      <c r="D1826">
        <v>2024</v>
      </c>
      <c r="E1826" s="7">
        <v>45407</v>
      </c>
      <c r="F1826" s="7">
        <v>45771</v>
      </c>
      <c r="G1826" t="s">
        <v>135</v>
      </c>
      <c r="H1826" t="s">
        <v>116</v>
      </c>
      <c r="I1826" t="s">
        <v>101</v>
      </c>
      <c r="J1826">
        <v>15424.85</v>
      </c>
      <c r="K1826">
        <v>2000000</v>
      </c>
    </row>
    <row r="1827" spans="1:11" ht="15" customHeight="1" x14ac:dyDescent="0.2">
      <c r="A1827" t="s">
        <v>3120</v>
      </c>
      <c r="B1827" t="s">
        <v>833</v>
      </c>
      <c r="C1827">
        <v>2024</v>
      </c>
      <c r="D1827">
        <v>2024</v>
      </c>
      <c r="E1827" s="7">
        <v>45407</v>
      </c>
      <c r="F1827" s="7">
        <v>45771</v>
      </c>
      <c r="G1827" t="s">
        <v>135</v>
      </c>
      <c r="H1827" t="s">
        <v>113</v>
      </c>
      <c r="I1827" t="s">
        <v>104</v>
      </c>
      <c r="J1827">
        <v>8484.86</v>
      </c>
      <c r="K1827">
        <v>1500000</v>
      </c>
    </row>
    <row r="1828" spans="1:11" ht="15" customHeight="1" x14ac:dyDescent="0.2">
      <c r="A1828" t="s">
        <v>3121</v>
      </c>
      <c r="B1828" t="s">
        <v>8369</v>
      </c>
      <c r="C1828">
        <v>2024</v>
      </c>
      <c r="D1828">
        <v>2024</v>
      </c>
      <c r="E1828" s="7">
        <v>45407</v>
      </c>
      <c r="F1828" s="7">
        <v>45771</v>
      </c>
      <c r="G1828" t="s">
        <v>135</v>
      </c>
      <c r="H1828" t="s">
        <v>106</v>
      </c>
      <c r="I1828" t="s">
        <v>101</v>
      </c>
      <c r="J1828">
        <v>88497.21</v>
      </c>
      <c r="K1828">
        <v>10000000</v>
      </c>
    </row>
    <row r="1829" spans="1:11" ht="15" customHeight="1" x14ac:dyDescent="0.2">
      <c r="A1829" t="s">
        <v>3122</v>
      </c>
      <c r="B1829" t="s">
        <v>516</v>
      </c>
      <c r="C1829">
        <v>2024</v>
      </c>
      <c r="D1829">
        <v>2024</v>
      </c>
      <c r="E1829" s="7">
        <v>45407</v>
      </c>
      <c r="F1829" s="7">
        <v>45771</v>
      </c>
      <c r="G1829" t="s">
        <v>135</v>
      </c>
      <c r="H1829" t="s">
        <v>108</v>
      </c>
      <c r="I1829" t="s">
        <v>101</v>
      </c>
      <c r="J1829">
        <v>46118.55</v>
      </c>
      <c r="K1829">
        <v>5000000</v>
      </c>
    </row>
    <row r="1830" spans="1:11" ht="15" customHeight="1" x14ac:dyDescent="0.2">
      <c r="A1830" t="s">
        <v>3123</v>
      </c>
      <c r="B1830" t="s">
        <v>514</v>
      </c>
      <c r="C1830">
        <v>2024</v>
      </c>
      <c r="D1830">
        <v>2024</v>
      </c>
      <c r="E1830" s="7">
        <v>45407</v>
      </c>
      <c r="F1830" s="7">
        <v>45771</v>
      </c>
      <c r="G1830" t="s">
        <v>135</v>
      </c>
      <c r="H1830" t="s">
        <v>109</v>
      </c>
      <c r="I1830" t="s">
        <v>101</v>
      </c>
      <c r="J1830">
        <v>13734.5</v>
      </c>
      <c r="K1830">
        <v>2000000</v>
      </c>
    </row>
    <row r="1831" spans="1:11" ht="15" customHeight="1" x14ac:dyDescent="0.2">
      <c r="A1831" t="s">
        <v>3124</v>
      </c>
      <c r="B1831" t="s">
        <v>515</v>
      </c>
      <c r="C1831">
        <v>2024</v>
      </c>
      <c r="D1831">
        <v>2024</v>
      </c>
      <c r="E1831" s="7">
        <v>45407</v>
      </c>
      <c r="F1831" s="7">
        <v>45771</v>
      </c>
      <c r="G1831" t="s">
        <v>135</v>
      </c>
      <c r="H1831" t="s">
        <v>106</v>
      </c>
      <c r="I1831" t="s">
        <v>104</v>
      </c>
      <c r="J1831">
        <v>3277.52</v>
      </c>
      <c r="K1831">
        <v>500000</v>
      </c>
    </row>
    <row r="1832" spans="1:11" ht="15" customHeight="1" x14ac:dyDescent="0.2">
      <c r="A1832" t="s">
        <v>3126</v>
      </c>
      <c r="B1832" t="s">
        <v>8370</v>
      </c>
      <c r="C1832">
        <v>2024</v>
      </c>
      <c r="D1832">
        <v>2024</v>
      </c>
      <c r="E1832" s="7">
        <v>45407</v>
      </c>
      <c r="F1832" s="7">
        <v>45771</v>
      </c>
      <c r="G1832" t="s">
        <v>135</v>
      </c>
      <c r="H1832" t="s">
        <v>6334</v>
      </c>
      <c r="I1832" t="s">
        <v>101</v>
      </c>
      <c r="J1832">
        <v>11690.79</v>
      </c>
      <c r="K1832">
        <v>1500000</v>
      </c>
    </row>
    <row r="1833" spans="1:11" ht="15" customHeight="1" x14ac:dyDescent="0.2">
      <c r="A1833" t="s">
        <v>3127</v>
      </c>
      <c r="B1833" t="s">
        <v>8371</v>
      </c>
      <c r="C1833">
        <v>2024</v>
      </c>
      <c r="D1833">
        <v>2024</v>
      </c>
      <c r="E1833" s="7">
        <v>45407</v>
      </c>
      <c r="F1833" s="7">
        <v>45771</v>
      </c>
      <c r="G1833" t="s">
        <v>135</v>
      </c>
      <c r="H1833" t="s">
        <v>106</v>
      </c>
      <c r="I1833" t="s">
        <v>101</v>
      </c>
      <c r="J1833">
        <v>8398.24</v>
      </c>
      <c r="K1833">
        <v>1000000</v>
      </c>
    </row>
    <row r="1834" spans="1:11" ht="15" customHeight="1" x14ac:dyDescent="0.2">
      <c r="A1834" t="s">
        <v>3128</v>
      </c>
      <c r="B1834" t="s">
        <v>8372</v>
      </c>
      <c r="C1834">
        <v>2024</v>
      </c>
      <c r="D1834">
        <v>2024</v>
      </c>
      <c r="E1834" s="7">
        <v>45407</v>
      </c>
      <c r="F1834" s="7">
        <v>45771</v>
      </c>
      <c r="G1834" t="s">
        <v>135</v>
      </c>
      <c r="H1834" t="s">
        <v>108</v>
      </c>
      <c r="I1834" t="s">
        <v>101</v>
      </c>
      <c r="J1834">
        <v>9614.9599999999991</v>
      </c>
      <c r="K1834">
        <v>1000000</v>
      </c>
    </row>
    <row r="1835" spans="1:11" ht="15" customHeight="1" x14ac:dyDescent="0.2">
      <c r="A1835" t="s">
        <v>3129</v>
      </c>
      <c r="B1835" t="s">
        <v>2526</v>
      </c>
      <c r="C1835">
        <v>2024</v>
      </c>
      <c r="D1835">
        <v>2024</v>
      </c>
      <c r="E1835" s="7">
        <v>45408</v>
      </c>
      <c r="F1835" s="7">
        <v>45772</v>
      </c>
      <c r="G1835" t="s">
        <v>99</v>
      </c>
      <c r="H1835" t="s">
        <v>102</v>
      </c>
      <c r="I1835" t="s">
        <v>104</v>
      </c>
      <c r="J1835">
        <v>5666.12</v>
      </c>
      <c r="K1835">
        <v>1000000</v>
      </c>
    </row>
    <row r="1836" spans="1:11" ht="15" customHeight="1" x14ac:dyDescent="0.2">
      <c r="A1836" t="s">
        <v>3130</v>
      </c>
      <c r="B1836" t="s">
        <v>2528</v>
      </c>
      <c r="C1836">
        <v>2024</v>
      </c>
      <c r="D1836">
        <v>2024</v>
      </c>
      <c r="E1836" s="7">
        <v>45408</v>
      </c>
      <c r="F1836" s="7">
        <v>45772</v>
      </c>
      <c r="G1836" t="s">
        <v>99</v>
      </c>
      <c r="H1836" t="s">
        <v>102</v>
      </c>
      <c r="I1836" t="s">
        <v>101</v>
      </c>
      <c r="J1836">
        <v>14746.26</v>
      </c>
      <c r="K1836">
        <v>2000000</v>
      </c>
    </row>
    <row r="1837" spans="1:11" ht="15" customHeight="1" x14ac:dyDescent="0.2">
      <c r="A1837" t="s">
        <v>3131</v>
      </c>
      <c r="B1837" t="s">
        <v>2534</v>
      </c>
      <c r="C1837">
        <v>2024</v>
      </c>
      <c r="D1837">
        <v>2024</v>
      </c>
      <c r="E1837" s="7">
        <v>45408</v>
      </c>
      <c r="F1837" s="7">
        <v>45772</v>
      </c>
      <c r="G1837" t="s">
        <v>99</v>
      </c>
      <c r="H1837" t="s">
        <v>107</v>
      </c>
      <c r="I1837" t="s">
        <v>101</v>
      </c>
      <c r="J1837">
        <v>13004.31</v>
      </c>
      <c r="K1837">
        <v>2000000</v>
      </c>
    </row>
    <row r="1838" spans="1:11" ht="15" customHeight="1" x14ac:dyDescent="0.2">
      <c r="A1838" t="s">
        <v>3132</v>
      </c>
      <c r="B1838" t="s">
        <v>2536</v>
      </c>
      <c r="C1838">
        <v>2024</v>
      </c>
      <c r="D1838">
        <v>2024</v>
      </c>
      <c r="E1838" s="7">
        <v>45408</v>
      </c>
      <c r="F1838" s="7">
        <v>45772</v>
      </c>
      <c r="G1838" t="s">
        <v>99</v>
      </c>
      <c r="H1838" t="s">
        <v>102</v>
      </c>
      <c r="I1838" t="s">
        <v>101</v>
      </c>
      <c r="J1838">
        <v>15082.69</v>
      </c>
      <c r="K1838">
        <v>2000000</v>
      </c>
    </row>
    <row r="1839" spans="1:11" ht="15" customHeight="1" x14ac:dyDescent="0.2">
      <c r="A1839" t="s">
        <v>3133</v>
      </c>
      <c r="B1839" t="s">
        <v>2538</v>
      </c>
      <c r="C1839">
        <v>2024</v>
      </c>
      <c r="D1839">
        <v>2024</v>
      </c>
      <c r="E1839" s="7">
        <v>45408</v>
      </c>
      <c r="F1839" s="7">
        <v>45772</v>
      </c>
      <c r="G1839" t="s">
        <v>99</v>
      </c>
      <c r="H1839" t="s">
        <v>6337</v>
      </c>
      <c r="I1839" t="s">
        <v>101</v>
      </c>
      <c r="J1839">
        <v>3499.62</v>
      </c>
      <c r="K1839">
        <v>500000</v>
      </c>
    </row>
    <row r="1840" spans="1:11" ht="15" customHeight="1" x14ac:dyDescent="0.2">
      <c r="A1840" t="s">
        <v>3134</v>
      </c>
      <c r="B1840" t="s">
        <v>2540</v>
      </c>
      <c r="C1840">
        <v>2024</v>
      </c>
      <c r="D1840">
        <v>2024</v>
      </c>
      <c r="E1840" s="7">
        <v>45408</v>
      </c>
      <c r="F1840" s="7">
        <v>45772</v>
      </c>
      <c r="G1840" t="s">
        <v>99</v>
      </c>
      <c r="H1840" t="s">
        <v>108</v>
      </c>
      <c r="I1840" t="s">
        <v>101</v>
      </c>
      <c r="J1840">
        <v>18683.37</v>
      </c>
      <c r="K1840">
        <v>2000000</v>
      </c>
    </row>
    <row r="1841" spans="1:11" ht="15" customHeight="1" x14ac:dyDescent="0.2">
      <c r="A1841" t="s">
        <v>3135</v>
      </c>
      <c r="B1841" t="s">
        <v>6602</v>
      </c>
      <c r="C1841">
        <v>2024</v>
      </c>
      <c r="D1841">
        <v>2024</v>
      </c>
      <c r="E1841" s="7">
        <v>45408</v>
      </c>
      <c r="F1841" s="7">
        <v>45772</v>
      </c>
      <c r="G1841" t="s">
        <v>135</v>
      </c>
      <c r="H1841" t="s">
        <v>113</v>
      </c>
      <c r="I1841" t="s">
        <v>104</v>
      </c>
      <c r="J1841">
        <v>5767.09</v>
      </c>
      <c r="K1841">
        <v>1000000</v>
      </c>
    </row>
    <row r="1842" spans="1:11" ht="15" customHeight="1" x14ac:dyDescent="0.2">
      <c r="A1842" t="s">
        <v>3136</v>
      </c>
      <c r="B1842" t="s">
        <v>834</v>
      </c>
      <c r="C1842">
        <v>2024</v>
      </c>
      <c r="D1842">
        <v>2024</v>
      </c>
      <c r="E1842" s="7">
        <v>45408</v>
      </c>
      <c r="F1842" s="7">
        <v>45772</v>
      </c>
      <c r="G1842" t="s">
        <v>135</v>
      </c>
      <c r="H1842" t="s">
        <v>106</v>
      </c>
      <c r="I1842" t="s">
        <v>101</v>
      </c>
      <c r="J1842">
        <v>19211.759999999998</v>
      </c>
      <c r="K1842">
        <v>2000000</v>
      </c>
    </row>
    <row r="1843" spans="1:11" ht="15" customHeight="1" x14ac:dyDescent="0.2">
      <c r="A1843" t="s">
        <v>3137</v>
      </c>
      <c r="B1843" t="s">
        <v>8373</v>
      </c>
      <c r="C1843">
        <v>2024</v>
      </c>
      <c r="D1843">
        <v>2024</v>
      </c>
      <c r="E1843" s="7">
        <v>45408</v>
      </c>
      <c r="F1843" s="7">
        <v>45772</v>
      </c>
      <c r="G1843" t="s">
        <v>135</v>
      </c>
      <c r="H1843" t="s">
        <v>103</v>
      </c>
      <c r="I1843" t="s">
        <v>101</v>
      </c>
      <c r="J1843">
        <v>76765.98</v>
      </c>
      <c r="K1843">
        <v>10000000</v>
      </c>
    </row>
    <row r="1844" spans="1:11" ht="15" customHeight="1" x14ac:dyDescent="0.2">
      <c r="A1844" t="s">
        <v>3138</v>
      </c>
      <c r="B1844" t="s">
        <v>8374</v>
      </c>
      <c r="C1844">
        <v>2024</v>
      </c>
      <c r="D1844">
        <v>2024</v>
      </c>
      <c r="E1844" s="7">
        <v>45408</v>
      </c>
      <c r="F1844" s="7">
        <v>45772</v>
      </c>
      <c r="G1844" t="s">
        <v>135</v>
      </c>
      <c r="H1844" t="s">
        <v>108</v>
      </c>
      <c r="I1844" t="s">
        <v>101</v>
      </c>
      <c r="J1844">
        <v>91238.04</v>
      </c>
      <c r="K1844">
        <v>10000000</v>
      </c>
    </row>
    <row r="1845" spans="1:11" ht="15" customHeight="1" x14ac:dyDescent="0.2">
      <c r="A1845" t="s">
        <v>3139</v>
      </c>
      <c r="B1845" t="s">
        <v>8375</v>
      </c>
      <c r="C1845">
        <v>2024</v>
      </c>
      <c r="D1845">
        <v>2024</v>
      </c>
      <c r="E1845" s="7">
        <v>45408</v>
      </c>
      <c r="F1845" s="7">
        <v>45772</v>
      </c>
      <c r="G1845" t="s">
        <v>135</v>
      </c>
      <c r="H1845" t="s">
        <v>115</v>
      </c>
      <c r="I1845" t="s">
        <v>101</v>
      </c>
      <c r="J1845">
        <v>15292.18</v>
      </c>
      <c r="K1845">
        <v>2000000</v>
      </c>
    </row>
    <row r="1846" spans="1:11" ht="15" customHeight="1" x14ac:dyDescent="0.2">
      <c r="A1846" t="s">
        <v>3141</v>
      </c>
      <c r="B1846" t="s">
        <v>6611</v>
      </c>
      <c r="C1846">
        <v>2024</v>
      </c>
      <c r="D1846">
        <v>2024</v>
      </c>
      <c r="E1846" s="7">
        <v>45408</v>
      </c>
      <c r="F1846" s="7">
        <v>45772</v>
      </c>
      <c r="G1846" t="s">
        <v>135</v>
      </c>
      <c r="H1846" t="s">
        <v>105</v>
      </c>
      <c r="I1846" t="s">
        <v>101</v>
      </c>
      <c r="J1846">
        <v>35564.699999999997</v>
      </c>
      <c r="K1846">
        <v>5000000</v>
      </c>
    </row>
    <row r="1847" spans="1:11" ht="15" customHeight="1" x14ac:dyDescent="0.2">
      <c r="A1847" t="s">
        <v>3143</v>
      </c>
      <c r="B1847" t="s">
        <v>2542</v>
      </c>
      <c r="C1847">
        <v>2024</v>
      </c>
      <c r="D1847">
        <v>2024</v>
      </c>
      <c r="E1847" s="7">
        <v>45409</v>
      </c>
      <c r="F1847" s="7">
        <v>45773</v>
      </c>
      <c r="G1847" t="s">
        <v>99</v>
      </c>
      <c r="H1847" t="s">
        <v>6348</v>
      </c>
      <c r="I1847" t="s">
        <v>101</v>
      </c>
      <c r="J1847">
        <v>15118.99</v>
      </c>
      <c r="K1847">
        <v>2000000</v>
      </c>
    </row>
    <row r="1848" spans="1:11" ht="15" customHeight="1" x14ac:dyDescent="0.2">
      <c r="A1848" t="s">
        <v>3145</v>
      </c>
      <c r="B1848" t="s">
        <v>2544</v>
      </c>
      <c r="C1848">
        <v>2024</v>
      </c>
      <c r="D1848">
        <v>2024</v>
      </c>
      <c r="E1848" s="7">
        <v>45409</v>
      </c>
      <c r="F1848" s="7">
        <v>45773</v>
      </c>
      <c r="G1848" t="s">
        <v>99</v>
      </c>
      <c r="H1848" t="s">
        <v>108</v>
      </c>
      <c r="I1848" t="s">
        <v>104</v>
      </c>
      <c r="J1848">
        <v>14647</v>
      </c>
      <c r="K1848">
        <v>2000000</v>
      </c>
    </row>
    <row r="1849" spans="1:11" ht="15" customHeight="1" x14ac:dyDescent="0.2">
      <c r="A1849" t="s">
        <v>3147</v>
      </c>
      <c r="B1849" t="s">
        <v>8376</v>
      </c>
      <c r="C1849">
        <v>2024</v>
      </c>
      <c r="D1849">
        <v>2024</v>
      </c>
      <c r="E1849" s="7">
        <v>45409</v>
      </c>
      <c r="F1849" s="7">
        <v>45773</v>
      </c>
      <c r="G1849" t="s">
        <v>135</v>
      </c>
      <c r="H1849" t="s">
        <v>110</v>
      </c>
      <c r="I1849" t="s">
        <v>101</v>
      </c>
      <c r="J1849">
        <v>13934.35</v>
      </c>
      <c r="K1849">
        <v>1500000</v>
      </c>
    </row>
    <row r="1850" spans="1:11" ht="15" customHeight="1" x14ac:dyDescent="0.2">
      <c r="A1850" t="s">
        <v>3149</v>
      </c>
      <c r="B1850" t="s">
        <v>835</v>
      </c>
      <c r="C1850">
        <v>2024</v>
      </c>
      <c r="D1850">
        <v>2024</v>
      </c>
      <c r="E1850" s="7">
        <v>45409</v>
      </c>
      <c r="F1850" s="7">
        <v>45773</v>
      </c>
      <c r="G1850" t="s">
        <v>135</v>
      </c>
      <c r="H1850" t="s">
        <v>108</v>
      </c>
      <c r="I1850" t="s">
        <v>101</v>
      </c>
      <c r="J1850">
        <v>13108.42</v>
      </c>
      <c r="K1850">
        <v>1500000</v>
      </c>
    </row>
    <row r="1851" spans="1:11" ht="15" customHeight="1" x14ac:dyDescent="0.2">
      <c r="A1851" t="s">
        <v>3150</v>
      </c>
      <c r="B1851" t="s">
        <v>6612</v>
      </c>
      <c r="C1851">
        <v>2024</v>
      </c>
      <c r="D1851">
        <v>2024</v>
      </c>
      <c r="E1851" s="7">
        <v>45409</v>
      </c>
      <c r="F1851" s="7">
        <v>45773</v>
      </c>
      <c r="G1851" t="s">
        <v>135</v>
      </c>
      <c r="H1851" t="s">
        <v>106</v>
      </c>
      <c r="I1851" t="s">
        <v>101</v>
      </c>
      <c r="J1851">
        <v>18148.599999999999</v>
      </c>
      <c r="K1851">
        <v>2000000</v>
      </c>
    </row>
    <row r="1852" spans="1:11" ht="15" customHeight="1" x14ac:dyDescent="0.2">
      <c r="A1852" t="s">
        <v>3151</v>
      </c>
      <c r="B1852" t="s">
        <v>6607</v>
      </c>
      <c r="C1852">
        <v>2024</v>
      </c>
      <c r="D1852">
        <v>2024</v>
      </c>
      <c r="E1852" s="7">
        <v>45409</v>
      </c>
      <c r="F1852" s="7">
        <v>45773</v>
      </c>
      <c r="G1852" t="s">
        <v>135</v>
      </c>
      <c r="H1852" t="s">
        <v>102</v>
      </c>
      <c r="I1852" t="s">
        <v>104</v>
      </c>
      <c r="J1852">
        <v>11325.19</v>
      </c>
      <c r="K1852">
        <v>2000000</v>
      </c>
    </row>
    <row r="1853" spans="1:11" ht="15" customHeight="1" x14ac:dyDescent="0.2">
      <c r="A1853" t="s">
        <v>3152</v>
      </c>
      <c r="B1853" t="s">
        <v>6606</v>
      </c>
      <c r="C1853">
        <v>2024</v>
      </c>
      <c r="D1853">
        <v>2024</v>
      </c>
      <c r="E1853" s="7">
        <v>45409</v>
      </c>
      <c r="F1853" s="7">
        <v>45773</v>
      </c>
      <c r="G1853" t="s">
        <v>135</v>
      </c>
      <c r="H1853" t="s">
        <v>102</v>
      </c>
      <c r="I1853" t="s">
        <v>101</v>
      </c>
      <c r="J1853">
        <v>15306.29</v>
      </c>
      <c r="K1853">
        <v>2000000</v>
      </c>
    </row>
    <row r="1854" spans="1:11" ht="15" customHeight="1" x14ac:dyDescent="0.2">
      <c r="A1854" t="s">
        <v>3153</v>
      </c>
      <c r="B1854" t="s">
        <v>303</v>
      </c>
      <c r="C1854">
        <v>2024</v>
      </c>
      <c r="D1854">
        <v>2024</v>
      </c>
      <c r="E1854" s="7">
        <v>45409</v>
      </c>
      <c r="F1854" s="7">
        <v>45773</v>
      </c>
      <c r="G1854" t="s">
        <v>135</v>
      </c>
      <c r="H1854" t="s">
        <v>108</v>
      </c>
      <c r="I1854" t="s">
        <v>101</v>
      </c>
      <c r="J1854">
        <v>13759.28</v>
      </c>
      <c r="K1854">
        <v>1500000</v>
      </c>
    </row>
    <row r="1855" spans="1:11" ht="15" customHeight="1" x14ac:dyDescent="0.2">
      <c r="A1855" t="s">
        <v>3154</v>
      </c>
      <c r="B1855" t="s">
        <v>8377</v>
      </c>
      <c r="C1855">
        <v>2024</v>
      </c>
      <c r="D1855">
        <v>2024</v>
      </c>
      <c r="E1855" s="7">
        <v>45409</v>
      </c>
      <c r="F1855" s="7">
        <v>45773</v>
      </c>
      <c r="G1855" t="s">
        <v>135</v>
      </c>
      <c r="H1855" t="s">
        <v>102</v>
      </c>
      <c r="I1855" t="s">
        <v>101</v>
      </c>
      <c r="J1855">
        <v>10025.290000000001</v>
      </c>
      <c r="K1855">
        <v>1500000</v>
      </c>
    </row>
    <row r="1856" spans="1:11" ht="15" customHeight="1" x14ac:dyDescent="0.2">
      <c r="A1856" t="s">
        <v>3155</v>
      </c>
      <c r="B1856" t="s">
        <v>518</v>
      </c>
      <c r="C1856">
        <v>2024</v>
      </c>
      <c r="D1856">
        <v>2024</v>
      </c>
      <c r="E1856" s="7">
        <v>45409</v>
      </c>
      <c r="F1856" s="7">
        <v>45773</v>
      </c>
      <c r="G1856" t="s">
        <v>135</v>
      </c>
      <c r="H1856" t="s">
        <v>107</v>
      </c>
      <c r="I1856" t="s">
        <v>104</v>
      </c>
      <c r="J1856">
        <v>30497.119999999999</v>
      </c>
      <c r="K1856">
        <v>5000000</v>
      </c>
    </row>
    <row r="1857" spans="1:11" ht="15" customHeight="1" x14ac:dyDescent="0.2">
      <c r="A1857" t="s">
        <v>3156</v>
      </c>
      <c r="B1857" t="s">
        <v>836</v>
      </c>
      <c r="C1857">
        <v>2024</v>
      </c>
      <c r="D1857">
        <v>2024</v>
      </c>
      <c r="E1857" s="7">
        <v>45409</v>
      </c>
      <c r="F1857" s="7">
        <v>45773</v>
      </c>
      <c r="G1857" t="s">
        <v>135</v>
      </c>
      <c r="H1857" t="s">
        <v>108</v>
      </c>
      <c r="I1857" t="s">
        <v>101</v>
      </c>
      <c r="J1857">
        <v>9356.6200000000008</v>
      </c>
      <c r="K1857">
        <v>1000000</v>
      </c>
    </row>
    <row r="1858" spans="1:11" ht="15" customHeight="1" x14ac:dyDescent="0.2">
      <c r="A1858" t="s">
        <v>3157</v>
      </c>
      <c r="B1858" t="s">
        <v>517</v>
      </c>
      <c r="C1858">
        <v>2024</v>
      </c>
      <c r="D1858">
        <v>2024</v>
      </c>
      <c r="E1858" s="7">
        <v>45409</v>
      </c>
      <c r="F1858" s="7">
        <v>45773</v>
      </c>
      <c r="G1858" t="s">
        <v>135</v>
      </c>
      <c r="H1858" t="s">
        <v>6332</v>
      </c>
      <c r="I1858" t="s">
        <v>101</v>
      </c>
      <c r="J1858">
        <v>6629.14</v>
      </c>
      <c r="K1858">
        <v>1000000</v>
      </c>
    </row>
    <row r="1859" spans="1:11" ht="15" customHeight="1" x14ac:dyDescent="0.2">
      <c r="A1859" t="s">
        <v>3158</v>
      </c>
      <c r="B1859" t="s">
        <v>6615</v>
      </c>
      <c r="C1859">
        <v>2024</v>
      </c>
      <c r="D1859">
        <v>2024</v>
      </c>
      <c r="E1859" s="7">
        <v>45409</v>
      </c>
      <c r="F1859" s="7">
        <v>45773</v>
      </c>
      <c r="G1859" t="s">
        <v>135</v>
      </c>
      <c r="H1859" t="s">
        <v>6348</v>
      </c>
      <c r="I1859" t="s">
        <v>101</v>
      </c>
      <c r="J1859">
        <v>14675.66</v>
      </c>
      <c r="K1859">
        <v>2000000</v>
      </c>
    </row>
    <row r="1860" spans="1:11" ht="15" customHeight="1" x14ac:dyDescent="0.2">
      <c r="A1860" t="s">
        <v>3159</v>
      </c>
      <c r="B1860" t="s">
        <v>6597</v>
      </c>
      <c r="C1860">
        <v>2024</v>
      </c>
      <c r="D1860">
        <v>2024</v>
      </c>
      <c r="E1860" s="7">
        <v>45409</v>
      </c>
      <c r="F1860" s="7">
        <v>45773</v>
      </c>
      <c r="G1860" t="s">
        <v>135</v>
      </c>
      <c r="H1860" t="s">
        <v>107</v>
      </c>
      <c r="I1860" t="s">
        <v>101</v>
      </c>
      <c r="J1860">
        <v>6553.47</v>
      </c>
      <c r="K1860">
        <v>1000000</v>
      </c>
    </row>
    <row r="1861" spans="1:11" ht="15" customHeight="1" x14ac:dyDescent="0.2">
      <c r="A1861" t="s">
        <v>3160</v>
      </c>
      <c r="B1861" t="s">
        <v>8378</v>
      </c>
      <c r="C1861">
        <v>2024</v>
      </c>
      <c r="D1861">
        <v>2024</v>
      </c>
      <c r="E1861" s="7">
        <v>45409</v>
      </c>
      <c r="F1861" s="7">
        <v>45773</v>
      </c>
      <c r="G1861" t="s">
        <v>135</v>
      </c>
      <c r="H1861" t="s">
        <v>107</v>
      </c>
      <c r="I1861" t="s">
        <v>101</v>
      </c>
      <c r="J1861">
        <v>15107.93</v>
      </c>
      <c r="K1861">
        <v>2000000</v>
      </c>
    </row>
    <row r="1862" spans="1:11" ht="15" customHeight="1" x14ac:dyDescent="0.2">
      <c r="A1862" t="s">
        <v>3161</v>
      </c>
      <c r="B1862" t="s">
        <v>2554</v>
      </c>
      <c r="C1862">
        <v>2024</v>
      </c>
      <c r="D1862">
        <v>2024</v>
      </c>
      <c r="E1862" s="7">
        <v>45410</v>
      </c>
      <c r="F1862" s="7">
        <v>45774</v>
      </c>
      <c r="G1862" t="s">
        <v>99</v>
      </c>
      <c r="H1862" t="s">
        <v>102</v>
      </c>
      <c r="I1862" t="s">
        <v>104</v>
      </c>
      <c r="J1862">
        <v>5484.74</v>
      </c>
      <c r="K1862">
        <v>1000000</v>
      </c>
    </row>
    <row r="1863" spans="1:11" ht="15" customHeight="1" x14ac:dyDescent="0.2">
      <c r="A1863" t="s">
        <v>3162</v>
      </c>
      <c r="B1863" t="s">
        <v>124</v>
      </c>
      <c r="C1863">
        <v>2024</v>
      </c>
      <c r="D1863">
        <v>2024</v>
      </c>
      <c r="E1863" s="7">
        <v>45410</v>
      </c>
      <c r="F1863" s="7">
        <v>45774</v>
      </c>
      <c r="G1863" t="s">
        <v>135</v>
      </c>
      <c r="H1863" t="s">
        <v>107</v>
      </c>
      <c r="I1863" t="s">
        <v>104</v>
      </c>
      <c r="J1863">
        <v>58180.79</v>
      </c>
      <c r="K1863">
        <v>10000000</v>
      </c>
    </row>
    <row r="1864" spans="1:11" ht="15" customHeight="1" x14ac:dyDescent="0.2">
      <c r="A1864" t="s">
        <v>3164</v>
      </c>
      <c r="B1864" t="s">
        <v>6599</v>
      </c>
      <c r="C1864">
        <v>2024</v>
      </c>
      <c r="D1864">
        <v>2024</v>
      </c>
      <c r="E1864" s="7">
        <v>45410</v>
      </c>
      <c r="F1864" s="7">
        <v>45774</v>
      </c>
      <c r="G1864" t="s">
        <v>135</v>
      </c>
      <c r="H1864" t="s">
        <v>116</v>
      </c>
      <c r="I1864" t="s">
        <v>104</v>
      </c>
      <c r="J1864">
        <v>5581.91</v>
      </c>
      <c r="K1864">
        <v>1000000</v>
      </c>
    </row>
    <row r="1865" spans="1:11" ht="15" customHeight="1" x14ac:dyDescent="0.2">
      <c r="A1865" t="s">
        <v>3166</v>
      </c>
      <c r="B1865" t="s">
        <v>8379</v>
      </c>
      <c r="C1865">
        <v>2024</v>
      </c>
      <c r="D1865">
        <v>2024</v>
      </c>
      <c r="E1865" s="7">
        <v>45410</v>
      </c>
      <c r="F1865" s="7">
        <v>45774</v>
      </c>
      <c r="G1865" t="s">
        <v>135</v>
      </c>
      <c r="H1865" t="s">
        <v>107</v>
      </c>
      <c r="I1865" t="s">
        <v>104</v>
      </c>
      <c r="J1865">
        <v>7766.85</v>
      </c>
      <c r="K1865">
        <v>1500000</v>
      </c>
    </row>
    <row r="1866" spans="1:11" ht="15" customHeight="1" x14ac:dyDescent="0.2">
      <c r="A1866" t="s">
        <v>3168</v>
      </c>
      <c r="B1866" t="s">
        <v>6580</v>
      </c>
      <c r="C1866">
        <v>2024</v>
      </c>
      <c r="D1866">
        <v>2024</v>
      </c>
      <c r="E1866" s="7">
        <v>45410</v>
      </c>
      <c r="F1866" s="7">
        <v>45774</v>
      </c>
      <c r="G1866" t="s">
        <v>135</v>
      </c>
      <c r="H1866" t="s">
        <v>114</v>
      </c>
      <c r="I1866" t="s">
        <v>101</v>
      </c>
      <c r="J1866">
        <v>14521.73</v>
      </c>
      <c r="K1866">
        <v>2000000</v>
      </c>
    </row>
    <row r="1867" spans="1:11" ht="15" customHeight="1" x14ac:dyDescent="0.2">
      <c r="A1867" t="s">
        <v>3169</v>
      </c>
      <c r="B1867" t="s">
        <v>837</v>
      </c>
      <c r="C1867">
        <v>2024</v>
      </c>
      <c r="D1867">
        <v>2024</v>
      </c>
      <c r="E1867" s="7">
        <v>45410</v>
      </c>
      <c r="F1867" s="7">
        <v>45774</v>
      </c>
      <c r="G1867" t="s">
        <v>135</v>
      </c>
      <c r="H1867" t="s">
        <v>110</v>
      </c>
      <c r="I1867" t="s">
        <v>101</v>
      </c>
      <c r="J1867">
        <v>18077.759999999998</v>
      </c>
      <c r="K1867">
        <v>2000000</v>
      </c>
    </row>
    <row r="1868" spans="1:11" ht="15" customHeight="1" x14ac:dyDescent="0.2">
      <c r="A1868" t="s">
        <v>3171</v>
      </c>
      <c r="B1868" t="s">
        <v>197</v>
      </c>
      <c r="C1868">
        <v>2024</v>
      </c>
      <c r="D1868">
        <v>2024</v>
      </c>
      <c r="E1868" s="7">
        <v>45410</v>
      </c>
      <c r="F1868" s="7">
        <v>45774</v>
      </c>
      <c r="G1868" t="s">
        <v>135</v>
      </c>
      <c r="H1868" t="s">
        <v>106</v>
      </c>
      <c r="I1868" t="s">
        <v>101</v>
      </c>
      <c r="J1868">
        <v>4739.6400000000003</v>
      </c>
      <c r="K1868">
        <v>500000</v>
      </c>
    </row>
    <row r="1869" spans="1:11" ht="15" customHeight="1" x14ac:dyDescent="0.2">
      <c r="A1869" t="s">
        <v>3173</v>
      </c>
      <c r="B1869" t="s">
        <v>6608</v>
      </c>
      <c r="C1869">
        <v>2024</v>
      </c>
      <c r="D1869">
        <v>2024</v>
      </c>
      <c r="E1869" s="7">
        <v>45410</v>
      </c>
      <c r="F1869" s="7">
        <v>45774</v>
      </c>
      <c r="G1869" t="s">
        <v>135</v>
      </c>
      <c r="H1869" t="s">
        <v>103</v>
      </c>
      <c r="I1869" t="s">
        <v>101</v>
      </c>
      <c r="J1869">
        <v>7129.24</v>
      </c>
      <c r="K1869">
        <v>1000000</v>
      </c>
    </row>
    <row r="1870" spans="1:11" ht="15" customHeight="1" x14ac:dyDescent="0.2">
      <c r="A1870" t="s">
        <v>3174</v>
      </c>
      <c r="B1870" t="s">
        <v>2556</v>
      </c>
      <c r="C1870">
        <v>2024</v>
      </c>
      <c r="D1870">
        <v>2024</v>
      </c>
      <c r="E1870" s="7">
        <v>45411</v>
      </c>
      <c r="F1870" s="7">
        <v>45775</v>
      </c>
      <c r="G1870" t="s">
        <v>99</v>
      </c>
      <c r="H1870" t="s">
        <v>107</v>
      </c>
      <c r="I1870" t="s">
        <v>104</v>
      </c>
      <c r="J1870">
        <v>2801.24</v>
      </c>
      <c r="K1870">
        <v>500000</v>
      </c>
    </row>
    <row r="1871" spans="1:11" ht="15" customHeight="1" x14ac:dyDescent="0.2">
      <c r="A1871" t="s">
        <v>3175</v>
      </c>
      <c r="B1871" t="s">
        <v>2566</v>
      </c>
      <c r="C1871">
        <v>2024</v>
      </c>
      <c r="D1871">
        <v>2024</v>
      </c>
      <c r="E1871" s="7">
        <v>45411</v>
      </c>
      <c r="F1871" s="7">
        <v>45775</v>
      </c>
      <c r="G1871" t="s">
        <v>99</v>
      </c>
      <c r="H1871" t="s">
        <v>6348</v>
      </c>
      <c r="I1871" t="s">
        <v>101</v>
      </c>
      <c r="J1871">
        <v>32399.87</v>
      </c>
      <c r="K1871">
        <v>5000000</v>
      </c>
    </row>
    <row r="1872" spans="1:11" ht="15" customHeight="1" x14ac:dyDescent="0.2">
      <c r="A1872" t="s">
        <v>3176</v>
      </c>
      <c r="B1872" t="s">
        <v>2568</v>
      </c>
      <c r="C1872">
        <v>2024</v>
      </c>
      <c r="D1872">
        <v>2024</v>
      </c>
      <c r="E1872" s="7">
        <v>45411</v>
      </c>
      <c r="F1872" s="7">
        <v>45775</v>
      </c>
      <c r="G1872" t="s">
        <v>99</v>
      </c>
      <c r="H1872" t="s">
        <v>6334</v>
      </c>
      <c r="I1872" t="s">
        <v>104</v>
      </c>
      <c r="J1872">
        <v>8920.9</v>
      </c>
      <c r="K1872">
        <v>1500000</v>
      </c>
    </row>
    <row r="1873" spans="1:11" ht="15" customHeight="1" x14ac:dyDescent="0.2">
      <c r="A1873" t="s">
        <v>3177</v>
      </c>
      <c r="B1873" t="s">
        <v>519</v>
      </c>
      <c r="C1873">
        <v>2024</v>
      </c>
      <c r="D1873">
        <v>2024</v>
      </c>
      <c r="E1873" s="7">
        <v>45411</v>
      </c>
      <c r="F1873" s="7">
        <v>45775</v>
      </c>
      <c r="G1873" t="s">
        <v>135</v>
      </c>
      <c r="H1873" t="s">
        <v>100</v>
      </c>
      <c r="I1873" t="s">
        <v>101</v>
      </c>
      <c r="J1873">
        <v>9836.82</v>
      </c>
      <c r="K1873">
        <v>1500000</v>
      </c>
    </row>
    <row r="1874" spans="1:11" ht="15" customHeight="1" x14ac:dyDescent="0.2">
      <c r="A1874" t="s">
        <v>3178</v>
      </c>
      <c r="B1874" t="s">
        <v>838</v>
      </c>
      <c r="C1874">
        <v>2024</v>
      </c>
      <c r="D1874">
        <v>2024</v>
      </c>
      <c r="E1874" s="7">
        <v>45411</v>
      </c>
      <c r="F1874" s="7">
        <v>45775</v>
      </c>
      <c r="G1874" t="s">
        <v>135</v>
      </c>
      <c r="H1874" t="s">
        <v>102</v>
      </c>
      <c r="I1874" t="s">
        <v>101</v>
      </c>
      <c r="J1874">
        <v>37454.1</v>
      </c>
      <c r="K1874">
        <v>5000000</v>
      </c>
    </row>
    <row r="1875" spans="1:11" ht="15" customHeight="1" x14ac:dyDescent="0.2">
      <c r="A1875" t="s">
        <v>3179</v>
      </c>
      <c r="B1875" t="s">
        <v>8380</v>
      </c>
      <c r="C1875">
        <v>2024</v>
      </c>
      <c r="D1875">
        <v>2024</v>
      </c>
      <c r="E1875" s="7">
        <v>45411</v>
      </c>
      <c r="F1875" s="7">
        <v>45775</v>
      </c>
      <c r="G1875" t="s">
        <v>135</v>
      </c>
      <c r="H1875" t="s">
        <v>6334</v>
      </c>
      <c r="I1875" t="s">
        <v>101</v>
      </c>
      <c r="J1875">
        <v>7572.73</v>
      </c>
      <c r="K1875">
        <v>1000000</v>
      </c>
    </row>
    <row r="1876" spans="1:11" ht="15" customHeight="1" x14ac:dyDescent="0.2">
      <c r="A1876" t="s">
        <v>3180</v>
      </c>
      <c r="B1876" t="s">
        <v>304</v>
      </c>
      <c r="C1876">
        <v>2024</v>
      </c>
      <c r="D1876">
        <v>2024</v>
      </c>
      <c r="E1876" s="7">
        <v>45411</v>
      </c>
      <c r="F1876" s="7">
        <v>45775</v>
      </c>
      <c r="G1876" t="s">
        <v>135</v>
      </c>
      <c r="H1876" t="s">
        <v>105</v>
      </c>
      <c r="I1876" t="s">
        <v>101</v>
      </c>
      <c r="J1876">
        <v>6946.91</v>
      </c>
      <c r="K1876">
        <v>1000000</v>
      </c>
    </row>
    <row r="1877" spans="1:11" ht="15" customHeight="1" x14ac:dyDescent="0.2">
      <c r="A1877" t="s">
        <v>3181</v>
      </c>
      <c r="B1877" t="s">
        <v>839</v>
      </c>
      <c r="C1877">
        <v>2024</v>
      </c>
      <c r="D1877">
        <v>2024</v>
      </c>
      <c r="E1877" s="7">
        <v>45411</v>
      </c>
      <c r="F1877" s="7">
        <v>45775</v>
      </c>
      <c r="G1877" t="s">
        <v>135</v>
      </c>
      <c r="H1877" t="s">
        <v>102</v>
      </c>
      <c r="I1877" t="s">
        <v>101</v>
      </c>
      <c r="J1877">
        <v>6741.73</v>
      </c>
      <c r="K1877">
        <v>1000000</v>
      </c>
    </row>
    <row r="1878" spans="1:11" ht="15" customHeight="1" x14ac:dyDescent="0.2">
      <c r="A1878" t="s">
        <v>3182</v>
      </c>
      <c r="B1878" t="s">
        <v>520</v>
      </c>
      <c r="C1878">
        <v>2024</v>
      </c>
      <c r="D1878">
        <v>2024</v>
      </c>
      <c r="E1878" s="7">
        <v>45411</v>
      </c>
      <c r="F1878" s="7">
        <v>45775</v>
      </c>
      <c r="G1878" t="s">
        <v>135</v>
      </c>
      <c r="H1878" t="s">
        <v>113</v>
      </c>
      <c r="I1878" t="s">
        <v>101</v>
      </c>
      <c r="J1878">
        <v>11668.12</v>
      </c>
      <c r="K1878">
        <v>1500000</v>
      </c>
    </row>
    <row r="1879" spans="1:11" ht="15" customHeight="1" x14ac:dyDescent="0.2">
      <c r="A1879" t="s">
        <v>3184</v>
      </c>
      <c r="B1879" t="s">
        <v>305</v>
      </c>
      <c r="C1879">
        <v>2024</v>
      </c>
      <c r="D1879">
        <v>2024</v>
      </c>
      <c r="E1879" s="7">
        <v>45411</v>
      </c>
      <c r="F1879" s="7">
        <v>45775</v>
      </c>
      <c r="G1879" t="s">
        <v>135</v>
      </c>
      <c r="H1879" t="s">
        <v>110</v>
      </c>
      <c r="I1879" t="s">
        <v>101</v>
      </c>
      <c r="J1879">
        <v>81270.64</v>
      </c>
      <c r="K1879">
        <v>10000000</v>
      </c>
    </row>
    <row r="1880" spans="1:11" ht="15" customHeight="1" x14ac:dyDescent="0.2">
      <c r="A1880" t="s">
        <v>3186</v>
      </c>
      <c r="B1880" t="s">
        <v>6594</v>
      </c>
      <c r="C1880">
        <v>2024</v>
      </c>
      <c r="D1880">
        <v>2024</v>
      </c>
      <c r="E1880" s="7">
        <v>45411</v>
      </c>
      <c r="F1880" s="7">
        <v>45775</v>
      </c>
      <c r="G1880" t="s">
        <v>135</v>
      </c>
      <c r="H1880" t="s">
        <v>106</v>
      </c>
      <c r="I1880" t="s">
        <v>101</v>
      </c>
      <c r="J1880">
        <v>19179.580000000002</v>
      </c>
      <c r="K1880">
        <v>2000000</v>
      </c>
    </row>
    <row r="1881" spans="1:11" ht="15" customHeight="1" x14ac:dyDescent="0.2">
      <c r="A1881" t="s">
        <v>3188</v>
      </c>
      <c r="B1881" t="s">
        <v>2577</v>
      </c>
      <c r="C1881">
        <v>2024</v>
      </c>
      <c r="D1881">
        <v>2024</v>
      </c>
      <c r="E1881" s="7">
        <v>45412</v>
      </c>
      <c r="F1881" s="7">
        <v>45776</v>
      </c>
      <c r="G1881" t="s">
        <v>99</v>
      </c>
      <c r="H1881" t="s">
        <v>115</v>
      </c>
      <c r="I1881" t="s">
        <v>101</v>
      </c>
      <c r="J1881">
        <v>3441.2</v>
      </c>
      <c r="K1881">
        <v>500000</v>
      </c>
    </row>
    <row r="1882" spans="1:11" ht="15" customHeight="1" x14ac:dyDescent="0.2">
      <c r="A1882" t="s">
        <v>3190</v>
      </c>
      <c r="B1882" t="s">
        <v>2579</v>
      </c>
      <c r="C1882">
        <v>2024</v>
      </c>
      <c r="D1882">
        <v>2024</v>
      </c>
      <c r="E1882" s="7">
        <v>45412</v>
      </c>
      <c r="F1882" s="7">
        <v>45776</v>
      </c>
      <c r="G1882" t="s">
        <v>99</v>
      </c>
      <c r="H1882" t="s">
        <v>102</v>
      </c>
      <c r="I1882" t="s">
        <v>104</v>
      </c>
      <c r="J1882">
        <v>10833.63</v>
      </c>
      <c r="K1882">
        <v>2000000</v>
      </c>
    </row>
    <row r="1883" spans="1:11" ht="15" customHeight="1" x14ac:dyDescent="0.2">
      <c r="A1883" t="s">
        <v>3192</v>
      </c>
      <c r="B1883" t="s">
        <v>6598</v>
      </c>
      <c r="C1883">
        <v>2024</v>
      </c>
      <c r="D1883">
        <v>2024</v>
      </c>
      <c r="E1883" s="7">
        <v>45412</v>
      </c>
      <c r="F1883" s="7">
        <v>45776</v>
      </c>
      <c r="G1883" t="s">
        <v>135</v>
      </c>
      <c r="H1883" t="s">
        <v>105</v>
      </c>
      <c r="I1883" t="s">
        <v>101</v>
      </c>
      <c r="J1883">
        <v>6523.28</v>
      </c>
      <c r="K1883">
        <v>1000000</v>
      </c>
    </row>
    <row r="1884" spans="1:11" ht="15" customHeight="1" x14ac:dyDescent="0.2">
      <c r="A1884" t="s">
        <v>3193</v>
      </c>
      <c r="B1884" t="s">
        <v>6619</v>
      </c>
      <c r="C1884">
        <v>2024</v>
      </c>
      <c r="D1884">
        <v>2024</v>
      </c>
      <c r="E1884" s="7">
        <v>45412</v>
      </c>
      <c r="F1884" s="7">
        <v>45776</v>
      </c>
      <c r="G1884" t="s">
        <v>135</v>
      </c>
      <c r="H1884" t="s">
        <v>106</v>
      </c>
      <c r="I1884" t="s">
        <v>101</v>
      </c>
      <c r="J1884">
        <v>8709</v>
      </c>
      <c r="K1884">
        <v>1000000</v>
      </c>
    </row>
    <row r="1885" spans="1:11" ht="15" customHeight="1" x14ac:dyDescent="0.2">
      <c r="A1885" t="s">
        <v>3194</v>
      </c>
      <c r="B1885" t="s">
        <v>306</v>
      </c>
      <c r="C1885">
        <v>2024</v>
      </c>
      <c r="D1885">
        <v>2024</v>
      </c>
      <c r="E1885" s="7">
        <v>45412</v>
      </c>
      <c r="F1885" s="7">
        <v>45776</v>
      </c>
      <c r="G1885" t="s">
        <v>135</v>
      </c>
      <c r="H1885" t="s">
        <v>6337</v>
      </c>
      <c r="I1885" t="s">
        <v>101</v>
      </c>
      <c r="J1885">
        <v>34497.760000000002</v>
      </c>
      <c r="K1885">
        <v>5000000</v>
      </c>
    </row>
    <row r="1886" spans="1:11" ht="15" customHeight="1" x14ac:dyDescent="0.2">
      <c r="A1886" t="s">
        <v>3195</v>
      </c>
      <c r="B1886" t="s">
        <v>6620</v>
      </c>
      <c r="C1886">
        <v>2024</v>
      </c>
      <c r="D1886">
        <v>2024</v>
      </c>
      <c r="E1886" s="7">
        <v>45412</v>
      </c>
      <c r="F1886" s="7">
        <v>45776</v>
      </c>
      <c r="G1886" t="s">
        <v>135</v>
      </c>
      <c r="H1886" t="s">
        <v>102</v>
      </c>
      <c r="I1886" t="s">
        <v>101</v>
      </c>
      <c r="J1886">
        <v>9706.9699999999993</v>
      </c>
      <c r="K1886">
        <v>1500000</v>
      </c>
    </row>
    <row r="1887" spans="1:11" ht="15" customHeight="1" x14ac:dyDescent="0.2">
      <c r="A1887" t="s">
        <v>3196</v>
      </c>
      <c r="B1887" t="s">
        <v>8381</v>
      </c>
      <c r="C1887">
        <v>2024</v>
      </c>
      <c r="D1887">
        <v>2024</v>
      </c>
      <c r="E1887" s="7">
        <v>45412</v>
      </c>
      <c r="F1887" s="7">
        <v>45776</v>
      </c>
      <c r="G1887" t="s">
        <v>135</v>
      </c>
      <c r="H1887" t="s">
        <v>109</v>
      </c>
      <c r="I1887" t="s">
        <v>101</v>
      </c>
      <c r="J1887">
        <v>7763.26</v>
      </c>
      <c r="K1887">
        <v>1000000</v>
      </c>
    </row>
    <row r="1888" spans="1:11" ht="15" customHeight="1" x14ac:dyDescent="0.2">
      <c r="A1888" t="s">
        <v>3197</v>
      </c>
      <c r="B1888" t="s">
        <v>6658</v>
      </c>
      <c r="C1888">
        <v>2024</v>
      </c>
      <c r="D1888">
        <v>2024</v>
      </c>
      <c r="E1888" s="7">
        <v>45412</v>
      </c>
      <c r="F1888" s="7">
        <v>45776</v>
      </c>
      <c r="G1888" t="s">
        <v>135</v>
      </c>
      <c r="H1888" t="s">
        <v>102</v>
      </c>
      <c r="I1888" t="s">
        <v>101</v>
      </c>
      <c r="J1888">
        <v>6915.19</v>
      </c>
      <c r="K1888">
        <v>1000000</v>
      </c>
    </row>
    <row r="1889" spans="1:11" ht="15" customHeight="1" x14ac:dyDescent="0.2">
      <c r="A1889" t="s">
        <v>3198</v>
      </c>
      <c r="B1889" t="s">
        <v>8382</v>
      </c>
      <c r="C1889">
        <v>2024</v>
      </c>
      <c r="D1889">
        <v>2024</v>
      </c>
      <c r="E1889" s="7">
        <v>45412</v>
      </c>
      <c r="F1889" s="7">
        <v>45776</v>
      </c>
      <c r="G1889" t="s">
        <v>135</v>
      </c>
      <c r="H1889" t="s">
        <v>114</v>
      </c>
      <c r="I1889" t="s">
        <v>104</v>
      </c>
      <c r="J1889">
        <v>7972.19</v>
      </c>
      <c r="K1889">
        <v>1500000</v>
      </c>
    </row>
    <row r="1890" spans="1:11" ht="15" customHeight="1" x14ac:dyDescent="0.2">
      <c r="A1890" t="s">
        <v>3199</v>
      </c>
      <c r="B1890" t="s">
        <v>8383</v>
      </c>
      <c r="C1890">
        <v>2024</v>
      </c>
      <c r="D1890">
        <v>2024</v>
      </c>
      <c r="E1890" s="7">
        <v>45412</v>
      </c>
      <c r="F1890" s="7">
        <v>45776</v>
      </c>
      <c r="G1890" t="s">
        <v>135</v>
      </c>
      <c r="H1890" t="s">
        <v>106</v>
      </c>
      <c r="I1890" t="s">
        <v>101</v>
      </c>
      <c r="J1890">
        <v>14080.43</v>
      </c>
      <c r="K1890">
        <v>1500000</v>
      </c>
    </row>
    <row r="1891" spans="1:11" ht="15" customHeight="1" x14ac:dyDescent="0.2">
      <c r="A1891" t="s">
        <v>3201</v>
      </c>
      <c r="B1891" t="s">
        <v>6651</v>
      </c>
      <c r="C1891">
        <v>2024</v>
      </c>
      <c r="D1891">
        <v>2024</v>
      </c>
      <c r="E1891" s="7">
        <v>45412</v>
      </c>
      <c r="F1891" s="7">
        <v>45776</v>
      </c>
      <c r="G1891" t="s">
        <v>135</v>
      </c>
      <c r="H1891" t="s">
        <v>107</v>
      </c>
      <c r="I1891" t="s">
        <v>101</v>
      </c>
      <c r="J1891">
        <v>10807.26</v>
      </c>
      <c r="K1891">
        <v>1500000</v>
      </c>
    </row>
    <row r="1892" spans="1:11" ht="15" customHeight="1" x14ac:dyDescent="0.2">
      <c r="A1892" t="s">
        <v>3203</v>
      </c>
      <c r="B1892" t="s">
        <v>6621</v>
      </c>
      <c r="C1892">
        <v>2024</v>
      </c>
      <c r="D1892">
        <v>2024</v>
      </c>
      <c r="E1892" s="7">
        <v>45412</v>
      </c>
      <c r="F1892" s="7">
        <v>45776</v>
      </c>
      <c r="G1892" t="s">
        <v>135</v>
      </c>
      <c r="H1892" t="s">
        <v>106</v>
      </c>
      <c r="I1892" t="s">
        <v>104</v>
      </c>
      <c r="J1892">
        <v>7133.42</v>
      </c>
      <c r="K1892">
        <v>1000000</v>
      </c>
    </row>
    <row r="1893" spans="1:11" ht="15" customHeight="1" x14ac:dyDescent="0.2">
      <c r="A1893" t="s">
        <v>3205</v>
      </c>
      <c r="B1893" t="s">
        <v>2581</v>
      </c>
      <c r="C1893">
        <v>2024</v>
      </c>
      <c r="D1893">
        <v>2024</v>
      </c>
      <c r="E1893" s="7">
        <v>45413</v>
      </c>
      <c r="F1893" s="7">
        <v>45777</v>
      </c>
      <c r="G1893" t="s">
        <v>99</v>
      </c>
      <c r="H1893" t="s">
        <v>100</v>
      </c>
      <c r="I1893" t="s">
        <v>101</v>
      </c>
      <c r="J1893">
        <v>10673.08</v>
      </c>
      <c r="K1893">
        <v>1500000</v>
      </c>
    </row>
    <row r="1894" spans="1:11" ht="15" customHeight="1" x14ac:dyDescent="0.2">
      <c r="A1894" t="s">
        <v>3206</v>
      </c>
      <c r="B1894" t="s">
        <v>521</v>
      </c>
      <c r="C1894">
        <v>2024</v>
      </c>
      <c r="D1894">
        <v>2024</v>
      </c>
      <c r="E1894" s="7">
        <v>45413</v>
      </c>
      <c r="F1894" s="7">
        <v>45777</v>
      </c>
      <c r="G1894" t="s">
        <v>135</v>
      </c>
      <c r="H1894" t="s">
        <v>6332</v>
      </c>
      <c r="I1894" t="s">
        <v>104</v>
      </c>
      <c r="J1894">
        <v>5208.29</v>
      </c>
      <c r="K1894">
        <v>1000000</v>
      </c>
    </row>
    <row r="1895" spans="1:11" ht="15" customHeight="1" x14ac:dyDescent="0.2">
      <c r="A1895" t="s">
        <v>3207</v>
      </c>
      <c r="B1895" t="s">
        <v>840</v>
      </c>
      <c r="C1895">
        <v>2024</v>
      </c>
      <c r="D1895">
        <v>2024</v>
      </c>
      <c r="E1895" s="7">
        <v>45413</v>
      </c>
      <c r="F1895" s="7">
        <v>45777</v>
      </c>
      <c r="G1895" t="s">
        <v>135</v>
      </c>
      <c r="H1895" t="s">
        <v>102</v>
      </c>
      <c r="I1895" t="s">
        <v>101</v>
      </c>
      <c r="J1895">
        <v>3349.68</v>
      </c>
      <c r="K1895">
        <v>500000</v>
      </c>
    </row>
    <row r="1896" spans="1:11" ht="15" customHeight="1" x14ac:dyDescent="0.2">
      <c r="A1896" t="s">
        <v>3208</v>
      </c>
      <c r="B1896" t="s">
        <v>8384</v>
      </c>
      <c r="C1896">
        <v>2024</v>
      </c>
      <c r="D1896">
        <v>2024</v>
      </c>
      <c r="E1896" s="7">
        <v>45413</v>
      </c>
      <c r="F1896" s="7">
        <v>45777</v>
      </c>
      <c r="G1896" t="s">
        <v>135</v>
      </c>
      <c r="H1896" t="s">
        <v>113</v>
      </c>
      <c r="I1896" t="s">
        <v>101</v>
      </c>
      <c r="J1896">
        <v>3232.71</v>
      </c>
      <c r="K1896">
        <v>500000</v>
      </c>
    </row>
    <row r="1897" spans="1:11" ht="15" customHeight="1" x14ac:dyDescent="0.2">
      <c r="A1897" t="s">
        <v>3209</v>
      </c>
      <c r="B1897" t="s">
        <v>8385</v>
      </c>
      <c r="C1897">
        <v>2024</v>
      </c>
      <c r="D1897">
        <v>2024</v>
      </c>
      <c r="E1897" s="7">
        <v>45413</v>
      </c>
      <c r="F1897" s="7">
        <v>45777</v>
      </c>
      <c r="G1897" t="s">
        <v>135</v>
      </c>
      <c r="H1897" t="s">
        <v>106</v>
      </c>
      <c r="I1897" t="s">
        <v>101</v>
      </c>
      <c r="J1897">
        <v>9734.2099999999991</v>
      </c>
      <c r="K1897">
        <v>1000000</v>
      </c>
    </row>
    <row r="1898" spans="1:11" ht="15" customHeight="1" x14ac:dyDescent="0.2">
      <c r="A1898" t="s">
        <v>3210</v>
      </c>
      <c r="B1898" t="s">
        <v>8386</v>
      </c>
      <c r="C1898">
        <v>2024</v>
      </c>
      <c r="D1898">
        <v>2024</v>
      </c>
      <c r="E1898" s="7">
        <v>45413</v>
      </c>
      <c r="F1898" s="7">
        <v>45777</v>
      </c>
      <c r="G1898" t="s">
        <v>135</v>
      </c>
      <c r="H1898" t="s">
        <v>106</v>
      </c>
      <c r="I1898" t="s">
        <v>104</v>
      </c>
      <c r="J1898">
        <v>14713.87</v>
      </c>
      <c r="K1898">
        <v>2000000</v>
      </c>
    </row>
    <row r="1899" spans="1:11" ht="15" customHeight="1" x14ac:dyDescent="0.2">
      <c r="A1899" t="s">
        <v>3211</v>
      </c>
      <c r="B1899" t="s">
        <v>522</v>
      </c>
      <c r="C1899">
        <v>2024</v>
      </c>
      <c r="D1899">
        <v>2024</v>
      </c>
      <c r="E1899" s="7">
        <v>45413</v>
      </c>
      <c r="F1899" s="7">
        <v>45777</v>
      </c>
      <c r="G1899" t="s">
        <v>135</v>
      </c>
      <c r="H1899" t="s">
        <v>103</v>
      </c>
      <c r="I1899" t="s">
        <v>104</v>
      </c>
      <c r="J1899">
        <v>27119.759999999998</v>
      </c>
      <c r="K1899">
        <v>5000000</v>
      </c>
    </row>
    <row r="1900" spans="1:11" ht="15" customHeight="1" x14ac:dyDescent="0.2">
      <c r="A1900" t="s">
        <v>3212</v>
      </c>
      <c r="B1900" t="s">
        <v>8387</v>
      </c>
      <c r="C1900">
        <v>2024</v>
      </c>
      <c r="D1900">
        <v>2024</v>
      </c>
      <c r="E1900" s="7">
        <v>45413</v>
      </c>
      <c r="F1900" s="7">
        <v>45777</v>
      </c>
      <c r="G1900" t="s">
        <v>135</v>
      </c>
      <c r="H1900" t="s">
        <v>106</v>
      </c>
      <c r="I1900" t="s">
        <v>101</v>
      </c>
      <c r="J1900">
        <v>43796.61</v>
      </c>
      <c r="K1900">
        <v>5000000</v>
      </c>
    </row>
    <row r="1901" spans="1:11" ht="15" customHeight="1" x14ac:dyDescent="0.2">
      <c r="A1901" t="s">
        <v>3213</v>
      </c>
      <c r="B1901" t="s">
        <v>8388</v>
      </c>
      <c r="C1901">
        <v>2024</v>
      </c>
      <c r="D1901">
        <v>2024</v>
      </c>
      <c r="E1901" s="7">
        <v>45413</v>
      </c>
      <c r="F1901" s="7">
        <v>45777</v>
      </c>
      <c r="G1901" t="s">
        <v>135</v>
      </c>
      <c r="H1901" t="s">
        <v>102</v>
      </c>
      <c r="I1901" t="s">
        <v>101</v>
      </c>
      <c r="J1901">
        <v>76403.5</v>
      </c>
      <c r="K1901">
        <v>10000000</v>
      </c>
    </row>
    <row r="1902" spans="1:11" ht="15" customHeight="1" x14ac:dyDescent="0.2">
      <c r="A1902" t="s">
        <v>3214</v>
      </c>
      <c r="B1902" t="s">
        <v>308</v>
      </c>
      <c r="C1902">
        <v>2024</v>
      </c>
      <c r="D1902">
        <v>2024</v>
      </c>
      <c r="E1902" s="7">
        <v>45413</v>
      </c>
      <c r="F1902" s="7">
        <v>45777</v>
      </c>
      <c r="G1902" t="s">
        <v>135</v>
      </c>
      <c r="H1902" t="s">
        <v>110</v>
      </c>
      <c r="I1902" t="s">
        <v>104</v>
      </c>
      <c r="J1902">
        <v>32704.69</v>
      </c>
      <c r="K1902">
        <v>5000000</v>
      </c>
    </row>
    <row r="1903" spans="1:11" ht="15" customHeight="1" x14ac:dyDescent="0.2">
      <c r="A1903" t="s">
        <v>3215</v>
      </c>
      <c r="B1903" t="s">
        <v>309</v>
      </c>
      <c r="C1903">
        <v>2024</v>
      </c>
      <c r="D1903">
        <v>2024</v>
      </c>
      <c r="E1903" s="7">
        <v>45413</v>
      </c>
      <c r="F1903" s="7">
        <v>45777</v>
      </c>
      <c r="G1903" t="s">
        <v>135</v>
      </c>
      <c r="H1903" t="s">
        <v>106</v>
      </c>
      <c r="I1903" t="s">
        <v>104</v>
      </c>
      <c r="J1903">
        <v>15088.95</v>
      </c>
      <c r="K1903">
        <v>2000000</v>
      </c>
    </row>
    <row r="1904" spans="1:11" ht="15" customHeight="1" x14ac:dyDescent="0.2">
      <c r="A1904" t="s">
        <v>3216</v>
      </c>
      <c r="B1904" t="s">
        <v>307</v>
      </c>
      <c r="C1904">
        <v>2024</v>
      </c>
      <c r="D1904">
        <v>2024</v>
      </c>
      <c r="E1904" s="7">
        <v>45413</v>
      </c>
      <c r="F1904" s="7">
        <v>45777</v>
      </c>
      <c r="G1904" t="s">
        <v>135</v>
      </c>
      <c r="H1904" t="s">
        <v>106</v>
      </c>
      <c r="I1904" t="s">
        <v>104</v>
      </c>
      <c r="J1904">
        <v>10361.969999999999</v>
      </c>
      <c r="K1904">
        <v>1500000</v>
      </c>
    </row>
    <row r="1905" spans="1:11" ht="15" customHeight="1" x14ac:dyDescent="0.2">
      <c r="A1905" t="s">
        <v>3217</v>
      </c>
      <c r="B1905" t="s">
        <v>8389</v>
      </c>
      <c r="C1905">
        <v>2024</v>
      </c>
      <c r="D1905">
        <v>2024</v>
      </c>
      <c r="E1905" s="7">
        <v>45413</v>
      </c>
      <c r="F1905" s="7">
        <v>45777</v>
      </c>
      <c r="G1905" t="s">
        <v>135</v>
      </c>
      <c r="H1905" t="s">
        <v>6337</v>
      </c>
      <c r="I1905" t="s">
        <v>101</v>
      </c>
      <c r="J1905">
        <v>15611.59</v>
      </c>
      <c r="K1905">
        <v>2000000</v>
      </c>
    </row>
    <row r="1906" spans="1:11" ht="15" customHeight="1" x14ac:dyDescent="0.2">
      <c r="A1906" t="s">
        <v>3218</v>
      </c>
      <c r="B1906" t="s">
        <v>2583</v>
      </c>
      <c r="C1906">
        <v>2024</v>
      </c>
      <c r="D1906">
        <v>2024</v>
      </c>
      <c r="E1906" s="7">
        <v>45414</v>
      </c>
      <c r="F1906" s="7">
        <v>45778</v>
      </c>
      <c r="G1906" t="s">
        <v>99</v>
      </c>
      <c r="H1906" t="s">
        <v>115</v>
      </c>
      <c r="I1906" t="s">
        <v>101</v>
      </c>
      <c r="J1906">
        <v>7895.12</v>
      </c>
      <c r="K1906">
        <v>1000000</v>
      </c>
    </row>
    <row r="1907" spans="1:11" ht="15" customHeight="1" x14ac:dyDescent="0.2">
      <c r="A1907" t="s">
        <v>3219</v>
      </c>
      <c r="B1907" t="s">
        <v>2595</v>
      </c>
      <c r="C1907">
        <v>2024</v>
      </c>
      <c r="D1907">
        <v>2024</v>
      </c>
      <c r="E1907" s="7">
        <v>45414</v>
      </c>
      <c r="F1907" s="7">
        <v>45778</v>
      </c>
      <c r="G1907" t="s">
        <v>99</v>
      </c>
      <c r="H1907" t="s">
        <v>102</v>
      </c>
      <c r="I1907" t="s">
        <v>104</v>
      </c>
      <c r="J1907">
        <v>12631.72</v>
      </c>
      <c r="K1907">
        <v>2000000</v>
      </c>
    </row>
    <row r="1908" spans="1:11" ht="15" customHeight="1" x14ac:dyDescent="0.2">
      <c r="A1908" t="s">
        <v>3221</v>
      </c>
      <c r="B1908" t="s">
        <v>2597</v>
      </c>
      <c r="C1908">
        <v>2024</v>
      </c>
      <c r="D1908">
        <v>2024</v>
      </c>
      <c r="E1908" s="7">
        <v>45414</v>
      </c>
      <c r="F1908" s="7">
        <v>45778</v>
      </c>
      <c r="G1908" t="s">
        <v>99</v>
      </c>
      <c r="H1908" t="s">
        <v>103</v>
      </c>
      <c r="I1908" t="s">
        <v>101</v>
      </c>
      <c r="J1908">
        <v>72585.210000000006</v>
      </c>
      <c r="K1908">
        <v>10000000</v>
      </c>
    </row>
    <row r="1909" spans="1:11" ht="15" customHeight="1" x14ac:dyDescent="0.2">
      <c r="A1909" t="s">
        <v>3223</v>
      </c>
      <c r="B1909" t="s">
        <v>2599</v>
      </c>
      <c r="C1909">
        <v>2024</v>
      </c>
      <c r="D1909">
        <v>2024</v>
      </c>
      <c r="E1909" s="7">
        <v>45414</v>
      </c>
      <c r="F1909" s="7">
        <v>45778</v>
      </c>
      <c r="G1909" t="s">
        <v>99</v>
      </c>
      <c r="H1909" t="s">
        <v>108</v>
      </c>
      <c r="I1909" t="s">
        <v>104</v>
      </c>
      <c r="J1909">
        <v>13780.7</v>
      </c>
      <c r="K1909">
        <v>2000000</v>
      </c>
    </row>
    <row r="1910" spans="1:11" ht="15" customHeight="1" x14ac:dyDescent="0.2">
      <c r="A1910" t="s">
        <v>3224</v>
      </c>
      <c r="B1910" t="s">
        <v>6609</v>
      </c>
      <c r="C1910">
        <v>2024</v>
      </c>
      <c r="D1910">
        <v>2024</v>
      </c>
      <c r="E1910" s="7">
        <v>45414</v>
      </c>
      <c r="F1910" s="7">
        <v>45778</v>
      </c>
      <c r="G1910" t="s">
        <v>135</v>
      </c>
      <c r="H1910" t="s">
        <v>106</v>
      </c>
      <c r="I1910" t="s">
        <v>104</v>
      </c>
      <c r="J1910">
        <v>7320.08</v>
      </c>
      <c r="K1910">
        <v>1000000</v>
      </c>
    </row>
    <row r="1911" spans="1:11" ht="15" customHeight="1" x14ac:dyDescent="0.2">
      <c r="A1911" t="s">
        <v>3225</v>
      </c>
      <c r="B1911" t="s">
        <v>841</v>
      </c>
      <c r="C1911">
        <v>2024</v>
      </c>
      <c r="D1911">
        <v>2024</v>
      </c>
      <c r="E1911" s="7">
        <v>45414</v>
      </c>
      <c r="F1911" s="7">
        <v>45778</v>
      </c>
      <c r="G1911" t="s">
        <v>135</v>
      </c>
      <c r="H1911" t="s">
        <v>107</v>
      </c>
      <c r="I1911" t="s">
        <v>104</v>
      </c>
      <c r="J1911">
        <v>5367.06</v>
      </c>
      <c r="K1911">
        <v>1000000</v>
      </c>
    </row>
    <row r="1912" spans="1:11" ht="15" customHeight="1" x14ac:dyDescent="0.2">
      <c r="A1912" t="s">
        <v>3226</v>
      </c>
      <c r="B1912" t="s">
        <v>8390</v>
      </c>
      <c r="C1912">
        <v>2024</v>
      </c>
      <c r="D1912">
        <v>2024</v>
      </c>
      <c r="E1912" s="7">
        <v>45414</v>
      </c>
      <c r="F1912" s="7">
        <v>45778</v>
      </c>
      <c r="G1912" t="s">
        <v>135</v>
      </c>
      <c r="H1912" t="s">
        <v>102</v>
      </c>
      <c r="I1912" t="s">
        <v>101</v>
      </c>
      <c r="J1912">
        <v>3387.46</v>
      </c>
      <c r="K1912">
        <v>500000</v>
      </c>
    </row>
    <row r="1913" spans="1:11" ht="15" customHeight="1" x14ac:dyDescent="0.2">
      <c r="A1913" t="s">
        <v>3227</v>
      </c>
      <c r="B1913" t="s">
        <v>2601</v>
      </c>
      <c r="C1913">
        <v>2024</v>
      </c>
      <c r="D1913">
        <v>2024</v>
      </c>
      <c r="E1913" s="7">
        <v>45415</v>
      </c>
      <c r="F1913" s="7">
        <v>45779</v>
      </c>
      <c r="G1913" t="s">
        <v>99</v>
      </c>
      <c r="H1913" t="s">
        <v>103</v>
      </c>
      <c r="I1913" t="s">
        <v>101</v>
      </c>
      <c r="J1913">
        <v>3699.99</v>
      </c>
      <c r="K1913">
        <v>500000</v>
      </c>
    </row>
    <row r="1914" spans="1:11" ht="15" customHeight="1" x14ac:dyDescent="0.2">
      <c r="A1914" t="s">
        <v>3228</v>
      </c>
      <c r="B1914" t="s">
        <v>2603</v>
      </c>
      <c r="C1914">
        <v>2024</v>
      </c>
      <c r="D1914">
        <v>2024</v>
      </c>
      <c r="E1914" s="7">
        <v>45415</v>
      </c>
      <c r="F1914" s="7">
        <v>45779</v>
      </c>
      <c r="G1914" t="s">
        <v>99</v>
      </c>
      <c r="H1914" t="s">
        <v>102</v>
      </c>
      <c r="I1914" t="s">
        <v>101</v>
      </c>
      <c r="J1914">
        <v>7342.89</v>
      </c>
      <c r="K1914">
        <v>1000000</v>
      </c>
    </row>
    <row r="1915" spans="1:11" ht="15" customHeight="1" x14ac:dyDescent="0.2">
      <c r="A1915" t="s">
        <v>3229</v>
      </c>
      <c r="B1915" t="s">
        <v>199</v>
      </c>
      <c r="C1915">
        <v>2024</v>
      </c>
      <c r="D1915">
        <v>2024</v>
      </c>
      <c r="E1915" s="7">
        <v>45415</v>
      </c>
      <c r="F1915" s="7">
        <v>45779</v>
      </c>
      <c r="G1915" t="s">
        <v>135</v>
      </c>
      <c r="H1915" t="s">
        <v>110</v>
      </c>
      <c r="I1915" t="s">
        <v>104</v>
      </c>
      <c r="J1915">
        <v>3526.58</v>
      </c>
      <c r="K1915">
        <v>500000</v>
      </c>
    </row>
    <row r="1916" spans="1:11" ht="15" customHeight="1" x14ac:dyDescent="0.2">
      <c r="A1916" t="s">
        <v>3230</v>
      </c>
      <c r="B1916" t="s">
        <v>6628</v>
      </c>
      <c r="C1916">
        <v>2024</v>
      </c>
      <c r="D1916">
        <v>2024</v>
      </c>
      <c r="E1916" s="7">
        <v>45415</v>
      </c>
      <c r="F1916" s="7">
        <v>45779</v>
      </c>
      <c r="G1916" t="s">
        <v>135</v>
      </c>
      <c r="H1916" t="s">
        <v>102</v>
      </c>
      <c r="I1916" t="s">
        <v>104</v>
      </c>
      <c r="J1916">
        <v>5487.67</v>
      </c>
      <c r="K1916">
        <v>1000000</v>
      </c>
    </row>
    <row r="1917" spans="1:11" ht="15" customHeight="1" x14ac:dyDescent="0.2">
      <c r="A1917" t="s">
        <v>3231</v>
      </c>
      <c r="B1917" t="s">
        <v>842</v>
      </c>
      <c r="C1917">
        <v>2024</v>
      </c>
      <c r="D1917">
        <v>2024</v>
      </c>
      <c r="E1917" s="7">
        <v>45415</v>
      </c>
      <c r="F1917" s="7">
        <v>45779</v>
      </c>
      <c r="G1917" t="s">
        <v>135</v>
      </c>
      <c r="H1917" t="s">
        <v>110</v>
      </c>
      <c r="I1917" t="s">
        <v>104</v>
      </c>
      <c r="J1917">
        <v>9817.5300000000007</v>
      </c>
      <c r="K1917">
        <v>1500000</v>
      </c>
    </row>
    <row r="1918" spans="1:11" ht="15" customHeight="1" x14ac:dyDescent="0.2">
      <c r="A1918" t="s">
        <v>3232</v>
      </c>
      <c r="B1918" t="s">
        <v>8391</v>
      </c>
      <c r="C1918">
        <v>2024</v>
      </c>
      <c r="D1918">
        <v>2024</v>
      </c>
      <c r="E1918" s="7">
        <v>45415</v>
      </c>
      <c r="F1918" s="7">
        <v>45779</v>
      </c>
      <c r="G1918" t="s">
        <v>135</v>
      </c>
      <c r="H1918" t="s">
        <v>6332</v>
      </c>
      <c r="I1918" t="s">
        <v>101</v>
      </c>
      <c r="J1918">
        <v>14361.56</v>
      </c>
      <c r="K1918">
        <v>2000000</v>
      </c>
    </row>
    <row r="1919" spans="1:11" ht="15" customHeight="1" x14ac:dyDescent="0.2">
      <c r="A1919" t="s">
        <v>3233</v>
      </c>
      <c r="B1919" t="s">
        <v>8392</v>
      </c>
      <c r="C1919">
        <v>2024</v>
      </c>
      <c r="D1919">
        <v>2024</v>
      </c>
      <c r="E1919" s="7">
        <v>45415</v>
      </c>
      <c r="F1919" s="7">
        <v>45779</v>
      </c>
      <c r="G1919" t="s">
        <v>135</v>
      </c>
      <c r="H1919" t="s">
        <v>107</v>
      </c>
      <c r="I1919" t="s">
        <v>101</v>
      </c>
      <c r="J1919">
        <v>11515.05</v>
      </c>
      <c r="K1919">
        <v>1500000</v>
      </c>
    </row>
    <row r="1920" spans="1:11" ht="15" customHeight="1" x14ac:dyDescent="0.2">
      <c r="A1920" t="s">
        <v>3234</v>
      </c>
      <c r="B1920" t="s">
        <v>8393</v>
      </c>
      <c r="C1920">
        <v>2024</v>
      </c>
      <c r="D1920">
        <v>2024</v>
      </c>
      <c r="E1920" s="7">
        <v>45415</v>
      </c>
      <c r="F1920" s="7">
        <v>45779</v>
      </c>
      <c r="G1920" t="s">
        <v>135</v>
      </c>
      <c r="H1920" t="s">
        <v>102</v>
      </c>
      <c r="I1920" t="s">
        <v>101</v>
      </c>
      <c r="J1920">
        <v>11804.25</v>
      </c>
      <c r="K1920">
        <v>1500000</v>
      </c>
    </row>
    <row r="1921" spans="1:11" ht="15" customHeight="1" x14ac:dyDescent="0.2">
      <c r="A1921" t="s">
        <v>3235</v>
      </c>
      <c r="B1921" t="s">
        <v>6623</v>
      </c>
      <c r="C1921">
        <v>2024</v>
      </c>
      <c r="D1921">
        <v>2024</v>
      </c>
      <c r="E1921" s="7">
        <v>45415</v>
      </c>
      <c r="F1921" s="7">
        <v>45779</v>
      </c>
      <c r="G1921" t="s">
        <v>135</v>
      </c>
      <c r="H1921" t="s">
        <v>102</v>
      </c>
      <c r="I1921" t="s">
        <v>101</v>
      </c>
      <c r="J1921">
        <v>14103.27</v>
      </c>
      <c r="K1921">
        <v>2000000</v>
      </c>
    </row>
    <row r="1922" spans="1:11" ht="15" customHeight="1" x14ac:dyDescent="0.2">
      <c r="A1922" t="s">
        <v>3237</v>
      </c>
      <c r="B1922" t="s">
        <v>198</v>
      </c>
      <c r="C1922">
        <v>2024</v>
      </c>
      <c r="D1922">
        <v>2024</v>
      </c>
      <c r="E1922" s="7">
        <v>45415</v>
      </c>
      <c r="F1922" s="7">
        <v>45779</v>
      </c>
      <c r="G1922" t="s">
        <v>135</v>
      </c>
      <c r="H1922" t="s">
        <v>107</v>
      </c>
      <c r="I1922" t="s">
        <v>101</v>
      </c>
      <c r="J1922">
        <v>7552.95</v>
      </c>
      <c r="K1922">
        <v>1000000</v>
      </c>
    </row>
    <row r="1923" spans="1:11" ht="15" customHeight="1" x14ac:dyDescent="0.2">
      <c r="A1923" t="s">
        <v>3239</v>
      </c>
      <c r="B1923" t="s">
        <v>8394</v>
      </c>
      <c r="C1923">
        <v>2024</v>
      </c>
      <c r="D1923">
        <v>2024</v>
      </c>
      <c r="E1923" s="7">
        <v>45415</v>
      </c>
      <c r="F1923" s="7">
        <v>45779</v>
      </c>
      <c r="G1923" t="s">
        <v>135</v>
      </c>
      <c r="H1923" t="s">
        <v>102</v>
      </c>
      <c r="I1923" t="s">
        <v>104</v>
      </c>
      <c r="J1923">
        <v>7779.87</v>
      </c>
      <c r="K1923">
        <v>1500000</v>
      </c>
    </row>
    <row r="1924" spans="1:11" ht="15" customHeight="1" x14ac:dyDescent="0.2">
      <c r="A1924" t="s">
        <v>3240</v>
      </c>
      <c r="B1924" t="s">
        <v>8395</v>
      </c>
      <c r="C1924">
        <v>2024</v>
      </c>
      <c r="D1924">
        <v>2024</v>
      </c>
      <c r="E1924" s="7">
        <v>45415</v>
      </c>
      <c r="F1924" s="7">
        <v>45779</v>
      </c>
      <c r="G1924" t="s">
        <v>135</v>
      </c>
      <c r="H1924" t="s">
        <v>106</v>
      </c>
      <c r="I1924" t="s">
        <v>104</v>
      </c>
      <c r="J1924">
        <v>10654.46</v>
      </c>
      <c r="K1924">
        <v>1500000</v>
      </c>
    </row>
    <row r="1925" spans="1:11" ht="15" customHeight="1" x14ac:dyDescent="0.2">
      <c r="A1925" t="s">
        <v>3241</v>
      </c>
      <c r="B1925" t="s">
        <v>8396</v>
      </c>
      <c r="C1925">
        <v>2024</v>
      </c>
      <c r="D1925">
        <v>2024</v>
      </c>
      <c r="E1925" s="7">
        <v>45415</v>
      </c>
      <c r="F1925" s="7">
        <v>45779</v>
      </c>
      <c r="G1925" t="s">
        <v>135</v>
      </c>
      <c r="H1925" t="s">
        <v>109</v>
      </c>
      <c r="I1925" t="s">
        <v>104</v>
      </c>
      <c r="J1925">
        <v>12199.35</v>
      </c>
      <c r="K1925">
        <v>2000000</v>
      </c>
    </row>
    <row r="1926" spans="1:11" ht="15" customHeight="1" x14ac:dyDescent="0.2">
      <c r="A1926" t="s">
        <v>3242</v>
      </c>
      <c r="B1926" t="s">
        <v>8397</v>
      </c>
      <c r="C1926">
        <v>2024</v>
      </c>
      <c r="D1926">
        <v>2024</v>
      </c>
      <c r="E1926" s="7">
        <v>45415</v>
      </c>
      <c r="F1926" s="7">
        <v>45779</v>
      </c>
      <c r="G1926" t="s">
        <v>135</v>
      </c>
      <c r="H1926" t="s">
        <v>108</v>
      </c>
      <c r="I1926" t="s">
        <v>104</v>
      </c>
      <c r="J1926">
        <v>6800.18</v>
      </c>
      <c r="K1926">
        <v>1000000</v>
      </c>
    </row>
    <row r="1927" spans="1:11" ht="15" customHeight="1" x14ac:dyDescent="0.2">
      <c r="A1927" t="s">
        <v>3243</v>
      </c>
      <c r="B1927" t="s">
        <v>6610</v>
      </c>
      <c r="C1927">
        <v>2024</v>
      </c>
      <c r="D1927">
        <v>2024</v>
      </c>
      <c r="E1927" s="7">
        <v>45415</v>
      </c>
      <c r="F1927" s="7">
        <v>45779</v>
      </c>
      <c r="G1927" t="s">
        <v>135</v>
      </c>
      <c r="H1927" t="s">
        <v>108</v>
      </c>
      <c r="I1927" t="s">
        <v>104</v>
      </c>
      <c r="J1927">
        <v>11711.38</v>
      </c>
      <c r="K1927">
        <v>1500000</v>
      </c>
    </row>
    <row r="1928" spans="1:11" ht="15" customHeight="1" x14ac:dyDescent="0.2">
      <c r="A1928" t="s">
        <v>3244</v>
      </c>
      <c r="B1928" t="s">
        <v>2626</v>
      </c>
      <c r="C1928">
        <v>2024</v>
      </c>
      <c r="D1928">
        <v>2024</v>
      </c>
      <c r="E1928" s="7">
        <v>45416</v>
      </c>
      <c r="F1928" s="7">
        <v>45780</v>
      </c>
      <c r="G1928" t="s">
        <v>99</v>
      </c>
      <c r="H1928" t="s">
        <v>102</v>
      </c>
      <c r="I1928" t="s">
        <v>101</v>
      </c>
      <c r="J1928">
        <v>65317.49</v>
      </c>
      <c r="K1928">
        <v>10000000</v>
      </c>
    </row>
    <row r="1929" spans="1:11" ht="15" customHeight="1" x14ac:dyDescent="0.2">
      <c r="A1929" t="s">
        <v>3245</v>
      </c>
      <c r="B1929" t="s">
        <v>524</v>
      </c>
      <c r="C1929">
        <v>2024</v>
      </c>
      <c r="D1929">
        <v>2024</v>
      </c>
      <c r="E1929" s="7">
        <v>45416</v>
      </c>
      <c r="F1929" s="7">
        <v>45780</v>
      </c>
      <c r="G1929" t="s">
        <v>135</v>
      </c>
      <c r="H1929" t="s">
        <v>108</v>
      </c>
      <c r="I1929" t="s">
        <v>101</v>
      </c>
      <c r="J1929">
        <v>48281.47</v>
      </c>
      <c r="K1929">
        <v>5000000</v>
      </c>
    </row>
    <row r="1930" spans="1:11" ht="15" customHeight="1" x14ac:dyDescent="0.2">
      <c r="A1930" t="s">
        <v>3246</v>
      </c>
      <c r="B1930" t="s">
        <v>8398</v>
      </c>
      <c r="C1930">
        <v>2024</v>
      </c>
      <c r="D1930">
        <v>2024</v>
      </c>
      <c r="E1930" s="7">
        <v>45416</v>
      </c>
      <c r="F1930" s="7">
        <v>45780</v>
      </c>
      <c r="G1930" t="s">
        <v>135</v>
      </c>
      <c r="H1930" t="s">
        <v>106</v>
      </c>
      <c r="I1930" t="s">
        <v>101</v>
      </c>
      <c r="J1930">
        <v>17613.72</v>
      </c>
      <c r="K1930">
        <v>2000000</v>
      </c>
    </row>
    <row r="1931" spans="1:11" ht="15" customHeight="1" x14ac:dyDescent="0.2">
      <c r="A1931" t="s">
        <v>3247</v>
      </c>
      <c r="B1931" t="s">
        <v>8399</v>
      </c>
      <c r="C1931">
        <v>2024</v>
      </c>
      <c r="D1931">
        <v>2024</v>
      </c>
      <c r="E1931" s="7">
        <v>45416</v>
      </c>
      <c r="F1931" s="7">
        <v>45780</v>
      </c>
      <c r="G1931" t="s">
        <v>135</v>
      </c>
      <c r="H1931" t="s">
        <v>105</v>
      </c>
      <c r="I1931" t="s">
        <v>104</v>
      </c>
      <c r="J1931">
        <v>8409.35</v>
      </c>
      <c r="K1931">
        <v>1500000</v>
      </c>
    </row>
    <row r="1932" spans="1:11" ht="15" customHeight="1" x14ac:dyDescent="0.2">
      <c r="A1932" t="s">
        <v>3248</v>
      </c>
      <c r="B1932" t="s">
        <v>843</v>
      </c>
      <c r="C1932">
        <v>2024</v>
      </c>
      <c r="D1932">
        <v>2024</v>
      </c>
      <c r="E1932" s="7">
        <v>45416</v>
      </c>
      <c r="F1932" s="7">
        <v>45780</v>
      </c>
      <c r="G1932" t="s">
        <v>135</v>
      </c>
      <c r="H1932" t="s">
        <v>106</v>
      </c>
      <c r="I1932" t="s">
        <v>101</v>
      </c>
      <c r="J1932">
        <v>16387.8</v>
      </c>
      <c r="K1932">
        <v>2000000</v>
      </c>
    </row>
    <row r="1933" spans="1:11" ht="15" customHeight="1" x14ac:dyDescent="0.2">
      <c r="A1933" t="s">
        <v>3250</v>
      </c>
      <c r="B1933" t="s">
        <v>6665</v>
      </c>
      <c r="C1933">
        <v>2024</v>
      </c>
      <c r="D1933">
        <v>2024</v>
      </c>
      <c r="E1933" s="7">
        <v>45416</v>
      </c>
      <c r="F1933" s="7">
        <v>45780</v>
      </c>
      <c r="G1933" t="s">
        <v>135</v>
      </c>
      <c r="H1933" t="s">
        <v>103</v>
      </c>
      <c r="I1933" t="s">
        <v>104</v>
      </c>
      <c r="J1933">
        <v>7978.13</v>
      </c>
      <c r="K1933">
        <v>1500000</v>
      </c>
    </row>
    <row r="1934" spans="1:11" ht="15" customHeight="1" x14ac:dyDescent="0.2">
      <c r="A1934" t="s">
        <v>3252</v>
      </c>
      <c r="B1934" t="s">
        <v>8400</v>
      </c>
      <c r="C1934">
        <v>2024</v>
      </c>
      <c r="D1934">
        <v>2024</v>
      </c>
      <c r="E1934" s="7">
        <v>45416</v>
      </c>
      <c r="F1934" s="7">
        <v>45780</v>
      </c>
      <c r="G1934" t="s">
        <v>135</v>
      </c>
      <c r="H1934" t="s">
        <v>115</v>
      </c>
      <c r="I1934" t="s">
        <v>101</v>
      </c>
      <c r="J1934">
        <v>6922.57</v>
      </c>
      <c r="K1934">
        <v>1000000</v>
      </c>
    </row>
    <row r="1935" spans="1:11" ht="15" customHeight="1" x14ac:dyDescent="0.2">
      <c r="A1935" t="s">
        <v>3254</v>
      </c>
      <c r="B1935" t="s">
        <v>6632</v>
      </c>
      <c r="C1935">
        <v>2024</v>
      </c>
      <c r="D1935">
        <v>2024</v>
      </c>
      <c r="E1935" s="7">
        <v>45416</v>
      </c>
      <c r="F1935" s="7">
        <v>45780</v>
      </c>
      <c r="G1935" t="s">
        <v>135</v>
      </c>
      <c r="H1935" t="s">
        <v>106</v>
      </c>
      <c r="I1935" t="s">
        <v>101</v>
      </c>
      <c r="J1935">
        <v>13927.48</v>
      </c>
      <c r="K1935">
        <v>1500000</v>
      </c>
    </row>
    <row r="1936" spans="1:11" ht="15" customHeight="1" x14ac:dyDescent="0.2">
      <c r="A1936" t="s">
        <v>3256</v>
      </c>
      <c r="B1936" t="s">
        <v>8401</v>
      </c>
      <c r="C1936">
        <v>2024</v>
      </c>
      <c r="D1936">
        <v>2024</v>
      </c>
      <c r="E1936" s="7">
        <v>45416</v>
      </c>
      <c r="F1936" s="7">
        <v>45780</v>
      </c>
      <c r="G1936" t="s">
        <v>135</v>
      </c>
      <c r="H1936" t="s">
        <v>106</v>
      </c>
      <c r="I1936" t="s">
        <v>104</v>
      </c>
      <c r="J1936">
        <v>13952.66</v>
      </c>
      <c r="K1936">
        <v>2000000</v>
      </c>
    </row>
    <row r="1937" spans="1:11" ht="15" customHeight="1" x14ac:dyDescent="0.2">
      <c r="A1937" t="s">
        <v>3257</v>
      </c>
      <c r="B1937" t="s">
        <v>8402</v>
      </c>
      <c r="C1937">
        <v>2024</v>
      </c>
      <c r="D1937">
        <v>2024</v>
      </c>
      <c r="E1937" s="7">
        <v>45416</v>
      </c>
      <c r="F1937" s="7">
        <v>45780</v>
      </c>
      <c r="G1937" t="s">
        <v>135</v>
      </c>
      <c r="H1937" t="s">
        <v>108</v>
      </c>
      <c r="I1937" t="s">
        <v>101</v>
      </c>
      <c r="J1937">
        <v>9212.2800000000007</v>
      </c>
      <c r="K1937">
        <v>1000000</v>
      </c>
    </row>
    <row r="1938" spans="1:11" ht="15" customHeight="1" x14ac:dyDescent="0.2">
      <c r="A1938" t="s">
        <v>3258</v>
      </c>
      <c r="B1938" t="s">
        <v>8403</v>
      </c>
      <c r="C1938">
        <v>2024</v>
      </c>
      <c r="D1938">
        <v>2024</v>
      </c>
      <c r="E1938" s="7">
        <v>45416</v>
      </c>
      <c r="F1938" s="7">
        <v>45780</v>
      </c>
      <c r="G1938" t="s">
        <v>135</v>
      </c>
      <c r="H1938" t="s">
        <v>111</v>
      </c>
      <c r="I1938" t="s">
        <v>104</v>
      </c>
      <c r="J1938">
        <v>11509.06</v>
      </c>
      <c r="K1938">
        <v>2000000</v>
      </c>
    </row>
    <row r="1939" spans="1:11" ht="15" customHeight="1" x14ac:dyDescent="0.2">
      <c r="A1939" t="s">
        <v>3259</v>
      </c>
      <c r="B1939" t="s">
        <v>8404</v>
      </c>
      <c r="C1939">
        <v>2024</v>
      </c>
      <c r="D1939">
        <v>2024</v>
      </c>
      <c r="E1939" s="7">
        <v>45416</v>
      </c>
      <c r="F1939" s="7">
        <v>45780</v>
      </c>
      <c r="G1939" t="s">
        <v>135</v>
      </c>
      <c r="H1939" t="s">
        <v>110</v>
      </c>
      <c r="I1939" t="s">
        <v>101</v>
      </c>
      <c r="J1939">
        <v>4303.59</v>
      </c>
      <c r="K1939">
        <v>500000</v>
      </c>
    </row>
    <row r="1940" spans="1:11" ht="15" customHeight="1" x14ac:dyDescent="0.2">
      <c r="A1940" t="s">
        <v>3260</v>
      </c>
      <c r="B1940" t="s">
        <v>8405</v>
      </c>
      <c r="C1940">
        <v>2024</v>
      </c>
      <c r="D1940">
        <v>2024</v>
      </c>
      <c r="E1940" s="7">
        <v>45416</v>
      </c>
      <c r="F1940" s="7">
        <v>45780</v>
      </c>
      <c r="G1940" t="s">
        <v>135</v>
      </c>
      <c r="H1940" t="s">
        <v>107</v>
      </c>
      <c r="I1940" t="s">
        <v>104</v>
      </c>
      <c r="J1940">
        <v>5710.67</v>
      </c>
      <c r="K1940">
        <v>1000000</v>
      </c>
    </row>
    <row r="1941" spans="1:11" ht="15" customHeight="1" x14ac:dyDescent="0.2">
      <c r="A1941" t="s">
        <v>3261</v>
      </c>
      <c r="B1941" t="s">
        <v>8406</v>
      </c>
      <c r="C1941">
        <v>2024</v>
      </c>
      <c r="D1941">
        <v>2024</v>
      </c>
      <c r="E1941" s="7">
        <v>45416</v>
      </c>
      <c r="F1941" s="7">
        <v>45780</v>
      </c>
      <c r="G1941" t="s">
        <v>135</v>
      </c>
      <c r="H1941" t="s">
        <v>107</v>
      </c>
      <c r="I1941" t="s">
        <v>104</v>
      </c>
      <c r="J1941">
        <v>2880.06</v>
      </c>
      <c r="K1941">
        <v>500000</v>
      </c>
    </row>
    <row r="1942" spans="1:11" ht="15" customHeight="1" x14ac:dyDescent="0.2">
      <c r="A1942" t="s">
        <v>3262</v>
      </c>
      <c r="B1942" t="s">
        <v>8407</v>
      </c>
      <c r="C1942">
        <v>2024</v>
      </c>
      <c r="D1942">
        <v>2024</v>
      </c>
      <c r="E1942" s="7">
        <v>45416</v>
      </c>
      <c r="F1942" s="7">
        <v>45780</v>
      </c>
      <c r="G1942" t="s">
        <v>135</v>
      </c>
      <c r="H1942" t="s">
        <v>102</v>
      </c>
      <c r="I1942" t="s">
        <v>101</v>
      </c>
      <c r="J1942">
        <v>3260.54</v>
      </c>
      <c r="K1942">
        <v>500000</v>
      </c>
    </row>
    <row r="1943" spans="1:11" ht="15" customHeight="1" x14ac:dyDescent="0.2">
      <c r="A1943" t="s">
        <v>3263</v>
      </c>
      <c r="B1943" t="s">
        <v>6617</v>
      </c>
      <c r="C1943">
        <v>2024</v>
      </c>
      <c r="D1943">
        <v>2024</v>
      </c>
      <c r="E1943" s="7">
        <v>45416</v>
      </c>
      <c r="F1943" s="7">
        <v>45780</v>
      </c>
      <c r="G1943" t="s">
        <v>135</v>
      </c>
      <c r="H1943" t="s">
        <v>113</v>
      </c>
      <c r="I1943" t="s">
        <v>101</v>
      </c>
      <c r="J1943">
        <v>7151.59</v>
      </c>
      <c r="K1943">
        <v>1000000</v>
      </c>
    </row>
    <row r="1944" spans="1:11" ht="15" customHeight="1" x14ac:dyDescent="0.2">
      <c r="A1944" t="s">
        <v>3264</v>
      </c>
      <c r="B1944" t="s">
        <v>8408</v>
      </c>
      <c r="C1944">
        <v>2024</v>
      </c>
      <c r="D1944">
        <v>2024</v>
      </c>
      <c r="E1944" s="7">
        <v>45416</v>
      </c>
      <c r="F1944" s="7">
        <v>45780</v>
      </c>
      <c r="G1944" t="s">
        <v>135</v>
      </c>
      <c r="H1944" t="s">
        <v>108</v>
      </c>
      <c r="I1944" t="s">
        <v>101</v>
      </c>
      <c r="J1944">
        <v>8331.27</v>
      </c>
      <c r="K1944">
        <v>1000000</v>
      </c>
    </row>
    <row r="1945" spans="1:11" ht="15" customHeight="1" x14ac:dyDescent="0.2">
      <c r="A1945" t="s">
        <v>3266</v>
      </c>
      <c r="B1945" t="s">
        <v>6666</v>
      </c>
      <c r="C1945">
        <v>2024</v>
      </c>
      <c r="D1945">
        <v>2024</v>
      </c>
      <c r="E1945" s="7">
        <v>45416</v>
      </c>
      <c r="F1945" s="7">
        <v>45780</v>
      </c>
      <c r="G1945" t="s">
        <v>135</v>
      </c>
      <c r="H1945" t="s">
        <v>102</v>
      </c>
      <c r="I1945" t="s">
        <v>104</v>
      </c>
      <c r="J1945">
        <v>5330.34</v>
      </c>
      <c r="K1945">
        <v>1000000</v>
      </c>
    </row>
    <row r="1946" spans="1:11" ht="15" customHeight="1" x14ac:dyDescent="0.2">
      <c r="A1946" t="s">
        <v>3268</v>
      </c>
      <c r="B1946" t="s">
        <v>6635</v>
      </c>
      <c r="C1946">
        <v>2024</v>
      </c>
      <c r="D1946">
        <v>2024</v>
      </c>
      <c r="E1946" s="7">
        <v>45416</v>
      </c>
      <c r="F1946" s="7">
        <v>45780</v>
      </c>
      <c r="G1946" t="s">
        <v>135</v>
      </c>
      <c r="H1946" t="s">
        <v>108</v>
      </c>
      <c r="I1946" t="s">
        <v>104</v>
      </c>
      <c r="J1946">
        <v>14224.14</v>
      </c>
      <c r="K1946">
        <v>2000000</v>
      </c>
    </row>
    <row r="1947" spans="1:11" ht="15" customHeight="1" x14ac:dyDescent="0.2">
      <c r="A1947" t="s">
        <v>3270</v>
      </c>
      <c r="B1947" t="s">
        <v>2628</v>
      </c>
      <c r="C1947">
        <v>2024</v>
      </c>
      <c r="D1947">
        <v>2024</v>
      </c>
      <c r="E1947" s="7">
        <v>45417</v>
      </c>
      <c r="F1947" s="7">
        <v>45781</v>
      </c>
      <c r="G1947" t="s">
        <v>99</v>
      </c>
      <c r="H1947" t="s">
        <v>110</v>
      </c>
      <c r="I1947" t="s">
        <v>104</v>
      </c>
      <c r="J1947">
        <v>7809.93</v>
      </c>
      <c r="K1947">
        <v>1000000</v>
      </c>
    </row>
    <row r="1948" spans="1:11" ht="15" customHeight="1" x14ac:dyDescent="0.2">
      <c r="A1948" t="s">
        <v>3272</v>
      </c>
      <c r="B1948" t="s">
        <v>2630</v>
      </c>
      <c r="C1948">
        <v>2024</v>
      </c>
      <c r="D1948">
        <v>2024</v>
      </c>
      <c r="E1948" s="7">
        <v>45417</v>
      </c>
      <c r="F1948" s="7">
        <v>45781</v>
      </c>
      <c r="G1948" t="s">
        <v>99</v>
      </c>
      <c r="H1948" t="s">
        <v>107</v>
      </c>
      <c r="I1948" t="s">
        <v>104</v>
      </c>
      <c r="J1948">
        <v>11126.97</v>
      </c>
      <c r="K1948">
        <v>2000000</v>
      </c>
    </row>
    <row r="1949" spans="1:11" ht="15" customHeight="1" x14ac:dyDescent="0.2">
      <c r="A1949" t="s">
        <v>3274</v>
      </c>
      <c r="B1949" t="s">
        <v>2644</v>
      </c>
      <c r="C1949">
        <v>2024</v>
      </c>
      <c r="D1949">
        <v>2024</v>
      </c>
      <c r="E1949" s="7">
        <v>45417</v>
      </c>
      <c r="F1949" s="7">
        <v>45781</v>
      </c>
      <c r="G1949" t="s">
        <v>99</v>
      </c>
      <c r="H1949" t="s">
        <v>102</v>
      </c>
      <c r="I1949" t="s">
        <v>101</v>
      </c>
      <c r="J1949">
        <v>14092.58</v>
      </c>
      <c r="K1949">
        <v>2000000</v>
      </c>
    </row>
    <row r="1950" spans="1:11" ht="15" customHeight="1" x14ac:dyDescent="0.2">
      <c r="A1950" t="s">
        <v>3275</v>
      </c>
      <c r="B1950" t="s">
        <v>2646</v>
      </c>
      <c r="C1950">
        <v>2024</v>
      </c>
      <c r="D1950">
        <v>2024</v>
      </c>
      <c r="E1950" s="7">
        <v>45417</v>
      </c>
      <c r="F1950" s="7">
        <v>45781</v>
      </c>
      <c r="G1950" t="s">
        <v>99</v>
      </c>
      <c r="H1950" t="s">
        <v>112</v>
      </c>
      <c r="I1950" t="s">
        <v>101</v>
      </c>
      <c r="J1950">
        <v>8562.25</v>
      </c>
      <c r="K1950">
        <v>1000000</v>
      </c>
    </row>
    <row r="1951" spans="1:11" ht="15" customHeight="1" x14ac:dyDescent="0.2">
      <c r="A1951" t="s">
        <v>3276</v>
      </c>
      <c r="B1951" t="s">
        <v>6629</v>
      </c>
      <c r="C1951">
        <v>2024</v>
      </c>
      <c r="D1951">
        <v>2024</v>
      </c>
      <c r="E1951" s="7">
        <v>45417</v>
      </c>
      <c r="F1951" s="7">
        <v>45781</v>
      </c>
      <c r="G1951" t="s">
        <v>135</v>
      </c>
      <c r="H1951" t="s">
        <v>107</v>
      </c>
      <c r="I1951" t="s">
        <v>104</v>
      </c>
      <c r="J1951">
        <v>2930.07</v>
      </c>
      <c r="K1951">
        <v>500000</v>
      </c>
    </row>
    <row r="1952" spans="1:11" ht="15" customHeight="1" x14ac:dyDescent="0.2">
      <c r="A1952" t="s">
        <v>3277</v>
      </c>
      <c r="B1952" t="s">
        <v>8409</v>
      </c>
      <c r="C1952">
        <v>2024</v>
      </c>
      <c r="D1952">
        <v>2024</v>
      </c>
      <c r="E1952" s="7">
        <v>45417</v>
      </c>
      <c r="F1952" s="7">
        <v>45781</v>
      </c>
      <c r="G1952" t="s">
        <v>135</v>
      </c>
      <c r="H1952" t="s">
        <v>6334</v>
      </c>
      <c r="I1952" t="s">
        <v>104</v>
      </c>
      <c r="J1952">
        <v>6134.72</v>
      </c>
      <c r="K1952">
        <v>1000000</v>
      </c>
    </row>
    <row r="1953" spans="1:11" ht="15" customHeight="1" x14ac:dyDescent="0.2">
      <c r="A1953" t="s">
        <v>3278</v>
      </c>
      <c r="B1953" t="s">
        <v>844</v>
      </c>
      <c r="C1953">
        <v>2024</v>
      </c>
      <c r="D1953">
        <v>2024</v>
      </c>
      <c r="E1953" s="7">
        <v>45417</v>
      </c>
      <c r="F1953" s="7">
        <v>45781</v>
      </c>
      <c r="G1953" t="s">
        <v>135</v>
      </c>
      <c r="H1953" t="s">
        <v>107</v>
      </c>
      <c r="I1953" t="s">
        <v>101</v>
      </c>
      <c r="J1953">
        <v>10264.18</v>
      </c>
      <c r="K1953">
        <v>1500000</v>
      </c>
    </row>
    <row r="1954" spans="1:11" ht="15" customHeight="1" x14ac:dyDescent="0.2">
      <c r="A1954" t="s">
        <v>3279</v>
      </c>
      <c r="B1954" t="s">
        <v>200</v>
      </c>
      <c r="C1954">
        <v>2024</v>
      </c>
      <c r="D1954">
        <v>2024</v>
      </c>
      <c r="E1954" s="7">
        <v>45417</v>
      </c>
      <c r="F1954" s="7">
        <v>45781</v>
      </c>
      <c r="G1954" t="s">
        <v>135</v>
      </c>
      <c r="H1954" t="s">
        <v>107</v>
      </c>
      <c r="I1954" t="s">
        <v>104</v>
      </c>
      <c r="J1954">
        <v>11310.42</v>
      </c>
      <c r="K1954">
        <v>2000000</v>
      </c>
    </row>
    <row r="1955" spans="1:11" ht="15" customHeight="1" x14ac:dyDescent="0.2">
      <c r="A1955" t="s">
        <v>3280</v>
      </c>
      <c r="B1955" t="s">
        <v>8410</v>
      </c>
      <c r="C1955">
        <v>2024</v>
      </c>
      <c r="D1955">
        <v>2024</v>
      </c>
      <c r="E1955" s="7">
        <v>45417</v>
      </c>
      <c r="F1955" s="7">
        <v>45781</v>
      </c>
      <c r="G1955" t="s">
        <v>135</v>
      </c>
      <c r="H1955" t="s">
        <v>106</v>
      </c>
      <c r="I1955" t="s">
        <v>104</v>
      </c>
      <c r="J1955">
        <v>67183.77</v>
      </c>
      <c r="K1955">
        <v>10000000</v>
      </c>
    </row>
    <row r="1956" spans="1:11" ht="15" customHeight="1" x14ac:dyDescent="0.2">
      <c r="A1956" t="s">
        <v>3282</v>
      </c>
      <c r="B1956" t="s">
        <v>310</v>
      </c>
      <c r="C1956">
        <v>2024</v>
      </c>
      <c r="D1956">
        <v>2024</v>
      </c>
      <c r="E1956" s="7">
        <v>45417</v>
      </c>
      <c r="F1956" s="7">
        <v>45781</v>
      </c>
      <c r="G1956" t="s">
        <v>135</v>
      </c>
      <c r="H1956" t="s">
        <v>111</v>
      </c>
      <c r="I1956" t="s">
        <v>101</v>
      </c>
      <c r="J1956">
        <v>7113.64</v>
      </c>
      <c r="K1956">
        <v>1000000</v>
      </c>
    </row>
    <row r="1957" spans="1:11" ht="15" customHeight="1" x14ac:dyDescent="0.2">
      <c r="A1957" t="s">
        <v>3284</v>
      </c>
      <c r="B1957" t="s">
        <v>8411</v>
      </c>
      <c r="C1957">
        <v>2024</v>
      </c>
      <c r="D1957">
        <v>2024</v>
      </c>
      <c r="E1957" s="7">
        <v>45417</v>
      </c>
      <c r="F1957" s="7">
        <v>45781</v>
      </c>
      <c r="G1957" t="s">
        <v>135</v>
      </c>
      <c r="H1957" t="s">
        <v>107</v>
      </c>
      <c r="I1957" t="s">
        <v>101</v>
      </c>
      <c r="J1957">
        <v>13780.54</v>
      </c>
      <c r="K1957">
        <v>2000000</v>
      </c>
    </row>
    <row r="1958" spans="1:11" ht="15" customHeight="1" x14ac:dyDescent="0.2">
      <c r="A1958" t="s">
        <v>3286</v>
      </c>
      <c r="B1958" t="s">
        <v>8412</v>
      </c>
      <c r="C1958">
        <v>2024</v>
      </c>
      <c r="D1958">
        <v>2024</v>
      </c>
      <c r="E1958" s="7">
        <v>45417</v>
      </c>
      <c r="F1958" s="7">
        <v>45781</v>
      </c>
      <c r="G1958" t="s">
        <v>135</v>
      </c>
      <c r="H1958" t="s">
        <v>106</v>
      </c>
      <c r="I1958" t="s">
        <v>101</v>
      </c>
      <c r="J1958">
        <v>9329.89</v>
      </c>
      <c r="K1958">
        <v>1000000</v>
      </c>
    </row>
    <row r="1959" spans="1:11" ht="15" customHeight="1" x14ac:dyDescent="0.2">
      <c r="A1959" t="s">
        <v>3288</v>
      </c>
      <c r="B1959" t="s">
        <v>8413</v>
      </c>
      <c r="C1959">
        <v>2024</v>
      </c>
      <c r="D1959">
        <v>2024</v>
      </c>
      <c r="E1959" s="7">
        <v>45417</v>
      </c>
      <c r="F1959" s="7">
        <v>45781</v>
      </c>
      <c r="G1959" t="s">
        <v>135</v>
      </c>
      <c r="H1959" t="s">
        <v>107</v>
      </c>
      <c r="I1959" t="s">
        <v>101</v>
      </c>
      <c r="J1959">
        <v>35128.03</v>
      </c>
      <c r="K1959">
        <v>5000000</v>
      </c>
    </row>
    <row r="1960" spans="1:11" ht="15" customHeight="1" x14ac:dyDescent="0.2">
      <c r="A1960" t="s">
        <v>3290</v>
      </c>
      <c r="B1960" t="s">
        <v>2648</v>
      </c>
      <c r="C1960">
        <v>2024</v>
      </c>
      <c r="D1960">
        <v>2024</v>
      </c>
      <c r="E1960" s="7">
        <v>45418</v>
      </c>
      <c r="F1960" s="7">
        <v>45782</v>
      </c>
      <c r="G1960" t="s">
        <v>99</v>
      </c>
      <c r="H1960" t="s">
        <v>106</v>
      </c>
      <c r="I1960" t="s">
        <v>104</v>
      </c>
      <c r="J1960">
        <v>7613.02</v>
      </c>
      <c r="K1960">
        <v>1000000</v>
      </c>
    </row>
    <row r="1961" spans="1:11" ht="15" customHeight="1" x14ac:dyDescent="0.2">
      <c r="A1961" t="s">
        <v>3292</v>
      </c>
      <c r="B1961" t="s">
        <v>845</v>
      </c>
      <c r="C1961">
        <v>2024</v>
      </c>
      <c r="D1961">
        <v>2024</v>
      </c>
      <c r="E1961" s="7">
        <v>45418</v>
      </c>
      <c r="F1961" s="7">
        <v>45782</v>
      </c>
      <c r="G1961" t="s">
        <v>135</v>
      </c>
      <c r="H1961" t="s">
        <v>103</v>
      </c>
      <c r="I1961" t="s">
        <v>101</v>
      </c>
      <c r="J1961">
        <v>6652.38</v>
      </c>
      <c r="K1961">
        <v>1000000</v>
      </c>
    </row>
    <row r="1962" spans="1:11" ht="15" customHeight="1" x14ac:dyDescent="0.2">
      <c r="A1962" t="s">
        <v>3293</v>
      </c>
      <c r="B1962" t="s">
        <v>8414</v>
      </c>
      <c r="C1962">
        <v>2024</v>
      </c>
      <c r="D1962">
        <v>2024</v>
      </c>
      <c r="E1962" s="7">
        <v>45418</v>
      </c>
      <c r="F1962" s="7">
        <v>45782</v>
      </c>
      <c r="G1962" t="s">
        <v>135</v>
      </c>
      <c r="H1962" t="s">
        <v>108</v>
      </c>
      <c r="I1962" t="s">
        <v>104</v>
      </c>
      <c r="J1962">
        <v>11014.42</v>
      </c>
      <c r="K1962">
        <v>1500000</v>
      </c>
    </row>
    <row r="1963" spans="1:11" ht="15" customHeight="1" x14ac:dyDescent="0.2">
      <c r="A1963" t="s">
        <v>3294</v>
      </c>
      <c r="B1963" t="s">
        <v>311</v>
      </c>
      <c r="C1963">
        <v>2024</v>
      </c>
      <c r="D1963">
        <v>2024</v>
      </c>
      <c r="E1963" s="7">
        <v>45418</v>
      </c>
      <c r="F1963" s="7">
        <v>45782</v>
      </c>
      <c r="G1963" t="s">
        <v>135</v>
      </c>
      <c r="H1963" t="s">
        <v>105</v>
      </c>
      <c r="I1963" t="s">
        <v>101</v>
      </c>
      <c r="J1963">
        <v>13232.82</v>
      </c>
      <c r="K1963">
        <v>2000000</v>
      </c>
    </row>
    <row r="1964" spans="1:11" ht="15" customHeight="1" x14ac:dyDescent="0.2">
      <c r="A1964" t="s">
        <v>3295</v>
      </c>
      <c r="B1964" t="s">
        <v>846</v>
      </c>
      <c r="C1964">
        <v>2024</v>
      </c>
      <c r="D1964">
        <v>2024</v>
      </c>
      <c r="E1964" s="7">
        <v>45418</v>
      </c>
      <c r="F1964" s="7">
        <v>45782</v>
      </c>
      <c r="G1964" t="s">
        <v>135</v>
      </c>
      <c r="H1964" t="s">
        <v>6334</v>
      </c>
      <c r="I1964" t="s">
        <v>101</v>
      </c>
      <c r="J1964">
        <v>37971.019999999997</v>
      </c>
      <c r="K1964">
        <v>5000000</v>
      </c>
    </row>
    <row r="1965" spans="1:11" ht="15" customHeight="1" x14ac:dyDescent="0.2">
      <c r="A1965" t="s">
        <v>3296</v>
      </c>
      <c r="B1965" t="s">
        <v>8415</v>
      </c>
      <c r="C1965">
        <v>2024</v>
      </c>
      <c r="D1965">
        <v>2024</v>
      </c>
      <c r="E1965" s="7">
        <v>45418</v>
      </c>
      <c r="F1965" s="7">
        <v>45782</v>
      </c>
      <c r="G1965" t="s">
        <v>135</v>
      </c>
      <c r="H1965" t="s">
        <v>106</v>
      </c>
      <c r="I1965" t="s">
        <v>104</v>
      </c>
      <c r="J1965">
        <v>15196.4</v>
      </c>
      <c r="K1965">
        <v>2000000</v>
      </c>
    </row>
    <row r="1966" spans="1:11" ht="15" customHeight="1" x14ac:dyDescent="0.2">
      <c r="A1966" t="s">
        <v>3297</v>
      </c>
      <c r="B1966" t="s">
        <v>8416</v>
      </c>
      <c r="C1966">
        <v>2024</v>
      </c>
      <c r="D1966">
        <v>2024</v>
      </c>
      <c r="E1966" s="7">
        <v>45418</v>
      </c>
      <c r="F1966" s="7">
        <v>45782</v>
      </c>
      <c r="G1966" t="s">
        <v>135</v>
      </c>
      <c r="H1966" t="s">
        <v>106</v>
      </c>
      <c r="I1966" t="s">
        <v>101</v>
      </c>
      <c r="J1966">
        <v>8314.56</v>
      </c>
      <c r="K1966">
        <v>1000000</v>
      </c>
    </row>
    <row r="1967" spans="1:11" ht="15" customHeight="1" x14ac:dyDescent="0.2">
      <c r="A1967" t="s">
        <v>3298</v>
      </c>
      <c r="B1967" t="s">
        <v>2649</v>
      </c>
      <c r="C1967">
        <v>2024</v>
      </c>
      <c r="D1967">
        <v>2024</v>
      </c>
      <c r="E1967" s="7">
        <v>45419</v>
      </c>
      <c r="F1967" s="7">
        <v>45783</v>
      </c>
      <c r="G1967" t="s">
        <v>99</v>
      </c>
      <c r="H1967" t="s">
        <v>107</v>
      </c>
      <c r="I1967" t="s">
        <v>104</v>
      </c>
      <c r="J1967">
        <v>8997.7900000000009</v>
      </c>
      <c r="K1967">
        <v>1500000</v>
      </c>
    </row>
    <row r="1968" spans="1:11" ht="15" customHeight="1" x14ac:dyDescent="0.2">
      <c r="A1968" t="s">
        <v>3299</v>
      </c>
      <c r="B1968" t="s">
        <v>2651</v>
      </c>
      <c r="C1968">
        <v>2024</v>
      </c>
      <c r="D1968">
        <v>2024</v>
      </c>
      <c r="E1968" s="7">
        <v>45419</v>
      </c>
      <c r="F1968" s="7">
        <v>45783</v>
      </c>
      <c r="G1968" t="s">
        <v>99</v>
      </c>
      <c r="H1968" t="s">
        <v>110</v>
      </c>
      <c r="I1968" t="s">
        <v>101</v>
      </c>
      <c r="J1968">
        <v>41960.73</v>
      </c>
      <c r="K1968">
        <v>5000000</v>
      </c>
    </row>
    <row r="1969" spans="1:11" ht="15" customHeight="1" x14ac:dyDescent="0.2">
      <c r="A1969" t="s">
        <v>3301</v>
      </c>
      <c r="B1969" t="s">
        <v>2653</v>
      </c>
      <c r="C1969">
        <v>2024</v>
      </c>
      <c r="D1969">
        <v>2024</v>
      </c>
      <c r="E1969" s="7">
        <v>45419</v>
      </c>
      <c r="F1969" s="7">
        <v>45783</v>
      </c>
      <c r="G1969" t="s">
        <v>99</v>
      </c>
      <c r="H1969" t="s">
        <v>109</v>
      </c>
      <c r="I1969" t="s">
        <v>104</v>
      </c>
      <c r="J1969">
        <v>2784.43</v>
      </c>
      <c r="K1969">
        <v>500000</v>
      </c>
    </row>
    <row r="1970" spans="1:11" ht="15" customHeight="1" x14ac:dyDescent="0.2">
      <c r="A1970" t="s">
        <v>3303</v>
      </c>
      <c r="B1970" t="s">
        <v>7247</v>
      </c>
      <c r="C1970">
        <v>2024</v>
      </c>
      <c r="D1970">
        <v>2024</v>
      </c>
      <c r="E1970" s="7">
        <v>45419</v>
      </c>
      <c r="F1970" s="7">
        <v>45783</v>
      </c>
      <c r="G1970" t="s">
        <v>135</v>
      </c>
      <c r="H1970" t="s">
        <v>113</v>
      </c>
      <c r="I1970" t="s">
        <v>101</v>
      </c>
      <c r="J1970">
        <v>15648.77</v>
      </c>
      <c r="K1970">
        <v>2000000</v>
      </c>
    </row>
    <row r="1971" spans="1:11" ht="15" customHeight="1" x14ac:dyDescent="0.2">
      <c r="A1971" t="s">
        <v>3305</v>
      </c>
      <c r="B1971" t="s">
        <v>847</v>
      </c>
      <c r="C1971">
        <v>2024</v>
      </c>
      <c r="D1971">
        <v>2024</v>
      </c>
      <c r="E1971" s="7">
        <v>45419</v>
      </c>
      <c r="F1971" s="7">
        <v>45783</v>
      </c>
      <c r="G1971" t="s">
        <v>135</v>
      </c>
      <c r="H1971" t="s">
        <v>6348</v>
      </c>
      <c r="I1971" t="s">
        <v>101</v>
      </c>
      <c r="J1971">
        <v>14359.29</v>
      </c>
      <c r="K1971">
        <v>2000000</v>
      </c>
    </row>
    <row r="1972" spans="1:11" ht="15" customHeight="1" x14ac:dyDescent="0.2">
      <c r="A1972" t="s">
        <v>3307</v>
      </c>
      <c r="B1972" t="s">
        <v>6643</v>
      </c>
      <c r="C1972">
        <v>2024</v>
      </c>
      <c r="D1972">
        <v>2024</v>
      </c>
      <c r="E1972" s="7">
        <v>45419</v>
      </c>
      <c r="F1972" s="7">
        <v>45783</v>
      </c>
      <c r="G1972" t="s">
        <v>135</v>
      </c>
      <c r="H1972" t="s">
        <v>106</v>
      </c>
      <c r="I1972" t="s">
        <v>104</v>
      </c>
      <c r="J1972">
        <v>7175.84</v>
      </c>
      <c r="K1972">
        <v>1000000</v>
      </c>
    </row>
    <row r="1973" spans="1:11" ht="15" customHeight="1" x14ac:dyDescent="0.2">
      <c r="A1973" t="s">
        <v>3308</v>
      </c>
      <c r="B1973" t="s">
        <v>848</v>
      </c>
      <c r="C1973">
        <v>2024</v>
      </c>
      <c r="D1973">
        <v>2024</v>
      </c>
      <c r="E1973" s="7">
        <v>45419</v>
      </c>
      <c r="F1973" s="7">
        <v>45783</v>
      </c>
      <c r="G1973" t="s">
        <v>135</v>
      </c>
      <c r="H1973" t="s">
        <v>105</v>
      </c>
      <c r="I1973" t="s">
        <v>104</v>
      </c>
      <c r="J1973">
        <v>10875.5</v>
      </c>
      <c r="K1973">
        <v>2000000</v>
      </c>
    </row>
    <row r="1974" spans="1:11" ht="15" customHeight="1" x14ac:dyDescent="0.2">
      <c r="A1974" t="s">
        <v>3309</v>
      </c>
      <c r="B1974" t="s">
        <v>8417</v>
      </c>
      <c r="C1974">
        <v>2024</v>
      </c>
      <c r="D1974">
        <v>2024</v>
      </c>
      <c r="E1974" s="7">
        <v>45419</v>
      </c>
      <c r="F1974" s="7">
        <v>45783</v>
      </c>
      <c r="G1974" t="s">
        <v>135</v>
      </c>
      <c r="H1974" t="s">
        <v>102</v>
      </c>
      <c r="I1974" t="s">
        <v>104</v>
      </c>
      <c r="J1974">
        <v>29365.58</v>
      </c>
      <c r="K1974">
        <v>5000000</v>
      </c>
    </row>
    <row r="1975" spans="1:11" ht="15" customHeight="1" x14ac:dyDescent="0.2">
      <c r="A1975" t="s">
        <v>3310</v>
      </c>
      <c r="B1975" t="s">
        <v>8418</v>
      </c>
      <c r="C1975">
        <v>2024</v>
      </c>
      <c r="D1975">
        <v>2024</v>
      </c>
      <c r="E1975" s="7">
        <v>45419</v>
      </c>
      <c r="F1975" s="7">
        <v>45783</v>
      </c>
      <c r="G1975" t="s">
        <v>135</v>
      </c>
      <c r="H1975" t="s">
        <v>106</v>
      </c>
      <c r="I1975" t="s">
        <v>101</v>
      </c>
      <c r="J1975">
        <v>13234.98</v>
      </c>
      <c r="K1975">
        <v>1500000</v>
      </c>
    </row>
    <row r="1976" spans="1:11" ht="15" customHeight="1" x14ac:dyDescent="0.2">
      <c r="A1976" t="s">
        <v>3311</v>
      </c>
      <c r="B1976" t="s">
        <v>8419</v>
      </c>
      <c r="C1976">
        <v>2024</v>
      </c>
      <c r="D1976">
        <v>2024</v>
      </c>
      <c r="E1976" s="7">
        <v>45419</v>
      </c>
      <c r="F1976" s="7">
        <v>45783</v>
      </c>
      <c r="G1976" t="s">
        <v>135</v>
      </c>
      <c r="H1976" t="s">
        <v>103</v>
      </c>
      <c r="I1976" t="s">
        <v>101</v>
      </c>
      <c r="J1976">
        <v>7133.13</v>
      </c>
      <c r="K1976">
        <v>1000000</v>
      </c>
    </row>
    <row r="1977" spans="1:11" ht="15" customHeight="1" x14ac:dyDescent="0.2">
      <c r="A1977" t="s">
        <v>3312</v>
      </c>
      <c r="B1977" t="s">
        <v>6674</v>
      </c>
      <c r="C1977">
        <v>2024</v>
      </c>
      <c r="D1977">
        <v>2024</v>
      </c>
      <c r="E1977" s="7">
        <v>45419</v>
      </c>
      <c r="F1977" s="7">
        <v>45783</v>
      </c>
      <c r="G1977" t="s">
        <v>135</v>
      </c>
      <c r="H1977" t="s">
        <v>106</v>
      </c>
      <c r="I1977" t="s">
        <v>101</v>
      </c>
      <c r="J1977">
        <v>9134.0400000000009</v>
      </c>
      <c r="K1977">
        <v>1000000</v>
      </c>
    </row>
    <row r="1978" spans="1:11" ht="15" customHeight="1" x14ac:dyDescent="0.2">
      <c r="A1978" t="s">
        <v>3313</v>
      </c>
      <c r="B1978" t="s">
        <v>8420</v>
      </c>
      <c r="C1978">
        <v>2024</v>
      </c>
      <c r="D1978">
        <v>2024</v>
      </c>
      <c r="E1978" s="7">
        <v>45419</v>
      </c>
      <c r="F1978" s="7">
        <v>45783</v>
      </c>
      <c r="G1978" t="s">
        <v>135</v>
      </c>
      <c r="H1978" t="s">
        <v>105</v>
      </c>
      <c r="I1978" t="s">
        <v>104</v>
      </c>
      <c r="J1978">
        <v>7878.36</v>
      </c>
      <c r="K1978">
        <v>1500000</v>
      </c>
    </row>
    <row r="1979" spans="1:11" ht="15" customHeight="1" x14ac:dyDescent="0.2">
      <c r="A1979" t="s">
        <v>3314</v>
      </c>
      <c r="B1979" t="s">
        <v>8421</v>
      </c>
      <c r="C1979">
        <v>2024</v>
      </c>
      <c r="D1979">
        <v>2024</v>
      </c>
      <c r="E1979" s="7">
        <v>45419</v>
      </c>
      <c r="F1979" s="7">
        <v>45783</v>
      </c>
      <c r="G1979" t="s">
        <v>135</v>
      </c>
      <c r="H1979" t="s">
        <v>6348</v>
      </c>
      <c r="I1979" t="s">
        <v>104</v>
      </c>
      <c r="J1979">
        <v>29350.880000000001</v>
      </c>
      <c r="K1979">
        <v>5000000</v>
      </c>
    </row>
    <row r="1980" spans="1:11" ht="15" customHeight="1" x14ac:dyDescent="0.2">
      <c r="A1980" t="s">
        <v>3315</v>
      </c>
      <c r="B1980" t="s">
        <v>525</v>
      </c>
      <c r="C1980">
        <v>2024</v>
      </c>
      <c r="D1980">
        <v>2024</v>
      </c>
      <c r="E1980" s="7">
        <v>45419</v>
      </c>
      <c r="F1980" s="7">
        <v>45783</v>
      </c>
      <c r="G1980" t="s">
        <v>135</v>
      </c>
      <c r="H1980" t="s">
        <v>113</v>
      </c>
      <c r="I1980" t="s">
        <v>101</v>
      </c>
      <c r="J1980">
        <v>36820.1</v>
      </c>
      <c r="K1980">
        <v>5000000</v>
      </c>
    </row>
    <row r="1981" spans="1:11" ht="15" customHeight="1" x14ac:dyDescent="0.2">
      <c r="A1981" t="s">
        <v>3316</v>
      </c>
      <c r="B1981" t="s">
        <v>8422</v>
      </c>
      <c r="C1981">
        <v>2024</v>
      </c>
      <c r="D1981">
        <v>2024</v>
      </c>
      <c r="E1981" s="7">
        <v>45419</v>
      </c>
      <c r="F1981" s="7">
        <v>45783</v>
      </c>
      <c r="G1981" t="s">
        <v>135</v>
      </c>
      <c r="H1981" t="s">
        <v>115</v>
      </c>
      <c r="I1981" t="s">
        <v>104</v>
      </c>
      <c r="J1981">
        <v>27620.71</v>
      </c>
      <c r="K1981">
        <v>5000000</v>
      </c>
    </row>
    <row r="1982" spans="1:11" ht="15" customHeight="1" x14ac:dyDescent="0.2">
      <c r="A1982" t="s">
        <v>3317</v>
      </c>
      <c r="B1982" t="s">
        <v>8423</v>
      </c>
      <c r="C1982">
        <v>2024</v>
      </c>
      <c r="D1982">
        <v>2024</v>
      </c>
      <c r="E1982" s="7">
        <v>45419</v>
      </c>
      <c r="F1982" s="7">
        <v>45783</v>
      </c>
      <c r="G1982" t="s">
        <v>135</v>
      </c>
      <c r="H1982" t="s">
        <v>108</v>
      </c>
      <c r="I1982" t="s">
        <v>101</v>
      </c>
      <c r="J1982">
        <v>13344.18</v>
      </c>
      <c r="K1982">
        <v>1500000</v>
      </c>
    </row>
    <row r="1983" spans="1:11" ht="15" customHeight="1" x14ac:dyDescent="0.2">
      <c r="A1983" t="s">
        <v>3319</v>
      </c>
      <c r="B1983" t="s">
        <v>2666</v>
      </c>
      <c r="C1983">
        <v>2024</v>
      </c>
      <c r="D1983">
        <v>2024</v>
      </c>
      <c r="E1983" s="7">
        <v>45420</v>
      </c>
      <c r="F1983" s="7">
        <v>45784</v>
      </c>
      <c r="G1983" t="s">
        <v>99</v>
      </c>
      <c r="H1983" t="s">
        <v>102</v>
      </c>
      <c r="I1983" t="s">
        <v>101</v>
      </c>
      <c r="J1983">
        <v>13863.03</v>
      </c>
      <c r="K1983">
        <v>2000000</v>
      </c>
    </row>
    <row r="1984" spans="1:11" ht="15" customHeight="1" x14ac:dyDescent="0.2">
      <c r="A1984" t="s">
        <v>3321</v>
      </c>
      <c r="B1984" t="s">
        <v>8424</v>
      </c>
      <c r="C1984">
        <v>2024</v>
      </c>
      <c r="D1984">
        <v>2024</v>
      </c>
      <c r="E1984" s="7">
        <v>45420</v>
      </c>
      <c r="F1984" s="7">
        <v>45784</v>
      </c>
      <c r="G1984" t="s">
        <v>135</v>
      </c>
      <c r="H1984" t="s">
        <v>108</v>
      </c>
      <c r="I1984" t="s">
        <v>101</v>
      </c>
      <c r="J1984">
        <v>8883.01</v>
      </c>
      <c r="K1984">
        <v>1000000</v>
      </c>
    </row>
    <row r="1985" spans="1:11" ht="15" customHeight="1" x14ac:dyDescent="0.2">
      <c r="A1985" t="s">
        <v>3323</v>
      </c>
      <c r="B1985" t="s">
        <v>6791</v>
      </c>
      <c r="C1985">
        <v>2024</v>
      </c>
      <c r="D1985">
        <v>2024</v>
      </c>
      <c r="E1985" s="7">
        <v>45420</v>
      </c>
      <c r="F1985" s="7">
        <v>45784</v>
      </c>
      <c r="G1985" t="s">
        <v>135</v>
      </c>
      <c r="H1985" t="s">
        <v>106</v>
      </c>
      <c r="I1985" t="s">
        <v>104</v>
      </c>
      <c r="J1985">
        <v>3450.25</v>
      </c>
      <c r="K1985">
        <v>500000</v>
      </c>
    </row>
    <row r="1986" spans="1:11" ht="15" customHeight="1" x14ac:dyDescent="0.2">
      <c r="A1986" t="s">
        <v>3325</v>
      </c>
      <c r="B1986" t="s">
        <v>8425</v>
      </c>
      <c r="C1986">
        <v>2024</v>
      </c>
      <c r="D1986">
        <v>2024</v>
      </c>
      <c r="E1986" s="7">
        <v>45420</v>
      </c>
      <c r="F1986" s="7">
        <v>45784</v>
      </c>
      <c r="G1986" t="s">
        <v>135</v>
      </c>
      <c r="H1986" t="s">
        <v>107</v>
      </c>
      <c r="I1986" t="s">
        <v>101</v>
      </c>
      <c r="J1986">
        <v>14761.73</v>
      </c>
      <c r="K1986">
        <v>2000000</v>
      </c>
    </row>
    <row r="1987" spans="1:11" ht="15" customHeight="1" x14ac:dyDescent="0.2">
      <c r="A1987" t="s">
        <v>3327</v>
      </c>
      <c r="B1987" t="s">
        <v>8426</v>
      </c>
      <c r="C1987">
        <v>2024</v>
      </c>
      <c r="D1987">
        <v>2024</v>
      </c>
      <c r="E1987" s="7">
        <v>45420</v>
      </c>
      <c r="F1987" s="7">
        <v>45784</v>
      </c>
      <c r="G1987" t="s">
        <v>135</v>
      </c>
      <c r="H1987" t="s">
        <v>102</v>
      </c>
      <c r="I1987" t="s">
        <v>101</v>
      </c>
      <c r="J1987">
        <v>7854.97</v>
      </c>
      <c r="K1987">
        <v>1000000</v>
      </c>
    </row>
    <row r="1988" spans="1:11" ht="15" customHeight="1" x14ac:dyDescent="0.2">
      <c r="A1988" t="s">
        <v>3328</v>
      </c>
      <c r="B1988" t="s">
        <v>8427</v>
      </c>
      <c r="C1988">
        <v>2024</v>
      </c>
      <c r="D1988">
        <v>2024</v>
      </c>
      <c r="E1988" s="7">
        <v>45420</v>
      </c>
      <c r="F1988" s="7">
        <v>45784</v>
      </c>
      <c r="G1988" t="s">
        <v>135</v>
      </c>
      <c r="H1988" t="s">
        <v>102</v>
      </c>
      <c r="I1988" t="s">
        <v>101</v>
      </c>
      <c r="J1988">
        <v>11019.62</v>
      </c>
      <c r="K1988">
        <v>1500000</v>
      </c>
    </row>
    <row r="1989" spans="1:11" ht="15" customHeight="1" x14ac:dyDescent="0.2">
      <c r="A1989" t="s">
        <v>3329</v>
      </c>
      <c r="B1989" t="s">
        <v>6622</v>
      </c>
      <c r="C1989">
        <v>2024</v>
      </c>
      <c r="D1989">
        <v>2024</v>
      </c>
      <c r="E1989" s="7">
        <v>45420</v>
      </c>
      <c r="F1989" s="7">
        <v>45784</v>
      </c>
      <c r="G1989" t="s">
        <v>135</v>
      </c>
      <c r="H1989" t="s">
        <v>107</v>
      </c>
      <c r="I1989" t="s">
        <v>101</v>
      </c>
      <c r="J1989">
        <v>3870.1</v>
      </c>
      <c r="K1989">
        <v>500000</v>
      </c>
    </row>
    <row r="1990" spans="1:11" ht="15" customHeight="1" x14ac:dyDescent="0.2">
      <c r="A1990" t="s">
        <v>3330</v>
      </c>
      <c r="B1990" t="s">
        <v>6639</v>
      </c>
      <c r="C1990">
        <v>2024</v>
      </c>
      <c r="D1990">
        <v>2024</v>
      </c>
      <c r="E1990" s="7">
        <v>45420</v>
      </c>
      <c r="F1990" s="7">
        <v>45784</v>
      </c>
      <c r="G1990" t="s">
        <v>135</v>
      </c>
      <c r="H1990" t="s">
        <v>105</v>
      </c>
      <c r="I1990" t="s">
        <v>101</v>
      </c>
      <c r="J1990">
        <v>7510.54</v>
      </c>
      <c r="K1990">
        <v>1000000</v>
      </c>
    </row>
    <row r="1991" spans="1:11" ht="15" customHeight="1" x14ac:dyDescent="0.2">
      <c r="A1991" t="s">
        <v>3331</v>
      </c>
      <c r="B1991" t="s">
        <v>849</v>
      </c>
      <c r="C1991">
        <v>2024</v>
      </c>
      <c r="D1991">
        <v>2024</v>
      </c>
      <c r="E1991" s="7">
        <v>45420</v>
      </c>
      <c r="F1991" s="7">
        <v>45784</v>
      </c>
      <c r="G1991" t="s">
        <v>135</v>
      </c>
      <c r="H1991" t="s">
        <v>6348</v>
      </c>
      <c r="I1991" t="s">
        <v>101</v>
      </c>
      <c r="J1991">
        <v>15157.82</v>
      </c>
      <c r="K1991">
        <v>2000000</v>
      </c>
    </row>
    <row r="1992" spans="1:11" ht="15" customHeight="1" x14ac:dyDescent="0.2">
      <c r="A1992" t="s">
        <v>3332</v>
      </c>
      <c r="B1992" t="s">
        <v>850</v>
      </c>
      <c r="C1992">
        <v>2024</v>
      </c>
      <c r="D1992">
        <v>2024</v>
      </c>
      <c r="E1992" s="7">
        <v>45420</v>
      </c>
      <c r="F1992" s="7">
        <v>45784</v>
      </c>
      <c r="G1992" t="s">
        <v>135</v>
      </c>
      <c r="H1992" t="s">
        <v>111</v>
      </c>
      <c r="I1992" t="s">
        <v>101</v>
      </c>
      <c r="J1992">
        <v>11330.25</v>
      </c>
      <c r="K1992">
        <v>1500000</v>
      </c>
    </row>
    <row r="1993" spans="1:11" ht="15" customHeight="1" x14ac:dyDescent="0.2">
      <c r="A1993" t="s">
        <v>3333</v>
      </c>
      <c r="B1993" t="s">
        <v>526</v>
      </c>
      <c r="C1993">
        <v>2024</v>
      </c>
      <c r="D1993">
        <v>2024</v>
      </c>
      <c r="E1993" s="7">
        <v>45420</v>
      </c>
      <c r="F1993" s="7">
        <v>45784</v>
      </c>
      <c r="G1993" t="s">
        <v>135</v>
      </c>
      <c r="H1993" t="s">
        <v>113</v>
      </c>
      <c r="I1993" t="s">
        <v>101</v>
      </c>
      <c r="J1993">
        <v>3884.81</v>
      </c>
      <c r="K1993">
        <v>500000</v>
      </c>
    </row>
    <row r="1994" spans="1:11" ht="15" customHeight="1" x14ac:dyDescent="0.2">
      <c r="A1994" t="s">
        <v>3334</v>
      </c>
      <c r="B1994" t="s">
        <v>2668</v>
      </c>
      <c r="C1994">
        <v>2024</v>
      </c>
      <c r="D1994">
        <v>2024</v>
      </c>
      <c r="E1994" s="7">
        <v>45421</v>
      </c>
      <c r="F1994" s="7">
        <v>45785</v>
      </c>
      <c r="G1994" t="s">
        <v>99</v>
      </c>
      <c r="H1994" t="s">
        <v>102</v>
      </c>
      <c r="I1994" t="s">
        <v>101</v>
      </c>
      <c r="J1994">
        <v>14975.58</v>
      </c>
      <c r="K1994">
        <v>2000000</v>
      </c>
    </row>
    <row r="1995" spans="1:11" ht="15" customHeight="1" x14ac:dyDescent="0.2">
      <c r="A1995" t="s">
        <v>3335</v>
      </c>
      <c r="B1995" t="s">
        <v>2670</v>
      </c>
      <c r="C1995">
        <v>2024</v>
      </c>
      <c r="D1995">
        <v>2024</v>
      </c>
      <c r="E1995" s="7">
        <v>45421</v>
      </c>
      <c r="F1995" s="7">
        <v>45785</v>
      </c>
      <c r="G1995" t="s">
        <v>99</v>
      </c>
      <c r="H1995" t="s">
        <v>107</v>
      </c>
      <c r="I1995" t="s">
        <v>101</v>
      </c>
      <c r="J1995">
        <v>9693.65</v>
      </c>
      <c r="K1995">
        <v>1500000</v>
      </c>
    </row>
    <row r="1996" spans="1:11" ht="15" customHeight="1" x14ac:dyDescent="0.2">
      <c r="A1996" t="s">
        <v>3336</v>
      </c>
      <c r="B1996" t="s">
        <v>2675</v>
      </c>
      <c r="C1996">
        <v>2024</v>
      </c>
      <c r="D1996">
        <v>2024</v>
      </c>
      <c r="E1996" s="7">
        <v>45421</v>
      </c>
      <c r="F1996" s="7">
        <v>45785</v>
      </c>
      <c r="G1996" t="s">
        <v>99</v>
      </c>
      <c r="H1996" t="s">
        <v>106</v>
      </c>
      <c r="I1996" t="s">
        <v>104</v>
      </c>
      <c r="J1996">
        <v>72926.19</v>
      </c>
      <c r="K1996">
        <v>10000000</v>
      </c>
    </row>
    <row r="1997" spans="1:11" ht="15" customHeight="1" x14ac:dyDescent="0.2">
      <c r="A1997" t="s">
        <v>3337</v>
      </c>
      <c r="B1997" t="s">
        <v>313</v>
      </c>
      <c r="C1997">
        <v>2024</v>
      </c>
      <c r="D1997">
        <v>2024</v>
      </c>
      <c r="E1997" s="7">
        <v>45421</v>
      </c>
      <c r="F1997" s="7">
        <v>45785</v>
      </c>
      <c r="G1997" t="s">
        <v>135</v>
      </c>
      <c r="H1997" t="s">
        <v>106</v>
      </c>
      <c r="I1997" t="s">
        <v>101</v>
      </c>
      <c r="J1997">
        <v>9130.57</v>
      </c>
      <c r="K1997">
        <v>1000000</v>
      </c>
    </row>
    <row r="1998" spans="1:11" ht="15" customHeight="1" x14ac:dyDescent="0.2">
      <c r="A1998" t="s">
        <v>3338</v>
      </c>
      <c r="B1998" t="s">
        <v>8428</v>
      </c>
      <c r="C1998">
        <v>2024</v>
      </c>
      <c r="D1998">
        <v>2024</v>
      </c>
      <c r="E1998" s="7">
        <v>45421</v>
      </c>
      <c r="F1998" s="7">
        <v>45785</v>
      </c>
      <c r="G1998" t="s">
        <v>135</v>
      </c>
      <c r="H1998" t="s">
        <v>106</v>
      </c>
      <c r="I1998" t="s">
        <v>104</v>
      </c>
      <c r="J1998">
        <v>15737.04</v>
      </c>
      <c r="K1998">
        <v>2000000</v>
      </c>
    </row>
    <row r="1999" spans="1:11" ht="15" customHeight="1" x14ac:dyDescent="0.2">
      <c r="A1999" t="s">
        <v>3339</v>
      </c>
      <c r="B1999" t="s">
        <v>153</v>
      </c>
      <c r="C1999">
        <v>2024</v>
      </c>
      <c r="D1999">
        <v>2024</v>
      </c>
      <c r="E1999" s="7">
        <v>45421</v>
      </c>
      <c r="F1999" s="7">
        <v>45785</v>
      </c>
      <c r="G1999" t="s">
        <v>135</v>
      </c>
      <c r="H1999" t="s">
        <v>107</v>
      </c>
      <c r="I1999" t="s">
        <v>101</v>
      </c>
      <c r="J1999">
        <v>11768.83</v>
      </c>
      <c r="K1999">
        <v>1500000</v>
      </c>
    </row>
    <row r="2000" spans="1:11" ht="15" customHeight="1" x14ac:dyDescent="0.2">
      <c r="A2000" t="s">
        <v>3340</v>
      </c>
      <c r="B2000" t="s">
        <v>6684</v>
      </c>
      <c r="C2000">
        <v>2024</v>
      </c>
      <c r="D2000">
        <v>2024</v>
      </c>
      <c r="E2000" s="7">
        <v>45421</v>
      </c>
      <c r="F2000" s="7">
        <v>45785</v>
      </c>
      <c r="G2000" t="s">
        <v>135</v>
      </c>
      <c r="H2000" t="s">
        <v>102</v>
      </c>
      <c r="I2000" t="s">
        <v>101</v>
      </c>
      <c r="J2000">
        <v>11797.19</v>
      </c>
      <c r="K2000">
        <v>1500000</v>
      </c>
    </row>
    <row r="2001" spans="1:11" ht="15" customHeight="1" x14ac:dyDescent="0.2">
      <c r="A2001" t="s">
        <v>3342</v>
      </c>
      <c r="B2001" t="s">
        <v>6627</v>
      </c>
      <c r="C2001">
        <v>2024</v>
      </c>
      <c r="D2001">
        <v>2024</v>
      </c>
      <c r="E2001" s="7">
        <v>45421</v>
      </c>
      <c r="F2001" s="7">
        <v>45785</v>
      </c>
      <c r="G2001" t="s">
        <v>135</v>
      </c>
      <c r="H2001" t="s">
        <v>105</v>
      </c>
      <c r="I2001" t="s">
        <v>101</v>
      </c>
      <c r="J2001">
        <v>11758.48</v>
      </c>
      <c r="K2001">
        <v>1500000</v>
      </c>
    </row>
    <row r="2002" spans="1:11" ht="15" customHeight="1" x14ac:dyDescent="0.2">
      <c r="A2002" t="s">
        <v>3343</v>
      </c>
      <c r="B2002" t="s">
        <v>312</v>
      </c>
      <c r="C2002">
        <v>2024</v>
      </c>
      <c r="D2002">
        <v>2024</v>
      </c>
      <c r="E2002" s="7">
        <v>45421</v>
      </c>
      <c r="F2002" s="7">
        <v>45785</v>
      </c>
      <c r="G2002" t="s">
        <v>135</v>
      </c>
      <c r="H2002" t="s">
        <v>105</v>
      </c>
      <c r="I2002" t="s">
        <v>101</v>
      </c>
      <c r="J2002">
        <v>12983.31</v>
      </c>
      <c r="K2002">
        <v>2000000</v>
      </c>
    </row>
    <row r="2003" spans="1:11" ht="15" customHeight="1" x14ac:dyDescent="0.2">
      <c r="A2003" t="s">
        <v>3344</v>
      </c>
      <c r="B2003" t="s">
        <v>8429</v>
      </c>
      <c r="C2003">
        <v>2024</v>
      </c>
      <c r="D2003">
        <v>2024</v>
      </c>
      <c r="E2003" s="7">
        <v>45421</v>
      </c>
      <c r="F2003" s="7">
        <v>45785</v>
      </c>
      <c r="G2003" t="s">
        <v>135</v>
      </c>
      <c r="H2003" t="s">
        <v>106</v>
      </c>
      <c r="I2003" t="s">
        <v>101</v>
      </c>
      <c r="J2003">
        <v>18209.22</v>
      </c>
      <c r="K2003">
        <v>2000000</v>
      </c>
    </row>
    <row r="2004" spans="1:11" ht="15" customHeight="1" x14ac:dyDescent="0.2">
      <c r="A2004" t="s">
        <v>3345</v>
      </c>
      <c r="B2004" t="s">
        <v>6682</v>
      </c>
      <c r="C2004">
        <v>2024</v>
      </c>
      <c r="D2004">
        <v>2024</v>
      </c>
      <c r="E2004" s="7">
        <v>45421</v>
      </c>
      <c r="F2004" s="7">
        <v>45785</v>
      </c>
      <c r="G2004" t="s">
        <v>135</v>
      </c>
      <c r="H2004" t="s">
        <v>107</v>
      </c>
      <c r="I2004" t="s">
        <v>104</v>
      </c>
      <c r="J2004">
        <v>30855.31</v>
      </c>
      <c r="K2004">
        <v>5000000</v>
      </c>
    </row>
    <row r="2005" spans="1:11" ht="15" customHeight="1" x14ac:dyDescent="0.2">
      <c r="A2005" t="s">
        <v>3346</v>
      </c>
      <c r="B2005" t="s">
        <v>6618</v>
      </c>
      <c r="C2005">
        <v>2024</v>
      </c>
      <c r="D2005">
        <v>2024</v>
      </c>
      <c r="E2005" s="7">
        <v>45421</v>
      </c>
      <c r="F2005" s="7">
        <v>45785</v>
      </c>
      <c r="G2005" t="s">
        <v>135</v>
      </c>
      <c r="H2005" t="s">
        <v>102</v>
      </c>
      <c r="I2005" t="s">
        <v>101</v>
      </c>
      <c r="J2005">
        <v>9737.65</v>
      </c>
      <c r="K2005">
        <v>1500000</v>
      </c>
    </row>
    <row r="2006" spans="1:11" ht="15" customHeight="1" x14ac:dyDescent="0.2">
      <c r="A2006" t="s">
        <v>3347</v>
      </c>
      <c r="B2006" t="s">
        <v>851</v>
      </c>
      <c r="C2006">
        <v>2024</v>
      </c>
      <c r="D2006">
        <v>2024</v>
      </c>
      <c r="E2006" s="7">
        <v>45421</v>
      </c>
      <c r="F2006" s="7">
        <v>45785</v>
      </c>
      <c r="G2006" t="s">
        <v>135</v>
      </c>
      <c r="H2006" t="s">
        <v>100</v>
      </c>
      <c r="I2006" t="s">
        <v>101</v>
      </c>
      <c r="J2006">
        <v>35098.080000000002</v>
      </c>
      <c r="K2006">
        <v>5000000</v>
      </c>
    </row>
    <row r="2007" spans="1:11" ht="15" customHeight="1" x14ac:dyDescent="0.2">
      <c r="A2007" t="s">
        <v>3348</v>
      </c>
      <c r="B2007" t="s">
        <v>314</v>
      </c>
      <c r="C2007">
        <v>2024</v>
      </c>
      <c r="D2007">
        <v>2024</v>
      </c>
      <c r="E2007" s="7">
        <v>45421</v>
      </c>
      <c r="F2007" s="7">
        <v>45785</v>
      </c>
      <c r="G2007" t="s">
        <v>135</v>
      </c>
      <c r="H2007" t="s">
        <v>108</v>
      </c>
      <c r="I2007" t="s">
        <v>101</v>
      </c>
      <c r="J2007">
        <v>19463.5</v>
      </c>
      <c r="K2007">
        <v>2000000</v>
      </c>
    </row>
    <row r="2008" spans="1:11" ht="15" customHeight="1" x14ac:dyDescent="0.2">
      <c r="A2008" t="s">
        <v>3349</v>
      </c>
      <c r="B2008" t="s">
        <v>527</v>
      </c>
      <c r="C2008">
        <v>2024</v>
      </c>
      <c r="D2008">
        <v>2024</v>
      </c>
      <c r="E2008" s="7">
        <v>45421</v>
      </c>
      <c r="F2008" s="7">
        <v>45785</v>
      </c>
      <c r="G2008" t="s">
        <v>135</v>
      </c>
      <c r="H2008" t="s">
        <v>108</v>
      </c>
      <c r="I2008" t="s">
        <v>101</v>
      </c>
      <c r="J2008">
        <v>9683.43</v>
      </c>
      <c r="K2008">
        <v>1000000</v>
      </c>
    </row>
    <row r="2009" spans="1:11" ht="15" customHeight="1" x14ac:dyDescent="0.2">
      <c r="A2009" t="s">
        <v>3350</v>
      </c>
      <c r="B2009" t="s">
        <v>315</v>
      </c>
      <c r="C2009">
        <v>2024</v>
      </c>
      <c r="D2009">
        <v>2024</v>
      </c>
      <c r="E2009" s="7">
        <v>45421</v>
      </c>
      <c r="F2009" s="7">
        <v>45785</v>
      </c>
      <c r="G2009" t="s">
        <v>135</v>
      </c>
      <c r="H2009" t="s">
        <v>110</v>
      </c>
      <c r="I2009" t="s">
        <v>101</v>
      </c>
      <c r="J2009">
        <v>18423.009999999998</v>
      </c>
      <c r="K2009">
        <v>2000000</v>
      </c>
    </row>
    <row r="2010" spans="1:11" ht="15" customHeight="1" x14ac:dyDescent="0.2">
      <c r="A2010" t="s">
        <v>3351</v>
      </c>
      <c r="B2010" t="s">
        <v>2685</v>
      </c>
      <c r="C2010">
        <v>2024</v>
      </c>
      <c r="D2010">
        <v>2024</v>
      </c>
      <c r="E2010" s="7">
        <v>45422</v>
      </c>
      <c r="F2010" s="7">
        <v>45786</v>
      </c>
      <c r="G2010" t="s">
        <v>99</v>
      </c>
      <c r="H2010" t="s">
        <v>102</v>
      </c>
      <c r="I2010" t="s">
        <v>101</v>
      </c>
      <c r="J2010">
        <v>15089.92</v>
      </c>
      <c r="K2010">
        <v>2000000</v>
      </c>
    </row>
    <row r="2011" spans="1:11" ht="15" customHeight="1" x14ac:dyDescent="0.2">
      <c r="A2011" t="s">
        <v>3353</v>
      </c>
      <c r="B2011" t="s">
        <v>2687</v>
      </c>
      <c r="C2011">
        <v>2024</v>
      </c>
      <c r="D2011">
        <v>2024</v>
      </c>
      <c r="E2011" s="7">
        <v>45422</v>
      </c>
      <c r="F2011" s="7">
        <v>45786</v>
      </c>
      <c r="G2011" t="s">
        <v>99</v>
      </c>
      <c r="H2011" t="s">
        <v>102</v>
      </c>
      <c r="I2011" t="s">
        <v>104</v>
      </c>
      <c r="J2011">
        <v>29831.27</v>
      </c>
      <c r="K2011">
        <v>5000000</v>
      </c>
    </row>
    <row r="2012" spans="1:11" ht="15" customHeight="1" x14ac:dyDescent="0.2">
      <c r="A2012" t="s">
        <v>3355</v>
      </c>
      <c r="B2012" t="s">
        <v>2689</v>
      </c>
      <c r="C2012">
        <v>2024</v>
      </c>
      <c r="D2012">
        <v>2024</v>
      </c>
      <c r="E2012" s="7">
        <v>45422</v>
      </c>
      <c r="F2012" s="7">
        <v>45786</v>
      </c>
      <c r="G2012" t="s">
        <v>99</v>
      </c>
      <c r="H2012" t="s">
        <v>107</v>
      </c>
      <c r="I2012" t="s">
        <v>101</v>
      </c>
      <c r="J2012">
        <v>10965.33</v>
      </c>
      <c r="K2012">
        <v>1500000</v>
      </c>
    </row>
    <row r="2013" spans="1:11" ht="15" customHeight="1" x14ac:dyDescent="0.2">
      <c r="A2013" t="s">
        <v>3357</v>
      </c>
      <c r="B2013" t="s">
        <v>2691</v>
      </c>
      <c r="C2013">
        <v>2024</v>
      </c>
      <c r="D2013">
        <v>2024</v>
      </c>
      <c r="E2013" s="7">
        <v>45422</v>
      </c>
      <c r="F2013" s="7">
        <v>45786</v>
      </c>
      <c r="G2013" t="s">
        <v>99</v>
      </c>
      <c r="H2013" t="s">
        <v>108</v>
      </c>
      <c r="I2013" t="s">
        <v>104</v>
      </c>
      <c r="J2013">
        <v>15583.78</v>
      </c>
      <c r="K2013">
        <v>2000000</v>
      </c>
    </row>
    <row r="2014" spans="1:11" ht="15" customHeight="1" x14ac:dyDescent="0.2">
      <c r="A2014" t="s">
        <v>3359</v>
      </c>
      <c r="B2014" t="s">
        <v>2693</v>
      </c>
      <c r="C2014">
        <v>2024</v>
      </c>
      <c r="D2014">
        <v>2024</v>
      </c>
      <c r="E2014" s="7">
        <v>45422</v>
      </c>
      <c r="F2014" s="7">
        <v>45786</v>
      </c>
      <c r="G2014" t="s">
        <v>99</v>
      </c>
      <c r="H2014" t="s">
        <v>102</v>
      </c>
      <c r="I2014" t="s">
        <v>104</v>
      </c>
      <c r="J2014">
        <v>5434.38</v>
      </c>
      <c r="K2014">
        <v>1000000</v>
      </c>
    </row>
    <row r="2015" spans="1:11" ht="15" customHeight="1" x14ac:dyDescent="0.2">
      <c r="A2015" t="s">
        <v>3361</v>
      </c>
      <c r="B2015" t="s">
        <v>2695</v>
      </c>
      <c r="C2015">
        <v>2024</v>
      </c>
      <c r="D2015">
        <v>2024</v>
      </c>
      <c r="E2015" s="7">
        <v>45422</v>
      </c>
      <c r="F2015" s="7">
        <v>45786</v>
      </c>
      <c r="G2015" t="s">
        <v>99</v>
      </c>
      <c r="H2015" t="s">
        <v>106</v>
      </c>
      <c r="I2015" t="s">
        <v>101</v>
      </c>
      <c r="J2015">
        <v>14653.47</v>
      </c>
      <c r="K2015">
        <v>1500000</v>
      </c>
    </row>
    <row r="2016" spans="1:11" ht="15" customHeight="1" x14ac:dyDescent="0.2">
      <c r="A2016" t="s">
        <v>3363</v>
      </c>
      <c r="B2016" t="s">
        <v>2704</v>
      </c>
      <c r="C2016">
        <v>2024</v>
      </c>
      <c r="D2016">
        <v>2024</v>
      </c>
      <c r="E2016" s="7">
        <v>45422</v>
      </c>
      <c r="F2016" s="7">
        <v>45786</v>
      </c>
      <c r="G2016" t="s">
        <v>99</v>
      </c>
      <c r="H2016" t="s">
        <v>106</v>
      </c>
      <c r="I2016" t="s">
        <v>101</v>
      </c>
      <c r="J2016">
        <v>8457.74</v>
      </c>
      <c r="K2016">
        <v>1000000</v>
      </c>
    </row>
    <row r="2017" spans="1:11" ht="15" customHeight="1" x14ac:dyDescent="0.2">
      <c r="A2017" t="s">
        <v>3365</v>
      </c>
      <c r="B2017" t="s">
        <v>6650</v>
      </c>
      <c r="C2017">
        <v>2024</v>
      </c>
      <c r="D2017">
        <v>2024</v>
      </c>
      <c r="E2017" s="7">
        <v>45422</v>
      </c>
      <c r="F2017" s="7">
        <v>45786</v>
      </c>
      <c r="G2017" t="s">
        <v>135</v>
      </c>
      <c r="H2017" t="s">
        <v>6332</v>
      </c>
      <c r="I2017" t="s">
        <v>101</v>
      </c>
      <c r="J2017">
        <v>10767.25</v>
      </c>
      <c r="K2017">
        <v>1500000</v>
      </c>
    </row>
    <row r="2018" spans="1:11" ht="15" customHeight="1" x14ac:dyDescent="0.2">
      <c r="A2018" t="s">
        <v>3367</v>
      </c>
      <c r="B2018" t="s">
        <v>528</v>
      </c>
      <c r="C2018">
        <v>2024</v>
      </c>
      <c r="D2018">
        <v>2024</v>
      </c>
      <c r="E2018" s="7">
        <v>45422</v>
      </c>
      <c r="F2018" s="7">
        <v>45786</v>
      </c>
      <c r="G2018" t="s">
        <v>135</v>
      </c>
      <c r="H2018" t="s">
        <v>102</v>
      </c>
      <c r="I2018" t="s">
        <v>104</v>
      </c>
      <c r="J2018">
        <v>5661.95</v>
      </c>
      <c r="K2018">
        <v>1000000</v>
      </c>
    </row>
    <row r="2019" spans="1:11" ht="15" customHeight="1" x14ac:dyDescent="0.2">
      <c r="A2019" t="s">
        <v>3368</v>
      </c>
      <c r="B2019" t="s">
        <v>6647</v>
      </c>
      <c r="C2019">
        <v>2024</v>
      </c>
      <c r="D2019">
        <v>2024</v>
      </c>
      <c r="E2019" s="7">
        <v>45422</v>
      </c>
      <c r="F2019" s="7">
        <v>45786</v>
      </c>
      <c r="G2019" t="s">
        <v>135</v>
      </c>
      <c r="H2019" t="s">
        <v>107</v>
      </c>
      <c r="I2019" t="s">
        <v>104</v>
      </c>
      <c r="J2019">
        <v>3063.86</v>
      </c>
      <c r="K2019">
        <v>500000</v>
      </c>
    </row>
    <row r="2020" spans="1:11" ht="15" customHeight="1" x14ac:dyDescent="0.2">
      <c r="A2020" t="s">
        <v>3369</v>
      </c>
      <c r="B2020" t="s">
        <v>852</v>
      </c>
      <c r="C2020">
        <v>2024</v>
      </c>
      <c r="D2020">
        <v>2024</v>
      </c>
      <c r="E2020" s="7">
        <v>45422</v>
      </c>
      <c r="F2020" s="7">
        <v>45786</v>
      </c>
      <c r="G2020" t="s">
        <v>135</v>
      </c>
      <c r="H2020" t="s">
        <v>107</v>
      </c>
      <c r="I2020" t="s">
        <v>101</v>
      </c>
      <c r="J2020">
        <v>10680.8</v>
      </c>
      <c r="K2020">
        <v>1500000</v>
      </c>
    </row>
    <row r="2021" spans="1:11" ht="15" customHeight="1" x14ac:dyDescent="0.2">
      <c r="A2021" t="s">
        <v>3370</v>
      </c>
      <c r="B2021" t="s">
        <v>8430</v>
      </c>
      <c r="C2021">
        <v>2024</v>
      </c>
      <c r="D2021">
        <v>2024</v>
      </c>
      <c r="E2021" s="7">
        <v>45422</v>
      </c>
      <c r="F2021" s="7">
        <v>45786</v>
      </c>
      <c r="G2021" t="s">
        <v>135</v>
      </c>
      <c r="H2021" t="s">
        <v>102</v>
      </c>
      <c r="I2021" t="s">
        <v>104</v>
      </c>
      <c r="J2021">
        <v>9462.43</v>
      </c>
      <c r="K2021">
        <v>1500000</v>
      </c>
    </row>
    <row r="2022" spans="1:11" ht="15" customHeight="1" x14ac:dyDescent="0.2">
      <c r="A2022" t="s">
        <v>3371</v>
      </c>
      <c r="B2022" t="s">
        <v>6649</v>
      </c>
      <c r="C2022">
        <v>2024</v>
      </c>
      <c r="D2022">
        <v>2024</v>
      </c>
      <c r="E2022" s="7">
        <v>45422</v>
      </c>
      <c r="F2022" s="7">
        <v>45786</v>
      </c>
      <c r="G2022" t="s">
        <v>135</v>
      </c>
      <c r="H2022" t="s">
        <v>115</v>
      </c>
      <c r="I2022" t="s">
        <v>101</v>
      </c>
      <c r="J2022">
        <v>15563.86</v>
      </c>
      <c r="K2022">
        <v>2000000</v>
      </c>
    </row>
    <row r="2023" spans="1:11" ht="15" customHeight="1" x14ac:dyDescent="0.2">
      <c r="A2023" t="s">
        <v>3372</v>
      </c>
      <c r="B2023" t="s">
        <v>8431</v>
      </c>
      <c r="C2023">
        <v>2024</v>
      </c>
      <c r="D2023">
        <v>2024</v>
      </c>
      <c r="E2023" s="7">
        <v>45422</v>
      </c>
      <c r="F2023" s="7">
        <v>45786</v>
      </c>
      <c r="G2023" t="s">
        <v>135</v>
      </c>
      <c r="H2023" t="s">
        <v>108</v>
      </c>
      <c r="I2023" t="s">
        <v>101</v>
      </c>
      <c r="J2023">
        <v>12547.19</v>
      </c>
      <c r="K2023">
        <v>1500000</v>
      </c>
    </row>
    <row r="2024" spans="1:11" ht="15" customHeight="1" x14ac:dyDescent="0.2">
      <c r="A2024" t="s">
        <v>3373</v>
      </c>
      <c r="B2024" t="s">
        <v>853</v>
      </c>
      <c r="C2024">
        <v>2024</v>
      </c>
      <c r="D2024">
        <v>2024</v>
      </c>
      <c r="E2024" s="7">
        <v>45422</v>
      </c>
      <c r="F2024" s="7">
        <v>45786</v>
      </c>
      <c r="G2024" t="s">
        <v>135</v>
      </c>
      <c r="H2024" t="s">
        <v>108</v>
      </c>
      <c r="I2024" t="s">
        <v>101</v>
      </c>
      <c r="J2024">
        <v>4919.3100000000004</v>
      </c>
      <c r="K2024">
        <v>500000</v>
      </c>
    </row>
    <row r="2025" spans="1:11" ht="15" customHeight="1" x14ac:dyDescent="0.2">
      <c r="A2025" t="s">
        <v>3374</v>
      </c>
      <c r="B2025" t="s">
        <v>8432</v>
      </c>
      <c r="C2025">
        <v>2024</v>
      </c>
      <c r="D2025">
        <v>2024</v>
      </c>
      <c r="E2025" s="7">
        <v>45422</v>
      </c>
      <c r="F2025" s="7">
        <v>45786</v>
      </c>
      <c r="G2025" t="s">
        <v>135</v>
      </c>
      <c r="H2025" t="s">
        <v>106</v>
      </c>
      <c r="I2025" t="s">
        <v>104</v>
      </c>
      <c r="J2025">
        <v>15365.98</v>
      </c>
      <c r="K2025">
        <v>2000000</v>
      </c>
    </row>
    <row r="2026" spans="1:11" ht="15" customHeight="1" x14ac:dyDescent="0.2">
      <c r="A2026" t="s">
        <v>3375</v>
      </c>
      <c r="B2026" t="s">
        <v>8433</v>
      </c>
      <c r="C2026">
        <v>2024</v>
      </c>
      <c r="D2026">
        <v>2024</v>
      </c>
      <c r="E2026" s="7">
        <v>45422</v>
      </c>
      <c r="F2026" s="7">
        <v>45786</v>
      </c>
      <c r="G2026" t="s">
        <v>135</v>
      </c>
      <c r="H2026" t="s">
        <v>109</v>
      </c>
      <c r="I2026" t="s">
        <v>104</v>
      </c>
      <c r="J2026">
        <v>27018.52</v>
      </c>
      <c r="K2026">
        <v>5000000</v>
      </c>
    </row>
    <row r="2027" spans="1:11" ht="15" customHeight="1" x14ac:dyDescent="0.2">
      <c r="A2027" t="s">
        <v>3376</v>
      </c>
      <c r="B2027" t="s">
        <v>8434</v>
      </c>
      <c r="C2027">
        <v>2024</v>
      </c>
      <c r="D2027">
        <v>2024</v>
      </c>
      <c r="E2027" s="7">
        <v>45422</v>
      </c>
      <c r="F2027" s="7">
        <v>45786</v>
      </c>
      <c r="G2027" t="s">
        <v>135</v>
      </c>
      <c r="H2027" t="s">
        <v>106</v>
      </c>
      <c r="I2027" t="s">
        <v>104</v>
      </c>
      <c r="J2027">
        <v>14125.57</v>
      </c>
      <c r="K2027">
        <v>2000000</v>
      </c>
    </row>
    <row r="2028" spans="1:11" ht="15" customHeight="1" x14ac:dyDescent="0.2">
      <c r="A2028" t="s">
        <v>3378</v>
      </c>
      <c r="B2028" t="s">
        <v>8435</v>
      </c>
      <c r="C2028">
        <v>2024</v>
      </c>
      <c r="D2028">
        <v>2024</v>
      </c>
      <c r="E2028" s="7">
        <v>45422</v>
      </c>
      <c r="F2028" s="7">
        <v>45786</v>
      </c>
      <c r="G2028" t="s">
        <v>135</v>
      </c>
      <c r="H2028" t="s">
        <v>106</v>
      </c>
      <c r="I2028" t="s">
        <v>104</v>
      </c>
      <c r="J2028">
        <v>14406.48</v>
      </c>
      <c r="K2028">
        <v>2000000</v>
      </c>
    </row>
    <row r="2029" spans="1:11" ht="15" customHeight="1" x14ac:dyDescent="0.2">
      <c r="A2029" t="s">
        <v>3380</v>
      </c>
      <c r="B2029" t="s">
        <v>6630</v>
      </c>
      <c r="C2029">
        <v>2024</v>
      </c>
      <c r="D2029">
        <v>2024</v>
      </c>
      <c r="E2029" s="7">
        <v>45422</v>
      </c>
      <c r="F2029" s="7">
        <v>45786</v>
      </c>
      <c r="G2029" t="s">
        <v>135</v>
      </c>
      <c r="H2029" t="s">
        <v>110</v>
      </c>
      <c r="I2029" t="s">
        <v>101</v>
      </c>
      <c r="J2029">
        <v>14178.6</v>
      </c>
      <c r="K2029">
        <v>1500000</v>
      </c>
    </row>
    <row r="2030" spans="1:11" ht="15" customHeight="1" x14ac:dyDescent="0.2">
      <c r="A2030" t="s">
        <v>3382</v>
      </c>
      <c r="B2030" t="s">
        <v>8436</v>
      </c>
      <c r="C2030">
        <v>2024</v>
      </c>
      <c r="D2030">
        <v>2024</v>
      </c>
      <c r="E2030" s="7">
        <v>45422</v>
      </c>
      <c r="F2030" s="7">
        <v>45786</v>
      </c>
      <c r="G2030" t="s">
        <v>135</v>
      </c>
      <c r="H2030" t="s">
        <v>106</v>
      </c>
      <c r="I2030" t="s">
        <v>101</v>
      </c>
      <c r="J2030">
        <v>43405.05</v>
      </c>
      <c r="K2030">
        <v>5000000</v>
      </c>
    </row>
    <row r="2031" spans="1:11" ht="15" customHeight="1" x14ac:dyDescent="0.2">
      <c r="A2031" t="s">
        <v>3384</v>
      </c>
      <c r="B2031" t="s">
        <v>8437</v>
      </c>
      <c r="C2031">
        <v>2024</v>
      </c>
      <c r="D2031">
        <v>2024</v>
      </c>
      <c r="E2031" s="7">
        <v>45422</v>
      </c>
      <c r="F2031" s="7">
        <v>45786</v>
      </c>
      <c r="G2031" t="s">
        <v>135</v>
      </c>
      <c r="H2031" t="s">
        <v>111</v>
      </c>
      <c r="I2031" t="s">
        <v>101</v>
      </c>
      <c r="J2031">
        <v>11429.29</v>
      </c>
      <c r="K2031">
        <v>1500000</v>
      </c>
    </row>
    <row r="2032" spans="1:11" ht="15" customHeight="1" x14ac:dyDescent="0.2">
      <c r="A2032" t="s">
        <v>3385</v>
      </c>
      <c r="B2032" t="s">
        <v>2706</v>
      </c>
      <c r="C2032">
        <v>2024</v>
      </c>
      <c r="D2032">
        <v>2024</v>
      </c>
      <c r="E2032" s="7">
        <v>45423</v>
      </c>
      <c r="F2032" s="7">
        <v>45787</v>
      </c>
      <c r="G2032" t="s">
        <v>99</v>
      </c>
      <c r="H2032" t="s">
        <v>115</v>
      </c>
      <c r="I2032" t="s">
        <v>101</v>
      </c>
      <c r="J2032">
        <v>7750.17</v>
      </c>
      <c r="K2032">
        <v>1000000</v>
      </c>
    </row>
    <row r="2033" spans="1:11" ht="15" customHeight="1" x14ac:dyDescent="0.2">
      <c r="A2033" t="s">
        <v>3386</v>
      </c>
      <c r="B2033" t="s">
        <v>2708</v>
      </c>
      <c r="C2033">
        <v>2024</v>
      </c>
      <c r="D2033">
        <v>2024</v>
      </c>
      <c r="E2033" s="7">
        <v>45423</v>
      </c>
      <c r="F2033" s="7">
        <v>45787</v>
      </c>
      <c r="G2033" t="s">
        <v>99</v>
      </c>
      <c r="H2033" t="s">
        <v>114</v>
      </c>
      <c r="I2033" t="s">
        <v>104</v>
      </c>
      <c r="J2033">
        <v>27298.05</v>
      </c>
      <c r="K2033">
        <v>5000000</v>
      </c>
    </row>
    <row r="2034" spans="1:11" ht="15" customHeight="1" x14ac:dyDescent="0.2">
      <c r="A2034" t="s">
        <v>3387</v>
      </c>
      <c r="B2034" t="s">
        <v>8438</v>
      </c>
      <c r="C2034">
        <v>2024</v>
      </c>
      <c r="D2034">
        <v>2024</v>
      </c>
      <c r="E2034" s="7">
        <v>45423</v>
      </c>
      <c r="F2034" s="7">
        <v>45787</v>
      </c>
      <c r="G2034" t="s">
        <v>135</v>
      </c>
      <c r="H2034" t="s">
        <v>106</v>
      </c>
      <c r="I2034" t="s">
        <v>104</v>
      </c>
      <c r="J2034">
        <v>13986.12</v>
      </c>
      <c r="K2034">
        <v>2000000</v>
      </c>
    </row>
    <row r="2035" spans="1:11" ht="15" customHeight="1" x14ac:dyDescent="0.2">
      <c r="A2035" t="s">
        <v>3388</v>
      </c>
      <c r="B2035" t="s">
        <v>8439</v>
      </c>
      <c r="C2035">
        <v>2024</v>
      </c>
      <c r="D2035">
        <v>2024</v>
      </c>
      <c r="E2035" s="7">
        <v>45423</v>
      </c>
      <c r="F2035" s="7">
        <v>45787</v>
      </c>
      <c r="G2035" t="s">
        <v>135</v>
      </c>
      <c r="H2035" t="s">
        <v>102</v>
      </c>
      <c r="I2035" t="s">
        <v>101</v>
      </c>
      <c r="J2035">
        <v>38106.47</v>
      </c>
      <c r="K2035">
        <v>5000000</v>
      </c>
    </row>
    <row r="2036" spans="1:11" ht="15" customHeight="1" x14ac:dyDescent="0.2">
      <c r="A2036" t="s">
        <v>3389</v>
      </c>
      <c r="B2036" t="s">
        <v>6655</v>
      </c>
      <c r="C2036">
        <v>2024</v>
      </c>
      <c r="D2036">
        <v>2024</v>
      </c>
      <c r="E2036" s="7">
        <v>45423</v>
      </c>
      <c r="F2036" s="7">
        <v>45787</v>
      </c>
      <c r="G2036" t="s">
        <v>135</v>
      </c>
      <c r="H2036" t="s">
        <v>102</v>
      </c>
      <c r="I2036" t="s">
        <v>104</v>
      </c>
      <c r="J2036">
        <v>60422.07</v>
      </c>
      <c r="K2036">
        <v>10000000</v>
      </c>
    </row>
    <row r="2037" spans="1:11" ht="15" customHeight="1" x14ac:dyDescent="0.2">
      <c r="A2037" t="s">
        <v>3390</v>
      </c>
      <c r="B2037" t="s">
        <v>8440</v>
      </c>
      <c r="C2037">
        <v>2024</v>
      </c>
      <c r="D2037">
        <v>2024</v>
      </c>
      <c r="E2037" s="7">
        <v>45423</v>
      </c>
      <c r="F2037" s="7">
        <v>45787</v>
      </c>
      <c r="G2037" t="s">
        <v>135</v>
      </c>
      <c r="H2037" t="s">
        <v>115</v>
      </c>
      <c r="I2037" t="s">
        <v>101</v>
      </c>
      <c r="J2037">
        <v>10953.63</v>
      </c>
      <c r="K2037">
        <v>1500000</v>
      </c>
    </row>
    <row r="2038" spans="1:11" ht="15" customHeight="1" x14ac:dyDescent="0.2">
      <c r="A2038" t="s">
        <v>3391</v>
      </c>
      <c r="B2038" t="s">
        <v>8441</v>
      </c>
      <c r="C2038">
        <v>2024</v>
      </c>
      <c r="D2038">
        <v>2024</v>
      </c>
      <c r="E2038" s="7">
        <v>45423</v>
      </c>
      <c r="F2038" s="7">
        <v>45787</v>
      </c>
      <c r="G2038" t="s">
        <v>135</v>
      </c>
      <c r="H2038" t="s">
        <v>6334</v>
      </c>
      <c r="I2038" t="s">
        <v>101</v>
      </c>
      <c r="J2038">
        <v>6887.81</v>
      </c>
      <c r="K2038">
        <v>1000000</v>
      </c>
    </row>
    <row r="2039" spans="1:11" ht="15" customHeight="1" x14ac:dyDescent="0.2">
      <c r="A2039" t="s">
        <v>3392</v>
      </c>
      <c r="B2039" t="s">
        <v>8442</v>
      </c>
      <c r="C2039">
        <v>2024</v>
      </c>
      <c r="D2039">
        <v>2024</v>
      </c>
      <c r="E2039" s="7">
        <v>45423</v>
      </c>
      <c r="F2039" s="7">
        <v>45787</v>
      </c>
      <c r="G2039" t="s">
        <v>135</v>
      </c>
      <c r="H2039" t="s">
        <v>102</v>
      </c>
      <c r="I2039" t="s">
        <v>101</v>
      </c>
      <c r="J2039">
        <v>10236.700000000001</v>
      </c>
      <c r="K2039">
        <v>1500000</v>
      </c>
    </row>
    <row r="2040" spans="1:11" ht="15" customHeight="1" x14ac:dyDescent="0.2">
      <c r="A2040" t="s">
        <v>3394</v>
      </c>
      <c r="B2040" t="s">
        <v>8443</v>
      </c>
      <c r="C2040">
        <v>2024</v>
      </c>
      <c r="D2040">
        <v>2024</v>
      </c>
      <c r="E2040" s="7">
        <v>45423</v>
      </c>
      <c r="F2040" s="7">
        <v>45787</v>
      </c>
      <c r="G2040" t="s">
        <v>135</v>
      </c>
      <c r="H2040" t="s">
        <v>108</v>
      </c>
      <c r="I2040" t="s">
        <v>101</v>
      </c>
      <c r="J2040">
        <v>9524.16</v>
      </c>
      <c r="K2040">
        <v>1000000</v>
      </c>
    </row>
    <row r="2041" spans="1:11" ht="15" customHeight="1" x14ac:dyDescent="0.2">
      <c r="A2041" t="s">
        <v>3396</v>
      </c>
      <c r="B2041" t="s">
        <v>154</v>
      </c>
      <c r="C2041">
        <v>2024</v>
      </c>
      <c r="D2041">
        <v>2024</v>
      </c>
      <c r="E2041" s="7">
        <v>45423</v>
      </c>
      <c r="F2041" s="7">
        <v>45787</v>
      </c>
      <c r="G2041" t="s">
        <v>135</v>
      </c>
      <c r="H2041" t="s">
        <v>107</v>
      </c>
      <c r="I2041" t="s">
        <v>101</v>
      </c>
      <c r="J2041">
        <v>11619.52</v>
      </c>
      <c r="K2041">
        <v>1500000</v>
      </c>
    </row>
    <row r="2042" spans="1:11" ht="15" customHeight="1" x14ac:dyDescent="0.2">
      <c r="A2042" t="s">
        <v>3398</v>
      </c>
      <c r="B2042" t="s">
        <v>316</v>
      </c>
      <c r="C2042">
        <v>2024</v>
      </c>
      <c r="D2042">
        <v>2024</v>
      </c>
      <c r="E2042" s="7">
        <v>45423</v>
      </c>
      <c r="F2042" s="7">
        <v>45787</v>
      </c>
      <c r="G2042" t="s">
        <v>135</v>
      </c>
      <c r="H2042" t="s">
        <v>106</v>
      </c>
      <c r="I2042" t="s">
        <v>101</v>
      </c>
      <c r="J2042">
        <v>19505.75</v>
      </c>
      <c r="K2042">
        <v>2000000</v>
      </c>
    </row>
    <row r="2043" spans="1:11" ht="15" customHeight="1" x14ac:dyDescent="0.2">
      <c r="A2043" t="s">
        <v>3400</v>
      </c>
      <c r="B2043" t="s">
        <v>8444</v>
      </c>
      <c r="C2043">
        <v>2024</v>
      </c>
      <c r="D2043">
        <v>2024</v>
      </c>
      <c r="E2043" s="7">
        <v>45423</v>
      </c>
      <c r="F2043" s="7">
        <v>45787</v>
      </c>
      <c r="G2043" t="s">
        <v>135</v>
      </c>
      <c r="H2043" t="s">
        <v>107</v>
      </c>
      <c r="I2043" t="s">
        <v>101</v>
      </c>
      <c r="J2043">
        <v>3679.14</v>
      </c>
      <c r="K2043">
        <v>500000</v>
      </c>
    </row>
    <row r="2044" spans="1:11" ht="15" customHeight="1" x14ac:dyDescent="0.2">
      <c r="A2044" t="s">
        <v>3402</v>
      </c>
      <c r="B2044" t="s">
        <v>8445</v>
      </c>
      <c r="C2044">
        <v>2024</v>
      </c>
      <c r="D2044">
        <v>2024</v>
      </c>
      <c r="E2044" s="7">
        <v>45423</v>
      </c>
      <c r="F2044" s="7">
        <v>45787</v>
      </c>
      <c r="G2044" t="s">
        <v>135</v>
      </c>
      <c r="H2044" t="s">
        <v>6348</v>
      </c>
      <c r="I2044" t="s">
        <v>101</v>
      </c>
      <c r="J2044">
        <v>71318.720000000001</v>
      </c>
      <c r="K2044">
        <v>10000000</v>
      </c>
    </row>
    <row r="2045" spans="1:11" ht="15" customHeight="1" x14ac:dyDescent="0.2">
      <c r="A2045" t="s">
        <v>3403</v>
      </c>
      <c r="B2045" t="s">
        <v>6701</v>
      </c>
      <c r="C2045">
        <v>2024</v>
      </c>
      <c r="D2045">
        <v>2024</v>
      </c>
      <c r="E2045" s="7">
        <v>45423</v>
      </c>
      <c r="F2045" s="7">
        <v>45787</v>
      </c>
      <c r="G2045" t="s">
        <v>135</v>
      </c>
      <c r="H2045" t="s">
        <v>107</v>
      </c>
      <c r="I2045" t="s">
        <v>104</v>
      </c>
      <c r="J2045">
        <v>8666.4699999999993</v>
      </c>
      <c r="K2045">
        <v>1500000</v>
      </c>
    </row>
    <row r="2046" spans="1:11" ht="15" customHeight="1" x14ac:dyDescent="0.2">
      <c r="A2046" t="s">
        <v>3404</v>
      </c>
      <c r="B2046" t="s">
        <v>6656</v>
      </c>
      <c r="C2046">
        <v>2024</v>
      </c>
      <c r="D2046">
        <v>2024</v>
      </c>
      <c r="E2046" s="7">
        <v>45423</v>
      </c>
      <c r="F2046" s="7">
        <v>45787</v>
      </c>
      <c r="G2046" t="s">
        <v>135</v>
      </c>
      <c r="H2046" t="s">
        <v>102</v>
      </c>
      <c r="I2046" t="s">
        <v>104</v>
      </c>
      <c r="J2046">
        <v>30221.08</v>
      </c>
      <c r="K2046">
        <v>5000000</v>
      </c>
    </row>
    <row r="2047" spans="1:11" ht="15" customHeight="1" x14ac:dyDescent="0.2">
      <c r="A2047" t="s">
        <v>3405</v>
      </c>
      <c r="B2047" t="s">
        <v>8446</v>
      </c>
      <c r="C2047">
        <v>2024</v>
      </c>
      <c r="D2047">
        <v>2024</v>
      </c>
      <c r="E2047" s="7">
        <v>45423</v>
      </c>
      <c r="F2047" s="7">
        <v>45787</v>
      </c>
      <c r="G2047" t="s">
        <v>135</v>
      </c>
      <c r="H2047" t="s">
        <v>113</v>
      </c>
      <c r="I2047" t="s">
        <v>104</v>
      </c>
      <c r="J2047">
        <v>5371.61</v>
      </c>
      <c r="K2047">
        <v>1000000</v>
      </c>
    </row>
    <row r="2048" spans="1:11" ht="15" customHeight="1" x14ac:dyDescent="0.2">
      <c r="A2048" t="s">
        <v>3406</v>
      </c>
      <c r="B2048" t="s">
        <v>8447</v>
      </c>
      <c r="C2048">
        <v>2024</v>
      </c>
      <c r="D2048">
        <v>2024</v>
      </c>
      <c r="E2048" s="7">
        <v>45423</v>
      </c>
      <c r="F2048" s="7">
        <v>45787</v>
      </c>
      <c r="G2048" t="s">
        <v>135</v>
      </c>
      <c r="H2048" t="s">
        <v>106</v>
      </c>
      <c r="I2048" t="s">
        <v>104</v>
      </c>
      <c r="J2048">
        <v>10847.48</v>
      </c>
      <c r="K2048">
        <v>1500000</v>
      </c>
    </row>
    <row r="2049" spans="1:11" ht="15" customHeight="1" x14ac:dyDescent="0.2">
      <c r="A2049" t="s">
        <v>3407</v>
      </c>
      <c r="B2049" t="s">
        <v>854</v>
      </c>
      <c r="C2049">
        <v>2024</v>
      </c>
      <c r="D2049">
        <v>2024</v>
      </c>
      <c r="E2049" s="7">
        <v>45423</v>
      </c>
      <c r="F2049" s="7">
        <v>45787</v>
      </c>
      <c r="G2049" t="s">
        <v>135</v>
      </c>
      <c r="H2049" t="s">
        <v>110</v>
      </c>
      <c r="I2049" t="s">
        <v>101</v>
      </c>
      <c r="J2049">
        <v>13848.77</v>
      </c>
      <c r="K2049">
        <v>1500000</v>
      </c>
    </row>
    <row r="2050" spans="1:11" ht="15" customHeight="1" x14ac:dyDescent="0.2">
      <c r="A2050" t="s">
        <v>3408</v>
      </c>
      <c r="B2050" t="s">
        <v>6693</v>
      </c>
      <c r="C2050">
        <v>2024</v>
      </c>
      <c r="D2050">
        <v>2024</v>
      </c>
      <c r="E2050" s="7">
        <v>45423</v>
      </c>
      <c r="F2050" s="7">
        <v>45787</v>
      </c>
      <c r="G2050" t="s">
        <v>135</v>
      </c>
      <c r="H2050" t="s">
        <v>108</v>
      </c>
      <c r="I2050" t="s">
        <v>104</v>
      </c>
      <c r="J2050">
        <v>77375.09</v>
      </c>
      <c r="K2050">
        <v>10000000</v>
      </c>
    </row>
    <row r="2051" spans="1:11" ht="15" customHeight="1" x14ac:dyDescent="0.2">
      <c r="A2051" t="s">
        <v>3410</v>
      </c>
      <c r="B2051" t="s">
        <v>2710</v>
      </c>
      <c r="C2051">
        <v>2024</v>
      </c>
      <c r="D2051">
        <v>2024</v>
      </c>
      <c r="E2051" s="7">
        <v>45424</v>
      </c>
      <c r="F2051" s="7">
        <v>45788</v>
      </c>
      <c r="G2051" t="s">
        <v>99</v>
      </c>
      <c r="H2051" t="s">
        <v>112</v>
      </c>
      <c r="I2051" t="s">
        <v>104</v>
      </c>
      <c r="J2051">
        <v>3437.95</v>
      </c>
      <c r="K2051">
        <v>500000</v>
      </c>
    </row>
    <row r="2052" spans="1:11" ht="15" customHeight="1" x14ac:dyDescent="0.2">
      <c r="A2052" t="s">
        <v>3412</v>
      </c>
      <c r="B2052" t="s">
        <v>8448</v>
      </c>
      <c r="C2052">
        <v>2024</v>
      </c>
      <c r="D2052">
        <v>2024</v>
      </c>
      <c r="E2052" s="7">
        <v>45424</v>
      </c>
      <c r="F2052" s="7">
        <v>45788</v>
      </c>
      <c r="G2052" t="s">
        <v>135</v>
      </c>
      <c r="H2052" t="s">
        <v>107</v>
      </c>
      <c r="I2052" t="s">
        <v>104</v>
      </c>
      <c r="J2052">
        <v>5280.02</v>
      </c>
      <c r="K2052">
        <v>1000000</v>
      </c>
    </row>
    <row r="2053" spans="1:11" ht="15" customHeight="1" x14ac:dyDescent="0.2">
      <c r="A2053" t="s">
        <v>3415</v>
      </c>
      <c r="B2053" t="s">
        <v>855</v>
      </c>
      <c r="C2053">
        <v>2024</v>
      </c>
      <c r="D2053">
        <v>2024</v>
      </c>
      <c r="E2053" s="7">
        <v>45424</v>
      </c>
      <c r="F2053" s="7">
        <v>45788</v>
      </c>
      <c r="G2053" t="s">
        <v>135</v>
      </c>
      <c r="H2053" t="s">
        <v>111</v>
      </c>
      <c r="I2053" t="s">
        <v>104</v>
      </c>
      <c r="J2053">
        <v>11117.44</v>
      </c>
      <c r="K2053">
        <v>2000000</v>
      </c>
    </row>
    <row r="2054" spans="1:11" ht="15" customHeight="1" x14ac:dyDescent="0.2">
      <c r="A2054" t="s">
        <v>3416</v>
      </c>
      <c r="B2054" t="s">
        <v>529</v>
      </c>
      <c r="C2054">
        <v>2024</v>
      </c>
      <c r="D2054">
        <v>2024</v>
      </c>
      <c r="E2054" s="7">
        <v>45424</v>
      </c>
      <c r="F2054" s="7">
        <v>45788</v>
      </c>
      <c r="G2054" t="s">
        <v>135</v>
      </c>
      <c r="H2054" t="s">
        <v>114</v>
      </c>
      <c r="I2054" t="s">
        <v>104</v>
      </c>
      <c r="J2054">
        <v>5771.21</v>
      </c>
      <c r="K2054">
        <v>1000000</v>
      </c>
    </row>
    <row r="2055" spans="1:11" ht="15" customHeight="1" x14ac:dyDescent="0.2">
      <c r="A2055" t="s">
        <v>3417</v>
      </c>
      <c r="B2055" t="s">
        <v>8449</v>
      </c>
      <c r="C2055">
        <v>2024</v>
      </c>
      <c r="D2055">
        <v>2024</v>
      </c>
      <c r="E2055" s="7">
        <v>45424</v>
      </c>
      <c r="F2055" s="7">
        <v>45788</v>
      </c>
      <c r="G2055" t="s">
        <v>135</v>
      </c>
      <c r="H2055" t="s">
        <v>116</v>
      </c>
      <c r="I2055" t="s">
        <v>104</v>
      </c>
      <c r="J2055">
        <v>10680.47</v>
      </c>
      <c r="K2055">
        <v>2000000</v>
      </c>
    </row>
    <row r="2056" spans="1:11" ht="15" customHeight="1" x14ac:dyDescent="0.2">
      <c r="A2056" t="s">
        <v>3418</v>
      </c>
      <c r="B2056" t="s">
        <v>6652</v>
      </c>
      <c r="C2056">
        <v>2024</v>
      </c>
      <c r="D2056">
        <v>2024</v>
      </c>
      <c r="E2056" s="7">
        <v>45424</v>
      </c>
      <c r="F2056" s="7">
        <v>45788</v>
      </c>
      <c r="G2056" t="s">
        <v>135</v>
      </c>
      <c r="H2056" t="s">
        <v>6332</v>
      </c>
      <c r="I2056" t="s">
        <v>101</v>
      </c>
      <c r="J2056">
        <v>36173.94</v>
      </c>
      <c r="K2056">
        <v>5000000</v>
      </c>
    </row>
    <row r="2057" spans="1:11" ht="15" customHeight="1" x14ac:dyDescent="0.2">
      <c r="A2057" t="s">
        <v>3419</v>
      </c>
      <c r="B2057" t="s">
        <v>8450</v>
      </c>
      <c r="C2057">
        <v>2024</v>
      </c>
      <c r="D2057">
        <v>2024</v>
      </c>
      <c r="E2057" s="7">
        <v>45424</v>
      </c>
      <c r="F2057" s="7">
        <v>45788</v>
      </c>
      <c r="G2057" t="s">
        <v>135</v>
      </c>
      <c r="H2057" t="s">
        <v>110</v>
      </c>
      <c r="I2057" t="s">
        <v>104</v>
      </c>
      <c r="J2057">
        <v>7704.6</v>
      </c>
      <c r="K2057">
        <v>1000000</v>
      </c>
    </row>
    <row r="2058" spans="1:11" ht="15" customHeight="1" x14ac:dyDescent="0.2">
      <c r="A2058" t="s">
        <v>3420</v>
      </c>
      <c r="B2058" t="s">
        <v>317</v>
      </c>
      <c r="C2058">
        <v>2024</v>
      </c>
      <c r="D2058">
        <v>2024</v>
      </c>
      <c r="E2058" s="7">
        <v>45424</v>
      </c>
      <c r="F2058" s="7">
        <v>45788</v>
      </c>
      <c r="G2058" t="s">
        <v>135</v>
      </c>
      <c r="H2058" t="s">
        <v>6334</v>
      </c>
      <c r="I2058" t="s">
        <v>104</v>
      </c>
      <c r="J2058">
        <v>6085.17</v>
      </c>
      <c r="K2058">
        <v>1000000</v>
      </c>
    </row>
    <row r="2059" spans="1:11" ht="15" customHeight="1" x14ac:dyDescent="0.2">
      <c r="A2059" t="s">
        <v>3421</v>
      </c>
      <c r="B2059" t="s">
        <v>8451</v>
      </c>
      <c r="C2059">
        <v>2024</v>
      </c>
      <c r="D2059">
        <v>2024</v>
      </c>
      <c r="E2059" s="7">
        <v>45424</v>
      </c>
      <c r="F2059" s="7">
        <v>45788</v>
      </c>
      <c r="G2059" t="s">
        <v>135</v>
      </c>
      <c r="H2059" t="s">
        <v>116</v>
      </c>
      <c r="I2059" t="s">
        <v>101</v>
      </c>
      <c r="J2059">
        <v>6492.38</v>
      </c>
      <c r="K2059">
        <v>1000000</v>
      </c>
    </row>
    <row r="2060" spans="1:11" ht="15" customHeight="1" x14ac:dyDescent="0.2">
      <c r="A2060" t="s">
        <v>3422</v>
      </c>
      <c r="B2060" t="s">
        <v>8452</v>
      </c>
      <c r="C2060">
        <v>2024</v>
      </c>
      <c r="D2060">
        <v>2024</v>
      </c>
      <c r="E2060" s="7">
        <v>45424</v>
      </c>
      <c r="F2060" s="7">
        <v>45788</v>
      </c>
      <c r="G2060" t="s">
        <v>135</v>
      </c>
      <c r="H2060" t="s">
        <v>110</v>
      </c>
      <c r="I2060" t="s">
        <v>101</v>
      </c>
      <c r="J2060">
        <v>14678.93</v>
      </c>
      <c r="K2060">
        <v>1500000</v>
      </c>
    </row>
    <row r="2061" spans="1:11" ht="15" customHeight="1" x14ac:dyDescent="0.2">
      <c r="A2061" t="s">
        <v>3423</v>
      </c>
      <c r="B2061" t="s">
        <v>8453</v>
      </c>
      <c r="C2061">
        <v>2024</v>
      </c>
      <c r="D2061">
        <v>2024</v>
      </c>
      <c r="E2061" s="7">
        <v>45424</v>
      </c>
      <c r="F2061" s="7">
        <v>45788</v>
      </c>
      <c r="G2061" t="s">
        <v>135</v>
      </c>
      <c r="H2061" t="s">
        <v>107</v>
      </c>
      <c r="I2061" t="s">
        <v>101</v>
      </c>
      <c r="J2061">
        <v>39077.339999999997</v>
      </c>
      <c r="K2061">
        <v>5000000</v>
      </c>
    </row>
    <row r="2062" spans="1:11" ht="15" customHeight="1" x14ac:dyDescent="0.2">
      <c r="A2062" t="s">
        <v>3425</v>
      </c>
      <c r="B2062" t="s">
        <v>6634</v>
      </c>
      <c r="C2062">
        <v>2024</v>
      </c>
      <c r="D2062">
        <v>2024</v>
      </c>
      <c r="E2062" s="7">
        <v>45424</v>
      </c>
      <c r="F2062" s="7">
        <v>45788</v>
      </c>
      <c r="G2062" t="s">
        <v>135</v>
      </c>
      <c r="H2062" t="s">
        <v>113</v>
      </c>
      <c r="I2062" t="s">
        <v>104</v>
      </c>
      <c r="J2062">
        <v>8344.7199999999993</v>
      </c>
      <c r="K2062">
        <v>1500000</v>
      </c>
    </row>
    <row r="2063" spans="1:11" ht="15" customHeight="1" x14ac:dyDescent="0.2">
      <c r="A2063" t="s">
        <v>3427</v>
      </c>
      <c r="B2063" t="s">
        <v>2712</v>
      </c>
      <c r="C2063">
        <v>2024</v>
      </c>
      <c r="D2063">
        <v>2024</v>
      </c>
      <c r="E2063" s="7">
        <v>45425</v>
      </c>
      <c r="F2063" s="7">
        <v>45789</v>
      </c>
      <c r="G2063" t="s">
        <v>99</v>
      </c>
      <c r="H2063" t="s">
        <v>116</v>
      </c>
      <c r="I2063" t="s">
        <v>104</v>
      </c>
      <c r="J2063">
        <v>5802.78</v>
      </c>
      <c r="K2063">
        <v>1000000</v>
      </c>
    </row>
    <row r="2064" spans="1:11" ht="15" customHeight="1" x14ac:dyDescent="0.2">
      <c r="A2064" t="s">
        <v>3429</v>
      </c>
      <c r="B2064" t="s">
        <v>2714</v>
      </c>
      <c r="C2064">
        <v>2024</v>
      </c>
      <c r="D2064">
        <v>2024</v>
      </c>
      <c r="E2064" s="7">
        <v>45425</v>
      </c>
      <c r="F2064" s="7">
        <v>45789</v>
      </c>
      <c r="G2064" t="s">
        <v>99</v>
      </c>
      <c r="H2064" t="s">
        <v>107</v>
      </c>
      <c r="I2064" t="s">
        <v>101</v>
      </c>
      <c r="J2064">
        <v>7148.63</v>
      </c>
      <c r="K2064">
        <v>1000000</v>
      </c>
    </row>
    <row r="2065" spans="1:11" ht="15" customHeight="1" x14ac:dyDescent="0.2">
      <c r="A2065" t="s">
        <v>3431</v>
      </c>
      <c r="B2065" t="s">
        <v>2716</v>
      </c>
      <c r="C2065">
        <v>2024</v>
      </c>
      <c r="D2065">
        <v>2024</v>
      </c>
      <c r="E2065" s="7">
        <v>45425</v>
      </c>
      <c r="F2065" s="7">
        <v>45789</v>
      </c>
      <c r="G2065" t="s">
        <v>99</v>
      </c>
      <c r="H2065" t="s">
        <v>6348</v>
      </c>
      <c r="I2065" t="s">
        <v>101</v>
      </c>
      <c r="J2065">
        <v>32682.79</v>
      </c>
      <c r="K2065">
        <v>5000000</v>
      </c>
    </row>
    <row r="2066" spans="1:11" ht="15" customHeight="1" x14ac:dyDescent="0.2">
      <c r="A2066" t="s">
        <v>3433</v>
      </c>
      <c r="B2066" t="s">
        <v>8454</v>
      </c>
      <c r="C2066">
        <v>2024</v>
      </c>
      <c r="D2066">
        <v>2024</v>
      </c>
      <c r="E2066" s="7">
        <v>45425</v>
      </c>
      <c r="F2066" s="7">
        <v>45789</v>
      </c>
      <c r="G2066" t="s">
        <v>135</v>
      </c>
      <c r="H2066" t="s">
        <v>102</v>
      </c>
      <c r="I2066" t="s">
        <v>104</v>
      </c>
      <c r="J2066">
        <v>5659.46</v>
      </c>
      <c r="K2066">
        <v>1000000</v>
      </c>
    </row>
    <row r="2067" spans="1:11" ht="15" customHeight="1" x14ac:dyDescent="0.2">
      <c r="A2067" t="s">
        <v>3435</v>
      </c>
      <c r="B2067" t="s">
        <v>8455</v>
      </c>
      <c r="C2067">
        <v>2024</v>
      </c>
      <c r="D2067">
        <v>2024</v>
      </c>
      <c r="E2067" s="7">
        <v>45425</v>
      </c>
      <c r="F2067" s="7">
        <v>45789</v>
      </c>
      <c r="G2067" t="s">
        <v>135</v>
      </c>
      <c r="H2067" t="s">
        <v>102</v>
      </c>
      <c r="I2067" t="s">
        <v>104</v>
      </c>
      <c r="J2067">
        <v>2942.2</v>
      </c>
      <c r="K2067">
        <v>500000</v>
      </c>
    </row>
    <row r="2068" spans="1:11" ht="15" customHeight="1" x14ac:dyDescent="0.2">
      <c r="A2068" t="s">
        <v>3437</v>
      </c>
      <c r="B2068" t="s">
        <v>8456</v>
      </c>
      <c r="C2068">
        <v>2024</v>
      </c>
      <c r="D2068">
        <v>2024</v>
      </c>
      <c r="E2068" s="7">
        <v>45425</v>
      </c>
      <c r="F2068" s="7">
        <v>45789</v>
      </c>
      <c r="G2068" t="s">
        <v>135</v>
      </c>
      <c r="H2068" t="s">
        <v>6332</v>
      </c>
      <c r="I2068" t="s">
        <v>101</v>
      </c>
      <c r="J2068">
        <v>12986.24</v>
      </c>
      <c r="K2068">
        <v>2000000</v>
      </c>
    </row>
    <row r="2069" spans="1:11" ht="15" customHeight="1" x14ac:dyDescent="0.2">
      <c r="A2069" t="s">
        <v>3439</v>
      </c>
      <c r="B2069" t="s">
        <v>6637</v>
      </c>
      <c r="C2069">
        <v>2024</v>
      </c>
      <c r="D2069">
        <v>2024</v>
      </c>
      <c r="E2069" s="7">
        <v>45425</v>
      </c>
      <c r="F2069" s="7">
        <v>45789</v>
      </c>
      <c r="G2069" t="s">
        <v>135</v>
      </c>
      <c r="H2069" t="s">
        <v>111</v>
      </c>
      <c r="I2069" t="s">
        <v>104</v>
      </c>
      <c r="J2069">
        <v>7937.81</v>
      </c>
      <c r="K2069">
        <v>1500000</v>
      </c>
    </row>
    <row r="2070" spans="1:11" ht="15" customHeight="1" x14ac:dyDescent="0.2">
      <c r="A2070" t="s">
        <v>3440</v>
      </c>
      <c r="B2070" t="s">
        <v>6636</v>
      </c>
      <c r="C2070">
        <v>2024</v>
      </c>
      <c r="D2070">
        <v>2024</v>
      </c>
      <c r="E2070" s="7">
        <v>45425</v>
      </c>
      <c r="F2070" s="7">
        <v>45789</v>
      </c>
      <c r="G2070" t="s">
        <v>135</v>
      </c>
      <c r="H2070" t="s">
        <v>105</v>
      </c>
      <c r="I2070" t="s">
        <v>101</v>
      </c>
      <c r="J2070">
        <v>13975.45</v>
      </c>
      <c r="K2070">
        <v>2000000</v>
      </c>
    </row>
    <row r="2071" spans="1:11" ht="15" customHeight="1" x14ac:dyDescent="0.2">
      <c r="A2071" t="s">
        <v>3441</v>
      </c>
      <c r="B2071" t="s">
        <v>8457</v>
      </c>
      <c r="C2071">
        <v>2024</v>
      </c>
      <c r="D2071">
        <v>2024</v>
      </c>
      <c r="E2071" s="7">
        <v>45425</v>
      </c>
      <c r="F2071" s="7">
        <v>45789</v>
      </c>
      <c r="G2071" t="s">
        <v>135</v>
      </c>
      <c r="H2071" t="s">
        <v>110</v>
      </c>
      <c r="I2071" t="s">
        <v>104</v>
      </c>
      <c r="J2071">
        <v>10562.6</v>
      </c>
      <c r="K2071">
        <v>1500000</v>
      </c>
    </row>
    <row r="2072" spans="1:11" ht="15" customHeight="1" x14ac:dyDescent="0.2">
      <c r="A2072" t="s">
        <v>3442</v>
      </c>
      <c r="B2072" t="s">
        <v>856</v>
      </c>
      <c r="C2072">
        <v>2024</v>
      </c>
      <c r="D2072">
        <v>2024</v>
      </c>
      <c r="E2072" s="7">
        <v>45425</v>
      </c>
      <c r="F2072" s="7">
        <v>45789</v>
      </c>
      <c r="G2072" t="s">
        <v>135</v>
      </c>
      <c r="H2072" t="s">
        <v>106</v>
      </c>
      <c r="I2072" t="s">
        <v>104</v>
      </c>
      <c r="J2072">
        <v>6825.35</v>
      </c>
      <c r="K2072">
        <v>1000000</v>
      </c>
    </row>
    <row r="2073" spans="1:11" ht="15" customHeight="1" x14ac:dyDescent="0.2">
      <c r="A2073" t="s">
        <v>3443</v>
      </c>
      <c r="B2073" t="s">
        <v>8458</v>
      </c>
      <c r="C2073">
        <v>2024</v>
      </c>
      <c r="D2073">
        <v>2024</v>
      </c>
      <c r="E2073" s="7">
        <v>45425</v>
      </c>
      <c r="F2073" s="7">
        <v>45789</v>
      </c>
      <c r="G2073" t="s">
        <v>135</v>
      </c>
      <c r="H2073" t="s">
        <v>106</v>
      </c>
      <c r="I2073" t="s">
        <v>101</v>
      </c>
      <c r="J2073">
        <v>44051.65</v>
      </c>
      <c r="K2073">
        <v>5000000</v>
      </c>
    </row>
    <row r="2074" spans="1:11" ht="15" customHeight="1" x14ac:dyDescent="0.2">
      <c r="A2074" t="s">
        <v>3444</v>
      </c>
      <c r="B2074" t="s">
        <v>6657</v>
      </c>
      <c r="C2074">
        <v>2024</v>
      </c>
      <c r="D2074">
        <v>2024</v>
      </c>
      <c r="E2074" s="7">
        <v>45425</v>
      </c>
      <c r="F2074" s="7">
        <v>45789</v>
      </c>
      <c r="G2074" t="s">
        <v>135</v>
      </c>
      <c r="H2074" t="s">
        <v>112</v>
      </c>
      <c r="I2074" t="s">
        <v>101</v>
      </c>
      <c r="J2074">
        <v>9793.6200000000008</v>
      </c>
      <c r="K2074">
        <v>1000000</v>
      </c>
    </row>
    <row r="2075" spans="1:11" ht="15" customHeight="1" x14ac:dyDescent="0.2">
      <c r="A2075" t="s">
        <v>3446</v>
      </c>
      <c r="B2075" t="s">
        <v>8459</v>
      </c>
      <c r="C2075">
        <v>2024</v>
      </c>
      <c r="D2075">
        <v>2024</v>
      </c>
      <c r="E2075" s="7">
        <v>45425</v>
      </c>
      <c r="F2075" s="7">
        <v>45789</v>
      </c>
      <c r="G2075" t="s">
        <v>135</v>
      </c>
      <c r="H2075" t="s">
        <v>102</v>
      </c>
      <c r="I2075" t="s">
        <v>101</v>
      </c>
      <c r="J2075">
        <v>13778.53</v>
      </c>
      <c r="K2075">
        <v>2000000</v>
      </c>
    </row>
    <row r="2076" spans="1:11" ht="15" customHeight="1" x14ac:dyDescent="0.2">
      <c r="A2076" t="s">
        <v>3448</v>
      </c>
      <c r="B2076" t="s">
        <v>2718</v>
      </c>
      <c r="C2076">
        <v>2024</v>
      </c>
      <c r="D2076">
        <v>2024</v>
      </c>
      <c r="E2076" s="7">
        <v>45426</v>
      </c>
      <c r="F2076" s="7">
        <v>45790</v>
      </c>
      <c r="G2076" t="s">
        <v>99</v>
      </c>
      <c r="H2076" t="s">
        <v>106</v>
      </c>
      <c r="I2076" t="s">
        <v>104</v>
      </c>
      <c r="J2076">
        <v>15312.26</v>
      </c>
      <c r="K2076">
        <v>2000000</v>
      </c>
    </row>
    <row r="2077" spans="1:11" ht="15" customHeight="1" x14ac:dyDescent="0.2">
      <c r="A2077" t="s">
        <v>3450</v>
      </c>
      <c r="B2077" t="s">
        <v>2720</v>
      </c>
      <c r="C2077">
        <v>2024</v>
      </c>
      <c r="D2077">
        <v>2024</v>
      </c>
      <c r="E2077" s="7">
        <v>45426</v>
      </c>
      <c r="F2077" s="7">
        <v>45790</v>
      </c>
      <c r="G2077" t="s">
        <v>99</v>
      </c>
      <c r="H2077" t="s">
        <v>106</v>
      </c>
      <c r="I2077" t="s">
        <v>104</v>
      </c>
      <c r="J2077">
        <v>10071.280000000001</v>
      </c>
      <c r="K2077">
        <v>1500000</v>
      </c>
    </row>
    <row r="2078" spans="1:11" ht="15" customHeight="1" x14ac:dyDescent="0.2">
      <c r="A2078" t="s">
        <v>3452</v>
      </c>
      <c r="B2078" t="s">
        <v>2734</v>
      </c>
      <c r="C2078">
        <v>2024</v>
      </c>
      <c r="D2078">
        <v>2024</v>
      </c>
      <c r="E2078" s="7">
        <v>45426</v>
      </c>
      <c r="F2078" s="7">
        <v>45790</v>
      </c>
      <c r="G2078" t="s">
        <v>99</v>
      </c>
      <c r="H2078" t="s">
        <v>115</v>
      </c>
      <c r="I2078" t="s">
        <v>101</v>
      </c>
      <c r="J2078">
        <v>38050.660000000003</v>
      </c>
      <c r="K2078">
        <v>5000000</v>
      </c>
    </row>
    <row r="2079" spans="1:11" ht="15" customHeight="1" x14ac:dyDescent="0.2">
      <c r="A2079" t="s">
        <v>3454</v>
      </c>
      <c r="B2079" t="s">
        <v>2736</v>
      </c>
      <c r="C2079">
        <v>2024</v>
      </c>
      <c r="D2079">
        <v>2024</v>
      </c>
      <c r="E2079" s="7">
        <v>45426</v>
      </c>
      <c r="F2079" s="7">
        <v>45790</v>
      </c>
      <c r="G2079" t="s">
        <v>99</v>
      </c>
      <c r="H2079" t="s">
        <v>102</v>
      </c>
      <c r="I2079" t="s">
        <v>104</v>
      </c>
      <c r="J2079">
        <v>8030.62</v>
      </c>
      <c r="K2079">
        <v>1500000</v>
      </c>
    </row>
    <row r="2080" spans="1:11" ht="15" customHeight="1" x14ac:dyDescent="0.2">
      <c r="A2080" t="s">
        <v>3456</v>
      </c>
      <c r="B2080" t="s">
        <v>8460</v>
      </c>
      <c r="C2080">
        <v>2024</v>
      </c>
      <c r="D2080">
        <v>2024</v>
      </c>
      <c r="E2080" s="7">
        <v>45426</v>
      </c>
      <c r="F2080" s="7">
        <v>45790</v>
      </c>
      <c r="G2080" t="s">
        <v>135</v>
      </c>
      <c r="H2080" t="s">
        <v>106</v>
      </c>
      <c r="I2080" t="s">
        <v>104</v>
      </c>
      <c r="J2080">
        <v>10011.93</v>
      </c>
      <c r="K2080">
        <v>1500000</v>
      </c>
    </row>
    <row r="2081" spans="1:11" ht="15" customHeight="1" x14ac:dyDescent="0.2">
      <c r="A2081" t="s">
        <v>3457</v>
      </c>
      <c r="B2081" t="s">
        <v>6631</v>
      </c>
      <c r="C2081">
        <v>2024</v>
      </c>
      <c r="D2081">
        <v>2024</v>
      </c>
      <c r="E2081" s="7">
        <v>45426</v>
      </c>
      <c r="F2081" s="7">
        <v>45790</v>
      </c>
      <c r="G2081" t="s">
        <v>135</v>
      </c>
      <c r="H2081" t="s">
        <v>108</v>
      </c>
      <c r="I2081" t="s">
        <v>101</v>
      </c>
      <c r="J2081">
        <v>16380.86</v>
      </c>
      <c r="K2081">
        <v>2000000</v>
      </c>
    </row>
    <row r="2082" spans="1:11" ht="15" customHeight="1" x14ac:dyDescent="0.2">
      <c r="A2082" t="s">
        <v>3458</v>
      </c>
      <c r="B2082" t="s">
        <v>8461</v>
      </c>
      <c r="C2082">
        <v>2024</v>
      </c>
      <c r="D2082">
        <v>2024</v>
      </c>
      <c r="E2082" s="7">
        <v>45426</v>
      </c>
      <c r="F2082" s="7">
        <v>45790</v>
      </c>
      <c r="G2082" t="s">
        <v>135</v>
      </c>
      <c r="H2082" t="s">
        <v>102</v>
      </c>
      <c r="I2082" t="s">
        <v>101</v>
      </c>
      <c r="J2082">
        <v>6501.36</v>
      </c>
      <c r="K2082">
        <v>1000000</v>
      </c>
    </row>
    <row r="2083" spans="1:11" ht="15" customHeight="1" x14ac:dyDescent="0.2">
      <c r="A2083" t="s">
        <v>3459</v>
      </c>
      <c r="B2083" t="s">
        <v>7253</v>
      </c>
      <c r="C2083">
        <v>2024</v>
      </c>
      <c r="D2083">
        <v>2024</v>
      </c>
      <c r="E2083" s="7">
        <v>45426</v>
      </c>
      <c r="F2083" s="7">
        <v>45790</v>
      </c>
      <c r="G2083" t="s">
        <v>135</v>
      </c>
      <c r="H2083" t="s">
        <v>108</v>
      </c>
      <c r="I2083" t="s">
        <v>101</v>
      </c>
      <c r="J2083">
        <v>4120.67</v>
      </c>
      <c r="K2083">
        <v>500000</v>
      </c>
    </row>
    <row r="2084" spans="1:11" ht="15" customHeight="1" x14ac:dyDescent="0.2">
      <c r="A2084" t="s">
        <v>3460</v>
      </c>
      <c r="B2084" t="s">
        <v>2738</v>
      </c>
      <c r="C2084">
        <v>2024</v>
      </c>
      <c r="D2084">
        <v>2024</v>
      </c>
      <c r="E2084" s="7">
        <v>45427</v>
      </c>
      <c r="F2084" s="7">
        <v>45791</v>
      </c>
      <c r="G2084" t="s">
        <v>99</v>
      </c>
      <c r="H2084" t="s">
        <v>103</v>
      </c>
      <c r="I2084" t="s">
        <v>101</v>
      </c>
      <c r="J2084">
        <v>14564</v>
      </c>
      <c r="K2084">
        <v>2000000</v>
      </c>
    </row>
    <row r="2085" spans="1:11" ht="15" customHeight="1" x14ac:dyDescent="0.2">
      <c r="A2085" t="s">
        <v>3461</v>
      </c>
      <c r="B2085" t="s">
        <v>2740</v>
      </c>
      <c r="C2085">
        <v>2024</v>
      </c>
      <c r="D2085">
        <v>2024</v>
      </c>
      <c r="E2085" s="7">
        <v>45427</v>
      </c>
      <c r="F2085" s="7">
        <v>45791</v>
      </c>
      <c r="G2085" t="s">
        <v>99</v>
      </c>
      <c r="H2085" t="s">
        <v>105</v>
      </c>
      <c r="I2085" t="s">
        <v>101</v>
      </c>
      <c r="J2085">
        <v>3937.07</v>
      </c>
      <c r="K2085">
        <v>500000</v>
      </c>
    </row>
    <row r="2086" spans="1:11" ht="15" customHeight="1" x14ac:dyDescent="0.2">
      <c r="A2086" t="s">
        <v>3462</v>
      </c>
      <c r="B2086" t="s">
        <v>2742</v>
      </c>
      <c r="C2086">
        <v>2024</v>
      </c>
      <c r="D2086">
        <v>2024</v>
      </c>
      <c r="E2086" s="7">
        <v>45427</v>
      </c>
      <c r="F2086" s="7">
        <v>45791</v>
      </c>
      <c r="G2086" t="s">
        <v>99</v>
      </c>
      <c r="H2086" t="s">
        <v>107</v>
      </c>
      <c r="I2086" t="s">
        <v>101</v>
      </c>
      <c r="J2086">
        <v>11664.81</v>
      </c>
      <c r="K2086">
        <v>1500000</v>
      </c>
    </row>
    <row r="2087" spans="1:11" ht="15" customHeight="1" x14ac:dyDescent="0.2">
      <c r="A2087" t="s">
        <v>3463</v>
      </c>
      <c r="B2087" t="s">
        <v>6641</v>
      </c>
      <c r="C2087">
        <v>2024</v>
      </c>
      <c r="D2087">
        <v>2024</v>
      </c>
      <c r="E2087" s="7">
        <v>45427</v>
      </c>
      <c r="F2087" s="7">
        <v>45791</v>
      </c>
      <c r="G2087" t="s">
        <v>135</v>
      </c>
      <c r="H2087" t="s">
        <v>105</v>
      </c>
      <c r="I2087" t="s">
        <v>101</v>
      </c>
      <c r="J2087">
        <v>7218.44</v>
      </c>
      <c r="K2087">
        <v>1000000</v>
      </c>
    </row>
    <row r="2088" spans="1:11" ht="15" customHeight="1" x14ac:dyDescent="0.2">
      <c r="A2088" t="s">
        <v>3464</v>
      </c>
      <c r="B2088" t="s">
        <v>6673</v>
      </c>
      <c r="C2088">
        <v>2024</v>
      </c>
      <c r="D2088">
        <v>2024</v>
      </c>
      <c r="E2088" s="7">
        <v>45427</v>
      </c>
      <c r="F2088" s="7">
        <v>45791</v>
      </c>
      <c r="G2088" t="s">
        <v>135</v>
      </c>
      <c r="H2088" t="s">
        <v>6334</v>
      </c>
      <c r="I2088" t="s">
        <v>101</v>
      </c>
      <c r="J2088">
        <v>14386.17</v>
      </c>
      <c r="K2088">
        <v>2000000</v>
      </c>
    </row>
    <row r="2089" spans="1:11" ht="15" customHeight="1" x14ac:dyDescent="0.2">
      <c r="A2089" t="s">
        <v>3465</v>
      </c>
      <c r="B2089" t="s">
        <v>6640</v>
      </c>
      <c r="C2089">
        <v>2024</v>
      </c>
      <c r="D2089">
        <v>2024</v>
      </c>
      <c r="E2089" s="7">
        <v>45427</v>
      </c>
      <c r="F2089" s="7">
        <v>45791</v>
      </c>
      <c r="G2089" t="s">
        <v>135</v>
      </c>
      <c r="H2089" t="s">
        <v>102</v>
      </c>
      <c r="I2089" t="s">
        <v>101</v>
      </c>
      <c r="J2089">
        <v>13158.09</v>
      </c>
      <c r="K2089">
        <v>2000000</v>
      </c>
    </row>
    <row r="2090" spans="1:11" ht="15" customHeight="1" x14ac:dyDescent="0.2">
      <c r="A2090" t="s">
        <v>3466</v>
      </c>
      <c r="B2090" t="s">
        <v>318</v>
      </c>
      <c r="C2090">
        <v>2024</v>
      </c>
      <c r="D2090">
        <v>2024</v>
      </c>
      <c r="E2090" s="7">
        <v>45427</v>
      </c>
      <c r="F2090" s="7">
        <v>45791</v>
      </c>
      <c r="G2090" t="s">
        <v>135</v>
      </c>
      <c r="H2090" t="s">
        <v>107</v>
      </c>
      <c r="I2090" t="s">
        <v>104</v>
      </c>
      <c r="J2090">
        <v>57446.69</v>
      </c>
      <c r="K2090">
        <v>10000000</v>
      </c>
    </row>
    <row r="2091" spans="1:11" ht="15" customHeight="1" x14ac:dyDescent="0.2">
      <c r="A2091" t="s">
        <v>3467</v>
      </c>
      <c r="B2091" t="s">
        <v>8462</v>
      </c>
      <c r="C2091">
        <v>2024</v>
      </c>
      <c r="D2091">
        <v>2024</v>
      </c>
      <c r="E2091" s="7">
        <v>45427</v>
      </c>
      <c r="F2091" s="7">
        <v>45791</v>
      </c>
      <c r="G2091" t="s">
        <v>135</v>
      </c>
      <c r="H2091" t="s">
        <v>108</v>
      </c>
      <c r="I2091" t="s">
        <v>101</v>
      </c>
      <c r="J2091">
        <v>4433.1400000000003</v>
      </c>
      <c r="K2091">
        <v>500000</v>
      </c>
    </row>
    <row r="2092" spans="1:11" ht="15" customHeight="1" x14ac:dyDescent="0.2">
      <c r="A2092" t="s">
        <v>3469</v>
      </c>
      <c r="B2092" t="s">
        <v>6644</v>
      </c>
      <c r="C2092">
        <v>2024</v>
      </c>
      <c r="D2092">
        <v>2024</v>
      </c>
      <c r="E2092" s="7">
        <v>45427</v>
      </c>
      <c r="F2092" s="7">
        <v>45791</v>
      </c>
      <c r="G2092" t="s">
        <v>135</v>
      </c>
      <c r="H2092" t="s">
        <v>100</v>
      </c>
      <c r="I2092" t="s">
        <v>104</v>
      </c>
      <c r="J2092">
        <v>8288.9</v>
      </c>
      <c r="K2092">
        <v>1500000</v>
      </c>
    </row>
    <row r="2093" spans="1:11" ht="15" customHeight="1" x14ac:dyDescent="0.2">
      <c r="A2093" t="s">
        <v>3471</v>
      </c>
      <c r="B2093" t="s">
        <v>6638</v>
      </c>
      <c r="C2093">
        <v>2024</v>
      </c>
      <c r="D2093">
        <v>2024</v>
      </c>
      <c r="E2093" s="7">
        <v>45427</v>
      </c>
      <c r="F2093" s="7">
        <v>45791</v>
      </c>
      <c r="G2093" t="s">
        <v>135</v>
      </c>
      <c r="H2093" t="s">
        <v>6332</v>
      </c>
      <c r="I2093" t="s">
        <v>101</v>
      </c>
      <c r="J2093">
        <v>3324.28</v>
      </c>
      <c r="K2093">
        <v>500000</v>
      </c>
    </row>
    <row r="2094" spans="1:11" ht="15" customHeight="1" x14ac:dyDescent="0.2">
      <c r="A2094" t="s">
        <v>3473</v>
      </c>
      <c r="B2094" t="s">
        <v>8463</v>
      </c>
      <c r="C2094">
        <v>2024</v>
      </c>
      <c r="D2094">
        <v>2024</v>
      </c>
      <c r="E2094" s="7">
        <v>45427</v>
      </c>
      <c r="F2094" s="7">
        <v>45791</v>
      </c>
      <c r="G2094" t="s">
        <v>135</v>
      </c>
      <c r="H2094" t="s">
        <v>106</v>
      </c>
      <c r="I2094" t="s">
        <v>101</v>
      </c>
      <c r="J2094">
        <v>93498.6</v>
      </c>
      <c r="K2094">
        <v>10000000</v>
      </c>
    </row>
    <row r="2095" spans="1:11" ht="15" customHeight="1" x14ac:dyDescent="0.2">
      <c r="A2095" t="s">
        <v>3474</v>
      </c>
      <c r="B2095" t="s">
        <v>8464</v>
      </c>
      <c r="C2095">
        <v>2024</v>
      </c>
      <c r="D2095">
        <v>2024</v>
      </c>
      <c r="E2095" s="7">
        <v>45427</v>
      </c>
      <c r="F2095" s="7">
        <v>45791</v>
      </c>
      <c r="G2095" t="s">
        <v>135</v>
      </c>
      <c r="H2095" t="s">
        <v>106</v>
      </c>
      <c r="I2095" t="s">
        <v>104</v>
      </c>
      <c r="J2095">
        <v>11111.5</v>
      </c>
      <c r="K2095">
        <v>1500000</v>
      </c>
    </row>
    <row r="2096" spans="1:11" ht="15" customHeight="1" x14ac:dyDescent="0.2">
      <c r="A2096" t="s">
        <v>3475</v>
      </c>
      <c r="B2096" t="s">
        <v>8465</v>
      </c>
      <c r="C2096">
        <v>2024</v>
      </c>
      <c r="D2096">
        <v>2024</v>
      </c>
      <c r="E2096" s="7">
        <v>45427</v>
      </c>
      <c r="F2096" s="7">
        <v>45791</v>
      </c>
      <c r="G2096" t="s">
        <v>135</v>
      </c>
      <c r="H2096" t="s">
        <v>107</v>
      </c>
      <c r="I2096" t="s">
        <v>104</v>
      </c>
      <c r="J2096">
        <v>53124.22</v>
      </c>
      <c r="K2096">
        <v>10000000</v>
      </c>
    </row>
    <row r="2097" spans="1:11" ht="15" customHeight="1" x14ac:dyDescent="0.2">
      <c r="A2097" t="s">
        <v>3476</v>
      </c>
      <c r="B2097" t="s">
        <v>857</v>
      </c>
      <c r="C2097">
        <v>2024</v>
      </c>
      <c r="D2097">
        <v>2024</v>
      </c>
      <c r="E2097" s="7">
        <v>45427</v>
      </c>
      <c r="F2097" s="7">
        <v>45791</v>
      </c>
      <c r="G2097" t="s">
        <v>135</v>
      </c>
      <c r="H2097" t="s">
        <v>103</v>
      </c>
      <c r="I2097" t="s">
        <v>104</v>
      </c>
      <c r="J2097">
        <v>5680.59</v>
      </c>
      <c r="K2097">
        <v>1000000</v>
      </c>
    </row>
    <row r="2098" spans="1:11" ht="15" customHeight="1" x14ac:dyDescent="0.2">
      <c r="A2098" t="s">
        <v>3477</v>
      </c>
      <c r="B2098" t="s">
        <v>8466</v>
      </c>
      <c r="C2098">
        <v>2024</v>
      </c>
      <c r="D2098">
        <v>2024</v>
      </c>
      <c r="E2098" s="7">
        <v>45427</v>
      </c>
      <c r="F2098" s="7">
        <v>45791</v>
      </c>
      <c r="G2098" t="s">
        <v>135</v>
      </c>
      <c r="H2098" t="s">
        <v>113</v>
      </c>
      <c r="I2098" t="s">
        <v>101</v>
      </c>
      <c r="J2098">
        <v>10423.959999999999</v>
      </c>
      <c r="K2098">
        <v>1500000</v>
      </c>
    </row>
    <row r="2099" spans="1:11" ht="15" customHeight="1" x14ac:dyDescent="0.2">
      <c r="A2099" t="s">
        <v>3478</v>
      </c>
      <c r="B2099" t="s">
        <v>6642</v>
      </c>
      <c r="C2099">
        <v>2024</v>
      </c>
      <c r="D2099">
        <v>2024</v>
      </c>
      <c r="E2099" s="7">
        <v>45427</v>
      </c>
      <c r="F2099" s="7">
        <v>45791</v>
      </c>
      <c r="G2099" t="s">
        <v>135</v>
      </c>
      <c r="H2099" t="s">
        <v>107</v>
      </c>
      <c r="I2099" t="s">
        <v>101</v>
      </c>
      <c r="J2099">
        <v>6706.97</v>
      </c>
      <c r="K2099">
        <v>1000000</v>
      </c>
    </row>
    <row r="2100" spans="1:11" ht="15" customHeight="1" x14ac:dyDescent="0.2">
      <c r="A2100" t="s">
        <v>3479</v>
      </c>
      <c r="B2100" t="s">
        <v>8467</v>
      </c>
      <c r="C2100">
        <v>2024</v>
      </c>
      <c r="D2100">
        <v>2024</v>
      </c>
      <c r="E2100" s="7">
        <v>45427</v>
      </c>
      <c r="F2100" s="7">
        <v>45791</v>
      </c>
      <c r="G2100" t="s">
        <v>135</v>
      </c>
      <c r="H2100" t="s">
        <v>102</v>
      </c>
      <c r="I2100" t="s">
        <v>104</v>
      </c>
      <c r="J2100">
        <v>5172.26</v>
      </c>
      <c r="K2100">
        <v>1000000</v>
      </c>
    </row>
    <row r="2101" spans="1:11" ht="15" customHeight="1" x14ac:dyDescent="0.2">
      <c r="A2101" t="s">
        <v>3480</v>
      </c>
      <c r="B2101" t="s">
        <v>2744</v>
      </c>
      <c r="C2101">
        <v>2024</v>
      </c>
      <c r="D2101">
        <v>2024</v>
      </c>
      <c r="E2101" s="7">
        <v>45428</v>
      </c>
      <c r="F2101" s="7">
        <v>45792</v>
      </c>
      <c r="G2101" t="s">
        <v>99</v>
      </c>
      <c r="H2101" t="s">
        <v>116</v>
      </c>
      <c r="I2101" t="s">
        <v>104</v>
      </c>
      <c r="J2101">
        <v>6174.02</v>
      </c>
      <c r="K2101">
        <v>1000000</v>
      </c>
    </row>
    <row r="2102" spans="1:11" ht="15" customHeight="1" x14ac:dyDescent="0.2">
      <c r="A2102" t="s">
        <v>3481</v>
      </c>
      <c r="B2102" t="s">
        <v>2754</v>
      </c>
      <c r="C2102">
        <v>2024</v>
      </c>
      <c r="D2102">
        <v>2024</v>
      </c>
      <c r="E2102" s="7">
        <v>45428</v>
      </c>
      <c r="F2102" s="7">
        <v>45792</v>
      </c>
      <c r="G2102" t="s">
        <v>99</v>
      </c>
      <c r="H2102" t="s">
        <v>109</v>
      </c>
      <c r="I2102" t="s">
        <v>104</v>
      </c>
      <c r="J2102">
        <v>60219.49</v>
      </c>
      <c r="K2102">
        <v>10000000</v>
      </c>
    </row>
    <row r="2103" spans="1:11" ht="15" customHeight="1" x14ac:dyDescent="0.2">
      <c r="A2103" t="s">
        <v>3482</v>
      </c>
      <c r="B2103" t="s">
        <v>2756</v>
      </c>
      <c r="C2103">
        <v>2024</v>
      </c>
      <c r="D2103">
        <v>2024</v>
      </c>
      <c r="E2103" s="7">
        <v>45428</v>
      </c>
      <c r="F2103" s="7">
        <v>45792</v>
      </c>
      <c r="G2103" t="s">
        <v>99</v>
      </c>
      <c r="H2103" t="s">
        <v>106</v>
      </c>
      <c r="I2103" t="s">
        <v>101</v>
      </c>
      <c r="J2103">
        <v>83133.39</v>
      </c>
      <c r="K2103">
        <v>10000000</v>
      </c>
    </row>
    <row r="2104" spans="1:11" ht="15" customHeight="1" x14ac:dyDescent="0.2">
      <c r="A2104" t="s">
        <v>3483</v>
      </c>
      <c r="B2104" t="s">
        <v>6660</v>
      </c>
      <c r="C2104">
        <v>2024</v>
      </c>
      <c r="D2104">
        <v>2024</v>
      </c>
      <c r="E2104" s="7">
        <v>45428</v>
      </c>
      <c r="F2104" s="7">
        <v>45792</v>
      </c>
      <c r="G2104" t="s">
        <v>135</v>
      </c>
      <c r="H2104" t="s">
        <v>108</v>
      </c>
      <c r="I2104" t="s">
        <v>101</v>
      </c>
      <c r="J2104">
        <v>17851.490000000002</v>
      </c>
      <c r="K2104">
        <v>2000000</v>
      </c>
    </row>
    <row r="2105" spans="1:11" ht="15" customHeight="1" x14ac:dyDescent="0.2">
      <c r="A2105" t="s">
        <v>3485</v>
      </c>
      <c r="B2105" t="s">
        <v>6668</v>
      </c>
      <c r="C2105">
        <v>2024</v>
      </c>
      <c r="D2105">
        <v>2024</v>
      </c>
      <c r="E2105" s="7">
        <v>45428</v>
      </c>
      <c r="F2105" s="7">
        <v>45792</v>
      </c>
      <c r="G2105" t="s">
        <v>135</v>
      </c>
      <c r="H2105" t="s">
        <v>110</v>
      </c>
      <c r="I2105" t="s">
        <v>101</v>
      </c>
      <c r="J2105">
        <v>42012.33</v>
      </c>
      <c r="K2105">
        <v>5000000</v>
      </c>
    </row>
    <row r="2106" spans="1:11" ht="15" customHeight="1" x14ac:dyDescent="0.2">
      <c r="A2106" t="s">
        <v>3487</v>
      </c>
      <c r="B2106" t="s">
        <v>6667</v>
      </c>
      <c r="C2106">
        <v>2024</v>
      </c>
      <c r="D2106">
        <v>2024</v>
      </c>
      <c r="E2106" s="7">
        <v>45428</v>
      </c>
      <c r="F2106" s="7">
        <v>45792</v>
      </c>
      <c r="G2106" t="s">
        <v>135</v>
      </c>
      <c r="H2106" t="s">
        <v>107</v>
      </c>
      <c r="I2106" t="s">
        <v>101</v>
      </c>
      <c r="J2106">
        <v>10246.07</v>
      </c>
      <c r="K2106">
        <v>1500000</v>
      </c>
    </row>
    <row r="2107" spans="1:11" ht="15" customHeight="1" x14ac:dyDescent="0.2">
      <c r="A2107" t="s">
        <v>3489</v>
      </c>
      <c r="B2107" t="s">
        <v>531</v>
      </c>
      <c r="C2107">
        <v>2024</v>
      </c>
      <c r="D2107">
        <v>2024</v>
      </c>
      <c r="E2107" s="7">
        <v>45428</v>
      </c>
      <c r="F2107" s="7">
        <v>45792</v>
      </c>
      <c r="G2107" t="s">
        <v>135</v>
      </c>
      <c r="H2107" t="s">
        <v>102</v>
      </c>
      <c r="I2107" t="s">
        <v>101</v>
      </c>
      <c r="J2107">
        <v>6772.29</v>
      </c>
      <c r="K2107">
        <v>1000000</v>
      </c>
    </row>
    <row r="2108" spans="1:11" ht="15" customHeight="1" x14ac:dyDescent="0.2">
      <c r="A2108" t="s">
        <v>3490</v>
      </c>
      <c r="B2108" t="s">
        <v>8468</v>
      </c>
      <c r="C2108">
        <v>2024</v>
      </c>
      <c r="D2108">
        <v>2024</v>
      </c>
      <c r="E2108" s="7">
        <v>45428</v>
      </c>
      <c r="F2108" s="7">
        <v>45792</v>
      </c>
      <c r="G2108" t="s">
        <v>135</v>
      </c>
      <c r="H2108" t="s">
        <v>116</v>
      </c>
      <c r="I2108" t="s">
        <v>104</v>
      </c>
      <c r="J2108">
        <v>5486.68</v>
      </c>
      <c r="K2108">
        <v>1000000</v>
      </c>
    </row>
    <row r="2109" spans="1:11" ht="15" customHeight="1" x14ac:dyDescent="0.2">
      <c r="A2109" t="s">
        <v>3491</v>
      </c>
      <c r="B2109" t="s">
        <v>6664</v>
      </c>
      <c r="C2109">
        <v>2024</v>
      </c>
      <c r="D2109">
        <v>2024</v>
      </c>
      <c r="E2109" s="7">
        <v>45428</v>
      </c>
      <c r="F2109" s="7">
        <v>45792</v>
      </c>
      <c r="G2109" t="s">
        <v>135</v>
      </c>
      <c r="H2109" t="s">
        <v>103</v>
      </c>
      <c r="I2109" t="s">
        <v>101</v>
      </c>
      <c r="J2109">
        <v>9696.7000000000007</v>
      </c>
      <c r="K2109">
        <v>1500000</v>
      </c>
    </row>
    <row r="2110" spans="1:11" ht="15" customHeight="1" x14ac:dyDescent="0.2">
      <c r="A2110" t="s">
        <v>3492</v>
      </c>
      <c r="B2110" t="s">
        <v>6645</v>
      </c>
      <c r="C2110">
        <v>2024</v>
      </c>
      <c r="D2110">
        <v>2024</v>
      </c>
      <c r="E2110" s="7">
        <v>45428</v>
      </c>
      <c r="F2110" s="7">
        <v>45792</v>
      </c>
      <c r="G2110" t="s">
        <v>135</v>
      </c>
      <c r="H2110" t="s">
        <v>107</v>
      </c>
      <c r="I2110" t="s">
        <v>104</v>
      </c>
      <c r="J2110">
        <v>2913.78</v>
      </c>
      <c r="K2110">
        <v>500000</v>
      </c>
    </row>
    <row r="2111" spans="1:11" ht="15" customHeight="1" x14ac:dyDescent="0.2">
      <c r="A2111" t="s">
        <v>3493</v>
      </c>
      <c r="B2111" t="s">
        <v>155</v>
      </c>
      <c r="C2111">
        <v>2024</v>
      </c>
      <c r="D2111">
        <v>2024</v>
      </c>
      <c r="E2111" s="7">
        <v>45428</v>
      </c>
      <c r="F2111" s="7">
        <v>45792</v>
      </c>
      <c r="G2111" t="s">
        <v>135</v>
      </c>
      <c r="H2111" t="s">
        <v>106</v>
      </c>
      <c r="I2111" t="s">
        <v>101</v>
      </c>
      <c r="J2111">
        <v>48043.09</v>
      </c>
      <c r="K2111">
        <v>5000000</v>
      </c>
    </row>
    <row r="2112" spans="1:11" ht="15" customHeight="1" x14ac:dyDescent="0.2">
      <c r="A2112" t="s">
        <v>3494</v>
      </c>
      <c r="B2112" t="s">
        <v>858</v>
      </c>
      <c r="C2112">
        <v>2024</v>
      </c>
      <c r="D2112">
        <v>2024</v>
      </c>
      <c r="E2112" s="7">
        <v>45428</v>
      </c>
      <c r="F2112" s="7">
        <v>45792</v>
      </c>
      <c r="G2112" t="s">
        <v>135</v>
      </c>
      <c r="H2112" t="s">
        <v>107</v>
      </c>
      <c r="I2112" t="s">
        <v>104</v>
      </c>
      <c r="J2112">
        <v>6128.45</v>
      </c>
      <c r="K2112">
        <v>1000000</v>
      </c>
    </row>
    <row r="2113" spans="1:11" ht="15" customHeight="1" x14ac:dyDescent="0.2">
      <c r="A2113" t="s">
        <v>3495</v>
      </c>
      <c r="B2113" t="s">
        <v>6659</v>
      </c>
      <c r="C2113">
        <v>2024</v>
      </c>
      <c r="D2113">
        <v>2024</v>
      </c>
      <c r="E2113" s="7">
        <v>45428</v>
      </c>
      <c r="F2113" s="7">
        <v>45792</v>
      </c>
      <c r="G2113" t="s">
        <v>135</v>
      </c>
      <c r="H2113" t="s">
        <v>102</v>
      </c>
      <c r="I2113" t="s">
        <v>101</v>
      </c>
      <c r="J2113">
        <v>6932.34</v>
      </c>
      <c r="K2113">
        <v>1000000</v>
      </c>
    </row>
    <row r="2114" spans="1:11" ht="15" customHeight="1" x14ac:dyDescent="0.2">
      <c r="A2114" t="s">
        <v>3496</v>
      </c>
      <c r="B2114" t="s">
        <v>8469</v>
      </c>
      <c r="C2114">
        <v>2024</v>
      </c>
      <c r="D2114">
        <v>2024</v>
      </c>
      <c r="E2114" s="7">
        <v>45428</v>
      </c>
      <c r="F2114" s="7">
        <v>45792</v>
      </c>
      <c r="G2114" t="s">
        <v>135</v>
      </c>
      <c r="H2114" t="s">
        <v>108</v>
      </c>
      <c r="I2114" t="s">
        <v>101</v>
      </c>
      <c r="J2114">
        <v>12737.35</v>
      </c>
      <c r="K2114">
        <v>1500000</v>
      </c>
    </row>
    <row r="2115" spans="1:11" ht="15" customHeight="1" x14ac:dyDescent="0.2">
      <c r="A2115" t="s">
        <v>3497</v>
      </c>
      <c r="B2115" t="s">
        <v>8470</v>
      </c>
      <c r="C2115">
        <v>2024</v>
      </c>
      <c r="D2115">
        <v>2024</v>
      </c>
      <c r="E2115" s="7">
        <v>45428</v>
      </c>
      <c r="F2115" s="7">
        <v>45792</v>
      </c>
      <c r="G2115" t="s">
        <v>135</v>
      </c>
      <c r="H2115" t="s">
        <v>108</v>
      </c>
      <c r="I2115" t="s">
        <v>101</v>
      </c>
      <c r="J2115">
        <v>87392.47</v>
      </c>
      <c r="K2115">
        <v>10000000</v>
      </c>
    </row>
    <row r="2116" spans="1:11" ht="15" customHeight="1" x14ac:dyDescent="0.2">
      <c r="A2116" t="s">
        <v>3498</v>
      </c>
      <c r="B2116" t="s">
        <v>6708</v>
      </c>
      <c r="C2116">
        <v>2024</v>
      </c>
      <c r="D2116">
        <v>2024</v>
      </c>
      <c r="E2116" s="7">
        <v>45428</v>
      </c>
      <c r="F2116" s="7">
        <v>45792</v>
      </c>
      <c r="G2116" t="s">
        <v>135</v>
      </c>
      <c r="H2116" t="s">
        <v>115</v>
      </c>
      <c r="I2116" t="s">
        <v>104</v>
      </c>
      <c r="J2116">
        <v>5714.4</v>
      </c>
      <c r="K2116">
        <v>1000000</v>
      </c>
    </row>
    <row r="2117" spans="1:11" ht="15" customHeight="1" x14ac:dyDescent="0.2">
      <c r="A2117" t="s">
        <v>3499</v>
      </c>
      <c r="B2117" t="s">
        <v>530</v>
      </c>
      <c r="C2117">
        <v>2024</v>
      </c>
      <c r="D2117">
        <v>2024</v>
      </c>
      <c r="E2117" s="7">
        <v>45428</v>
      </c>
      <c r="F2117" s="7">
        <v>45792</v>
      </c>
      <c r="G2117" t="s">
        <v>135</v>
      </c>
      <c r="H2117" t="s">
        <v>100</v>
      </c>
      <c r="I2117" t="s">
        <v>101</v>
      </c>
      <c r="J2117">
        <v>74212.41</v>
      </c>
      <c r="K2117">
        <v>10000000</v>
      </c>
    </row>
    <row r="2118" spans="1:11" ht="15" customHeight="1" x14ac:dyDescent="0.2">
      <c r="A2118" t="s">
        <v>3500</v>
      </c>
      <c r="B2118" t="s">
        <v>6648</v>
      </c>
      <c r="C2118">
        <v>2024</v>
      </c>
      <c r="D2118">
        <v>2024</v>
      </c>
      <c r="E2118" s="7">
        <v>45428</v>
      </c>
      <c r="F2118" s="7">
        <v>45792</v>
      </c>
      <c r="G2118" t="s">
        <v>135</v>
      </c>
      <c r="H2118" t="s">
        <v>103</v>
      </c>
      <c r="I2118" t="s">
        <v>104</v>
      </c>
      <c r="J2118">
        <v>8742.7900000000009</v>
      </c>
      <c r="K2118">
        <v>1500000</v>
      </c>
    </row>
    <row r="2119" spans="1:11" ht="15" customHeight="1" x14ac:dyDescent="0.2">
      <c r="A2119" t="s">
        <v>3502</v>
      </c>
      <c r="B2119" t="s">
        <v>8471</v>
      </c>
      <c r="C2119">
        <v>2024</v>
      </c>
      <c r="D2119">
        <v>2024</v>
      </c>
      <c r="E2119" s="7">
        <v>45428</v>
      </c>
      <c r="F2119" s="7">
        <v>45792</v>
      </c>
      <c r="G2119" t="s">
        <v>135</v>
      </c>
      <c r="H2119" t="s">
        <v>6337</v>
      </c>
      <c r="I2119" t="s">
        <v>104</v>
      </c>
      <c r="J2119">
        <v>8081.19</v>
      </c>
      <c r="K2119">
        <v>1500000</v>
      </c>
    </row>
    <row r="2120" spans="1:11" ht="15" customHeight="1" x14ac:dyDescent="0.2">
      <c r="A2120" t="s">
        <v>3503</v>
      </c>
      <c r="B2120" t="s">
        <v>8472</v>
      </c>
      <c r="C2120">
        <v>2024</v>
      </c>
      <c r="D2120">
        <v>2024</v>
      </c>
      <c r="E2120" s="7">
        <v>45428</v>
      </c>
      <c r="F2120" s="7">
        <v>45792</v>
      </c>
      <c r="G2120" t="s">
        <v>135</v>
      </c>
      <c r="H2120" t="s">
        <v>107</v>
      </c>
      <c r="I2120" t="s">
        <v>101</v>
      </c>
      <c r="J2120">
        <v>3836.28</v>
      </c>
      <c r="K2120">
        <v>500000</v>
      </c>
    </row>
    <row r="2121" spans="1:11" ht="15" customHeight="1" x14ac:dyDescent="0.2">
      <c r="A2121" t="s">
        <v>3504</v>
      </c>
      <c r="B2121" t="s">
        <v>8473</v>
      </c>
      <c r="C2121">
        <v>2024</v>
      </c>
      <c r="D2121">
        <v>2024</v>
      </c>
      <c r="E2121" s="7">
        <v>45428</v>
      </c>
      <c r="F2121" s="7">
        <v>45792</v>
      </c>
      <c r="G2121" t="s">
        <v>135</v>
      </c>
      <c r="H2121" t="s">
        <v>107</v>
      </c>
      <c r="I2121" t="s">
        <v>101</v>
      </c>
      <c r="J2121">
        <v>7523.19</v>
      </c>
      <c r="K2121">
        <v>1000000</v>
      </c>
    </row>
    <row r="2122" spans="1:11" ht="15" customHeight="1" x14ac:dyDescent="0.2">
      <c r="A2122" t="s">
        <v>3505</v>
      </c>
      <c r="B2122" t="s">
        <v>2758</v>
      </c>
      <c r="C2122">
        <v>2024</v>
      </c>
      <c r="D2122">
        <v>2024</v>
      </c>
      <c r="E2122" s="7">
        <v>45429</v>
      </c>
      <c r="F2122" s="7">
        <v>45793</v>
      </c>
      <c r="G2122" t="s">
        <v>99</v>
      </c>
      <c r="H2122" t="s">
        <v>102</v>
      </c>
      <c r="I2122" t="s">
        <v>104</v>
      </c>
      <c r="J2122">
        <v>29988.11</v>
      </c>
      <c r="K2122">
        <v>5000000</v>
      </c>
    </row>
    <row r="2123" spans="1:11" ht="15" customHeight="1" x14ac:dyDescent="0.2">
      <c r="A2123" t="s">
        <v>3506</v>
      </c>
      <c r="B2123" t="s">
        <v>2760</v>
      </c>
      <c r="C2123">
        <v>2024</v>
      </c>
      <c r="D2123">
        <v>2024</v>
      </c>
      <c r="E2123" s="7">
        <v>45429</v>
      </c>
      <c r="F2123" s="7">
        <v>45793</v>
      </c>
      <c r="G2123" t="s">
        <v>99</v>
      </c>
      <c r="H2123" t="s">
        <v>106</v>
      </c>
      <c r="I2123" t="s">
        <v>104</v>
      </c>
      <c r="J2123">
        <v>6685.99</v>
      </c>
      <c r="K2123">
        <v>1000000</v>
      </c>
    </row>
    <row r="2124" spans="1:11" ht="15" customHeight="1" x14ac:dyDescent="0.2">
      <c r="A2124" t="s">
        <v>3507</v>
      </c>
      <c r="B2124" t="s">
        <v>2762</v>
      </c>
      <c r="C2124">
        <v>2024</v>
      </c>
      <c r="D2124">
        <v>2024</v>
      </c>
      <c r="E2124" s="7">
        <v>45429</v>
      </c>
      <c r="F2124" s="7">
        <v>45793</v>
      </c>
      <c r="G2124" t="s">
        <v>99</v>
      </c>
      <c r="H2124" t="s">
        <v>114</v>
      </c>
      <c r="I2124" t="s">
        <v>104</v>
      </c>
      <c r="J2124">
        <v>12383.14</v>
      </c>
      <c r="K2124">
        <v>2000000</v>
      </c>
    </row>
    <row r="2125" spans="1:11" ht="15" customHeight="1" x14ac:dyDescent="0.2">
      <c r="A2125" t="s">
        <v>3509</v>
      </c>
      <c r="B2125" t="s">
        <v>2764</v>
      </c>
      <c r="C2125">
        <v>2024</v>
      </c>
      <c r="D2125">
        <v>2024</v>
      </c>
      <c r="E2125" s="7">
        <v>45429</v>
      </c>
      <c r="F2125" s="7">
        <v>45793</v>
      </c>
      <c r="G2125" t="s">
        <v>99</v>
      </c>
      <c r="H2125" t="s">
        <v>6334</v>
      </c>
      <c r="I2125" t="s">
        <v>104</v>
      </c>
      <c r="J2125">
        <v>52436.02</v>
      </c>
      <c r="K2125">
        <v>10000000</v>
      </c>
    </row>
    <row r="2126" spans="1:11" ht="15" customHeight="1" x14ac:dyDescent="0.2">
      <c r="A2126" t="s">
        <v>3511</v>
      </c>
      <c r="B2126" t="s">
        <v>8474</v>
      </c>
      <c r="C2126">
        <v>2024</v>
      </c>
      <c r="D2126">
        <v>2024</v>
      </c>
      <c r="E2126" s="7">
        <v>45429</v>
      </c>
      <c r="F2126" s="7">
        <v>45793</v>
      </c>
      <c r="G2126" t="s">
        <v>135</v>
      </c>
      <c r="H2126" t="s">
        <v>107</v>
      </c>
      <c r="I2126" t="s">
        <v>104</v>
      </c>
      <c r="J2126">
        <v>5276.81</v>
      </c>
      <c r="K2126">
        <v>1000000</v>
      </c>
    </row>
    <row r="2127" spans="1:11" ht="15" customHeight="1" x14ac:dyDescent="0.2">
      <c r="A2127" t="s">
        <v>3513</v>
      </c>
      <c r="B2127" t="s">
        <v>8475</v>
      </c>
      <c r="C2127">
        <v>2024</v>
      </c>
      <c r="D2127">
        <v>2024</v>
      </c>
      <c r="E2127" s="7">
        <v>45429</v>
      </c>
      <c r="F2127" s="7">
        <v>45793</v>
      </c>
      <c r="G2127" t="s">
        <v>135</v>
      </c>
      <c r="H2127" t="s">
        <v>106</v>
      </c>
      <c r="I2127" t="s">
        <v>104</v>
      </c>
      <c r="J2127">
        <v>33541.589999999997</v>
      </c>
      <c r="K2127">
        <v>5000000</v>
      </c>
    </row>
    <row r="2128" spans="1:11" ht="15" customHeight="1" x14ac:dyDescent="0.2">
      <c r="A2128" t="s">
        <v>3514</v>
      </c>
      <c r="B2128" t="s">
        <v>6691</v>
      </c>
      <c r="C2128">
        <v>2024</v>
      </c>
      <c r="D2128">
        <v>2024</v>
      </c>
      <c r="E2128" s="7">
        <v>45429</v>
      </c>
      <c r="F2128" s="7">
        <v>45793</v>
      </c>
      <c r="G2128" t="s">
        <v>135</v>
      </c>
      <c r="H2128" t="s">
        <v>111</v>
      </c>
      <c r="I2128" t="s">
        <v>101</v>
      </c>
      <c r="J2128">
        <v>7808.18</v>
      </c>
      <c r="K2128">
        <v>1000000</v>
      </c>
    </row>
    <row r="2129" spans="1:11" ht="15" customHeight="1" x14ac:dyDescent="0.2">
      <c r="A2129" t="s">
        <v>3515</v>
      </c>
      <c r="B2129" t="s">
        <v>319</v>
      </c>
      <c r="C2129">
        <v>2024</v>
      </c>
      <c r="D2129">
        <v>2024</v>
      </c>
      <c r="E2129" s="7">
        <v>45429</v>
      </c>
      <c r="F2129" s="7">
        <v>45793</v>
      </c>
      <c r="G2129" t="s">
        <v>135</v>
      </c>
      <c r="H2129" t="s">
        <v>6334</v>
      </c>
      <c r="I2129" t="s">
        <v>101</v>
      </c>
      <c r="J2129">
        <v>3453.06</v>
      </c>
      <c r="K2129">
        <v>500000</v>
      </c>
    </row>
    <row r="2130" spans="1:11" ht="15" customHeight="1" x14ac:dyDescent="0.2">
      <c r="A2130" t="s">
        <v>3516</v>
      </c>
      <c r="B2130" t="s">
        <v>8476</v>
      </c>
      <c r="C2130">
        <v>2024</v>
      </c>
      <c r="D2130">
        <v>2024</v>
      </c>
      <c r="E2130" s="7">
        <v>45429</v>
      </c>
      <c r="F2130" s="7">
        <v>45793</v>
      </c>
      <c r="G2130" t="s">
        <v>135</v>
      </c>
      <c r="H2130" t="s">
        <v>108</v>
      </c>
      <c r="I2130" t="s">
        <v>104</v>
      </c>
      <c r="J2130">
        <v>7296.81</v>
      </c>
      <c r="K2130">
        <v>1000000</v>
      </c>
    </row>
    <row r="2131" spans="1:11" ht="15" customHeight="1" x14ac:dyDescent="0.2">
      <c r="A2131" t="s">
        <v>3517</v>
      </c>
      <c r="B2131" t="s">
        <v>859</v>
      </c>
      <c r="C2131">
        <v>2024</v>
      </c>
      <c r="D2131">
        <v>2024</v>
      </c>
      <c r="E2131" s="7">
        <v>45429</v>
      </c>
      <c r="F2131" s="7">
        <v>45793</v>
      </c>
      <c r="G2131" t="s">
        <v>135</v>
      </c>
      <c r="H2131" t="s">
        <v>105</v>
      </c>
      <c r="I2131" t="s">
        <v>101</v>
      </c>
      <c r="J2131">
        <v>15459.38</v>
      </c>
      <c r="K2131">
        <v>2000000</v>
      </c>
    </row>
    <row r="2132" spans="1:11" ht="15" customHeight="1" x14ac:dyDescent="0.2">
      <c r="A2132" t="s">
        <v>3518</v>
      </c>
      <c r="B2132" t="s">
        <v>2766</v>
      </c>
      <c r="C2132">
        <v>2024</v>
      </c>
      <c r="D2132">
        <v>2024</v>
      </c>
      <c r="E2132" s="7">
        <v>45430</v>
      </c>
      <c r="F2132" s="7">
        <v>45794</v>
      </c>
      <c r="G2132" t="s">
        <v>99</v>
      </c>
      <c r="H2132" t="s">
        <v>107</v>
      </c>
      <c r="I2132" t="s">
        <v>101</v>
      </c>
      <c r="J2132">
        <v>6826.26</v>
      </c>
      <c r="K2132">
        <v>1000000</v>
      </c>
    </row>
    <row r="2133" spans="1:11" ht="15" customHeight="1" x14ac:dyDescent="0.2">
      <c r="A2133" t="s">
        <v>3520</v>
      </c>
      <c r="B2133" t="s">
        <v>2768</v>
      </c>
      <c r="C2133">
        <v>2024</v>
      </c>
      <c r="D2133">
        <v>2024</v>
      </c>
      <c r="E2133" s="7">
        <v>45430</v>
      </c>
      <c r="F2133" s="7">
        <v>45794</v>
      </c>
      <c r="G2133" t="s">
        <v>99</v>
      </c>
      <c r="H2133" t="s">
        <v>102</v>
      </c>
      <c r="I2133" t="s">
        <v>101</v>
      </c>
      <c r="J2133">
        <v>9737.75</v>
      </c>
      <c r="K2133">
        <v>1500000</v>
      </c>
    </row>
    <row r="2134" spans="1:11" ht="15" customHeight="1" x14ac:dyDescent="0.2">
      <c r="A2134" t="s">
        <v>3522</v>
      </c>
      <c r="B2134" t="s">
        <v>6654</v>
      </c>
      <c r="C2134">
        <v>2024</v>
      </c>
      <c r="D2134">
        <v>2024</v>
      </c>
      <c r="E2134" s="7">
        <v>45430</v>
      </c>
      <c r="F2134" s="7">
        <v>45794</v>
      </c>
      <c r="G2134" t="s">
        <v>135</v>
      </c>
      <c r="H2134" t="s">
        <v>106</v>
      </c>
      <c r="I2134" t="s">
        <v>101</v>
      </c>
      <c r="J2134">
        <v>98298.880000000005</v>
      </c>
      <c r="K2134">
        <v>10000000</v>
      </c>
    </row>
    <row r="2135" spans="1:11" ht="15" customHeight="1" x14ac:dyDescent="0.2">
      <c r="A2135" t="s">
        <v>3524</v>
      </c>
      <c r="B2135" t="s">
        <v>7310</v>
      </c>
      <c r="C2135">
        <v>2024</v>
      </c>
      <c r="D2135">
        <v>2024</v>
      </c>
      <c r="E2135" s="7">
        <v>45430</v>
      </c>
      <c r="F2135" s="7">
        <v>45794</v>
      </c>
      <c r="G2135" t="s">
        <v>135</v>
      </c>
      <c r="H2135" t="s">
        <v>105</v>
      </c>
      <c r="I2135" t="s">
        <v>101</v>
      </c>
      <c r="J2135">
        <v>10162.08</v>
      </c>
      <c r="K2135">
        <v>1500000</v>
      </c>
    </row>
    <row r="2136" spans="1:11" ht="15" customHeight="1" x14ac:dyDescent="0.2">
      <c r="A2136" t="s">
        <v>3526</v>
      </c>
      <c r="B2136" t="s">
        <v>8477</v>
      </c>
      <c r="C2136">
        <v>2024</v>
      </c>
      <c r="D2136">
        <v>2024</v>
      </c>
      <c r="E2136" s="7">
        <v>45430</v>
      </c>
      <c r="F2136" s="7">
        <v>45794</v>
      </c>
      <c r="G2136" t="s">
        <v>135</v>
      </c>
      <c r="H2136" t="s">
        <v>102</v>
      </c>
      <c r="I2136" t="s">
        <v>101</v>
      </c>
      <c r="J2136">
        <v>78497.53</v>
      </c>
      <c r="K2136">
        <v>10000000</v>
      </c>
    </row>
    <row r="2137" spans="1:11" ht="15" customHeight="1" x14ac:dyDescent="0.2">
      <c r="A2137" t="s">
        <v>3527</v>
      </c>
      <c r="B2137" t="s">
        <v>8478</v>
      </c>
      <c r="C2137">
        <v>2024</v>
      </c>
      <c r="D2137">
        <v>2024</v>
      </c>
      <c r="E2137" s="7">
        <v>45430</v>
      </c>
      <c r="F2137" s="7">
        <v>45794</v>
      </c>
      <c r="G2137" t="s">
        <v>135</v>
      </c>
      <c r="H2137" t="s">
        <v>105</v>
      </c>
      <c r="I2137" t="s">
        <v>104</v>
      </c>
      <c r="J2137">
        <v>7989</v>
      </c>
      <c r="K2137">
        <v>1500000</v>
      </c>
    </row>
    <row r="2138" spans="1:11" ht="15" customHeight="1" x14ac:dyDescent="0.2">
      <c r="A2138" t="s">
        <v>3528</v>
      </c>
      <c r="B2138" t="s">
        <v>8479</v>
      </c>
      <c r="C2138">
        <v>2024</v>
      </c>
      <c r="D2138">
        <v>2024</v>
      </c>
      <c r="E2138" s="7">
        <v>45430</v>
      </c>
      <c r="F2138" s="7">
        <v>45794</v>
      </c>
      <c r="G2138" t="s">
        <v>135</v>
      </c>
      <c r="H2138" t="s">
        <v>103</v>
      </c>
      <c r="I2138" t="s">
        <v>104</v>
      </c>
      <c r="J2138">
        <v>8300.36</v>
      </c>
      <c r="K2138">
        <v>1500000</v>
      </c>
    </row>
    <row r="2139" spans="1:11" ht="15" customHeight="1" x14ac:dyDescent="0.2">
      <c r="A2139" t="s">
        <v>3529</v>
      </c>
      <c r="B2139" t="s">
        <v>6687</v>
      </c>
      <c r="C2139">
        <v>2024</v>
      </c>
      <c r="D2139">
        <v>2024</v>
      </c>
      <c r="E2139" s="7">
        <v>45430</v>
      </c>
      <c r="F2139" s="7">
        <v>45794</v>
      </c>
      <c r="G2139" t="s">
        <v>135</v>
      </c>
      <c r="H2139" t="s">
        <v>102</v>
      </c>
      <c r="I2139" t="s">
        <v>101</v>
      </c>
      <c r="J2139">
        <v>75027.88</v>
      </c>
      <c r="K2139">
        <v>10000000</v>
      </c>
    </row>
    <row r="2140" spans="1:11" ht="15" customHeight="1" x14ac:dyDescent="0.2">
      <c r="A2140" t="s">
        <v>3530</v>
      </c>
      <c r="B2140" t="s">
        <v>8480</v>
      </c>
      <c r="C2140">
        <v>2024</v>
      </c>
      <c r="D2140">
        <v>2024</v>
      </c>
      <c r="E2140" s="7">
        <v>45430</v>
      </c>
      <c r="F2140" s="7">
        <v>45794</v>
      </c>
      <c r="G2140" t="s">
        <v>135</v>
      </c>
      <c r="H2140" t="s">
        <v>102</v>
      </c>
      <c r="I2140" t="s">
        <v>104</v>
      </c>
      <c r="J2140">
        <v>57158.16</v>
      </c>
      <c r="K2140">
        <v>10000000</v>
      </c>
    </row>
    <row r="2141" spans="1:11" ht="15" customHeight="1" x14ac:dyDescent="0.2">
      <c r="A2141" t="s">
        <v>3532</v>
      </c>
      <c r="B2141" t="s">
        <v>860</v>
      </c>
      <c r="C2141">
        <v>2024</v>
      </c>
      <c r="D2141">
        <v>2024</v>
      </c>
      <c r="E2141" s="7">
        <v>45430</v>
      </c>
      <c r="F2141" s="7">
        <v>45794</v>
      </c>
      <c r="G2141" t="s">
        <v>135</v>
      </c>
      <c r="H2141" t="s">
        <v>103</v>
      </c>
      <c r="I2141" t="s">
        <v>104</v>
      </c>
      <c r="J2141">
        <v>5737</v>
      </c>
      <c r="K2141">
        <v>1000000</v>
      </c>
    </row>
    <row r="2142" spans="1:11" ht="15" customHeight="1" x14ac:dyDescent="0.2">
      <c r="A2142" t="s">
        <v>3534</v>
      </c>
      <c r="B2142" t="s">
        <v>8481</v>
      </c>
      <c r="C2142">
        <v>2024</v>
      </c>
      <c r="D2142">
        <v>2024</v>
      </c>
      <c r="E2142" s="7">
        <v>45430</v>
      </c>
      <c r="F2142" s="7">
        <v>45794</v>
      </c>
      <c r="G2142" t="s">
        <v>135</v>
      </c>
      <c r="H2142" t="s">
        <v>105</v>
      </c>
      <c r="I2142" t="s">
        <v>104</v>
      </c>
      <c r="J2142">
        <v>5605.68</v>
      </c>
      <c r="K2142">
        <v>1000000</v>
      </c>
    </row>
    <row r="2143" spans="1:11" ht="15" customHeight="1" x14ac:dyDescent="0.2">
      <c r="A2143" t="s">
        <v>3535</v>
      </c>
      <c r="B2143" t="s">
        <v>861</v>
      </c>
      <c r="C2143">
        <v>2024</v>
      </c>
      <c r="D2143">
        <v>2024</v>
      </c>
      <c r="E2143" s="7">
        <v>45430</v>
      </c>
      <c r="F2143" s="7">
        <v>45794</v>
      </c>
      <c r="G2143" t="s">
        <v>135</v>
      </c>
      <c r="H2143" t="s">
        <v>107</v>
      </c>
      <c r="I2143" t="s">
        <v>101</v>
      </c>
      <c r="J2143">
        <v>13264.35</v>
      </c>
      <c r="K2143">
        <v>2000000</v>
      </c>
    </row>
    <row r="2144" spans="1:11" ht="15" customHeight="1" x14ac:dyDescent="0.2">
      <c r="A2144" t="s">
        <v>3536</v>
      </c>
      <c r="B2144" t="s">
        <v>2770</v>
      </c>
      <c r="C2144">
        <v>2024</v>
      </c>
      <c r="D2144">
        <v>2024</v>
      </c>
      <c r="E2144" s="7">
        <v>45431</v>
      </c>
      <c r="F2144" s="7">
        <v>45795</v>
      </c>
      <c r="G2144" t="s">
        <v>99</v>
      </c>
      <c r="H2144" t="s">
        <v>105</v>
      </c>
      <c r="I2144" t="s">
        <v>101</v>
      </c>
      <c r="J2144">
        <v>3808.63</v>
      </c>
      <c r="K2144">
        <v>500000</v>
      </c>
    </row>
    <row r="2145" spans="1:11" ht="15" customHeight="1" x14ac:dyDescent="0.2">
      <c r="A2145" t="s">
        <v>3537</v>
      </c>
      <c r="B2145" t="s">
        <v>2782</v>
      </c>
      <c r="C2145">
        <v>2024</v>
      </c>
      <c r="D2145">
        <v>2024</v>
      </c>
      <c r="E2145" s="7">
        <v>45431</v>
      </c>
      <c r="F2145" s="7">
        <v>45795</v>
      </c>
      <c r="G2145" t="s">
        <v>99</v>
      </c>
      <c r="H2145" t="s">
        <v>102</v>
      </c>
      <c r="I2145" t="s">
        <v>101</v>
      </c>
      <c r="J2145">
        <v>7289.03</v>
      </c>
      <c r="K2145">
        <v>1000000</v>
      </c>
    </row>
    <row r="2146" spans="1:11" ht="15" customHeight="1" x14ac:dyDescent="0.2">
      <c r="A2146" t="s">
        <v>3538</v>
      </c>
      <c r="B2146" t="s">
        <v>2784</v>
      </c>
      <c r="C2146">
        <v>2024</v>
      </c>
      <c r="D2146">
        <v>2024</v>
      </c>
      <c r="E2146" s="7">
        <v>45431</v>
      </c>
      <c r="F2146" s="7">
        <v>45795</v>
      </c>
      <c r="G2146" t="s">
        <v>99</v>
      </c>
      <c r="H2146" t="s">
        <v>106</v>
      </c>
      <c r="I2146" t="s">
        <v>104</v>
      </c>
      <c r="J2146">
        <v>10009.58</v>
      </c>
      <c r="K2146">
        <v>1500000</v>
      </c>
    </row>
    <row r="2147" spans="1:11" ht="15" customHeight="1" x14ac:dyDescent="0.2">
      <c r="A2147" t="s">
        <v>3539</v>
      </c>
      <c r="B2147" t="s">
        <v>2786</v>
      </c>
      <c r="C2147">
        <v>2024</v>
      </c>
      <c r="D2147">
        <v>2024</v>
      </c>
      <c r="E2147" s="7">
        <v>45431</v>
      </c>
      <c r="F2147" s="7">
        <v>45795</v>
      </c>
      <c r="G2147" t="s">
        <v>99</v>
      </c>
      <c r="H2147" t="s">
        <v>100</v>
      </c>
      <c r="I2147" t="s">
        <v>101</v>
      </c>
      <c r="J2147">
        <v>6998.31</v>
      </c>
      <c r="K2147">
        <v>1000000</v>
      </c>
    </row>
    <row r="2148" spans="1:11" ht="15" customHeight="1" x14ac:dyDescent="0.2">
      <c r="A2148" t="s">
        <v>3540</v>
      </c>
      <c r="B2148" t="s">
        <v>532</v>
      </c>
      <c r="C2148">
        <v>2024</v>
      </c>
      <c r="D2148">
        <v>2024</v>
      </c>
      <c r="E2148" s="7">
        <v>45431</v>
      </c>
      <c r="F2148" s="7">
        <v>45795</v>
      </c>
      <c r="G2148" t="s">
        <v>135</v>
      </c>
      <c r="H2148" t="s">
        <v>114</v>
      </c>
      <c r="I2148" t="s">
        <v>104</v>
      </c>
      <c r="J2148">
        <v>55529.54</v>
      </c>
      <c r="K2148">
        <v>10000000</v>
      </c>
    </row>
    <row r="2149" spans="1:11" ht="15" customHeight="1" x14ac:dyDescent="0.2">
      <c r="A2149" t="s">
        <v>3541</v>
      </c>
      <c r="B2149" t="s">
        <v>8482</v>
      </c>
      <c r="C2149">
        <v>2024</v>
      </c>
      <c r="D2149">
        <v>2024</v>
      </c>
      <c r="E2149" s="7">
        <v>45431</v>
      </c>
      <c r="F2149" s="7">
        <v>45795</v>
      </c>
      <c r="G2149" t="s">
        <v>135</v>
      </c>
      <c r="H2149" t="s">
        <v>107</v>
      </c>
      <c r="I2149" t="s">
        <v>101</v>
      </c>
      <c r="J2149">
        <v>7138.55</v>
      </c>
      <c r="K2149">
        <v>1000000</v>
      </c>
    </row>
    <row r="2150" spans="1:11" ht="15" customHeight="1" x14ac:dyDescent="0.2">
      <c r="A2150" t="s">
        <v>3542</v>
      </c>
      <c r="B2150" t="s">
        <v>8483</v>
      </c>
      <c r="C2150">
        <v>2024</v>
      </c>
      <c r="D2150">
        <v>2024</v>
      </c>
      <c r="E2150" s="7">
        <v>45431</v>
      </c>
      <c r="F2150" s="7">
        <v>45795</v>
      </c>
      <c r="G2150" t="s">
        <v>135</v>
      </c>
      <c r="H2150" t="s">
        <v>108</v>
      </c>
      <c r="I2150" t="s">
        <v>104</v>
      </c>
      <c r="J2150">
        <v>6531.16</v>
      </c>
      <c r="K2150">
        <v>1000000</v>
      </c>
    </row>
    <row r="2151" spans="1:11" ht="15" customHeight="1" x14ac:dyDescent="0.2">
      <c r="A2151" t="s">
        <v>3543</v>
      </c>
      <c r="B2151" t="s">
        <v>6677</v>
      </c>
      <c r="C2151">
        <v>2024</v>
      </c>
      <c r="D2151">
        <v>2024</v>
      </c>
      <c r="E2151" s="7">
        <v>45431</v>
      </c>
      <c r="F2151" s="7">
        <v>45795</v>
      </c>
      <c r="G2151" t="s">
        <v>135</v>
      </c>
      <c r="H2151" t="s">
        <v>102</v>
      </c>
      <c r="I2151" t="s">
        <v>101</v>
      </c>
      <c r="J2151">
        <v>6812.15</v>
      </c>
      <c r="K2151">
        <v>1000000</v>
      </c>
    </row>
    <row r="2152" spans="1:11" ht="15" customHeight="1" x14ac:dyDescent="0.2">
      <c r="A2152" t="s">
        <v>3545</v>
      </c>
      <c r="B2152" t="s">
        <v>862</v>
      </c>
      <c r="C2152">
        <v>2024</v>
      </c>
      <c r="D2152">
        <v>2024</v>
      </c>
      <c r="E2152" s="7">
        <v>45431</v>
      </c>
      <c r="F2152" s="7">
        <v>45795</v>
      </c>
      <c r="G2152" t="s">
        <v>135</v>
      </c>
      <c r="H2152" t="s">
        <v>102</v>
      </c>
      <c r="I2152" t="s">
        <v>101</v>
      </c>
      <c r="J2152">
        <v>37929.699999999997</v>
      </c>
      <c r="K2152">
        <v>5000000</v>
      </c>
    </row>
    <row r="2153" spans="1:11" ht="15" customHeight="1" x14ac:dyDescent="0.2">
      <c r="A2153" t="s">
        <v>3547</v>
      </c>
      <c r="B2153" t="s">
        <v>6653</v>
      </c>
      <c r="C2153">
        <v>2024</v>
      </c>
      <c r="D2153">
        <v>2024</v>
      </c>
      <c r="E2153" s="7">
        <v>45431</v>
      </c>
      <c r="F2153" s="7">
        <v>45795</v>
      </c>
      <c r="G2153" t="s">
        <v>135</v>
      </c>
      <c r="H2153" t="s">
        <v>106</v>
      </c>
      <c r="I2153" t="s">
        <v>101</v>
      </c>
      <c r="J2153">
        <v>4079.01</v>
      </c>
      <c r="K2153">
        <v>500000</v>
      </c>
    </row>
    <row r="2154" spans="1:11" ht="15" customHeight="1" x14ac:dyDescent="0.2">
      <c r="A2154" t="s">
        <v>3549</v>
      </c>
      <c r="B2154" t="s">
        <v>6717</v>
      </c>
      <c r="C2154">
        <v>2024</v>
      </c>
      <c r="D2154">
        <v>2024</v>
      </c>
      <c r="E2154" s="7">
        <v>45431</v>
      </c>
      <c r="F2154" s="7">
        <v>45795</v>
      </c>
      <c r="G2154" t="s">
        <v>135</v>
      </c>
      <c r="H2154" t="s">
        <v>102</v>
      </c>
      <c r="I2154" t="s">
        <v>101</v>
      </c>
      <c r="J2154">
        <v>6869.52</v>
      </c>
      <c r="K2154">
        <v>1000000</v>
      </c>
    </row>
    <row r="2155" spans="1:11" ht="15" customHeight="1" x14ac:dyDescent="0.2">
      <c r="A2155" t="s">
        <v>3550</v>
      </c>
      <c r="B2155" t="s">
        <v>6688</v>
      </c>
      <c r="C2155">
        <v>2024</v>
      </c>
      <c r="D2155">
        <v>2024</v>
      </c>
      <c r="E2155" s="7">
        <v>45431</v>
      </c>
      <c r="F2155" s="7">
        <v>45795</v>
      </c>
      <c r="G2155" t="s">
        <v>135</v>
      </c>
      <c r="H2155" t="s">
        <v>105</v>
      </c>
      <c r="I2155" t="s">
        <v>101</v>
      </c>
      <c r="J2155">
        <v>33676.339999999997</v>
      </c>
      <c r="K2155">
        <v>5000000</v>
      </c>
    </row>
    <row r="2156" spans="1:11" ht="15" customHeight="1" x14ac:dyDescent="0.2">
      <c r="A2156" t="s">
        <v>3551</v>
      </c>
      <c r="B2156" t="s">
        <v>8484</v>
      </c>
      <c r="C2156">
        <v>2024</v>
      </c>
      <c r="D2156">
        <v>2024</v>
      </c>
      <c r="E2156" s="7">
        <v>45431</v>
      </c>
      <c r="F2156" s="7">
        <v>45795</v>
      </c>
      <c r="G2156" t="s">
        <v>135</v>
      </c>
      <c r="H2156" t="s">
        <v>112</v>
      </c>
      <c r="I2156" t="s">
        <v>101</v>
      </c>
      <c r="J2156">
        <v>45728.83</v>
      </c>
      <c r="K2156">
        <v>5000000</v>
      </c>
    </row>
    <row r="2157" spans="1:11" ht="15" customHeight="1" x14ac:dyDescent="0.2">
      <c r="A2157" t="s">
        <v>3552</v>
      </c>
      <c r="B2157" t="s">
        <v>6689</v>
      </c>
      <c r="C2157">
        <v>2024</v>
      </c>
      <c r="D2157">
        <v>2024</v>
      </c>
      <c r="E2157" s="7">
        <v>45431</v>
      </c>
      <c r="F2157" s="7">
        <v>45795</v>
      </c>
      <c r="G2157" t="s">
        <v>135</v>
      </c>
      <c r="H2157" t="s">
        <v>108</v>
      </c>
      <c r="I2157" t="s">
        <v>101</v>
      </c>
      <c r="J2157">
        <v>42963.040000000001</v>
      </c>
      <c r="K2157">
        <v>5000000</v>
      </c>
    </row>
    <row r="2158" spans="1:11" ht="15" customHeight="1" x14ac:dyDescent="0.2">
      <c r="A2158" t="s">
        <v>3553</v>
      </c>
      <c r="B2158" t="s">
        <v>320</v>
      </c>
      <c r="C2158">
        <v>2024</v>
      </c>
      <c r="D2158">
        <v>2024</v>
      </c>
      <c r="E2158" s="7">
        <v>45431</v>
      </c>
      <c r="F2158" s="7">
        <v>45795</v>
      </c>
      <c r="G2158" t="s">
        <v>135</v>
      </c>
      <c r="H2158" t="s">
        <v>6337</v>
      </c>
      <c r="I2158" t="s">
        <v>104</v>
      </c>
      <c r="J2158">
        <v>9030.77</v>
      </c>
      <c r="K2158">
        <v>1500000</v>
      </c>
    </row>
    <row r="2159" spans="1:11" ht="15" customHeight="1" x14ac:dyDescent="0.2">
      <c r="A2159" t="s">
        <v>3554</v>
      </c>
      <c r="B2159" t="s">
        <v>2788</v>
      </c>
      <c r="C2159">
        <v>2024</v>
      </c>
      <c r="D2159">
        <v>2024</v>
      </c>
      <c r="E2159" s="7">
        <v>45432</v>
      </c>
      <c r="F2159" s="7">
        <v>45796</v>
      </c>
      <c r="G2159" t="s">
        <v>99</v>
      </c>
      <c r="H2159" t="s">
        <v>108</v>
      </c>
      <c r="I2159" t="s">
        <v>101</v>
      </c>
      <c r="J2159">
        <v>9660.52</v>
      </c>
      <c r="K2159">
        <v>1000000</v>
      </c>
    </row>
    <row r="2160" spans="1:11" ht="15" customHeight="1" x14ac:dyDescent="0.2">
      <c r="A2160" t="s">
        <v>3555</v>
      </c>
      <c r="B2160" t="s">
        <v>2790</v>
      </c>
      <c r="C2160">
        <v>2024</v>
      </c>
      <c r="D2160">
        <v>2024</v>
      </c>
      <c r="E2160" s="7">
        <v>45432</v>
      </c>
      <c r="F2160" s="7">
        <v>45796</v>
      </c>
      <c r="G2160" t="s">
        <v>99</v>
      </c>
      <c r="H2160" t="s">
        <v>110</v>
      </c>
      <c r="I2160" t="s">
        <v>104</v>
      </c>
      <c r="J2160">
        <v>36666.28</v>
      </c>
      <c r="K2160">
        <v>5000000</v>
      </c>
    </row>
    <row r="2161" spans="1:11" ht="15" customHeight="1" x14ac:dyDescent="0.2">
      <c r="A2161" t="s">
        <v>3556</v>
      </c>
      <c r="B2161" t="s">
        <v>6703</v>
      </c>
      <c r="C2161">
        <v>2024</v>
      </c>
      <c r="D2161">
        <v>2024</v>
      </c>
      <c r="E2161" s="7">
        <v>45432</v>
      </c>
      <c r="F2161" s="7">
        <v>45796</v>
      </c>
      <c r="G2161" t="s">
        <v>135</v>
      </c>
      <c r="H2161" t="s">
        <v>102</v>
      </c>
      <c r="I2161" t="s">
        <v>104</v>
      </c>
      <c r="J2161">
        <v>8490.7000000000007</v>
      </c>
      <c r="K2161">
        <v>1500000</v>
      </c>
    </row>
    <row r="2162" spans="1:11" ht="15" customHeight="1" x14ac:dyDescent="0.2">
      <c r="A2162" t="s">
        <v>3557</v>
      </c>
      <c r="B2162" t="s">
        <v>8485</v>
      </c>
      <c r="C2162">
        <v>2024</v>
      </c>
      <c r="D2162">
        <v>2024</v>
      </c>
      <c r="E2162" s="7">
        <v>45432</v>
      </c>
      <c r="F2162" s="7">
        <v>45796</v>
      </c>
      <c r="G2162" t="s">
        <v>135</v>
      </c>
      <c r="H2162" t="s">
        <v>113</v>
      </c>
      <c r="I2162" t="s">
        <v>104</v>
      </c>
      <c r="J2162">
        <v>6006.34</v>
      </c>
      <c r="K2162">
        <v>1000000</v>
      </c>
    </row>
    <row r="2163" spans="1:11" ht="15" customHeight="1" x14ac:dyDescent="0.2">
      <c r="A2163" t="s">
        <v>3558</v>
      </c>
      <c r="B2163" t="s">
        <v>125</v>
      </c>
      <c r="C2163">
        <v>2024</v>
      </c>
      <c r="D2163">
        <v>2024</v>
      </c>
      <c r="E2163" s="7">
        <v>45432</v>
      </c>
      <c r="F2163" s="7">
        <v>45796</v>
      </c>
      <c r="G2163" t="s">
        <v>135</v>
      </c>
      <c r="H2163" t="s">
        <v>107</v>
      </c>
      <c r="I2163" t="s">
        <v>104</v>
      </c>
      <c r="J2163">
        <v>5179.63</v>
      </c>
      <c r="K2163">
        <v>1000000</v>
      </c>
    </row>
    <row r="2164" spans="1:11" ht="15" customHeight="1" x14ac:dyDescent="0.2">
      <c r="A2164" t="s">
        <v>3559</v>
      </c>
      <c r="B2164" t="s">
        <v>8486</v>
      </c>
      <c r="C2164">
        <v>2024</v>
      </c>
      <c r="D2164">
        <v>2024</v>
      </c>
      <c r="E2164" s="7">
        <v>45432</v>
      </c>
      <c r="F2164" s="7">
        <v>45796</v>
      </c>
      <c r="G2164" t="s">
        <v>135</v>
      </c>
      <c r="H2164" t="s">
        <v>109</v>
      </c>
      <c r="I2164" t="s">
        <v>101</v>
      </c>
      <c r="J2164">
        <v>73351.600000000006</v>
      </c>
      <c r="K2164">
        <v>10000000</v>
      </c>
    </row>
    <row r="2165" spans="1:11" ht="15" customHeight="1" x14ac:dyDescent="0.2">
      <c r="A2165" t="s">
        <v>3561</v>
      </c>
      <c r="B2165" t="s">
        <v>6663</v>
      </c>
      <c r="C2165">
        <v>2024</v>
      </c>
      <c r="D2165">
        <v>2024</v>
      </c>
      <c r="E2165" s="7">
        <v>45432</v>
      </c>
      <c r="F2165" s="7">
        <v>45796</v>
      </c>
      <c r="G2165" t="s">
        <v>135</v>
      </c>
      <c r="H2165" t="s">
        <v>107</v>
      </c>
      <c r="I2165" t="s">
        <v>101</v>
      </c>
      <c r="J2165">
        <v>37866.43</v>
      </c>
      <c r="K2165">
        <v>5000000</v>
      </c>
    </row>
    <row r="2166" spans="1:11" ht="15" customHeight="1" x14ac:dyDescent="0.2">
      <c r="A2166" t="s">
        <v>3563</v>
      </c>
      <c r="B2166" t="s">
        <v>6699</v>
      </c>
      <c r="C2166">
        <v>2024</v>
      </c>
      <c r="D2166">
        <v>2024</v>
      </c>
      <c r="E2166" s="7">
        <v>45432</v>
      </c>
      <c r="F2166" s="7">
        <v>45796</v>
      </c>
      <c r="G2166" t="s">
        <v>135</v>
      </c>
      <c r="H2166" t="s">
        <v>6332</v>
      </c>
      <c r="I2166" t="s">
        <v>101</v>
      </c>
      <c r="J2166">
        <v>3668.13</v>
      </c>
      <c r="K2166">
        <v>500000</v>
      </c>
    </row>
    <row r="2167" spans="1:11" ht="15" customHeight="1" x14ac:dyDescent="0.2">
      <c r="A2167" t="s">
        <v>3565</v>
      </c>
      <c r="B2167" t="s">
        <v>6661</v>
      </c>
      <c r="C2167">
        <v>2024</v>
      </c>
      <c r="D2167">
        <v>2024</v>
      </c>
      <c r="E2167" s="7">
        <v>45432</v>
      </c>
      <c r="F2167" s="7">
        <v>45796</v>
      </c>
      <c r="G2167" t="s">
        <v>135</v>
      </c>
      <c r="H2167" t="s">
        <v>115</v>
      </c>
      <c r="I2167" t="s">
        <v>104</v>
      </c>
      <c r="J2167">
        <v>6064.72</v>
      </c>
      <c r="K2167">
        <v>1000000</v>
      </c>
    </row>
    <row r="2168" spans="1:11" ht="15" customHeight="1" x14ac:dyDescent="0.2">
      <c r="A2168" t="s">
        <v>3567</v>
      </c>
      <c r="B2168" t="s">
        <v>533</v>
      </c>
      <c r="C2168">
        <v>2024</v>
      </c>
      <c r="D2168">
        <v>2024</v>
      </c>
      <c r="E2168" s="7">
        <v>45432</v>
      </c>
      <c r="F2168" s="7">
        <v>45796</v>
      </c>
      <c r="G2168" t="s">
        <v>135</v>
      </c>
      <c r="H2168" t="s">
        <v>102</v>
      </c>
      <c r="I2168" t="s">
        <v>101</v>
      </c>
      <c r="J2168">
        <v>3836.72</v>
      </c>
      <c r="K2168">
        <v>500000</v>
      </c>
    </row>
    <row r="2169" spans="1:11" ht="15" customHeight="1" x14ac:dyDescent="0.2">
      <c r="A2169" t="s">
        <v>3569</v>
      </c>
      <c r="B2169" t="s">
        <v>8487</v>
      </c>
      <c r="C2169">
        <v>2024</v>
      </c>
      <c r="D2169">
        <v>2024</v>
      </c>
      <c r="E2169" s="7">
        <v>45432</v>
      </c>
      <c r="F2169" s="7">
        <v>45796</v>
      </c>
      <c r="G2169" t="s">
        <v>135</v>
      </c>
      <c r="H2169" t="s">
        <v>107</v>
      </c>
      <c r="I2169" t="s">
        <v>104</v>
      </c>
      <c r="J2169">
        <v>5385.41</v>
      </c>
      <c r="K2169">
        <v>1000000</v>
      </c>
    </row>
    <row r="2170" spans="1:11" ht="15" customHeight="1" x14ac:dyDescent="0.2">
      <c r="A2170" t="s">
        <v>3570</v>
      </c>
      <c r="B2170" t="s">
        <v>201</v>
      </c>
      <c r="C2170">
        <v>2024</v>
      </c>
      <c r="D2170">
        <v>2024</v>
      </c>
      <c r="E2170" s="7">
        <v>45432</v>
      </c>
      <c r="F2170" s="7">
        <v>45796</v>
      </c>
      <c r="G2170" t="s">
        <v>135</v>
      </c>
      <c r="H2170" t="s">
        <v>102</v>
      </c>
      <c r="I2170" t="s">
        <v>101</v>
      </c>
      <c r="J2170">
        <v>7814.51</v>
      </c>
      <c r="K2170">
        <v>1000000</v>
      </c>
    </row>
    <row r="2171" spans="1:11" ht="15" customHeight="1" x14ac:dyDescent="0.2">
      <c r="A2171" t="s">
        <v>3571</v>
      </c>
      <c r="B2171" t="s">
        <v>2792</v>
      </c>
      <c r="C2171">
        <v>2024</v>
      </c>
      <c r="D2171">
        <v>2024</v>
      </c>
      <c r="E2171" s="7">
        <v>45433</v>
      </c>
      <c r="F2171" s="7">
        <v>45797</v>
      </c>
      <c r="G2171" t="s">
        <v>99</v>
      </c>
      <c r="H2171" t="s">
        <v>6334</v>
      </c>
      <c r="I2171" t="s">
        <v>101</v>
      </c>
      <c r="J2171">
        <v>15239.7</v>
      </c>
      <c r="K2171">
        <v>2000000</v>
      </c>
    </row>
    <row r="2172" spans="1:11" ht="15" customHeight="1" x14ac:dyDescent="0.2">
      <c r="A2172" t="s">
        <v>3572</v>
      </c>
      <c r="B2172" t="s">
        <v>8488</v>
      </c>
      <c r="C2172">
        <v>2024</v>
      </c>
      <c r="D2172">
        <v>2024</v>
      </c>
      <c r="E2172" s="7">
        <v>45433</v>
      </c>
      <c r="F2172" s="7">
        <v>45797</v>
      </c>
      <c r="G2172" t="s">
        <v>135</v>
      </c>
      <c r="H2172" t="s">
        <v>112</v>
      </c>
      <c r="I2172" t="s">
        <v>104</v>
      </c>
      <c r="J2172">
        <v>6839.86</v>
      </c>
      <c r="K2172">
        <v>1000000</v>
      </c>
    </row>
    <row r="2173" spans="1:11" ht="15" customHeight="1" x14ac:dyDescent="0.2">
      <c r="A2173" t="s">
        <v>3573</v>
      </c>
      <c r="B2173" t="s">
        <v>6662</v>
      </c>
      <c r="C2173">
        <v>2024</v>
      </c>
      <c r="D2173">
        <v>2024</v>
      </c>
      <c r="E2173" s="7">
        <v>45433</v>
      </c>
      <c r="F2173" s="7">
        <v>45797</v>
      </c>
      <c r="G2173" t="s">
        <v>135</v>
      </c>
      <c r="H2173" t="s">
        <v>103</v>
      </c>
      <c r="I2173" t="s">
        <v>101</v>
      </c>
      <c r="J2173">
        <v>13272.8</v>
      </c>
      <c r="K2173">
        <v>2000000</v>
      </c>
    </row>
    <row r="2174" spans="1:11" ht="15" customHeight="1" x14ac:dyDescent="0.2">
      <c r="A2174" t="s">
        <v>3574</v>
      </c>
      <c r="B2174" t="s">
        <v>6683</v>
      </c>
      <c r="C2174">
        <v>2024</v>
      </c>
      <c r="D2174">
        <v>2024</v>
      </c>
      <c r="E2174" s="7">
        <v>45433</v>
      </c>
      <c r="F2174" s="7">
        <v>45797</v>
      </c>
      <c r="G2174" t="s">
        <v>135</v>
      </c>
      <c r="H2174" t="s">
        <v>106</v>
      </c>
      <c r="I2174" t="s">
        <v>104</v>
      </c>
      <c r="J2174">
        <v>11079.34</v>
      </c>
      <c r="K2174">
        <v>1500000</v>
      </c>
    </row>
    <row r="2175" spans="1:11" ht="15" customHeight="1" x14ac:dyDescent="0.2">
      <c r="A2175" t="s">
        <v>3575</v>
      </c>
      <c r="B2175" t="s">
        <v>8489</v>
      </c>
      <c r="C2175">
        <v>2024</v>
      </c>
      <c r="D2175">
        <v>2024</v>
      </c>
      <c r="E2175" s="7">
        <v>45433</v>
      </c>
      <c r="F2175" s="7">
        <v>45797</v>
      </c>
      <c r="G2175" t="s">
        <v>135</v>
      </c>
      <c r="H2175" t="s">
        <v>6332</v>
      </c>
      <c r="I2175" t="s">
        <v>104</v>
      </c>
      <c r="J2175">
        <v>30828.36</v>
      </c>
      <c r="K2175">
        <v>5000000</v>
      </c>
    </row>
    <row r="2176" spans="1:11" ht="15" customHeight="1" x14ac:dyDescent="0.2">
      <c r="A2176" t="s">
        <v>3576</v>
      </c>
      <c r="B2176" t="s">
        <v>863</v>
      </c>
      <c r="C2176">
        <v>2024</v>
      </c>
      <c r="D2176">
        <v>2024</v>
      </c>
      <c r="E2176" s="7">
        <v>45433</v>
      </c>
      <c r="F2176" s="7">
        <v>45797</v>
      </c>
      <c r="G2176" t="s">
        <v>135</v>
      </c>
      <c r="H2176" t="s">
        <v>6334</v>
      </c>
      <c r="I2176" t="s">
        <v>104</v>
      </c>
      <c r="J2176">
        <v>11965.71</v>
      </c>
      <c r="K2176">
        <v>2000000</v>
      </c>
    </row>
    <row r="2177" spans="1:11" ht="15" customHeight="1" x14ac:dyDescent="0.2">
      <c r="A2177" t="s">
        <v>3577</v>
      </c>
      <c r="B2177" t="s">
        <v>8490</v>
      </c>
      <c r="C2177">
        <v>2024</v>
      </c>
      <c r="D2177">
        <v>2024</v>
      </c>
      <c r="E2177" s="7">
        <v>45433</v>
      </c>
      <c r="F2177" s="7">
        <v>45797</v>
      </c>
      <c r="G2177" t="s">
        <v>135</v>
      </c>
      <c r="H2177" t="s">
        <v>105</v>
      </c>
      <c r="I2177" t="s">
        <v>104</v>
      </c>
      <c r="J2177">
        <v>2597.41</v>
      </c>
      <c r="K2177">
        <v>500000</v>
      </c>
    </row>
    <row r="2178" spans="1:11" ht="15" customHeight="1" x14ac:dyDescent="0.2">
      <c r="A2178" t="s">
        <v>3578</v>
      </c>
      <c r="B2178" t="s">
        <v>6671</v>
      </c>
      <c r="C2178">
        <v>2024</v>
      </c>
      <c r="D2178">
        <v>2024</v>
      </c>
      <c r="E2178" s="7">
        <v>45433</v>
      </c>
      <c r="F2178" s="7">
        <v>45797</v>
      </c>
      <c r="G2178" t="s">
        <v>135</v>
      </c>
      <c r="H2178" t="s">
        <v>110</v>
      </c>
      <c r="I2178" t="s">
        <v>104</v>
      </c>
      <c r="J2178">
        <v>10530.64</v>
      </c>
      <c r="K2178">
        <v>1500000</v>
      </c>
    </row>
    <row r="2179" spans="1:11" ht="15" customHeight="1" x14ac:dyDescent="0.2">
      <c r="A2179" t="s">
        <v>3580</v>
      </c>
      <c r="B2179" t="s">
        <v>2806</v>
      </c>
      <c r="C2179">
        <v>2024</v>
      </c>
      <c r="D2179">
        <v>2024</v>
      </c>
      <c r="E2179" s="7">
        <v>45434</v>
      </c>
      <c r="F2179" s="7">
        <v>45798</v>
      </c>
      <c r="G2179" t="s">
        <v>99</v>
      </c>
      <c r="H2179" t="s">
        <v>106</v>
      </c>
      <c r="I2179" t="s">
        <v>101</v>
      </c>
      <c r="J2179">
        <v>4676.4799999999996</v>
      </c>
      <c r="K2179">
        <v>500000</v>
      </c>
    </row>
    <row r="2180" spans="1:11" ht="15" customHeight="1" x14ac:dyDescent="0.2">
      <c r="A2180" t="s">
        <v>3582</v>
      </c>
      <c r="B2180" t="s">
        <v>2808</v>
      </c>
      <c r="C2180">
        <v>2024</v>
      </c>
      <c r="D2180">
        <v>2024</v>
      </c>
      <c r="E2180" s="7">
        <v>45434</v>
      </c>
      <c r="F2180" s="7">
        <v>45798</v>
      </c>
      <c r="G2180" t="s">
        <v>99</v>
      </c>
      <c r="H2180" t="s">
        <v>102</v>
      </c>
      <c r="I2180" t="s">
        <v>101</v>
      </c>
      <c r="J2180">
        <v>10492.25</v>
      </c>
      <c r="K2180">
        <v>1500000</v>
      </c>
    </row>
    <row r="2181" spans="1:11" ht="15" customHeight="1" x14ac:dyDescent="0.2">
      <c r="A2181" t="s">
        <v>3584</v>
      </c>
      <c r="B2181" t="s">
        <v>6669</v>
      </c>
      <c r="C2181">
        <v>2024</v>
      </c>
      <c r="D2181">
        <v>2024</v>
      </c>
      <c r="E2181" s="7">
        <v>45434</v>
      </c>
      <c r="F2181" s="7">
        <v>45798</v>
      </c>
      <c r="G2181" t="s">
        <v>135</v>
      </c>
      <c r="H2181" t="s">
        <v>113</v>
      </c>
      <c r="I2181" t="s">
        <v>101</v>
      </c>
      <c r="J2181">
        <v>10561.54</v>
      </c>
      <c r="K2181">
        <v>1500000</v>
      </c>
    </row>
    <row r="2182" spans="1:11" ht="15" customHeight="1" x14ac:dyDescent="0.2">
      <c r="A2182" t="s">
        <v>3585</v>
      </c>
      <c r="B2182" t="s">
        <v>864</v>
      </c>
      <c r="C2182">
        <v>2024</v>
      </c>
      <c r="D2182">
        <v>2024</v>
      </c>
      <c r="E2182" s="7">
        <v>45434</v>
      </c>
      <c r="F2182" s="7">
        <v>45798</v>
      </c>
      <c r="G2182" t="s">
        <v>135</v>
      </c>
      <c r="H2182" t="s">
        <v>106</v>
      </c>
      <c r="I2182" t="s">
        <v>101</v>
      </c>
      <c r="J2182">
        <v>19403.419999999998</v>
      </c>
      <c r="K2182">
        <v>2000000</v>
      </c>
    </row>
    <row r="2183" spans="1:11" ht="15" customHeight="1" x14ac:dyDescent="0.2">
      <c r="A2183" t="s">
        <v>3586</v>
      </c>
      <c r="B2183" t="s">
        <v>321</v>
      </c>
      <c r="C2183">
        <v>2024</v>
      </c>
      <c r="D2183">
        <v>2024</v>
      </c>
      <c r="E2183" s="7">
        <v>45434</v>
      </c>
      <c r="F2183" s="7">
        <v>45798</v>
      </c>
      <c r="G2183" t="s">
        <v>135</v>
      </c>
      <c r="H2183" t="s">
        <v>107</v>
      </c>
      <c r="I2183" t="s">
        <v>101</v>
      </c>
      <c r="J2183">
        <v>11350.83</v>
      </c>
      <c r="K2183">
        <v>1500000</v>
      </c>
    </row>
    <row r="2184" spans="1:11" ht="15" customHeight="1" x14ac:dyDescent="0.2">
      <c r="A2184" t="s">
        <v>3587</v>
      </c>
      <c r="B2184" t="s">
        <v>8491</v>
      </c>
      <c r="C2184">
        <v>2024</v>
      </c>
      <c r="D2184">
        <v>2024</v>
      </c>
      <c r="E2184" s="7">
        <v>45434</v>
      </c>
      <c r="F2184" s="7">
        <v>45798</v>
      </c>
      <c r="G2184" t="s">
        <v>135</v>
      </c>
      <c r="H2184" t="s">
        <v>108</v>
      </c>
      <c r="I2184" t="s">
        <v>101</v>
      </c>
      <c r="J2184">
        <v>4834.37</v>
      </c>
      <c r="K2184">
        <v>500000</v>
      </c>
    </row>
    <row r="2185" spans="1:11" ht="15" customHeight="1" x14ac:dyDescent="0.2">
      <c r="A2185" t="s">
        <v>3588</v>
      </c>
      <c r="B2185" t="s">
        <v>8492</v>
      </c>
      <c r="C2185">
        <v>2024</v>
      </c>
      <c r="D2185">
        <v>2024</v>
      </c>
      <c r="E2185" s="7">
        <v>45434</v>
      </c>
      <c r="F2185" s="7">
        <v>45798</v>
      </c>
      <c r="G2185" t="s">
        <v>135</v>
      </c>
      <c r="H2185" t="s">
        <v>113</v>
      </c>
      <c r="I2185" t="s">
        <v>101</v>
      </c>
      <c r="J2185">
        <v>7389.98</v>
      </c>
      <c r="K2185">
        <v>1000000</v>
      </c>
    </row>
    <row r="2186" spans="1:11" ht="15" customHeight="1" x14ac:dyDescent="0.2">
      <c r="A2186" t="s">
        <v>3589</v>
      </c>
      <c r="B2186" t="s">
        <v>202</v>
      </c>
      <c r="C2186">
        <v>2024</v>
      </c>
      <c r="D2186">
        <v>2024</v>
      </c>
      <c r="E2186" s="7">
        <v>45434</v>
      </c>
      <c r="F2186" s="7">
        <v>45798</v>
      </c>
      <c r="G2186" t="s">
        <v>135</v>
      </c>
      <c r="H2186" t="s">
        <v>102</v>
      </c>
      <c r="I2186" t="s">
        <v>104</v>
      </c>
      <c r="J2186">
        <v>62555.39</v>
      </c>
      <c r="K2186">
        <v>10000000</v>
      </c>
    </row>
    <row r="2187" spans="1:11" ht="15" customHeight="1" x14ac:dyDescent="0.2">
      <c r="A2187" t="s">
        <v>3590</v>
      </c>
      <c r="B2187" t="s">
        <v>6670</v>
      </c>
      <c r="C2187">
        <v>2024</v>
      </c>
      <c r="D2187">
        <v>2024</v>
      </c>
      <c r="E2187" s="7">
        <v>45434</v>
      </c>
      <c r="F2187" s="7">
        <v>45798</v>
      </c>
      <c r="G2187" t="s">
        <v>135</v>
      </c>
      <c r="H2187" t="s">
        <v>106</v>
      </c>
      <c r="I2187" t="s">
        <v>101</v>
      </c>
      <c r="J2187">
        <v>8205.9699999999993</v>
      </c>
      <c r="K2187">
        <v>1000000</v>
      </c>
    </row>
    <row r="2188" spans="1:11" ht="15" customHeight="1" x14ac:dyDescent="0.2">
      <c r="A2188" t="s">
        <v>3591</v>
      </c>
      <c r="B2188" t="s">
        <v>8493</v>
      </c>
      <c r="C2188">
        <v>2024</v>
      </c>
      <c r="D2188">
        <v>2024</v>
      </c>
      <c r="E2188" s="7">
        <v>45434</v>
      </c>
      <c r="F2188" s="7">
        <v>45798</v>
      </c>
      <c r="G2188" t="s">
        <v>135</v>
      </c>
      <c r="H2188" t="s">
        <v>6334</v>
      </c>
      <c r="I2188" t="s">
        <v>101</v>
      </c>
      <c r="J2188">
        <v>6593.49</v>
      </c>
      <c r="K2188">
        <v>1000000</v>
      </c>
    </row>
    <row r="2189" spans="1:11" ht="15" customHeight="1" x14ac:dyDescent="0.2">
      <c r="A2189" t="s">
        <v>3592</v>
      </c>
      <c r="B2189" t="s">
        <v>8494</v>
      </c>
      <c r="C2189">
        <v>2024</v>
      </c>
      <c r="D2189">
        <v>2024</v>
      </c>
      <c r="E2189" s="7">
        <v>45434</v>
      </c>
      <c r="F2189" s="7">
        <v>45798</v>
      </c>
      <c r="G2189" t="s">
        <v>135</v>
      </c>
      <c r="H2189" t="s">
        <v>116</v>
      </c>
      <c r="I2189" t="s">
        <v>101</v>
      </c>
      <c r="J2189">
        <v>10922.78</v>
      </c>
      <c r="K2189">
        <v>1500000</v>
      </c>
    </row>
    <row r="2190" spans="1:11" ht="15" customHeight="1" x14ac:dyDescent="0.2">
      <c r="A2190" t="s">
        <v>3593</v>
      </c>
      <c r="B2190" t="s">
        <v>2810</v>
      </c>
      <c r="C2190">
        <v>2024</v>
      </c>
      <c r="D2190">
        <v>2024</v>
      </c>
      <c r="E2190" s="7">
        <v>45435</v>
      </c>
      <c r="F2190" s="7">
        <v>45799</v>
      </c>
      <c r="G2190" t="s">
        <v>99</v>
      </c>
      <c r="H2190" t="s">
        <v>106</v>
      </c>
      <c r="I2190" t="s">
        <v>101</v>
      </c>
      <c r="J2190">
        <v>8809.36</v>
      </c>
      <c r="K2190">
        <v>1000000</v>
      </c>
    </row>
    <row r="2191" spans="1:11" ht="15" customHeight="1" x14ac:dyDescent="0.2">
      <c r="A2191" t="s">
        <v>3594</v>
      </c>
      <c r="B2191" t="s">
        <v>2812</v>
      </c>
      <c r="C2191">
        <v>2024</v>
      </c>
      <c r="D2191">
        <v>2024</v>
      </c>
      <c r="E2191" s="7">
        <v>45435</v>
      </c>
      <c r="F2191" s="7">
        <v>45799</v>
      </c>
      <c r="G2191" t="s">
        <v>99</v>
      </c>
      <c r="H2191" t="s">
        <v>115</v>
      </c>
      <c r="I2191" t="s">
        <v>104</v>
      </c>
      <c r="J2191">
        <v>2700.24</v>
      </c>
      <c r="K2191">
        <v>500000</v>
      </c>
    </row>
    <row r="2192" spans="1:11" ht="15" customHeight="1" x14ac:dyDescent="0.2">
      <c r="A2192" t="s">
        <v>3596</v>
      </c>
      <c r="B2192" t="s">
        <v>2814</v>
      </c>
      <c r="C2192">
        <v>2024</v>
      </c>
      <c r="D2192">
        <v>2024</v>
      </c>
      <c r="E2192" s="7">
        <v>45435</v>
      </c>
      <c r="F2192" s="7">
        <v>45799</v>
      </c>
      <c r="G2192" t="s">
        <v>99</v>
      </c>
      <c r="H2192" t="s">
        <v>106</v>
      </c>
      <c r="I2192" t="s">
        <v>101</v>
      </c>
      <c r="J2192">
        <v>44651.28</v>
      </c>
      <c r="K2192">
        <v>5000000</v>
      </c>
    </row>
    <row r="2193" spans="1:11" ht="15" customHeight="1" x14ac:dyDescent="0.2">
      <c r="A2193" t="s">
        <v>3598</v>
      </c>
      <c r="B2193" t="s">
        <v>2821</v>
      </c>
      <c r="C2193">
        <v>2024</v>
      </c>
      <c r="D2193">
        <v>2024</v>
      </c>
      <c r="E2193" s="7">
        <v>45435</v>
      </c>
      <c r="F2193" s="7">
        <v>45799</v>
      </c>
      <c r="G2193" t="s">
        <v>99</v>
      </c>
      <c r="H2193" t="s">
        <v>105</v>
      </c>
      <c r="I2193" t="s">
        <v>104</v>
      </c>
      <c r="J2193">
        <v>29841.62</v>
      </c>
      <c r="K2193">
        <v>5000000</v>
      </c>
    </row>
    <row r="2194" spans="1:11" ht="15" customHeight="1" x14ac:dyDescent="0.2">
      <c r="A2194" t="s">
        <v>3600</v>
      </c>
      <c r="B2194" t="s">
        <v>8495</v>
      </c>
      <c r="C2194">
        <v>2024</v>
      </c>
      <c r="D2194">
        <v>2024</v>
      </c>
      <c r="E2194" s="7">
        <v>45435</v>
      </c>
      <c r="F2194" s="7">
        <v>45799</v>
      </c>
      <c r="G2194" t="s">
        <v>135</v>
      </c>
      <c r="H2194" t="s">
        <v>106</v>
      </c>
      <c r="I2194" t="s">
        <v>101</v>
      </c>
      <c r="J2194">
        <v>4125.5200000000004</v>
      </c>
      <c r="K2194">
        <v>500000</v>
      </c>
    </row>
    <row r="2195" spans="1:11" ht="15" customHeight="1" x14ac:dyDescent="0.2">
      <c r="A2195" t="s">
        <v>3602</v>
      </c>
      <c r="B2195" t="s">
        <v>8496</v>
      </c>
      <c r="C2195">
        <v>2024</v>
      </c>
      <c r="D2195">
        <v>2024</v>
      </c>
      <c r="E2195" s="7">
        <v>45435</v>
      </c>
      <c r="F2195" s="7">
        <v>45799</v>
      </c>
      <c r="G2195" t="s">
        <v>135</v>
      </c>
      <c r="H2195" t="s">
        <v>107</v>
      </c>
      <c r="I2195" t="s">
        <v>101</v>
      </c>
      <c r="J2195">
        <v>15729.78</v>
      </c>
      <c r="K2195">
        <v>2000000</v>
      </c>
    </row>
    <row r="2196" spans="1:11" ht="15" customHeight="1" x14ac:dyDescent="0.2">
      <c r="A2196" t="s">
        <v>3603</v>
      </c>
      <c r="B2196" t="s">
        <v>8497</v>
      </c>
      <c r="C2196">
        <v>2024</v>
      </c>
      <c r="D2196">
        <v>2024</v>
      </c>
      <c r="E2196" s="7">
        <v>45435</v>
      </c>
      <c r="F2196" s="7">
        <v>45799</v>
      </c>
      <c r="G2196" t="s">
        <v>135</v>
      </c>
      <c r="H2196" t="s">
        <v>6348</v>
      </c>
      <c r="I2196" t="s">
        <v>101</v>
      </c>
      <c r="J2196">
        <v>6776.71</v>
      </c>
      <c r="K2196">
        <v>1000000</v>
      </c>
    </row>
    <row r="2197" spans="1:11" ht="15" customHeight="1" x14ac:dyDescent="0.2">
      <c r="A2197" t="s">
        <v>3604</v>
      </c>
      <c r="B2197" t="s">
        <v>534</v>
      </c>
      <c r="C2197">
        <v>2024</v>
      </c>
      <c r="D2197">
        <v>2024</v>
      </c>
      <c r="E2197" s="7">
        <v>45435</v>
      </c>
      <c r="F2197" s="7">
        <v>45799</v>
      </c>
      <c r="G2197" t="s">
        <v>135</v>
      </c>
      <c r="H2197" t="s">
        <v>100</v>
      </c>
      <c r="I2197" t="s">
        <v>101</v>
      </c>
      <c r="J2197">
        <v>6591.24</v>
      </c>
      <c r="K2197">
        <v>1000000</v>
      </c>
    </row>
    <row r="2198" spans="1:11" ht="15" customHeight="1" x14ac:dyDescent="0.2">
      <c r="A2198" t="s">
        <v>3605</v>
      </c>
      <c r="B2198" t="s">
        <v>6675</v>
      </c>
      <c r="C2198">
        <v>2024</v>
      </c>
      <c r="D2198">
        <v>2024</v>
      </c>
      <c r="E2198" s="7">
        <v>45435</v>
      </c>
      <c r="F2198" s="7">
        <v>45799</v>
      </c>
      <c r="G2198" t="s">
        <v>135</v>
      </c>
      <c r="H2198" t="s">
        <v>107</v>
      </c>
      <c r="I2198" t="s">
        <v>101</v>
      </c>
      <c r="J2198">
        <v>7424.62</v>
      </c>
      <c r="K2198">
        <v>1000000</v>
      </c>
    </row>
    <row r="2199" spans="1:11" ht="15" customHeight="1" x14ac:dyDescent="0.2">
      <c r="A2199" t="s">
        <v>3606</v>
      </c>
      <c r="B2199" t="s">
        <v>8498</v>
      </c>
      <c r="C2199">
        <v>2024</v>
      </c>
      <c r="D2199">
        <v>2024</v>
      </c>
      <c r="E2199" s="7">
        <v>45435</v>
      </c>
      <c r="F2199" s="7">
        <v>45799</v>
      </c>
      <c r="G2199" t="s">
        <v>135</v>
      </c>
      <c r="H2199" t="s">
        <v>108</v>
      </c>
      <c r="I2199" t="s">
        <v>101</v>
      </c>
      <c r="J2199">
        <v>8368.08</v>
      </c>
      <c r="K2199">
        <v>1000000</v>
      </c>
    </row>
    <row r="2200" spans="1:11" ht="15" customHeight="1" x14ac:dyDescent="0.2">
      <c r="A2200" t="s">
        <v>3607</v>
      </c>
      <c r="B2200" t="s">
        <v>6676</v>
      </c>
      <c r="C2200">
        <v>2024</v>
      </c>
      <c r="D2200">
        <v>2024</v>
      </c>
      <c r="E2200" s="7">
        <v>45435</v>
      </c>
      <c r="F2200" s="7">
        <v>45799</v>
      </c>
      <c r="G2200" t="s">
        <v>135</v>
      </c>
      <c r="H2200" t="s">
        <v>108</v>
      </c>
      <c r="I2200" t="s">
        <v>104</v>
      </c>
      <c r="J2200">
        <v>10804.79</v>
      </c>
      <c r="K2200">
        <v>1500000</v>
      </c>
    </row>
    <row r="2201" spans="1:11" ht="15" customHeight="1" x14ac:dyDescent="0.2">
      <c r="A2201" t="s">
        <v>3608</v>
      </c>
      <c r="B2201" t="s">
        <v>8499</v>
      </c>
      <c r="C2201">
        <v>2024</v>
      </c>
      <c r="D2201">
        <v>2024</v>
      </c>
      <c r="E2201" s="7">
        <v>45435</v>
      </c>
      <c r="F2201" s="7">
        <v>45799</v>
      </c>
      <c r="G2201" t="s">
        <v>135</v>
      </c>
      <c r="H2201" t="s">
        <v>6332</v>
      </c>
      <c r="I2201" t="s">
        <v>101</v>
      </c>
      <c r="J2201">
        <v>3354.67</v>
      </c>
      <c r="K2201">
        <v>500000</v>
      </c>
    </row>
    <row r="2202" spans="1:11" ht="15" customHeight="1" x14ac:dyDescent="0.2">
      <c r="A2202" t="s">
        <v>3609</v>
      </c>
      <c r="B2202" t="s">
        <v>156</v>
      </c>
      <c r="C2202">
        <v>2024</v>
      </c>
      <c r="D2202">
        <v>2024</v>
      </c>
      <c r="E2202" s="7">
        <v>45435</v>
      </c>
      <c r="F2202" s="7">
        <v>45799</v>
      </c>
      <c r="G2202" t="s">
        <v>135</v>
      </c>
      <c r="H2202" t="s">
        <v>102</v>
      </c>
      <c r="I2202" t="s">
        <v>101</v>
      </c>
      <c r="J2202">
        <v>6703.85</v>
      </c>
      <c r="K2202">
        <v>1000000</v>
      </c>
    </row>
    <row r="2203" spans="1:11" ht="15" customHeight="1" x14ac:dyDescent="0.2">
      <c r="A2203" t="s">
        <v>3610</v>
      </c>
      <c r="B2203" t="s">
        <v>6704</v>
      </c>
      <c r="C2203">
        <v>2024</v>
      </c>
      <c r="D2203">
        <v>2024</v>
      </c>
      <c r="E2203" s="7">
        <v>45435</v>
      </c>
      <c r="F2203" s="7">
        <v>45799</v>
      </c>
      <c r="G2203" t="s">
        <v>135</v>
      </c>
      <c r="H2203" t="s">
        <v>6348</v>
      </c>
      <c r="I2203" t="s">
        <v>104</v>
      </c>
      <c r="J2203">
        <v>29199.439999999999</v>
      </c>
      <c r="K2203">
        <v>5000000</v>
      </c>
    </row>
    <row r="2204" spans="1:11" ht="15" customHeight="1" x14ac:dyDescent="0.2">
      <c r="A2204" t="s">
        <v>3611</v>
      </c>
      <c r="B2204" t="s">
        <v>8500</v>
      </c>
      <c r="C2204">
        <v>2024</v>
      </c>
      <c r="D2204">
        <v>2024</v>
      </c>
      <c r="E2204" s="7">
        <v>45435</v>
      </c>
      <c r="F2204" s="7">
        <v>45799</v>
      </c>
      <c r="G2204" t="s">
        <v>135</v>
      </c>
      <c r="H2204" t="s">
        <v>106</v>
      </c>
      <c r="I2204" t="s">
        <v>101</v>
      </c>
      <c r="J2204">
        <v>9591.58</v>
      </c>
      <c r="K2204">
        <v>1000000</v>
      </c>
    </row>
    <row r="2205" spans="1:11" ht="15" customHeight="1" x14ac:dyDescent="0.2">
      <c r="A2205" t="s">
        <v>3612</v>
      </c>
      <c r="B2205" t="s">
        <v>8501</v>
      </c>
      <c r="C2205">
        <v>2024</v>
      </c>
      <c r="D2205">
        <v>2024</v>
      </c>
      <c r="E2205" s="7">
        <v>45435</v>
      </c>
      <c r="F2205" s="7">
        <v>45799</v>
      </c>
      <c r="G2205" t="s">
        <v>135</v>
      </c>
      <c r="H2205" t="s">
        <v>106</v>
      </c>
      <c r="I2205" t="s">
        <v>101</v>
      </c>
      <c r="J2205">
        <v>8775.58</v>
      </c>
      <c r="K2205">
        <v>1000000</v>
      </c>
    </row>
    <row r="2206" spans="1:11" ht="15" customHeight="1" x14ac:dyDescent="0.2">
      <c r="A2206" t="s">
        <v>3614</v>
      </c>
      <c r="B2206" t="s">
        <v>2823</v>
      </c>
      <c r="C2206">
        <v>2024</v>
      </c>
      <c r="D2206">
        <v>2024</v>
      </c>
      <c r="E2206" s="7">
        <v>45436</v>
      </c>
      <c r="F2206" s="7">
        <v>45800</v>
      </c>
      <c r="G2206" t="s">
        <v>99</v>
      </c>
      <c r="H2206" t="s">
        <v>106</v>
      </c>
      <c r="I2206" t="s">
        <v>101</v>
      </c>
      <c r="J2206">
        <v>12193.24</v>
      </c>
      <c r="K2206">
        <v>1500000</v>
      </c>
    </row>
    <row r="2207" spans="1:11" ht="15" customHeight="1" x14ac:dyDescent="0.2">
      <c r="A2207" t="s">
        <v>3616</v>
      </c>
      <c r="B2207" t="s">
        <v>2825</v>
      </c>
      <c r="C2207">
        <v>2024</v>
      </c>
      <c r="D2207">
        <v>2024</v>
      </c>
      <c r="E2207" s="7">
        <v>45436</v>
      </c>
      <c r="F2207" s="7">
        <v>45800</v>
      </c>
      <c r="G2207" t="s">
        <v>99</v>
      </c>
      <c r="H2207" t="s">
        <v>112</v>
      </c>
      <c r="I2207" t="s">
        <v>101</v>
      </c>
      <c r="J2207">
        <v>14166.99</v>
      </c>
      <c r="K2207">
        <v>1500000</v>
      </c>
    </row>
    <row r="2208" spans="1:11" ht="15" customHeight="1" x14ac:dyDescent="0.2">
      <c r="A2208" t="s">
        <v>3618</v>
      </c>
      <c r="B2208" t="s">
        <v>2834</v>
      </c>
      <c r="C2208">
        <v>2024</v>
      </c>
      <c r="D2208">
        <v>2024</v>
      </c>
      <c r="E2208" s="7">
        <v>45436</v>
      </c>
      <c r="F2208" s="7">
        <v>45800</v>
      </c>
      <c r="G2208" t="s">
        <v>99</v>
      </c>
      <c r="H2208" t="s">
        <v>112</v>
      </c>
      <c r="I2208" t="s">
        <v>101</v>
      </c>
      <c r="J2208">
        <v>45611.75</v>
      </c>
      <c r="K2208">
        <v>5000000</v>
      </c>
    </row>
    <row r="2209" spans="1:11" ht="15" customHeight="1" x14ac:dyDescent="0.2">
      <c r="A2209" t="s">
        <v>3620</v>
      </c>
      <c r="B2209" t="s">
        <v>2836</v>
      </c>
      <c r="C2209">
        <v>2024</v>
      </c>
      <c r="D2209">
        <v>2024</v>
      </c>
      <c r="E2209" s="7">
        <v>45436</v>
      </c>
      <c r="F2209" s="7">
        <v>45800</v>
      </c>
      <c r="G2209" t="s">
        <v>99</v>
      </c>
      <c r="H2209" t="s">
        <v>102</v>
      </c>
      <c r="I2209" t="s">
        <v>101</v>
      </c>
      <c r="J2209">
        <v>77993.320000000007</v>
      </c>
      <c r="K2209">
        <v>10000000</v>
      </c>
    </row>
    <row r="2210" spans="1:11" ht="15" customHeight="1" x14ac:dyDescent="0.2">
      <c r="A2210" t="s">
        <v>3622</v>
      </c>
      <c r="B2210" t="s">
        <v>536</v>
      </c>
      <c r="C2210">
        <v>2024</v>
      </c>
      <c r="D2210">
        <v>2024</v>
      </c>
      <c r="E2210" s="7">
        <v>45436</v>
      </c>
      <c r="F2210" s="7">
        <v>45800</v>
      </c>
      <c r="G2210" t="s">
        <v>135</v>
      </c>
      <c r="H2210" t="s">
        <v>105</v>
      </c>
      <c r="I2210" t="s">
        <v>101</v>
      </c>
      <c r="J2210">
        <v>72232.95</v>
      </c>
      <c r="K2210">
        <v>10000000</v>
      </c>
    </row>
    <row r="2211" spans="1:11" ht="15" customHeight="1" x14ac:dyDescent="0.2">
      <c r="A2211" t="s">
        <v>3623</v>
      </c>
      <c r="B2211" t="s">
        <v>7243</v>
      </c>
      <c r="C2211">
        <v>2024</v>
      </c>
      <c r="D2211">
        <v>2024</v>
      </c>
      <c r="E2211" s="7">
        <v>45436</v>
      </c>
      <c r="F2211" s="7">
        <v>45800</v>
      </c>
      <c r="G2211" t="s">
        <v>135</v>
      </c>
      <c r="H2211" t="s">
        <v>110</v>
      </c>
      <c r="I2211" t="s">
        <v>101</v>
      </c>
      <c r="J2211">
        <v>4674.92</v>
      </c>
      <c r="K2211">
        <v>500000</v>
      </c>
    </row>
    <row r="2212" spans="1:11" ht="15" customHeight="1" x14ac:dyDescent="0.2">
      <c r="A2212" t="s">
        <v>3624</v>
      </c>
      <c r="B2212" t="s">
        <v>8502</v>
      </c>
      <c r="C2212">
        <v>2024</v>
      </c>
      <c r="D2212">
        <v>2024</v>
      </c>
      <c r="E2212" s="7">
        <v>45436</v>
      </c>
      <c r="F2212" s="7">
        <v>45800</v>
      </c>
      <c r="G2212" t="s">
        <v>135</v>
      </c>
      <c r="H2212" t="s">
        <v>106</v>
      </c>
      <c r="I2212" t="s">
        <v>104</v>
      </c>
      <c r="J2212">
        <v>11214.92</v>
      </c>
      <c r="K2212">
        <v>1500000</v>
      </c>
    </row>
    <row r="2213" spans="1:11" ht="15" customHeight="1" x14ac:dyDescent="0.2">
      <c r="A2213" t="s">
        <v>3625</v>
      </c>
      <c r="B2213" t="s">
        <v>535</v>
      </c>
      <c r="C2213">
        <v>2024</v>
      </c>
      <c r="D2213">
        <v>2024</v>
      </c>
      <c r="E2213" s="7">
        <v>45436</v>
      </c>
      <c r="F2213" s="7">
        <v>45800</v>
      </c>
      <c r="G2213" t="s">
        <v>135</v>
      </c>
      <c r="H2213" t="s">
        <v>115</v>
      </c>
      <c r="I2213" t="s">
        <v>104</v>
      </c>
      <c r="J2213">
        <v>5288.89</v>
      </c>
      <c r="K2213">
        <v>1000000</v>
      </c>
    </row>
    <row r="2214" spans="1:11" ht="15" customHeight="1" x14ac:dyDescent="0.2">
      <c r="A2214" t="s">
        <v>3626</v>
      </c>
      <c r="B2214" t="s">
        <v>8503</v>
      </c>
      <c r="C2214">
        <v>2024</v>
      </c>
      <c r="D2214">
        <v>2024</v>
      </c>
      <c r="E2214" s="7">
        <v>45436</v>
      </c>
      <c r="F2214" s="7">
        <v>45800</v>
      </c>
      <c r="G2214" t="s">
        <v>135</v>
      </c>
      <c r="H2214" t="s">
        <v>110</v>
      </c>
      <c r="I2214" t="s">
        <v>104</v>
      </c>
      <c r="J2214">
        <v>33629.06</v>
      </c>
      <c r="K2214">
        <v>5000000</v>
      </c>
    </row>
    <row r="2215" spans="1:11" ht="15" customHeight="1" x14ac:dyDescent="0.2">
      <c r="A2215" t="s">
        <v>3627</v>
      </c>
      <c r="B2215" t="s">
        <v>8504</v>
      </c>
      <c r="C2215">
        <v>2024</v>
      </c>
      <c r="D2215">
        <v>2024</v>
      </c>
      <c r="E2215" s="7">
        <v>45436</v>
      </c>
      <c r="F2215" s="7">
        <v>45800</v>
      </c>
      <c r="G2215" t="s">
        <v>135</v>
      </c>
      <c r="H2215" t="s">
        <v>106</v>
      </c>
      <c r="I2215" t="s">
        <v>101</v>
      </c>
      <c r="J2215">
        <v>41358.559999999998</v>
      </c>
      <c r="K2215">
        <v>5000000</v>
      </c>
    </row>
    <row r="2216" spans="1:11" ht="15" customHeight="1" x14ac:dyDescent="0.2">
      <c r="A2216" t="s">
        <v>3628</v>
      </c>
      <c r="B2216" t="s">
        <v>8505</v>
      </c>
      <c r="C2216">
        <v>2024</v>
      </c>
      <c r="D2216">
        <v>2024</v>
      </c>
      <c r="E2216" s="7">
        <v>45436</v>
      </c>
      <c r="F2216" s="7">
        <v>45800</v>
      </c>
      <c r="G2216" t="s">
        <v>135</v>
      </c>
      <c r="H2216" t="s">
        <v>106</v>
      </c>
      <c r="I2216" t="s">
        <v>101</v>
      </c>
      <c r="J2216">
        <v>13064.89</v>
      </c>
      <c r="K2216">
        <v>1500000</v>
      </c>
    </row>
    <row r="2217" spans="1:11" ht="15" customHeight="1" x14ac:dyDescent="0.2">
      <c r="A2217" t="s">
        <v>3629</v>
      </c>
      <c r="B2217" t="s">
        <v>8506</v>
      </c>
      <c r="C2217">
        <v>2024</v>
      </c>
      <c r="D2217">
        <v>2024</v>
      </c>
      <c r="E2217" s="7">
        <v>45436</v>
      </c>
      <c r="F2217" s="7">
        <v>45800</v>
      </c>
      <c r="G2217" t="s">
        <v>135</v>
      </c>
      <c r="H2217" t="s">
        <v>106</v>
      </c>
      <c r="I2217" t="s">
        <v>104</v>
      </c>
      <c r="J2217">
        <v>7131.35</v>
      </c>
      <c r="K2217">
        <v>1000000</v>
      </c>
    </row>
    <row r="2218" spans="1:11" ht="15" customHeight="1" x14ac:dyDescent="0.2">
      <c r="A2218" t="s">
        <v>3631</v>
      </c>
      <c r="B2218" t="s">
        <v>8507</v>
      </c>
      <c r="C2218">
        <v>2024</v>
      </c>
      <c r="D2218">
        <v>2024</v>
      </c>
      <c r="E2218" s="7">
        <v>45437</v>
      </c>
      <c r="F2218" s="7">
        <v>45801</v>
      </c>
      <c r="G2218" t="s">
        <v>135</v>
      </c>
      <c r="H2218" t="s">
        <v>102</v>
      </c>
      <c r="I2218" t="s">
        <v>101</v>
      </c>
      <c r="J2218">
        <v>7348.62</v>
      </c>
      <c r="K2218">
        <v>1000000</v>
      </c>
    </row>
    <row r="2219" spans="1:11" ht="15" customHeight="1" x14ac:dyDescent="0.2">
      <c r="A2219" t="s">
        <v>3633</v>
      </c>
      <c r="B2219" t="s">
        <v>7271</v>
      </c>
      <c r="C2219">
        <v>2024</v>
      </c>
      <c r="D2219">
        <v>2024</v>
      </c>
      <c r="E2219" s="7">
        <v>45437</v>
      </c>
      <c r="F2219" s="7">
        <v>45801</v>
      </c>
      <c r="G2219" t="s">
        <v>135</v>
      </c>
      <c r="H2219" t="s">
        <v>106</v>
      </c>
      <c r="I2219" t="s">
        <v>101</v>
      </c>
      <c r="J2219">
        <v>4351.68</v>
      </c>
      <c r="K2219">
        <v>500000</v>
      </c>
    </row>
    <row r="2220" spans="1:11" ht="15" customHeight="1" x14ac:dyDescent="0.2">
      <c r="A2220" t="s">
        <v>3635</v>
      </c>
      <c r="B2220" t="s">
        <v>8508</v>
      </c>
      <c r="C2220">
        <v>2024</v>
      </c>
      <c r="D2220">
        <v>2024</v>
      </c>
      <c r="E2220" s="7">
        <v>45437</v>
      </c>
      <c r="F2220" s="7">
        <v>45801</v>
      </c>
      <c r="G2220" t="s">
        <v>135</v>
      </c>
      <c r="H2220" t="s">
        <v>113</v>
      </c>
      <c r="I2220" t="s">
        <v>101</v>
      </c>
      <c r="J2220">
        <v>32336.03</v>
      </c>
      <c r="K2220">
        <v>5000000</v>
      </c>
    </row>
    <row r="2221" spans="1:11" ht="15" customHeight="1" x14ac:dyDescent="0.2">
      <c r="A2221" t="s">
        <v>3637</v>
      </c>
      <c r="B2221" t="s">
        <v>8509</v>
      </c>
      <c r="C2221">
        <v>2024</v>
      </c>
      <c r="D2221">
        <v>2024</v>
      </c>
      <c r="E2221" s="7">
        <v>45437</v>
      </c>
      <c r="F2221" s="7">
        <v>45801</v>
      </c>
      <c r="G2221" t="s">
        <v>135</v>
      </c>
      <c r="H2221" t="s">
        <v>102</v>
      </c>
      <c r="I2221" t="s">
        <v>101</v>
      </c>
      <c r="J2221">
        <v>66412.75</v>
      </c>
      <c r="K2221">
        <v>10000000</v>
      </c>
    </row>
    <row r="2222" spans="1:11" ht="15" customHeight="1" x14ac:dyDescent="0.2">
      <c r="A2222" t="s">
        <v>3639</v>
      </c>
      <c r="B2222" t="s">
        <v>8510</v>
      </c>
      <c r="C2222">
        <v>2024</v>
      </c>
      <c r="D2222">
        <v>2024</v>
      </c>
      <c r="E2222" s="7">
        <v>45437</v>
      </c>
      <c r="F2222" s="7">
        <v>45801</v>
      </c>
      <c r="G2222" t="s">
        <v>135</v>
      </c>
      <c r="H2222" t="s">
        <v>114</v>
      </c>
      <c r="I2222" t="s">
        <v>101</v>
      </c>
      <c r="J2222">
        <v>11265.15</v>
      </c>
      <c r="K2222">
        <v>1500000</v>
      </c>
    </row>
    <row r="2223" spans="1:11" ht="15" customHeight="1" x14ac:dyDescent="0.2">
      <c r="A2223" t="s">
        <v>3640</v>
      </c>
      <c r="B2223" t="s">
        <v>322</v>
      </c>
      <c r="C2223">
        <v>2024</v>
      </c>
      <c r="D2223">
        <v>2024</v>
      </c>
      <c r="E2223" s="7">
        <v>45437</v>
      </c>
      <c r="F2223" s="7">
        <v>45801</v>
      </c>
      <c r="G2223" t="s">
        <v>135</v>
      </c>
      <c r="H2223" t="s">
        <v>6332</v>
      </c>
      <c r="I2223" t="s">
        <v>104</v>
      </c>
      <c r="J2223">
        <v>52427.199999999997</v>
      </c>
      <c r="K2223">
        <v>10000000</v>
      </c>
    </row>
    <row r="2224" spans="1:11" ht="15" customHeight="1" x14ac:dyDescent="0.2">
      <c r="A2224" t="s">
        <v>3641</v>
      </c>
      <c r="B2224" t="s">
        <v>6672</v>
      </c>
      <c r="C2224">
        <v>2024</v>
      </c>
      <c r="D2224">
        <v>2024</v>
      </c>
      <c r="E2224" s="7">
        <v>45437</v>
      </c>
      <c r="F2224" s="7">
        <v>45801</v>
      </c>
      <c r="G2224" t="s">
        <v>135</v>
      </c>
      <c r="H2224" t="s">
        <v>102</v>
      </c>
      <c r="I2224" t="s">
        <v>104</v>
      </c>
      <c r="J2224">
        <v>8847.7000000000007</v>
      </c>
      <c r="K2224">
        <v>1500000</v>
      </c>
    </row>
    <row r="2225" spans="1:11" ht="15" customHeight="1" x14ac:dyDescent="0.2">
      <c r="A2225" t="s">
        <v>3642</v>
      </c>
      <c r="B2225" t="s">
        <v>866</v>
      </c>
      <c r="C2225">
        <v>2024</v>
      </c>
      <c r="D2225">
        <v>2024</v>
      </c>
      <c r="E2225" s="7">
        <v>45437</v>
      </c>
      <c r="F2225" s="7">
        <v>45801</v>
      </c>
      <c r="G2225" t="s">
        <v>135</v>
      </c>
      <c r="H2225" t="s">
        <v>106</v>
      </c>
      <c r="I2225" t="s">
        <v>101</v>
      </c>
      <c r="J2225">
        <v>18169.509999999998</v>
      </c>
      <c r="K2225">
        <v>2000000</v>
      </c>
    </row>
    <row r="2226" spans="1:11" ht="15" customHeight="1" x14ac:dyDescent="0.2">
      <c r="A2226" t="s">
        <v>3643</v>
      </c>
      <c r="B2226" t="s">
        <v>8511</v>
      </c>
      <c r="C2226">
        <v>2024</v>
      </c>
      <c r="D2226">
        <v>2024</v>
      </c>
      <c r="E2226" s="7">
        <v>45437</v>
      </c>
      <c r="F2226" s="7">
        <v>45801</v>
      </c>
      <c r="G2226" t="s">
        <v>135</v>
      </c>
      <c r="H2226" t="s">
        <v>106</v>
      </c>
      <c r="I2226" t="s">
        <v>101</v>
      </c>
      <c r="J2226">
        <v>84240.58</v>
      </c>
      <c r="K2226">
        <v>10000000</v>
      </c>
    </row>
    <row r="2227" spans="1:11" ht="15" customHeight="1" x14ac:dyDescent="0.2">
      <c r="A2227" t="s">
        <v>3644</v>
      </c>
      <c r="B2227" t="s">
        <v>8512</v>
      </c>
      <c r="C2227">
        <v>2024</v>
      </c>
      <c r="D2227">
        <v>2024</v>
      </c>
      <c r="E2227" s="7">
        <v>45437</v>
      </c>
      <c r="F2227" s="7">
        <v>45801</v>
      </c>
      <c r="G2227" t="s">
        <v>135</v>
      </c>
      <c r="H2227" t="s">
        <v>102</v>
      </c>
      <c r="I2227" t="s">
        <v>101</v>
      </c>
      <c r="J2227">
        <v>10957.75</v>
      </c>
      <c r="K2227">
        <v>1500000</v>
      </c>
    </row>
    <row r="2228" spans="1:11" ht="15" customHeight="1" x14ac:dyDescent="0.2">
      <c r="A2228" t="s">
        <v>3645</v>
      </c>
      <c r="B2228" t="s">
        <v>865</v>
      </c>
      <c r="C2228">
        <v>2024</v>
      </c>
      <c r="D2228">
        <v>2024</v>
      </c>
      <c r="E2228" s="7">
        <v>45437</v>
      </c>
      <c r="F2228" s="7">
        <v>45801</v>
      </c>
      <c r="G2228" t="s">
        <v>135</v>
      </c>
      <c r="H2228" t="s">
        <v>106</v>
      </c>
      <c r="I2228" t="s">
        <v>104</v>
      </c>
      <c r="J2228">
        <v>15401.86</v>
      </c>
      <c r="K2228">
        <v>2000000</v>
      </c>
    </row>
    <row r="2229" spans="1:11" ht="15" customHeight="1" x14ac:dyDescent="0.2">
      <c r="A2229" t="s">
        <v>3646</v>
      </c>
      <c r="B2229" t="s">
        <v>2838</v>
      </c>
      <c r="C2229">
        <v>2024</v>
      </c>
      <c r="D2229">
        <v>2024</v>
      </c>
      <c r="E2229" s="7">
        <v>45438</v>
      </c>
      <c r="F2229" s="7">
        <v>45802</v>
      </c>
      <c r="G2229" t="s">
        <v>99</v>
      </c>
      <c r="H2229" t="s">
        <v>102</v>
      </c>
      <c r="I2229" t="s">
        <v>101</v>
      </c>
      <c r="J2229">
        <v>10157.57</v>
      </c>
      <c r="K2229">
        <v>1500000</v>
      </c>
    </row>
    <row r="2230" spans="1:11" ht="15" customHeight="1" x14ac:dyDescent="0.2">
      <c r="A2230" t="s">
        <v>3648</v>
      </c>
      <c r="B2230" t="s">
        <v>8513</v>
      </c>
      <c r="C2230">
        <v>2024</v>
      </c>
      <c r="D2230">
        <v>2024</v>
      </c>
      <c r="E2230" s="7">
        <v>45438</v>
      </c>
      <c r="F2230" s="7">
        <v>45802</v>
      </c>
      <c r="G2230" t="s">
        <v>135</v>
      </c>
      <c r="H2230" t="s">
        <v>106</v>
      </c>
      <c r="I2230" t="s">
        <v>101</v>
      </c>
      <c r="J2230">
        <v>14156.33</v>
      </c>
      <c r="K2230">
        <v>1500000</v>
      </c>
    </row>
    <row r="2231" spans="1:11" ht="15" customHeight="1" x14ac:dyDescent="0.2">
      <c r="A2231" t="s">
        <v>3650</v>
      </c>
      <c r="B2231" t="s">
        <v>6681</v>
      </c>
      <c r="C2231">
        <v>2024</v>
      </c>
      <c r="D2231">
        <v>2024</v>
      </c>
      <c r="E2231" s="7">
        <v>45438</v>
      </c>
      <c r="F2231" s="7">
        <v>45802</v>
      </c>
      <c r="G2231" t="s">
        <v>135</v>
      </c>
      <c r="H2231" t="s">
        <v>102</v>
      </c>
      <c r="I2231" t="s">
        <v>101</v>
      </c>
      <c r="J2231">
        <v>3590.7</v>
      </c>
      <c r="K2231">
        <v>500000</v>
      </c>
    </row>
    <row r="2232" spans="1:11" ht="15" customHeight="1" x14ac:dyDescent="0.2">
      <c r="A2232" t="s">
        <v>3651</v>
      </c>
      <c r="B2232" t="s">
        <v>6678</v>
      </c>
      <c r="C2232">
        <v>2024</v>
      </c>
      <c r="D2232">
        <v>2024</v>
      </c>
      <c r="E2232" s="7">
        <v>45438</v>
      </c>
      <c r="F2232" s="7">
        <v>45802</v>
      </c>
      <c r="G2232" t="s">
        <v>135</v>
      </c>
      <c r="H2232" t="s">
        <v>106</v>
      </c>
      <c r="I2232" t="s">
        <v>101</v>
      </c>
      <c r="J2232">
        <v>8395.09</v>
      </c>
      <c r="K2232">
        <v>1000000</v>
      </c>
    </row>
    <row r="2233" spans="1:11" ht="15" customHeight="1" x14ac:dyDescent="0.2">
      <c r="A2233" t="s">
        <v>3652</v>
      </c>
      <c r="B2233" t="s">
        <v>8514</v>
      </c>
      <c r="C2233">
        <v>2024</v>
      </c>
      <c r="D2233">
        <v>2024</v>
      </c>
      <c r="E2233" s="7">
        <v>45438</v>
      </c>
      <c r="F2233" s="7">
        <v>45802</v>
      </c>
      <c r="G2233" t="s">
        <v>135</v>
      </c>
      <c r="H2233" t="s">
        <v>102</v>
      </c>
      <c r="I2233" t="s">
        <v>101</v>
      </c>
      <c r="J2233">
        <v>34819.4</v>
      </c>
      <c r="K2233">
        <v>5000000</v>
      </c>
    </row>
    <row r="2234" spans="1:11" ht="15" customHeight="1" x14ac:dyDescent="0.2">
      <c r="A2234" t="s">
        <v>3653</v>
      </c>
      <c r="B2234" t="s">
        <v>867</v>
      </c>
      <c r="C2234">
        <v>2024</v>
      </c>
      <c r="D2234">
        <v>2024</v>
      </c>
      <c r="E2234" s="7">
        <v>45438</v>
      </c>
      <c r="F2234" s="7">
        <v>45802</v>
      </c>
      <c r="G2234" t="s">
        <v>135</v>
      </c>
      <c r="H2234" t="s">
        <v>110</v>
      </c>
      <c r="I2234" t="s">
        <v>104</v>
      </c>
      <c r="J2234">
        <v>7371.98</v>
      </c>
      <c r="K2234">
        <v>1000000</v>
      </c>
    </row>
    <row r="2235" spans="1:11" ht="15" customHeight="1" x14ac:dyDescent="0.2">
      <c r="A2235" t="s">
        <v>3654</v>
      </c>
      <c r="B2235" t="s">
        <v>6709</v>
      </c>
      <c r="C2235">
        <v>2024</v>
      </c>
      <c r="D2235">
        <v>2024</v>
      </c>
      <c r="E2235" s="7">
        <v>45438</v>
      </c>
      <c r="F2235" s="7">
        <v>45802</v>
      </c>
      <c r="G2235" t="s">
        <v>135</v>
      </c>
      <c r="H2235" t="s">
        <v>116</v>
      </c>
      <c r="I2235" t="s">
        <v>104</v>
      </c>
      <c r="J2235">
        <v>5559.41</v>
      </c>
      <c r="K2235">
        <v>1000000</v>
      </c>
    </row>
    <row r="2236" spans="1:11" ht="15" customHeight="1" x14ac:dyDescent="0.2">
      <c r="A2236" t="s">
        <v>3656</v>
      </c>
      <c r="B2236" t="s">
        <v>8515</v>
      </c>
      <c r="C2236">
        <v>2024</v>
      </c>
      <c r="D2236">
        <v>2024</v>
      </c>
      <c r="E2236" s="7">
        <v>45438</v>
      </c>
      <c r="F2236" s="7">
        <v>45802</v>
      </c>
      <c r="G2236" t="s">
        <v>135</v>
      </c>
      <c r="H2236" t="s">
        <v>100</v>
      </c>
      <c r="I2236" t="s">
        <v>104</v>
      </c>
      <c r="J2236">
        <v>5798.56</v>
      </c>
      <c r="K2236">
        <v>1000000</v>
      </c>
    </row>
    <row r="2237" spans="1:11" ht="15" customHeight="1" x14ac:dyDescent="0.2">
      <c r="A2237" t="s">
        <v>3658</v>
      </c>
      <c r="B2237" t="s">
        <v>8516</v>
      </c>
      <c r="C2237">
        <v>2024</v>
      </c>
      <c r="D2237">
        <v>2024</v>
      </c>
      <c r="E2237" s="7">
        <v>45438</v>
      </c>
      <c r="F2237" s="7">
        <v>45802</v>
      </c>
      <c r="G2237" t="s">
        <v>135</v>
      </c>
      <c r="H2237" t="s">
        <v>102</v>
      </c>
      <c r="I2237" t="s">
        <v>101</v>
      </c>
      <c r="J2237">
        <v>10227.02</v>
      </c>
      <c r="K2237">
        <v>1500000</v>
      </c>
    </row>
    <row r="2238" spans="1:11" ht="15" customHeight="1" x14ac:dyDescent="0.2">
      <c r="A2238" t="s">
        <v>3660</v>
      </c>
      <c r="B2238" t="s">
        <v>6679</v>
      </c>
      <c r="C2238">
        <v>2024</v>
      </c>
      <c r="D2238">
        <v>2024</v>
      </c>
      <c r="E2238" s="7">
        <v>45438</v>
      </c>
      <c r="F2238" s="7">
        <v>45802</v>
      </c>
      <c r="G2238" t="s">
        <v>135</v>
      </c>
      <c r="H2238" t="s">
        <v>105</v>
      </c>
      <c r="I2238" t="s">
        <v>101</v>
      </c>
      <c r="J2238">
        <v>9734.59</v>
      </c>
      <c r="K2238">
        <v>1500000</v>
      </c>
    </row>
    <row r="2239" spans="1:11" ht="15" customHeight="1" x14ac:dyDescent="0.2">
      <c r="A2239" t="s">
        <v>3661</v>
      </c>
      <c r="B2239" t="s">
        <v>203</v>
      </c>
      <c r="C2239">
        <v>2024</v>
      </c>
      <c r="D2239">
        <v>2024</v>
      </c>
      <c r="E2239" s="7">
        <v>45439</v>
      </c>
      <c r="F2239" s="7">
        <v>45803</v>
      </c>
      <c r="G2239" t="s">
        <v>135</v>
      </c>
      <c r="H2239" t="s">
        <v>113</v>
      </c>
      <c r="I2239" t="s">
        <v>104</v>
      </c>
      <c r="J2239">
        <v>11505.87</v>
      </c>
      <c r="K2239">
        <v>2000000</v>
      </c>
    </row>
    <row r="2240" spans="1:11" ht="15" customHeight="1" x14ac:dyDescent="0.2">
      <c r="A2240" t="s">
        <v>3663</v>
      </c>
      <c r="B2240" t="s">
        <v>8517</v>
      </c>
      <c r="C2240">
        <v>2024</v>
      </c>
      <c r="D2240">
        <v>2024</v>
      </c>
      <c r="E2240" s="7">
        <v>45439</v>
      </c>
      <c r="F2240" s="7">
        <v>45803</v>
      </c>
      <c r="G2240" t="s">
        <v>135</v>
      </c>
      <c r="H2240" t="s">
        <v>106</v>
      </c>
      <c r="I2240" t="s">
        <v>104</v>
      </c>
      <c r="J2240">
        <v>66347.899999999994</v>
      </c>
      <c r="K2240">
        <v>10000000</v>
      </c>
    </row>
    <row r="2241" spans="1:11" ht="15" customHeight="1" x14ac:dyDescent="0.2">
      <c r="A2241" t="s">
        <v>3665</v>
      </c>
      <c r="B2241" t="s">
        <v>7298</v>
      </c>
      <c r="C2241">
        <v>2024</v>
      </c>
      <c r="D2241">
        <v>2024</v>
      </c>
      <c r="E2241" s="7">
        <v>45439</v>
      </c>
      <c r="F2241" s="7">
        <v>45803</v>
      </c>
      <c r="G2241" t="s">
        <v>135</v>
      </c>
      <c r="H2241" t="s">
        <v>102</v>
      </c>
      <c r="I2241" t="s">
        <v>101</v>
      </c>
      <c r="J2241">
        <v>3911.2</v>
      </c>
      <c r="K2241">
        <v>500000</v>
      </c>
    </row>
    <row r="2242" spans="1:11" ht="15" customHeight="1" x14ac:dyDescent="0.2">
      <c r="A2242" t="s">
        <v>3666</v>
      </c>
      <c r="B2242" t="s">
        <v>6715</v>
      </c>
      <c r="C2242">
        <v>2024</v>
      </c>
      <c r="D2242">
        <v>2024</v>
      </c>
      <c r="E2242" s="7">
        <v>45439</v>
      </c>
      <c r="F2242" s="7">
        <v>45803</v>
      </c>
      <c r="G2242" t="s">
        <v>135</v>
      </c>
      <c r="H2242" t="s">
        <v>6348</v>
      </c>
      <c r="I2242" t="s">
        <v>104</v>
      </c>
      <c r="J2242">
        <v>5753.59</v>
      </c>
      <c r="K2242">
        <v>1000000</v>
      </c>
    </row>
    <row r="2243" spans="1:11" ht="15" customHeight="1" x14ac:dyDescent="0.2">
      <c r="A2243" t="s">
        <v>3667</v>
      </c>
      <c r="B2243" t="s">
        <v>6706</v>
      </c>
      <c r="C2243">
        <v>2024</v>
      </c>
      <c r="D2243">
        <v>2024</v>
      </c>
      <c r="E2243" s="7">
        <v>45439</v>
      </c>
      <c r="F2243" s="7">
        <v>45803</v>
      </c>
      <c r="G2243" t="s">
        <v>135</v>
      </c>
      <c r="H2243" t="s">
        <v>106</v>
      </c>
      <c r="I2243" t="s">
        <v>101</v>
      </c>
      <c r="J2243">
        <v>13759.79</v>
      </c>
      <c r="K2243">
        <v>1500000</v>
      </c>
    </row>
    <row r="2244" spans="1:11" ht="15" customHeight="1" x14ac:dyDescent="0.2">
      <c r="A2244" t="s">
        <v>3668</v>
      </c>
      <c r="B2244" t="s">
        <v>8518</v>
      </c>
      <c r="C2244">
        <v>2024</v>
      </c>
      <c r="D2244">
        <v>2024</v>
      </c>
      <c r="E2244" s="7">
        <v>45439</v>
      </c>
      <c r="F2244" s="7">
        <v>45803</v>
      </c>
      <c r="G2244" t="s">
        <v>135</v>
      </c>
      <c r="H2244" t="s">
        <v>113</v>
      </c>
      <c r="I2244" t="s">
        <v>104</v>
      </c>
      <c r="J2244">
        <v>11749.51</v>
      </c>
      <c r="K2244">
        <v>2000000</v>
      </c>
    </row>
    <row r="2245" spans="1:11" ht="15" customHeight="1" x14ac:dyDescent="0.2">
      <c r="A2245" t="s">
        <v>3669</v>
      </c>
      <c r="B2245" t="s">
        <v>8519</v>
      </c>
      <c r="C2245">
        <v>2024</v>
      </c>
      <c r="D2245">
        <v>2024</v>
      </c>
      <c r="E2245" s="7">
        <v>45439</v>
      </c>
      <c r="F2245" s="7">
        <v>45803</v>
      </c>
      <c r="G2245" t="s">
        <v>135</v>
      </c>
      <c r="H2245" t="s">
        <v>106</v>
      </c>
      <c r="I2245" t="s">
        <v>101</v>
      </c>
      <c r="J2245">
        <v>43862.84</v>
      </c>
      <c r="K2245">
        <v>5000000</v>
      </c>
    </row>
    <row r="2246" spans="1:11" ht="15" customHeight="1" x14ac:dyDescent="0.2">
      <c r="A2246" t="s">
        <v>3670</v>
      </c>
      <c r="B2246" t="s">
        <v>6680</v>
      </c>
      <c r="C2246">
        <v>2024</v>
      </c>
      <c r="D2246">
        <v>2024</v>
      </c>
      <c r="E2246" s="7">
        <v>45439</v>
      </c>
      <c r="F2246" s="7">
        <v>45803</v>
      </c>
      <c r="G2246" t="s">
        <v>135</v>
      </c>
      <c r="H2246" t="s">
        <v>107</v>
      </c>
      <c r="I2246" t="s">
        <v>101</v>
      </c>
      <c r="J2246">
        <v>10731.54</v>
      </c>
      <c r="K2246">
        <v>1500000</v>
      </c>
    </row>
    <row r="2247" spans="1:11" ht="15" customHeight="1" x14ac:dyDescent="0.2">
      <c r="A2247" t="s">
        <v>3671</v>
      </c>
      <c r="B2247" t="s">
        <v>868</v>
      </c>
      <c r="C2247">
        <v>2024</v>
      </c>
      <c r="D2247">
        <v>2024</v>
      </c>
      <c r="E2247" s="7">
        <v>45439</v>
      </c>
      <c r="F2247" s="7">
        <v>45803</v>
      </c>
      <c r="G2247" t="s">
        <v>135</v>
      </c>
      <c r="H2247" t="s">
        <v>106</v>
      </c>
      <c r="I2247" t="s">
        <v>104</v>
      </c>
      <c r="J2247">
        <v>10974.13</v>
      </c>
      <c r="K2247">
        <v>1500000</v>
      </c>
    </row>
    <row r="2248" spans="1:11" ht="15" customHeight="1" x14ac:dyDescent="0.2">
      <c r="A2248" t="s">
        <v>3672</v>
      </c>
      <c r="B2248" t="s">
        <v>8520</v>
      </c>
      <c r="C2248">
        <v>2024</v>
      </c>
      <c r="D2248">
        <v>2024</v>
      </c>
      <c r="E2248" s="7">
        <v>45439</v>
      </c>
      <c r="F2248" s="7">
        <v>45803</v>
      </c>
      <c r="G2248" t="s">
        <v>135</v>
      </c>
      <c r="H2248" t="s">
        <v>102</v>
      </c>
      <c r="I2248" t="s">
        <v>101</v>
      </c>
      <c r="J2248">
        <v>13229.22</v>
      </c>
      <c r="K2248">
        <v>2000000</v>
      </c>
    </row>
    <row r="2249" spans="1:11" ht="15" customHeight="1" x14ac:dyDescent="0.2">
      <c r="A2249" t="s">
        <v>3673</v>
      </c>
      <c r="B2249" t="s">
        <v>8521</v>
      </c>
      <c r="C2249">
        <v>2024</v>
      </c>
      <c r="D2249">
        <v>2024</v>
      </c>
      <c r="E2249" s="7">
        <v>45439</v>
      </c>
      <c r="F2249" s="7">
        <v>45803</v>
      </c>
      <c r="G2249" t="s">
        <v>135</v>
      </c>
      <c r="H2249" t="s">
        <v>106</v>
      </c>
      <c r="I2249" t="s">
        <v>101</v>
      </c>
      <c r="J2249">
        <v>16994.560000000001</v>
      </c>
      <c r="K2249">
        <v>2000000</v>
      </c>
    </row>
    <row r="2250" spans="1:11" ht="15" customHeight="1" x14ac:dyDescent="0.2">
      <c r="A2250" t="s">
        <v>3675</v>
      </c>
      <c r="B2250" t="s">
        <v>2855</v>
      </c>
      <c r="C2250">
        <v>2024</v>
      </c>
      <c r="D2250">
        <v>2024</v>
      </c>
      <c r="E2250" s="7">
        <v>45440</v>
      </c>
      <c r="F2250" s="7">
        <v>45804</v>
      </c>
      <c r="G2250" t="s">
        <v>99</v>
      </c>
      <c r="H2250" t="s">
        <v>107</v>
      </c>
      <c r="I2250" t="s">
        <v>101</v>
      </c>
      <c r="J2250">
        <v>15589.7</v>
      </c>
      <c r="K2250">
        <v>2000000</v>
      </c>
    </row>
    <row r="2251" spans="1:11" ht="15" customHeight="1" x14ac:dyDescent="0.2">
      <c r="A2251" t="s">
        <v>3676</v>
      </c>
      <c r="B2251" t="s">
        <v>2864</v>
      </c>
      <c r="C2251">
        <v>2024</v>
      </c>
      <c r="D2251">
        <v>2024</v>
      </c>
      <c r="E2251" s="7">
        <v>45440</v>
      </c>
      <c r="F2251" s="7">
        <v>45804</v>
      </c>
      <c r="G2251" t="s">
        <v>99</v>
      </c>
      <c r="H2251" t="s">
        <v>102</v>
      </c>
      <c r="I2251" t="s">
        <v>101</v>
      </c>
      <c r="J2251">
        <v>11702.13</v>
      </c>
      <c r="K2251">
        <v>1500000</v>
      </c>
    </row>
    <row r="2252" spans="1:11" ht="15" customHeight="1" x14ac:dyDescent="0.2">
      <c r="A2252" t="s">
        <v>3677</v>
      </c>
      <c r="B2252" t="s">
        <v>2866</v>
      </c>
      <c r="C2252">
        <v>2024</v>
      </c>
      <c r="D2252">
        <v>2024</v>
      </c>
      <c r="E2252" s="7">
        <v>45440</v>
      </c>
      <c r="F2252" s="7">
        <v>45804</v>
      </c>
      <c r="G2252" t="s">
        <v>99</v>
      </c>
      <c r="H2252" t="s">
        <v>106</v>
      </c>
      <c r="I2252" t="s">
        <v>101</v>
      </c>
      <c r="J2252">
        <v>12394.29</v>
      </c>
      <c r="K2252">
        <v>1500000</v>
      </c>
    </row>
    <row r="2253" spans="1:11" ht="15" customHeight="1" x14ac:dyDescent="0.2">
      <c r="A2253" t="s">
        <v>3678</v>
      </c>
      <c r="B2253" t="s">
        <v>2868</v>
      </c>
      <c r="C2253">
        <v>2024</v>
      </c>
      <c r="D2253">
        <v>2024</v>
      </c>
      <c r="E2253" s="7">
        <v>45440</v>
      </c>
      <c r="F2253" s="7">
        <v>45804</v>
      </c>
      <c r="G2253" t="s">
        <v>99</v>
      </c>
      <c r="H2253" t="s">
        <v>115</v>
      </c>
      <c r="I2253" t="s">
        <v>101</v>
      </c>
      <c r="J2253">
        <v>34977.17</v>
      </c>
      <c r="K2253">
        <v>5000000</v>
      </c>
    </row>
    <row r="2254" spans="1:11" ht="15" customHeight="1" x14ac:dyDescent="0.2">
      <c r="A2254" t="s">
        <v>3679</v>
      </c>
      <c r="B2254" t="s">
        <v>2870</v>
      </c>
      <c r="C2254">
        <v>2024</v>
      </c>
      <c r="D2254">
        <v>2024</v>
      </c>
      <c r="E2254" s="7">
        <v>45440</v>
      </c>
      <c r="F2254" s="7">
        <v>45804</v>
      </c>
      <c r="G2254" t="s">
        <v>99</v>
      </c>
      <c r="H2254" t="s">
        <v>6337</v>
      </c>
      <c r="I2254" t="s">
        <v>101</v>
      </c>
      <c r="J2254">
        <v>11390.9</v>
      </c>
      <c r="K2254">
        <v>1500000</v>
      </c>
    </row>
    <row r="2255" spans="1:11" ht="15" customHeight="1" x14ac:dyDescent="0.2">
      <c r="A2255" t="s">
        <v>3680</v>
      </c>
      <c r="B2255" t="s">
        <v>8522</v>
      </c>
      <c r="C2255">
        <v>2024</v>
      </c>
      <c r="D2255">
        <v>2024</v>
      </c>
      <c r="E2255" s="7">
        <v>45440</v>
      </c>
      <c r="F2255" s="7">
        <v>45804</v>
      </c>
      <c r="G2255" t="s">
        <v>135</v>
      </c>
      <c r="H2255" t="s">
        <v>105</v>
      </c>
      <c r="I2255" t="s">
        <v>104</v>
      </c>
      <c r="J2255">
        <v>5352.05</v>
      </c>
      <c r="K2255">
        <v>1000000</v>
      </c>
    </row>
    <row r="2256" spans="1:11" ht="15" customHeight="1" x14ac:dyDescent="0.2">
      <c r="A2256" t="s">
        <v>3681</v>
      </c>
      <c r="B2256" t="s">
        <v>8523</v>
      </c>
      <c r="C2256">
        <v>2024</v>
      </c>
      <c r="D2256">
        <v>2024</v>
      </c>
      <c r="E2256" s="7">
        <v>45440</v>
      </c>
      <c r="F2256" s="7">
        <v>45804</v>
      </c>
      <c r="G2256" t="s">
        <v>135</v>
      </c>
      <c r="H2256" t="s">
        <v>6332</v>
      </c>
      <c r="I2256" t="s">
        <v>104</v>
      </c>
      <c r="J2256">
        <v>11498.91</v>
      </c>
      <c r="K2256">
        <v>2000000</v>
      </c>
    </row>
    <row r="2257" spans="1:11" ht="15" customHeight="1" x14ac:dyDescent="0.2">
      <c r="A2257" t="s">
        <v>3682</v>
      </c>
      <c r="B2257" t="s">
        <v>8524</v>
      </c>
      <c r="C2257">
        <v>2024</v>
      </c>
      <c r="D2257">
        <v>2024</v>
      </c>
      <c r="E2257" s="7">
        <v>45440</v>
      </c>
      <c r="F2257" s="7">
        <v>45804</v>
      </c>
      <c r="G2257" t="s">
        <v>135</v>
      </c>
      <c r="H2257" t="s">
        <v>106</v>
      </c>
      <c r="I2257" t="s">
        <v>101</v>
      </c>
      <c r="J2257">
        <v>9066.73</v>
      </c>
      <c r="K2257">
        <v>1000000</v>
      </c>
    </row>
    <row r="2258" spans="1:11" ht="15" customHeight="1" x14ac:dyDescent="0.2">
      <c r="A2258" t="s">
        <v>3684</v>
      </c>
      <c r="B2258" t="s">
        <v>871</v>
      </c>
      <c r="C2258">
        <v>2024</v>
      </c>
      <c r="D2258">
        <v>2024</v>
      </c>
      <c r="E2258" s="7">
        <v>45440</v>
      </c>
      <c r="F2258" s="7">
        <v>45804</v>
      </c>
      <c r="G2258" t="s">
        <v>135</v>
      </c>
      <c r="H2258" t="s">
        <v>108</v>
      </c>
      <c r="I2258" t="s">
        <v>101</v>
      </c>
      <c r="J2258">
        <v>13926.13</v>
      </c>
      <c r="K2258">
        <v>1500000</v>
      </c>
    </row>
    <row r="2259" spans="1:11" ht="15" customHeight="1" x14ac:dyDescent="0.2">
      <c r="A2259" t="s">
        <v>3686</v>
      </c>
      <c r="B2259" t="s">
        <v>6718</v>
      </c>
      <c r="C2259">
        <v>2024</v>
      </c>
      <c r="D2259">
        <v>2024</v>
      </c>
      <c r="E2259" s="7">
        <v>45440</v>
      </c>
      <c r="F2259" s="7">
        <v>45804</v>
      </c>
      <c r="G2259" t="s">
        <v>135</v>
      </c>
      <c r="H2259" t="s">
        <v>110</v>
      </c>
      <c r="I2259" t="s">
        <v>101</v>
      </c>
      <c r="J2259">
        <v>42385.120000000003</v>
      </c>
      <c r="K2259">
        <v>5000000</v>
      </c>
    </row>
    <row r="2260" spans="1:11" ht="15" customHeight="1" x14ac:dyDescent="0.2">
      <c r="A2260" t="s">
        <v>3688</v>
      </c>
      <c r="B2260" t="s">
        <v>6685</v>
      </c>
      <c r="C2260">
        <v>2024</v>
      </c>
      <c r="D2260">
        <v>2024</v>
      </c>
      <c r="E2260" s="7">
        <v>45440</v>
      </c>
      <c r="F2260" s="7">
        <v>45804</v>
      </c>
      <c r="G2260" t="s">
        <v>135</v>
      </c>
      <c r="H2260" t="s">
        <v>110</v>
      </c>
      <c r="I2260" t="s">
        <v>104</v>
      </c>
      <c r="J2260">
        <v>10378.870000000001</v>
      </c>
      <c r="K2260">
        <v>1500000</v>
      </c>
    </row>
    <row r="2261" spans="1:11" ht="15" customHeight="1" x14ac:dyDescent="0.2">
      <c r="A2261" t="s">
        <v>3689</v>
      </c>
      <c r="B2261" t="s">
        <v>6727</v>
      </c>
      <c r="C2261">
        <v>2024</v>
      </c>
      <c r="D2261">
        <v>2024</v>
      </c>
      <c r="E2261" s="7">
        <v>45440</v>
      </c>
      <c r="F2261" s="7">
        <v>45804</v>
      </c>
      <c r="G2261" t="s">
        <v>135</v>
      </c>
      <c r="H2261" t="s">
        <v>113</v>
      </c>
      <c r="I2261" t="s">
        <v>101</v>
      </c>
      <c r="J2261">
        <v>10018.719999999999</v>
      </c>
      <c r="K2261">
        <v>1500000</v>
      </c>
    </row>
    <row r="2262" spans="1:11" ht="15" customHeight="1" x14ac:dyDescent="0.2">
      <c r="A2262" t="s">
        <v>3690</v>
      </c>
      <c r="B2262" t="s">
        <v>870</v>
      </c>
      <c r="C2262">
        <v>2024</v>
      </c>
      <c r="D2262">
        <v>2024</v>
      </c>
      <c r="E2262" s="7">
        <v>45440</v>
      </c>
      <c r="F2262" s="7">
        <v>45804</v>
      </c>
      <c r="G2262" t="s">
        <v>135</v>
      </c>
      <c r="H2262" t="s">
        <v>106</v>
      </c>
      <c r="I2262" t="s">
        <v>104</v>
      </c>
      <c r="J2262">
        <v>6715.43</v>
      </c>
      <c r="K2262">
        <v>1000000</v>
      </c>
    </row>
    <row r="2263" spans="1:11" ht="15" customHeight="1" x14ac:dyDescent="0.2">
      <c r="A2263" t="s">
        <v>3691</v>
      </c>
      <c r="B2263" t="s">
        <v>8525</v>
      </c>
      <c r="C2263">
        <v>2024</v>
      </c>
      <c r="D2263">
        <v>2024</v>
      </c>
      <c r="E2263" s="7">
        <v>45440</v>
      </c>
      <c r="F2263" s="7">
        <v>45804</v>
      </c>
      <c r="G2263" t="s">
        <v>135</v>
      </c>
      <c r="H2263" t="s">
        <v>106</v>
      </c>
      <c r="I2263" t="s">
        <v>101</v>
      </c>
      <c r="J2263">
        <v>4776.51</v>
      </c>
      <c r="K2263">
        <v>500000</v>
      </c>
    </row>
    <row r="2264" spans="1:11" ht="15" customHeight="1" x14ac:dyDescent="0.2">
      <c r="A2264" t="s">
        <v>3692</v>
      </c>
      <c r="B2264" t="s">
        <v>6716</v>
      </c>
      <c r="C2264">
        <v>2024</v>
      </c>
      <c r="D2264">
        <v>2024</v>
      </c>
      <c r="E2264" s="7">
        <v>45440</v>
      </c>
      <c r="F2264" s="7">
        <v>45804</v>
      </c>
      <c r="G2264" t="s">
        <v>135</v>
      </c>
      <c r="H2264" t="s">
        <v>115</v>
      </c>
      <c r="I2264" t="s">
        <v>101</v>
      </c>
      <c r="J2264">
        <v>11507.24</v>
      </c>
      <c r="K2264">
        <v>1500000</v>
      </c>
    </row>
    <row r="2265" spans="1:11" ht="15" customHeight="1" x14ac:dyDescent="0.2">
      <c r="A2265" t="s">
        <v>3693</v>
      </c>
      <c r="B2265" t="s">
        <v>537</v>
      </c>
      <c r="C2265">
        <v>2024</v>
      </c>
      <c r="D2265">
        <v>2024</v>
      </c>
      <c r="E2265" s="7">
        <v>45440</v>
      </c>
      <c r="F2265" s="7">
        <v>45804</v>
      </c>
      <c r="G2265" t="s">
        <v>135</v>
      </c>
      <c r="H2265" t="s">
        <v>102</v>
      </c>
      <c r="I2265" t="s">
        <v>104</v>
      </c>
      <c r="J2265">
        <v>8973.32</v>
      </c>
      <c r="K2265">
        <v>1500000</v>
      </c>
    </row>
    <row r="2266" spans="1:11" ht="15" customHeight="1" x14ac:dyDescent="0.2">
      <c r="A2266" t="s">
        <v>3694</v>
      </c>
      <c r="B2266" t="s">
        <v>869</v>
      </c>
      <c r="C2266">
        <v>2024</v>
      </c>
      <c r="D2266">
        <v>2024</v>
      </c>
      <c r="E2266" s="7">
        <v>45440</v>
      </c>
      <c r="F2266" s="7">
        <v>45804</v>
      </c>
      <c r="G2266" t="s">
        <v>135</v>
      </c>
      <c r="H2266" t="s">
        <v>106</v>
      </c>
      <c r="I2266" t="s">
        <v>104</v>
      </c>
      <c r="J2266">
        <v>7112.61</v>
      </c>
      <c r="K2266">
        <v>1000000</v>
      </c>
    </row>
    <row r="2267" spans="1:11" ht="15" customHeight="1" x14ac:dyDescent="0.2">
      <c r="A2267" t="s">
        <v>3695</v>
      </c>
      <c r="B2267" t="s">
        <v>2872</v>
      </c>
      <c r="C2267">
        <v>2024</v>
      </c>
      <c r="D2267">
        <v>2024</v>
      </c>
      <c r="E2267" s="7">
        <v>45441</v>
      </c>
      <c r="F2267" s="7">
        <v>45805</v>
      </c>
      <c r="G2267" t="s">
        <v>99</v>
      </c>
      <c r="H2267" t="s">
        <v>102</v>
      </c>
      <c r="I2267" t="s">
        <v>101</v>
      </c>
      <c r="J2267">
        <v>14411.58</v>
      </c>
      <c r="K2267">
        <v>2000000</v>
      </c>
    </row>
    <row r="2268" spans="1:11" ht="15" customHeight="1" x14ac:dyDescent="0.2">
      <c r="A2268" t="s">
        <v>3696</v>
      </c>
      <c r="B2268" t="s">
        <v>2874</v>
      </c>
      <c r="C2268">
        <v>2024</v>
      </c>
      <c r="D2268">
        <v>2024</v>
      </c>
      <c r="E2268" s="7">
        <v>45441</v>
      </c>
      <c r="F2268" s="7">
        <v>45805</v>
      </c>
      <c r="G2268" t="s">
        <v>99</v>
      </c>
      <c r="H2268" t="s">
        <v>107</v>
      </c>
      <c r="I2268" t="s">
        <v>101</v>
      </c>
      <c r="J2268">
        <v>36030.839999999997</v>
      </c>
      <c r="K2268">
        <v>5000000</v>
      </c>
    </row>
    <row r="2269" spans="1:11" ht="15" customHeight="1" x14ac:dyDescent="0.2">
      <c r="A2269" t="s">
        <v>3698</v>
      </c>
      <c r="B2269" t="s">
        <v>874</v>
      </c>
      <c r="C2269">
        <v>2024</v>
      </c>
      <c r="D2269">
        <v>2024</v>
      </c>
      <c r="E2269" s="7">
        <v>45441</v>
      </c>
      <c r="F2269" s="7">
        <v>45805</v>
      </c>
      <c r="G2269" t="s">
        <v>135</v>
      </c>
      <c r="H2269" t="s">
        <v>110</v>
      </c>
      <c r="I2269" t="s">
        <v>101</v>
      </c>
      <c r="J2269">
        <v>4499.57</v>
      </c>
      <c r="K2269">
        <v>500000</v>
      </c>
    </row>
    <row r="2270" spans="1:11" ht="15" customHeight="1" x14ac:dyDescent="0.2">
      <c r="A2270" t="s">
        <v>3700</v>
      </c>
      <c r="B2270" t="s">
        <v>8526</v>
      </c>
      <c r="C2270">
        <v>2024</v>
      </c>
      <c r="D2270">
        <v>2024</v>
      </c>
      <c r="E2270" s="7">
        <v>45441</v>
      </c>
      <c r="F2270" s="7">
        <v>45805</v>
      </c>
      <c r="G2270" t="s">
        <v>135</v>
      </c>
      <c r="H2270" t="s">
        <v>106</v>
      </c>
      <c r="I2270" t="s">
        <v>101</v>
      </c>
      <c r="J2270">
        <v>4390.32</v>
      </c>
      <c r="K2270">
        <v>500000</v>
      </c>
    </row>
    <row r="2271" spans="1:11" ht="15" customHeight="1" x14ac:dyDescent="0.2">
      <c r="A2271" t="s">
        <v>3702</v>
      </c>
      <c r="B2271" t="s">
        <v>6690</v>
      </c>
      <c r="C2271">
        <v>2024</v>
      </c>
      <c r="D2271">
        <v>2024</v>
      </c>
      <c r="E2271" s="7">
        <v>45441</v>
      </c>
      <c r="F2271" s="7">
        <v>45805</v>
      </c>
      <c r="G2271" t="s">
        <v>135</v>
      </c>
      <c r="H2271" t="s">
        <v>108</v>
      </c>
      <c r="I2271" t="s">
        <v>104</v>
      </c>
      <c r="J2271">
        <v>10249.23</v>
      </c>
      <c r="K2271">
        <v>1500000</v>
      </c>
    </row>
    <row r="2272" spans="1:11" ht="15" customHeight="1" x14ac:dyDescent="0.2">
      <c r="A2272" t="s">
        <v>3704</v>
      </c>
      <c r="B2272" t="s">
        <v>8527</v>
      </c>
      <c r="C2272">
        <v>2024</v>
      </c>
      <c r="D2272">
        <v>2024</v>
      </c>
      <c r="E2272" s="7">
        <v>45441</v>
      </c>
      <c r="F2272" s="7">
        <v>45805</v>
      </c>
      <c r="G2272" t="s">
        <v>135</v>
      </c>
      <c r="H2272" t="s">
        <v>108</v>
      </c>
      <c r="I2272" t="s">
        <v>101</v>
      </c>
      <c r="J2272">
        <v>17190.53</v>
      </c>
      <c r="K2272">
        <v>2000000</v>
      </c>
    </row>
    <row r="2273" spans="1:11" ht="15" customHeight="1" x14ac:dyDescent="0.2">
      <c r="A2273" t="s">
        <v>3705</v>
      </c>
      <c r="B2273" t="s">
        <v>8528</v>
      </c>
      <c r="C2273">
        <v>2024</v>
      </c>
      <c r="D2273">
        <v>2024</v>
      </c>
      <c r="E2273" s="7">
        <v>45441</v>
      </c>
      <c r="F2273" s="7">
        <v>45805</v>
      </c>
      <c r="G2273" t="s">
        <v>135</v>
      </c>
      <c r="H2273" t="s">
        <v>115</v>
      </c>
      <c r="I2273" t="s">
        <v>104</v>
      </c>
      <c r="J2273">
        <v>5722.67</v>
      </c>
      <c r="K2273">
        <v>1000000</v>
      </c>
    </row>
    <row r="2274" spans="1:11" ht="15" customHeight="1" x14ac:dyDescent="0.2">
      <c r="A2274" t="s">
        <v>3706</v>
      </c>
      <c r="B2274" t="s">
        <v>8529</v>
      </c>
      <c r="C2274">
        <v>2024</v>
      </c>
      <c r="D2274">
        <v>2024</v>
      </c>
      <c r="E2274" s="7">
        <v>45441</v>
      </c>
      <c r="F2274" s="7">
        <v>45805</v>
      </c>
      <c r="G2274" t="s">
        <v>135</v>
      </c>
      <c r="H2274" t="s">
        <v>6348</v>
      </c>
      <c r="I2274" t="s">
        <v>104</v>
      </c>
      <c r="J2274">
        <v>5872.06</v>
      </c>
      <c r="K2274">
        <v>1000000</v>
      </c>
    </row>
    <row r="2275" spans="1:11" ht="15" customHeight="1" x14ac:dyDescent="0.2">
      <c r="A2275" t="s">
        <v>3707</v>
      </c>
      <c r="B2275" t="s">
        <v>872</v>
      </c>
      <c r="C2275">
        <v>2024</v>
      </c>
      <c r="D2275">
        <v>2024</v>
      </c>
      <c r="E2275" s="7">
        <v>45441</v>
      </c>
      <c r="F2275" s="7">
        <v>45805</v>
      </c>
      <c r="G2275" t="s">
        <v>135</v>
      </c>
      <c r="H2275" t="s">
        <v>110</v>
      </c>
      <c r="I2275" t="s">
        <v>104</v>
      </c>
      <c r="J2275">
        <v>11834.7</v>
      </c>
      <c r="K2275">
        <v>1500000</v>
      </c>
    </row>
    <row r="2276" spans="1:11" ht="15" customHeight="1" x14ac:dyDescent="0.2">
      <c r="A2276" t="s">
        <v>3708</v>
      </c>
      <c r="B2276" t="s">
        <v>873</v>
      </c>
      <c r="C2276">
        <v>2024</v>
      </c>
      <c r="D2276">
        <v>2024</v>
      </c>
      <c r="E2276" s="7">
        <v>45441</v>
      </c>
      <c r="F2276" s="7">
        <v>45805</v>
      </c>
      <c r="G2276" t="s">
        <v>135</v>
      </c>
      <c r="H2276" t="s">
        <v>115</v>
      </c>
      <c r="I2276" t="s">
        <v>104</v>
      </c>
      <c r="J2276">
        <v>5341.39</v>
      </c>
      <c r="K2276">
        <v>1000000</v>
      </c>
    </row>
    <row r="2277" spans="1:11" ht="15" customHeight="1" x14ac:dyDescent="0.2">
      <c r="A2277" t="s">
        <v>3709</v>
      </c>
      <c r="B2277" t="s">
        <v>2876</v>
      </c>
      <c r="C2277">
        <v>2024</v>
      </c>
      <c r="D2277">
        <v>2024</v>
      </c>
      <c r="E2277" s="7">
        <v>45442</v>
      </c>
      <c r="F2277" s="7">
        <v>45806</v>
      </c>
      <c r="G2277" t="s">
        <v>99</v>
      </c>
      <c r="H2277" t="s">
        <v>102</v>
      </c>
      <c r="I2277" t="s">
        <v>104</v>
      </c>
      <c r="J2277">
        <v>11166.35</v>
      </c>
      <c r="K2277">
        <v>2000000</v>
      </c>
    </row>
    <row r="2278" spans="1:11" ht="15" customHeight="1" x14ac:dyDescent="0.2">
      <c r="A2278" t="s">
        <v>3710</v>
      </c>
      <c r="B2278" t="s">
        <v>2891</v>
      </c>
      <c r="C2278">
        <v>2024</v>
      </c>
      <c r="D2278">
        <v>2024</v>
      </c>
      <c r="E2278" s="7">
        <v>45442</v>
      </c>
      <c r="F2278" s="7">
        <v>45806</v>
      </c>
      <c r="G2278" t="s">
        <v>99</v>
      </c>
      <c r="H2278" t="s">
        <v>106</v>
      </c>
      <c r="I2278" t="s">
        <v>101</v>
      </c>
      <c r="J2278">
        <v>9170.92</v>
      </c>
      <c r="K2278">
        <v>1000000</v>
      </c>
    </row>
    <row r="2279" spans="1:11" ht="15" customHeight="1" x14ac:dyDescent="0.2">
      <c r="A2279" t="s">
        <v>3711</v>
      </c>
      <c r="B2279" t="s">
        <v>2893</v>
      </c>
      <c r="C2279">
        <v>2024</v>
      </c>
      <c r="D2279">
        <v>2024</v>
      </c>
      <c r="E2279" s="7">
        <v>45442</v>
      </c>
      <c r="F2279" s="7">
        <v>45806</v>
      </c>
      <c r="G2279" t="s">
        <v>99</v>
      </c>
      <c r="H2279" t="s">
        <v>108</v>
      </c>
      <c r="I2279" t="s">
        <v>101</v>
      </c>
      <c r="J2279">
        <v>4110.01</v>
      </c>
      <c r="K2279">
        <v>500000</v>
      </c>
    </row>
    <row r="2280" spans="1:11" ht="15" customHeight="1" x14ac:dyDescent="0.2">
      <c r="A2280" t="s">
        <v>3712</v>
      </c>
      <c r="B2280" t="s">
        <v>7257</v>
      </c>
      <c r="C2280">
        <v>2024</v>
      </c>
      <c r="D2280">
        <v>2024</v>
      </c>
      <c r="E2280" s="7">
        <v>45442</v>
      </c>
      <c r="F2280" s="7">
        <v>45806</v>
      </c>
      <c r="G2280" t="s">
        <v>135</v>
      </c>
      <c r="H2280" t="s">
        <v>102</v>
      </c>
      <c r="I2280" t="s">
        <v>101</v>
      </c>
      <c r="J2280">
        <v>34192.230000000003</v>
      </c>
      <c r="K2280">
        <v>5000000</v>
      </c>
    </row>
    <row r="2281" spans="1:11" ht="15" customHeight="1" x14ac:dyDescent="0.2">
      <c r="A2281" t="s">
        <v>3713</v>
      </c>
      <c r="B2281" t="s">
        <v>539</v>
      </c>
      <c r="C2281">
        <v>2024</v>
      </c>
      <c r="D2281">
        <v>2024</v>
      </c>
      <c r="E2281" s="7">
        <v>45442</v>
      </c>
      <c r="F2281" s="7">
        <v>45806</v>
      </c>
      <c r="G2281" t="s">
        <v>135</v>
      </c>
      <c r="H2281" t="s">
        <v>102</v>
      </c>
      <c r="I2281" t="s">
        <v>101</v>
      </c>
      <c r="J2281">
        <v>7582.3</v>
      </c>
      <c r="K2281">
        <v>1000000</v>
      </c>
    </row>
    <row r="2282" spans="1:11" ht="15" customHeight="1" x14ac:dyDescent="0.2">
      <c r="A2282" t="s">
        <v>3715</v>
      </c>
      <c r="B2282" t="s">
        <v>6694</v>
      </c>
      <c r="C2282">
        <v>2024</v>
      </c>
      <c r="D2282">
        <v>2024</v>
      </c>
      <c r="E2282" s="7">
        <v>45442</v>
      </c>
      <c r="F2282" s="7">
        <v>45806</v>
      </c>
      <c r="G2282" t="s">
        <v>135</v>
      </c>
      <c r="H2282" t="s">
        <v>109</v>
      </c>
      <c r="I2282" t="s">
        <v>104</v>
      </c>
      <c r="J2282">
        <v>29511.119999999999</v>
      </c>
      <c r="K2282">
        <v>5000000</v>
      </c>
    </row>
    <row r="2283" spans="1:11" ht="15" customHeight="1" x14ac:dyDescent="0.2">
      <c r="A2283" t="s">
        <v>3717</v>
      </c>
      <c r="B2283" t="s">
        <v>538</v>
      </c>
      <c r="C2283">
        <v>2024</v>
      </c>
      <c r="D2283">
        <v>2024</v>
      </c>
      <c r="E2283" s="7">
        <v>45442</v>
      </c>
      <c r="F2283" s="7">
        <v>45806</v>
      </c>
      <c r="G2283" t="s">
        <v>135</v>
      </c>
      <c r="H2283" t="s">
        <v>6332</v>
      </c>
      <c r="I2283" t="s">
        <v>101</v>
      </c>
      <c r="J2283">
        <v>76033.31</v>
      </c>
      <c r="K2283">
        <v>10000000</v>
      </c>
    </row>
    <row r="2284" spans="1:11" ht="15" customHeight="1" x14ac:dyDescent="0.2">
      <c r="A2284" t="s">
        <v>3719</v>
      </c>
      <c r="B2284" t="s">
        <v>6686</v>
      </c>
      <c r="C2284">
        <v>2024</v>
      </c>
      <c r="D2284">
        <v>2024</v>
      </c>
      <c r="E2284" s="7">
        <v>45442</v>
      </c>
      <c r="F2284" s="7">
        <v>45806</v>
      </c>
      <c r="G2284" t="s">
        <v>135</v>
      </c>
      <c r="H2284" t="s">
        <v>106</v>
      </c>
      <c r="I2284" t="s">
        <v>101</v>
      </c>
      <c r="J2284">
        <v>8684.9599999999991</v>
      </c>
      <c r="K2284">
        <v>1000000</v>
      </c>
    </row>
    <row r="2285" spans="1:11" ht="15" customHeight="1" x14ac:dyDescent="0.2">
      <c r="A2285" t="s">
        <v>3721</v>
      </c>
      <c r="B2285" t="s">
        <v>324</v>
      </c>
      <c r="C2285">
        <v>2024</v>
      </c>
      <c r="D2285">
        <v>2024</v>
      </c>
      <c r="E2285" s="7">
        <v>45442</v>
      </c>
      <c r="F2285" s="7">
        <v>45806</v>
      </c>
      <c r="G2285" t="s">
        <v>135</v>
      </c>
      <c r="H2285" t="s">
        <v>107</v>
      </c>
      <c r="I2285" t="s">
        <v>101</v>
      </c>
      <c r="J2285">
        <v>3476.14</v>
      </c>
      <c r="K2285">
        <v>500000</v>
      </c>
    </row>
    <row r="2286" spans="1:11" ht="15" customHeight="1" x14ac:dyDescent="0.2">
      <c r="A2286" t="s">
        <v>3722</v>
      </c>
      <c r="B2286" t="s">
        <v>6710</v>
      </c>
      <c r="C2286">
        <v>2024</v>
      </c>
      <c r="D2286">
        <v>2024</v>
      </c>
      <c r="E2286" s="7">
        <v>45442</v>
      </c>
      <c r="F2286" s="7">
        <v>45806</v>
      </c>
      <c r="G2286" t="s">
        <v>135</v>
      </c>
      <c r="H2286" t="s">
        <v>106</v>
      </c>
      <c r="I2286" t="s">
        <v>101</v>
      </c>
      <c r="J2286">
        <v>18262.91</v>
      </c>
      <c r="K2286">
        <v>2000000</v>
      </c>
    </row>
    <row r="2287" spans="1:11" ht="15" customHeight="1" x14ac:dyDescent="0.2">
      <c r="A2287" t="s">
        <v>3723</v>
      </c>
      <c r="B2287" t="s">
        <v>7260</v>
      </c>
      <c r="C2287">
        <v>2024</v>
      </c>
      <c r="D2287">
        <v>2024</v>
      </c>
      <c r="E2287" s="7">
        <v>45442</v>
      </c>
      <c r="F2287" s="7">
        <v>45806</v>
      </c>
      <c r="G2287" t="s">
        <v>135</v>
      </c>
      <c r="H2287" t="s">
        <v>102</v>
      </c>
      <c r="I2287" t="s">
        <v>101</v>
      </c>
      <c r="J2287">
        <v>33679.4</v>
      </c>
      <c r="K2287">
        <v>5000000</v>
      </c>
    </row>
    <row r="2288" spans="1:11" ht="15" customHeight="1" x14ac:dyDescent="0.2">
      <c r="A2288" t="s">
        <v>3724</v>
      </c>
      <c r="B2288" t="s">
        <v>540</v>
      </c>
      <c r="C2288">
        <v>2024</v>
      </c>
      <c r="D2288">
        <v>2024</v>
      </c>
      <c r="E2288" s="7">
        <v>45442</v>
      </c>
      <c r="F2288" s="7">
        <v>45806</v>
      </c>
      <c r="G2288" t="s">
        <v>135</v>
      </c>
      <c r="H2288" t="s">
        <v>106</v>
      </c>
      <c r="I2288" t="s">
        <v>104</v>
      </c>
      <c r="J2288">
        <v>7071.15</v>
      </c>
      <c r="K2288">
        <v>1000000</v>
      </c>
    </row>
    <row r="2289" spans="1:11" ht="15" customHeight="1" x14ac:dyDescent="0.2">
      <c r="A2289" t="s">
        <v>3725</v>
      </c>
      <c r="B2289" t="s">
        <v>8530</v>
      </c>
      <c r="C2289">
        <v>2024</v>
      </c>
      <c r="D2289">
        <v>2024</v>
      </c>
      <c r="E2289" s="7">
        <v>45442</v>
      </c>
      <c r="F2289" s="7">
        <v>45806</v>
      </c>
      <c r="G2289" t="s">
        <v>135</v>
      </c>
      <c r="H2289" t="s">
        <v>113</v>
      </c>
      <c r="I2289" t="s">
        <v>101</v>
      </c>
      <c r="J2289">
        <v>11500.51</v>
      </c>
      <c r="K2289">
        <v>1500000</v>
      </c>
    </row>
    <row r="2290" spans="1:11" ht="15" customHeight="1" x14ac:dyDescent="0.2">
      <c r="A2290" t="s">
        <v>3726</v>
      </c>
      <c r="B2290" t="s">
        <v>6837</v>
      </c>
      <c r="C2290">
        <v>2024</v>
      </c>
      <c r="D2290">
        <v>2024</v>
      </c>
      <c r="E2290" s="7">
        <v>45442</v>
      </c>
      <c r="F2290" s="7">
        <v>45806</v>
      </c>
      <c r="G2290" t="s">
        <v>135</v>
      </c>
      <c r="H2290" t="s">
        <v>106</v>
      </c>
      <c r="I2290" t="s">
        <v>104</v>
      </c>
      <c r="J2290">
        <v>6745.79</v>
      </c>
      <c r="K2290">
        <v>1000000</v>
      </c>
    </row>
    <row r="2291" spans="1:11" ht="15" customHeight="1" x14ac:dyDescent="0.2">
      <c r="A2291" t="s">
        <v>3727</v>
      </c>
      <c r="B2291" t="s">
        <v>8531</v>
      </c>
      <c r="C2291">
        <v>2024</v>
      </c>
      <c r="D2291">
        <v>2024</v>
      </c>
      <c r="E2291" s="7">
        <v>45442</v>
      </c>
      <c r="F2291" s="7">
        <v>45806</v>
      </c>
      <c r="G2291" t="s">
        <v>135</v>
      </c>
      <c r="H2291" t="s">
        <v>109</v>
      </c>
      <c r="I2291" t="s">
        <v>101</v>
      </c>
      <c r="J2291">
        <v>6600.24</v>
      </c>
      <c r="K2291">
        <v>1000000</v>
      </c>
    </row>
    <row r="2292" spans="1:11" ht="15" customHeight="1" x14ac:dyDescent="0.2">
      <c r="A2292" t="s">
        <v>3728</v>
      </c>
      <c r="B2292" t="s">
        <v>323</v>
      </c>
      <c r="C2292">
        <v>2024</v>
      </c>
      <c r="D2292">
        <v>2024</v>
      </c>
      <c r="E2292" s="7">
        <v>45442</v>
      </c>
      <c r="F2292" s="7">
        <v>45806</v>
      </c>
      <c r="G2292" t="s">
        <v>135</v>
      </c>
      <c r="H2292" t="s">
        <v>115</v>
      </c>
      <c r="I2292" t="s">
        <v>101</v>
      </c>
      <c r="J2292">
        <v>13079.48</v>
      </c>
      <c r="K2292">
        <v>2000000</v>
      </c>
    </row>
    <row r="2293" spans="1:11" ht="15" customHeight="1" x14ac:dyDescent="0.2">
      <c r="A2293" t="s">
        <v>3729</v>
      </c>
      <c r="B2293" t="s">
        <v>2895</v>
      </c>
      <c r="C2293">
        <v>2024</v>
      </c>
      <c r="D2293">
        <v>2024</v>
      </c>
      <c r="E2293" s="7">
        <v>45443</v>
      </c>
      <c r="F2293" s="7">
        <v>45807</v>
      </c>
      <c r="G2293" t="s">
        <v>99</v>
      </c>
      <c r="H2293" t="s">
        <v>103</v>
      </c>
      <c r="I2293" t="s">
        <v>101</v>
      </c>
      <c r="J2293">
        <v>14342.72</v>
      </c>
      <c r="K2293">
        <v>2000000</v>
      </c>
    </row>
    <row r="2294" spans="1:11" ht="15" customHeight="1" x14ac:dyDescent="0.2">
      <c r="A2294" t="s">
        <v>3730</v>
      </c>
      <c r="B2294" t="s">
        <v>2897</v>
      </c>
      <c r="C2294">
        <v>2024</v>
      </c>
      <c r="D2294">
        <v>2024</v>
      </c>
      <c r="E2294" s="7">
        <v>45443</v>
      </c>
      <c r="F2294" s="7">
        <v>45807</v>
      </c>
      <c r="G2294" t="s">
        <v>99</v>
      </c>
      <c r="H2294" t="s">
        <v>106</v>
      </c>
      <c r="I2294" t="s">
        <v>101</v>
      </c>
      <c r="J2294">
        <v>19560.7</v>
      </c>
      <c r="K2294">
        <v>2000000</v>
      </c>
    </row>
    <row r="2295" spans="1:11" ht="15" customHeight="1" x14ac:dyDescent="0.2">
      <c r="A2295" t="s">
        <v>3731</v>
      </c>
      <c r="B2295" t="s">
        <v>2899</v>
      </c>
      <c r="C2295">
        <v>2024</v>
      </c>
      <c r="D2295">
        <v>2024</v>
      </c>
      <c r="E2295" s="7">
        <v>45443</v>
      </c>
      <c r="F2295" s="7">
        <v>45807</v>
      </c>
      <c r="G2295" t="s">
        <v>99</v>
      </c>
      <c r="H2295" t="s">
        <v>111</v>
      </c>
      <c r="I2295" t="s">
        <v>104</v>
      </c>
      <c r="J2295">
        <v>8231.7900000000009</v>
      </c>
      <c r="K2295">
        <v>1500000</v>
      </c>
    </row>
    <row r="2296" spans="1:11" ht="15" customHeight="1" x14ac:dyDescent="0.2">
      <c r="A2296" t="s">
        <v>3733</v>
      </c>
      <c r="B2296" t="s">
        <v>326</v>
      </c>
      <c r="C2296">
        <v>2024</v>
      </c>
      <c r="D2296">
        <v>2024</v>
      </c>
      <c r="E2296" s="7">
        <v>45443</v>
      </c>
      <c r="F2296" s="7">
        <v>45807</v>
      </c>
      <c r="G2296" t="s">
        <v>135</v>
      </c>
      <c r="H2296" t="s">
        <v>6337</v>
      </c>
      <c r="I2296" t="s">
        <v>101</v>
      </c>
      <c r="J2296">
        <v>15255.61</v>
      </c>
      <c r="K2296">
        <v>2000000</v>
      </c>
    </row>
    <row r="2297" spans="1:11" ht="15" customHeight="1" x14ac:dyDescent="0.2">
      <c r="A2297" t="s">
        <v>3735</v>
      </c>
      <c r="B2297" t="s">
        <v>8532</v>
      </c>
      <c r="C2297">
        <v>2024</v>
      </c>
      <c r="D2297">
        <v>2024</v>
      </c>
      <c r="E2297" s="7">
        <v>45443</v>
      </c>
      <c r="F2297" s="7">
        <v>45807</v>
      </c>
      <c r="G2297" t="s">
        <v>135</v>
      </c>
      <c r="H2297" t="s">
        <v>108</v>
      </c>
      <c r="I2297" t="s">
        <v>101</v>
      </c>
      <c r="J2297">
        <v>8832.7000000000007</v>
      </c>
      <c r="K2297">
        <v>1000000</v>
      </c>
    </row>
    <row r="2298" spans="1:11" ht="15" customHeight="1" x14ac:dyDescent="0.2">
      <c r="A2298" t="s">
        <v>3736</v>
      </c>
      <c r="B2298" t="s">
        <v>6695</v>
      </c>
      <c r="C2298">
        <v>2024</v>
      </c>
      <c r="D2298">
        <v>2024</v>
      </c>
      <c r="E2298" s="7">
        <v>45443</v>
      </c>
      <c r="F2298" s="7">
        <v>45807</v>
      </c>
      <c r="G2298" t="s">
        <v>135</v>
      </c>
      <c r="H2298" t="s">
        <v>102</v>
      </c>
      <c r="I2298" t="s">
        <v>101</v>
      </c>
      <c r="J2298">
        <v>10705.19</v>
      </c>
      <c r="K2298">
        <v>1500000</v>
      </c>
    </row>
    <row r="2299" spans="1:11" ht="15" customHeight="1" x14ac:dyDescent="0.2">
      <c r="A2299" t="s">
        <v>3737</v>
      </c>
      <c r="B2299" t="s">
        <v>325</v>
      </c>
      <c r="C2299">
        <v>2024</v>
      </c>
      <c r="D2299">
        <v>2024</v>
      </c>
      <c r="E2299" s="7">
        <v>45443</v>
      </c>
      <c r="F2299" s="7">
        <v>45807</v>
      </c>
      <c r="G2299" t="s">
        <v>135</v>
      </c>
      <c r="H2299" t="s">
        <v>103</v>
      </c>
      <c r="I2299" t="s">
        <v>101</v>
      </c>
      <c r="J2299">
        <v>7160.75</v>
      </c>
      <c r="K2299">
        <v>1000000</v>
      </c>
    </row>
    <row r="2300" spans="1:11" ht="15" customHeight="1" x14ac:dyDescent="0.2">
      <c r="A2300" t="s">
        <v>3738</v>
      </c>
      <c r="B2300" t="s">
        <v>8533</v>
      </c>
      <c r="C2300">
        <v>2024</v>
      </c>
      <c r="D2300">
        <v>2024</v>
      </c>
      <c r="E2300" s="7">
        <v>45443</v>
      </c>
      <c r="F2300" s="7">
        <v>45807</v>
      </c>
      <c r="G2300" t="s">
        <v>135</v>
      </c>
      <c r="H2300" t="s">
        <v>108</v>
      </c>
      <c r="I2300" t="s">
        <v>104</v>
      </c>
      <c r="J2300">
        <v>15659.61</v>
      </c>
      <c r="K2300">
        <v>2000000</v>
      </c>
    </row>
    <row r="2301" spans="1:11" ht="15" customHeight="1" x14ac:dyDescent="0.2">
      <c r="A2301" t="s">
        <v>3739</v>
      </c>
      <c r="B2301" t="s">
        <v>541</v>
      </c>
      <c r="C2301">
        <v>2024</v>
      </c>
      <c r="D2301">
        <v>2024</v>
      </c>
      <c r="E2301" s="7">
        <v>45443</v>
      </c>
      <c r="F2301" s="7">
        <v>45807</v>
      </c>
      <c r="G2301" t="s">
        <v>135</v>
      </c>
      <c r="H2301" t="s">
        <v>108</v>
      </c>
      <c r="I2301" t="s">
        <v>101</v>
      </c>
      <c r="J2301">
        <v>16678.939999999999</v>
      </c>
      <c r="K2301">
        <v>2000000</v>
      </c>
    </row>
    <row r="2302" spans="1:11" ht="15" customHeight="1" x14ac:dyDescent="0.2">
      <c r="A2302" t="s">
        <v>3740</v>
      </c>
      <c r="B2302" t="s">
        <v>8534</v>
      </c>
      <c r="C2302">
        <v>2024</v>
      </c>
      <c r="D2302">
        <v>2024</v>
      </c>
      <c r="E2302" s="7">
        <v>45443</v>
      </c>
      <c r="F2302" s="7">
        <v>45807</v>
      </c>
      <c r="G2302" t="s">
        <v>135</v>
      </c>
      <c r="H2302" t="s">
        <v>105</v>
      </c>
      <c r="I2302" t="s">
        <v>101</v>
      </c>
      <c r="J2302">
        <v>13249.53</v>
      </c>
      <c r="K2302">
        <v>2000000</v>
      </c>
    </row>
    <row r="2303" spans="1:11" ht="15" customHeight="1" x14ac:dyDescent="0.2">
      <c r="A2303" t="s">
        <v>3741</v>
      </c>
      <c r="B2303" t="s">
        <v>8535</v>
      </c>
      <c r="C2303">
        <v>2024</v>
      </c>
      <c r="D2303">
        <v>2024</v>
      </c>
      <c r="E2303" s="7">
        <v>45443</v>
      </c>
      <c r="F2303" s="7">
        <v>45807</v>
      </c>
      <c r="G2303" t="s">
        <v>135</v>
      </c>
      <c r="H2303" t="s">
        <v>103</v>
      </c>
      <c r="I2303" t="s">
        <v>104</v>
      </c>
      <c r="J2303">
        <v>10537.03</v>
      </c>
      <c r="K2303">
        <v>2000000</v>
      </c>
    </row>
    <row r="2304" spans="1:11" ht="15" customHeight="1" x14ac:dyDescent="0.2">
      <c r="A2304" t="s">
        <v>3742</v>
      </c>
      <c r="B2304" t="s">
        <v>6697</v>
      </c>
      <c r="C2304">
        <v>2024</v>
      </c>
      <c r="D2304">
        <v>2024</v>
      </c>
      <c r="E2304" s="7">
        <v>45443</v>
      </c>
      <c r="F2304" s="7">
        <v>45807</v>
      </c>
      <c r="G2304" t="s">
        <v>135</v>
      </c>
      <c r="H2304" t="s">
        <v>116</v>
      </c>
      <c r="I2304" t="s">
        <v>104</v>
      </c>
      <c r="J2304">
        <v>5699.94</v>
      </c>
      <c r="K2304">
        <v>1000000</v>
      </c>
    </row>
    <row r="2305" spans="1:11" ht="15" customHeight="1" x14ac:dyDescent="0.2">
      <c r="A2305" t="s">
        <v>3743</v>
      </c>
      <c r="B2305" t="s">
        <v>8536</v>
      </c>
      <c r="C2305">
        <v>2024</v>
      </c>
      <c r="D2305">
        <v>2024</v>
      </c>
      <c r="E2305" s="7">
        <v>45444</v>
      </c>
      <c r="F2305" s="7">
        <v>45808</v>
      </c>
      <c r="G2305" t="s">
        <v>135</v>
      </c>
      <c r="H2305" t="s">
        <v>105</v>
      </c>
      <c r="I2305" t="s">
        <v>101</v>
      </c>
      <c r="J2305">
        <v>70114.899999999994</v>
      </c>
      <c r="K2305">
        <v>10000000</v>
      </c>
    </row>
    <row r="2306" spans="1:11" ht="15" customHeight="1" x14ac:dyDescent="0.2">
      <c r="A2306" t="s">
        <v>3744</v>
      </c>
      <c r="B2306" t="s">
        <v>8537</v>
      </c>
      <c r="C2306">
        <v>2024</v>
      </c>
      <c r="D2306">
        <v>2024</v>
      </c>
      <c r="E2306" s="7">
        <v>45444</v>
      </c>
      <c r="F2306" s="7">
        <v>45808</v>
      </c>
      <c r="G2306" t="s">
        <v>135</v>
      </c>
      <c r="H2306" t="s">
        <v>102</v>
      </c>
      <c r="I2306" t="s">
        <v>101</v>
      </c>
      <c r="J2306">
        <v>13862.78</v>
      </c>
      <c r="K2306">
        <v>2000000</v>
      </c>
    </row>
    <row r="2307" spans="1:11" ht="15" customHeight="1" x14ac:dyDescent="0.2">
      <c r="A2307" t="s">
        <v>3745</v>
      </c>
      <c r="B2307" t="s">
        <v>876</v>
      </c>
      <c r="C2307">
        <v>2024</v>
      </c>
      <c r="D2307">
        <v>2024</v>
      </c>
      <c r="E2307" s="7">
        <v>45444</v>
      </c>
      <c r="F2307" s="7">
        <v>45808</v>
      </c>
      <c r="G2307" t="s">
        <v>135</v>
      </c>
      <c r="H2307" t="s">
        <v>107</v>
      </c>
      <c r="I2307" t="s">
        <v>104</v>
      </c>
      <c r="J2307">
        <v>8620.52</v>
      </c>
      <c r="K2307">
        <v>1500000</v>
      </c>
    </row>
    <row r="2308" spans="1:11" ht="15" customHeight="1" x14ac:dyDescent="0.2">
      <c r="A2308" t="s">
        <v>3746</v>
      </c>
      <c r="B2308" t="s">
        <v>6744</v>
      </c>
      <c r="C2308">
        <v>2024</v>
      </c>
      <c r="D2308">
        <v>2024</v>
      </c>
      <c r="E2308" s="7">
        <v>45444</v>
      </c>
      <c r="F2308" s="7">
        <v>45808</v>
      </c>
      <c r="G2308" t="s">
        <v>135</v>
      </c>
      <c r="H2308" t="s">
        <v>108</v>
      </c>
      <c r="I2308" t="s">
        <v>104</v>
      </c>
      <c r="J2308">
        <v>14192.68</v>
      </c>
      <c r="K2308">
        <v>2000000</v>
      </c>
    </row>
    <row r="2309" spans="1:11" ht="15" customHeight="1" x14ac:dyDescent="0.2">
      <c r="A2309" t="s">
        <v>3748</v>
      </c>
      <c r="B2309" t="s">
        <v>875</v>
      </c>
      <c r="C2309">
        <v>2024</v>
      </c>
      <c r="D2309">
        <v>2024</v>
      </c>
      <c r="E2309" s="7">
        <v>45444</v>
      </c>
      <c r="F2309" s="7">
        <v>45808</v>
      </c>
      <c r="G2309" t="s">
        <v>135</v>
      </c>
      <c r="H2309" t="s">
        <v>100</v>
      </c>
      <c r="I2309" t="s">
        <v>101</v>
      </c>
      <c r="J2309">
        <v>38592</v>
      </c>
      <c r="K2309">
        <v>5000000</v>
      </c>
    </row>
    <row r="2310" spans="1:11" ht="15" customHeight="1" x14ac:dyDescent="0.2">
      <c r="A2310" t="s">
        <v>3750</v>
      </c>
      <c r="B2310" t="s">
        <v>327</v>
      </c>
      <c r="C2310">
        <v>2024</v>
      </c>
      <c r="D2310">
        <v>2024</v>
      </c>
      <c r="E2310" s="7">
        <v>45444</v>
      </c>
      <c r="F2310" s="7">
        <v>45808</v>
      </c>
      <c r="G2310" t="s">
        <v>135</v>
      </c>
      <c r="H2310" t="s">
        <v>106</v>
      </c>
      <c r="I2310" t="s">
        <v>104</v>
      </c>
      <c r="J2310">
        <v>7693.92</v>
      </c>
      <c r="K2310">
        <v>1000000</v>
      </c>
    </row>
    <row r="2311" spans="1:11" ht="15" customHeight="1" x14ac:dyDescent="0.2">
      <c r="A2311" t="s">
        <v>3752</v>
      </c>
      <c r="B2311" t="s">
        <v>8538</v>
      </c>
      <c r="C2311">
        <v>2024</v>
      </c>
      <c r="D2311">
        <v>2024</v>
      </c>
      <c r="E2311" s="7">
        <v>45444</v>
      </c>
      <c r="F2311" s="7">
        <v>45808</v>
      </c>
      <c r="G2311" t="s">
        <v>135</v>
      </c>
      <c r="H2311" t="s">
        <v>109</v>
      </c>
      <c r="I2311" t="s">
        <v>104</v>
      </c>
      <c r="J2311">
        <v>2765.48</v>
      </c>
      <c r="K2311">
        <v>500000</v>
      </c>
    </row>
    <row r="2312" spans="1:11" ht="15" customHeight="1" x14ac:dyDescent="0.2">
      <c r="A2312" t="s">
        <v>3754</v>
      </c>
      <c r="B2312" t="s">
        <v>158</v>
      </c>
      <c r="C2312">
        <v>2024</v>
      </c>
      <c r="D2312">
        <v>2024</v>
      </c>
      <c r="E2312" s="7">
        <v>45444</v>
      </c>
      <c r="F2312" s="7">
        <v>45808</v>
      </c>
      <c r="G2312" t="s">
        <v>135</v>
      </c>
      <c r="H2312" t="s">
        <v>106</v>
      </c>
      <c r="I2312" t="s">
        <v>101</v>
      </c>
      <c r="J2312">
        <v>19273.330000000002</v>
      </c>
      <c r="K2312">
        <v>2000000</v>
      </c>
    </row>
    <row r="2313" spans="1:11" ht="15" customHeight="1" x14ac:dyDescent="0.2">
      <c r="A2313" t="s">
        <v>3755</v>
      </c>
      <c r="B2313" t="s">
        <v>6696</v>
      </c>
      <c r="C2313">
        <v>2024</v>
      </c>
      <c r="D2313">
        <v>2024</v>
      </c>
      <c r="E2313" s="7">
        <v>45444</v>
      </c>
      <c r="F2313" s="7">
        <v>45808</v>
      </c>
      <c r="G2313" t="s">
        <v>135</v>
      </c>
      <c r="H2313" t="s">
        <v>107</v>
      </c>
      <c r="I2313" t="s">
        <v>101</v>
      </c>
      <c r="J2313">
        <v>7799.57</v>
      </c>
      <c r="K2313">
        <v>1000000</v>
      </c>
    </row>
    <row r="2314" spans="1:11" ht="15" customHeight="1" x14ac:dyDescent="0.2">
      <c r="A2314" t="s">
        <v>3756</v>
      </c>
      <c r="B2314" t="s">
        <v>6730</v>
      </c>
      <c r="C2314">
        <v>2024</v>
      </c>
      <c r="D2314">
        <v>2024</v>
      </c>
      <c r="E2314" s="7">
        <v>45444</v>
      </c>
      <c r="F2314" s="7">
        <v>45808</v>
      </c>
      <c r="G2314" t="s">
        <v>135</v>
      </c>
      <c r="H2314" t="s">
        <v>107</v>
      </c>
      <c r="I2314" t="s">
        <v>104</v>
      </c>
      <c r="J2314">
        <v>6084.99</v>
      </c>
      <c r="K2314">
        <v>1000000</v>
      </c>
    </row>
    <row r="2315" spans="1:11" ht="15" customHeight="1" x14ac:dyDescent="0.2">
      <c r="A2315" t="s">
        <v>3757</v>
      </c>
      <c r="B2315" t="s">
        <v>877</v>
      </c>
      <c r="C2315">
        <v>2024</v>
      </c>
      <c r="D2315">
        <v>2024</v>
      </c>
      <c r="E2315" s="7">
        <v>45444</v>
      </c>
      <c r="F2315" s="7">
        <v>45808</v>
      </c>
      <c r="G2315" t="s">
        <v>135</v>
      </c>
      <c r="H2315" t="s">
        <v>106</v>
      </c>
      <c r="I2315" t="s">
        <v>104</v>
      </c>
      <c r="J2315">
        <v>3594.7</v>
      </c>
      <c r="K2315">
        <v>500000</v>
      </c>
    </row>
    <row r="2316" spans="1:11" ht="15" customHeight="1" x14ac:dyDescent="0.2">
      <c r="A2316" t="s">
        <v>3758</v>
      </c>
      <c r="B2316" t="s">
        <v>6692</v>
      </c>
      <c r="C2316">
        <v>2024</v>
      </c>
      <c r="D2316">
        <v>2024</v>
      </c>
      <c r="E2316" s="7">
        <v>45444</v>
      </c>
      <c r="F2316" s="7">
        <v>45808</v>
      </c>
      <c r="G2316" t="s">
        <v>135</v>
      </c>
      <c r="H2316" t="s">
        <v>109</v>
      </c>
      <c r="I2316" t="s">
        <v>104</v>
      </c>
      <c r="J2316">
        <v>12514.12</v>
      </c>
      <c r="K2316">
        <v>2000000</v>
      </c>
    </row>
    <row r="2317" spans="1:11" ht="15" customHeight="1" x14ac:dyDescent="0.2">
      <c r="A2317" t="s">
        <v>3759</v>
      </c>
      <c r="B2317" t="s">
        <v>2909</v>
      </c>
      <c r="C2317">
        <v>2024</v>
      </c>
      <c r="D2317">
        <v>2024</v>
      </c>
      <c r="E2317" s="7">
        <v>45445</v>
      </c>
      <c r="F2317" s="7">
        <v>45809</v>
      </c>
      <c r="G2317" t="s">
        <v>99</v>
      </c>
      <c r="H2317" t="s">
        <v>106</v>
      </c>
      <c r="I2317" t="s">
        <v>104</v>
      </c>
      <c r="J2317">
        <v>15721.42</v>
      </c>
      <c r="K2317">
        <v>2000000</v>
      </c>
    </row>
    <row r="2318" spans="1:11" ht="15" customHeight="1" x14ac:dyDescent="0.2">
      <c r="A2318" t="s">
        <v>3760</v>
      </c>
      <c r="B2318" t="s">
        <v>2911</v>
      </c>
      <c r="C2318">
        <v>2024</v>
      </c>
      <c r="D2318">
        <v>2024</v>
      </c>
      <c r="E2318" s="7">
        <v>45445</v>
      </c>
      <c r="F2318" s="7">
        <v>45809</v>
      </c>
      <c r="G2318" t="s">
        <v>99</v>
      </c>
      <c r="H2318" t="s">
        <v>106</v>
      </c>
      <c r="I2318" t="s">
        <v>101</v>
      </c>
      <c r="J2318">
        <v>4628.47</v>
      </c>
      <c r="K2318">
        <v>500000</v>
      </c>
    </row>
    <row r="2319" spans="1:11" ht="15" customHeight="1" x14ac:dyDescent="0.2">
      <c r="A2319" t="s">
        <v>3761</v>
      </c>
      <c r="B2319" t="s">
        <v>2913</v>
      </c>
      <c r="C2319">
        <v>2024</v>
      </c>
      <c r="D2319">
        <v>2024</v>
      </c>
      <c r="E2319" s="7">
        <v>45445</v>
      </c>
      <c r="F2319" s="7">
        <v>45809</v>
      </c>
      <c r="G2319" t="s">
        <v>99</v>
      </c>
      <c r="H2319" t="s">
        <v>110</v>
      </c>
      <c r="I2319" t="s">
        <v>101</v>
      </c>
      <c r="J2319">
        <v>18774.47</v>
      </c>
      <c r="K2319">
        <v>2000000</v>
      </c>
    </row>
    <row r="2320" spans="1:11" ht="15" customHeight="1" x14ac:dyDescent="0.2">
      <c r="A2320" t="s">
        <v>3762</v>
      </c>
      <c r="B2320" t="s">
        <v>204</v>
      </c>
      <c r="C2320">
        <v>2024</v>
      </c>
      <c r="D2320">
        <v>2024</v>
      </c>
      <c r="E2320" s="7">
        <v>45445</v>
      </c>
      <c r="F2320" s="7">
        <v>45809</v>
      </c>
      <c r="G2320" t="s">
        <v>135</v>
      </c>
      <c r="H2320" t="s">
        <v>115</v>
      </c>
      <c r="I2320" t="s">
        <v>104</v>
      </c>
      <c r="J2320">
        <v>2973.03</v>
      </c>
      <c r="K2320">
        <v>500000</v>
      </c>
    </row>
    <row r="2321" spans="1:11" ht="15" customHeight="1" x14ac:dyDescent="0.2">
      <c r="A2321" t="s">
        <v>3763</v>
      </c>
      <c r="B2321" t="s">
        <v>8539</v>
      </c>
      <c r="C2321">
        <v>2024</v>
      </c>
      <c r="D2321">
        <v>2024</v>
      </c>
      <c r="E2321" s="7">
        <v>45445</v>
      </c>
      <c r="F2321" s="7">
        <v>45809</v>
      </c>
      <c r="G2321" t="s">
        <v>135</v>
      </c>
      <c r="H2321" t="s">
        <v>102</v>
      </c>
      <c r="I2321" t="s">
        <v>104</v>
      </c>
      <c r="J2321">
        <v>10548.27</v>
      </c>
      <c r="K2321">
        <v>2000000</v>
      </c>
    </row>
    <row r="2322" spans="1:11" ht="15" customHeight="1" x14ac:dyDescent="0.2">
      <c r="A2322" t="s">
        <v>3765</v>
      </c>
      <c r="B2322" t="s">
        <v>6702</v>
      </c>
      <c r="C2322">
        <v>2024</v>
      </c>
      <c r="D2322">
        <v>2024</v>
      </c>
      <c r="E2322" s="7">
        <v>45445</v>
      </c>
      <c r="F2322" s="7">
        <v>45809</v>
      </c>
      <c r="G2322" t="s">
        <v>135</v>
      </c>
      <c r="H2322" t="s">
        <v>115</v>
      </c>
      <c r="I2322" t="s">
        <v>101</v>
      </c>
      <c r="J2322">
        <v>6464.22</v>
      </c>
      <c r="K2322">
        <v>1000000</v>
      </c>
    </row>
    <row r="2323" spans="1:11" ht="15" customHeight="1" x14ac:dyDescent="0.2">
      <c r="A2323" t="s">
        <v>3767</v>
      </c>
      <c r="B2323" t="s">
        <v>8540</v>
      </c>
      <c r="C2323">
        <v>2024</v>
      </c>
      <c r="D2323">
        <v>2024</v>
      </c>
      <c r="E2323" s="7">
        <v>45445</v>
      </c>
      <c r="F2323" s="7">
        <v>45809</v>
      </c>
      <c r="G2323" t="s">
        <v>135</v>
      </c>
      <c r="H2323" t="s">
        <v>114</v>
      </c>
      <c r="I2323" t="s">
        <v>101</v>
      </c>
      <c r="J2323">
        <v>7683.64</v>
      </c>
      <c r="K2323">
        <v>1000000</v>
      </c>
    </row>
    <row r="2324" spans="1:11" ht="15" customHeight="1" x14ac:dyDescent="0.2">
      <c r="A2324" t="s">
        <v>3768</v>
      </c>
      <c r="B2324" t="s">
        <v>8541</v>
      </c>
      <c r="C2324">
        <v>2024</v>
      </c>
      <c r="D2324">
        <v>2024</v>
      </c>
      <c r="E2324" s="7">
        <v>45445</v>
      </c>
      <c r="F2324" s="7">
        <v>45809</v>
      </c>
      <c r="G2324" t="s">
        <v>135</v>
      </c>
      <c r="H2324" t="s">
        <v>100</v>
      </c>
      <c r="I2324" t="s">
        <v>101</v>
      </c>
      <c r="J2324">
        <v>11128.4</v>
      </c>
      <c r="K2324">
        <v>1500000</v>
      </c>
    </row>
    <row r="2325" spans="1:11" ht="15" customHeight="1" x14ac:dyDescent="0.2">
      <c r="A2325" t="s">
        <v>3769</v>
      </c>
      <c r="B2325" t="s">
        <v>8542</v>
      </c>
      <c r="C2325">
        <v>2024</v>
      </c>
      <c r="D2325">
        <v>2024</v>
      </c>
      <c r="E2325" s="7">
        <v>45445</v>
      </c>
      <c r="F2325" s="7">
        <v>45809</v>
      </c>
      <c r="G2325" t="s">
        <v>135</v>
      </c>
      <c r="H2325" t="s">
        <v>6332</v>
      </c>
      <c r="I2325" t="s">
        <v>101</v>
      </c>
      <c r="J2325">
        <v>3697.55</v>
      </c>
      <c r="K2325">
        <v>500000</v>
      </c>
    </row>
    <row r="2326" spans="1:11" ht="15" customHeight="1" x14ac:dyDescent="0.2">
      <c r="A2326" t="s">
        <v>3770</v>
      </c>
      <c r="B2326" t="s">
        <v>542</v>
      </c>
      <c r="C2326">
        <v>2024</v>
      </c>
      <c r="D2326">
        <v>2024</v>
      </c>
      <c r="E2326" s="7">
        <v>45445</v>
      </c>
      <c r="F2326" s="7">
        <v>45809</v>
      </c>
      <c r="G2326" t="s">
        <v>135</v>
      </c>
      <c r="H2326" t="s">
        <v>107</v>
      </c>
      <c r="I2326" t="s">
        <v>104</v>
      </c>
      <c r="J2326">
        <v>5397.57</v>
      </c>
      <c r="K2326">
        <v>1000000</v>
      </c>
    </row>
    <row r="2327" spans="1:11" ht="15" customHeight="1" x14ac:dyDescent="0.2">
      <c r="A2327" t="s">
        <v>3771</v>
      </c>
      <c r="B2327" t="s">
        <v>8543</v>
      </c>
      <c r="C2327">
        <v>2024</v>
      </c>
      <c r="D2327">
        <v>2024</v>
      </c>
      <c r="E2327" s="7">
        <v>45445</v>
      </c>
      <c r="F2327" s="7">
        <v>45809</v>
      </c>
      <c r="G2327" t="s">
        <v>135</v>
      </c>
      <c r="H2327" t="s">
        <v>115</v>
      </c>
      <c r="I2327" t="s">
        <v>104</v>
      </c>
      <c r="J2327">
        <v>29402.28</v>
      </c>
      <c r="K2327">
        <v>5000000</v>
      </c>
    </row>
    <row r="2328" spans="1:11" ht="15" customHeight="1" x14ac:dyDescent="0.2">
      <c r="A2328" t="s">
        <v>3772</v>
      </c>
      <c r="B2328" t="s">
        <v>6698</v>
      </c>
      <c r="C2328">
        <v>2024</v>
      </c>
      <c r="D2328">
        <v>2024</v>
      </c>
      <c r="E2328" s="7">
        <v>45445</v>
      </c>
      <c r="F2328" s="7">
        <v>45809</v>
      </c>
      <c r="G2328" t="s">
        <v>135</v>
      </c>
      <c r="H2328" t="s">
        <v>111</v>
      </c>
      <c r="I2328" t="s">
        <v>104</v>
      </c>
      <c r="J2328">
        <v>10589.86</v>
      </c>
      <c r="K2328">
        <v>2000000</v>
      </c>
    </row>
    <row r="2329" spans="1:11" ht="15" customHeight="1" x14ac:dyDescent="0.2">
      <c r="A2329" t="s">
        <v>3773</v>
      </c>
      <c r="B2329" t="s">
        <v>2915</v>
      </c>
      <c r="C2329">
        <v>2024</v>
      </c>
      <c r="D2329">
        <v>2024</v>
      </c>
      <c r="E2329" s="7">
        <v>45446</v>
      </c>
      <c r="F2329" s="7">
        <v>45810</v>
      </c>
      <c r="G2329" t="s">
        <v>99</v>
      </c>
      <c r="H2329" t="s">
        <v>6334</v>
      </c>
      <c r="I2329" t="s">
        <v>104</v>
      </c>
      <c r="J2329">
        <v>12263.48</v>
      </c>
      <c r="K2329">
        <v>2000000</v>
      </c>
    </row>
    <row r="2330" spans="1:11" ht="15" customHeight="1" x14ac:dyDescent="0.2">
      <c r="A2330" t="s">
        <v>3774</v>
      </c>
      <c r="B2330" t="s">
        <v>2917</v>
      </c>
      <c r="C2330">
        <v>2024</v>
      </c>
      <c r="D2330">
        <v>2024</v>
      </c>
      <c r="E2330" s="7">
        <v>45446</v>
      </c>
      <c r="F2330" s="7">
        <v>45810</v>
      </c>
      <c r="G2330" t="s">
        <v>99</v>
      </c>
      <c r="H2330" t="s">
        <v>100</v>
      </c>
      <c r="I2330" t="s">
        <v>101</v>
      </c>
      <c r="J2330">
        <v>14753.18</v>
      </c>
      <c r="K2330">
        <v>2000000</v>
      </c>
    </row>
    <row r="2331" spans="1:11" ht="15" customHeight="1" x14ac:dyDescent="0.2">
      <c r="A2331" t="s">
        <v>3775</v>
      </c>
      <c r="B2331" t="s">
        <v>6750</v>
      </c>
      <c r="C2331">
        <v>2024</v>
      </c>
      <c r="D2331">
        <v>2024</v>
      </c>
      <c r="E2331" s="7">
        <v>45446</v>
      </c>
      <c r="F2331" s="7">
        <v>45810</v>
      </c>
      <c r="G2331" t="s">
        <v>135</v>
      </c>
      <c r="H2331" t="s">
        <v>108</v>
      </c>
      <c r="I2331" t="s">
        <v>101</v>
      </c>
      <c r="J2331">
        <v>8859.06</v>
      </c>
      <c r="K2331">
        <v>1000000</v>
      </c>
    </row>
    <row r="2332" spans="1:11" ht="15" customHeight="1" x14ac:dyDescent="0.2">
      <c r="A2332" t="s">
        <v>3776</v>
      </c>
      <c r="B2332" t="s">
        <v>6841</v>
      </c>
      <c r="C2332">
        <v>2024</v>
      </c>
      <c r="D2332">
        <v>2024</v>
      </c>
      <c r="E2332" s="7">
        <v>45446</v>
      </c>
      <c r="F2332" s="7">
        <v>45810</v>
      </c>
      <c r="G2332" t="s">
        <v>135</v>
      </c>
      <c r="H2332" t="s">
        <v>107</v>
      </c>
      <c r="I2332" t="s">
        <v>101</v>
      </c>
      <c r="J2332">
        <v>36181.379999999997</v>
      </c>
      <c r="K2332">
        <v>5000000</v>
      </c>
    </row>
    <row r="2333" spans="1:11" ht="15" customHeight="1" x14ac:dyDescent="0.2">
      <c r="A2333" t="s">
        <v>3778</v>
      </c>
      <c r="B2333" t="s">
        <v>8544</v>
      </c>
      <c r="C2333">
        <v>2024</v>
      </c>
      <c r="D2333">
        <v>2024</v>
      </c>
      <c r="E2333" s="7">
        <v>45446</v>
      </c>
      <c r="F2333" s="7">
        <v>45810</v>
      </c>
      <c r="G2333" t="s">
        <v>135</v>
      </c>
      <c r="H2333" t="s">
        <v>6337</v>
      </c>
      <c r="I2333" t="s">
        <v>101</v>
      </c>
      <c r="J2333">
        <v>3274.6</v>
      </c>
      <c r="K2333">
        <v>500000</v>
      </c>
    </row>
    <row r="2334" spans="1:11" ht="15" customHeight="1" x14ac:dyDescent="0.2">
      <c r="A2334" t="s">
        <v>3780</v>
      </c>
      <c r="B2334" t="s">
        <v>6712</v>
      </c>
      <c r="C2334">
        <v>2024</v>
      </c>
      <c r="D2334">
        <v>2024</v>
      </c>
      <c r="E2334" s="7">
        <v>45446</v>
      </c>
      <c r="F2334" s="7">
        <v>45810</v>
      </c>
      <c r="G2334" t="s">
        <v>135</v>
      </c>
      <c r="H2334" t="s">
        <v>108</v>
      </c>
      <c r="I2334" t="s">
        <v>104</v>
      </c>
      <c r="J2334">
        <v>3819.24</v>
      </c>
      <c r="K2334">
        <v>500000</v>
      </c>
    </row>
    <row r="2335" spans="1:11" ht="15" customHeight="1" x14ac:dyDescent="0.2">
      <c r="A2335" t="s">
        <v>3782</v>
      </c>
      <c r="B2335" t="s">
        <v>878</v>
      </c>
      <c r="C2335">
        <v>2024</v>
      </c>
      <c r="D2335">
        <v>2024</v>
      </c>
      <c r="E2335" s="7">
        <v>45446</v>
      </c>
      <c r="F2335" s="7">
        <v>45810</v>
      </c>
      <c r="G2335" t="s">
        <v>135</v>
      </c>
      <c r="H2335" t="s">
        <v>102</v>
      </c>
      <c r="I2335" t="s">
        <v>104</v>
      </c>
      <c r="J2335">
        <v>3022.21</v>
      </c>
      <c r="K2335">
        <v>500000</v>
      </c>
    </row>
    <row r="2336" spans="1:11" ht="15" customHeight="1" x14ac:dyDescent="0.2">
      <c r="A2336" t="s">
        <v>3784</v>
      </c>
      <c r="B2336" t="s">
        <v>543</v>
      </c>
      <c r="C2336">
        <v>2024</v>
      </c>
      <c r="D2336">
        <v>2024</v>
      </c>
      <c r="E2336" s="7">
        <v>45446</v>
      </c>
      <c r="F2336" s="7">
        <v>45810</v>
      </c>
      <c r="G2336" t="s">
        <v>135</v>
      </c>
      <c r="H2336" t="s">
        <v>116</v>
      </c>
      <c r="I2336" t="s">
        <v>101</v>
      </c>
      <c r="J2336">
        <v>71977.75</v>
      </c>
      <c r="K2336">
        <v>10000000</v>
      </c>
    </row>
    <row r="2337" spans="1:11" ht="15" customHeight="1" x14ac:dyDescent="0.2">
      <c r="A2337" t="s">
        <v>3785</v>
      </c>
      <c r="B2337" t="s">
        <v>8545</v>
      </c>
      <c r="C2337">
        <v>2024</v>
      </c>
      <c r="D2337">
        <v>2024</v>
      </c>
      <c r="E2337" s="7">
        <v>45446</v>
      </c>
      <c r="F2337" s="7">
        <v>45810</v>
      </c>
      <c r="G2337" t="s">
        <v>135</v>
      </c>
      <c r="H2337" t="s">
        <v>106</v>
      </c>
      <c r="I2337" t="s">
        <v>101</v>
      </c>
      <c r="J2337">
        <v>13572.77</v>
      </c>
      <c r="K2337">
        <v>1500000</v>
      </c>
    </row>
    <row r="2338" spans="1:11" ht="15" customHeight="1" x14ac:dyDescent="0.2">
      <c r="A2338" t="s">
        <v>3786</v>
      </c>
      <c r="B2338" t="s">
        <v>8546</v>
      </c>
      <c r="C2338">
        <v>2024</v>
      </c>
      <c r="D2338">
        <v>2024</v>
      </c>
      <c r="E2338" s="7">
        <v>45446</v>
      </c>
      <c r="F2338" s="7">
        <v>45810</v>
      </c>
      <c r="G2338" t="s">
        <v>135</v>
      </c>
      <c r="H2338" t="s">
        <v>6334</v>
      </c>
      <c r="I2338" t="s">
        <v>101</v>
      </c>
      <c r="J2338">
        <v>7558.64</v>
      </c>
      <c r="K2338">
        <v>1000000</v>
      </c>
    </row>
    <row r="2339" spans="1:11" ht="15" customHeight="1" x14ac:dyDescent="0.2">
      <c r="A2339" t="s">
        <v>3787</v>
      </c>
      <c r="B2339" t="s">
        <v>6700</v>
      </c>
      <c r="C2339">
        <v>2024</v>
      </c>
      <c r="D2339">
        <v>2024</v>
      </c>
      <c r="E2339" s="7">
        <v>45446</v>
      </c>
      <c r="F2339" s="7">
        <v>45810</v>
      </c>
      <c r="G2339" t="s">
        <v>135</v>
      </c>
      <c r="H2339" t="s">
        <v>108</v>
      </c>
      <c r="I2339" t="s">
        <v>104</v>
      </c>
      <c r="J2339">
        <v>15089.09</v>
      </c>
      <c r="K2339">
        <v>2000000</v>
      </c>
    </row>
    <row r="2340" spans="1:11" ht="15" customHeight="1" x14ac:dyDescent="0.2">
      <c r="A2340" t="s">
        <v>3788</v>
      </c>
      <c r="B2340" t="s">
        <v>7272</v>
      </c>
      <c r="C2340">
        <v>2024</v>
      </c>
      <c r="D2340">
        <v>2024</v>
      </c>
      <c r="E2340" s="7">
        <v>45446</v>
      </c>
      <c r="F2340" s="7">
        <v>45810</v>
      </c>
      <c r="G2340" t="s">
        <v>135</v>
      </c>
      <c r="H2340" t="s">
        <v>108</v>
      </c>
      <c r="I2340" t="s">
        <v>104</v>
      </c>
      <c r="J2340">
        <v>14036.76</v>
      </c>
      <c r="K2340">
        <v>2000000</v>
      </c>
    </row>
    <row r="2341" spans="1:11" ht="15" customHeight="1" x14ac:dyDescent="0.2">
      <c r="A2341" t="s">
        <v>3789</v>
      </c>
      <c r="B2341" t="s">
        <v>8547</v>
      </c>
      <c r="C2341">
        <v>2024</v>
      </c>
      <c r="D2341">
        <v>2024</v>
      </c>
      <c r="E2341" s="7">
        <v>45446</v>
      </c>
      <c r="F2341" s="7">
        <v>45810</v>
      </c>
      <c r="G2341" t="s">
        <v>135</v>
      </c>
      <c r="H2341" t="s">
        <v>100</v>
      </c>
      <c r="I2341" t="s">
        <v>101</v>
      </c>
      <c r="J2341">
        <v>67765.17</v>
      </c>
      <c r="K2341">
        <v>10000000</v>
      </c>
    </row>
    <row r="2342" spans="1:11" ht="15" customHeight="1" x14ac:dyDescent="0.2">
      <c r="A2342" t="s">
        <v>3790</v>
      </c>
      <c r="B2342" t="s">
        <v>328</v>
      </c>
      <c r="C2342">
        <v>2024</v>
      </c>
      <c r="D2342">
        <v>2024</v>
      </c>
      <c r="E2342" s="7">
        <v>45446</v>
      </c>
      <c r="F2342" s="7">
        <v>45810</v>
      </c>
      <c r="G2342" t="s">
        <v>135</v>
      </c>
      <c r="H2342" t="s">
        <v>108</v>
      </c>
      <c r="I2342" t="s">
        <v>101</v>
      </c>
      <c r="J2342">
        <v>12277.72</v>
      </c>
      <c r="K2342">
        <v>1500000</v>
      </c>
    </row>
    <row r="2343" spans="1:11" ht="15" customHeight="1" x14ac:dyDescent="0.2">
      <c r="A2343" t="s">
        <v>3791</v>
      </c>
      <c r="B2343" t="s">
        <v>6747</v>
      </c>
      <c r="C2343">
        <v>2024</v>
      </c>
      <c r="D2343">
        <v>2024</v>
      </c>
      <c r="E2343" s="7">
        <v>45446</v>
      </c>
      <c r="F2343" s="7">
        <v>45810</v>
      </c>
      <c r="G2343" t="s">
        <v>135</v>
      </c>
      <c r="H2343" t="s">
        <v>106</v>
      </c>
      <c r="I2343" t="s">
        <v>101</v>
      </c>
      <c r="J2343">
        <v>12841.96</v>
      </c>
      <c r="K2343">
        <v>1500000</v>
      </c>
    </row>
    <row r="2344" spans="1:11" ht="15" customHeight="1" x14ac:dyDescent="0.2">
      <c r="A2344" t="s">
        <v>3792</v>
      </c>
      <c r="B2344" t="s">
        <v>2919</v>
      </c>
      <c r="C2344">
        <v>2024</v>
      </c>
      <c r="D2344">
        <v>2024</v>
      </c>
      <c r="E2344" s="7">
        <v>45447</v>
      </c>
      <c r="F2344" s="7">
        <v>45811</v>
      </c>
      <c r="G2344" t="s">
        <v>99</v>
      </c>
      <c r="H2344" t="s">
        <v>106</v>
      </c>
      <c r="I2344" t="s">
        <v>101</v>
      </c>
      <c r="J2344">
        <v>46905.26</v>
      </c>
      <c r="K2344">
        <v>5000000</v>
      </c>
    </row>
    <row r="2345" spans="1:11" ht="15" customHeight="1" x14ac:dyDescent="0.2">
      <c r="A2345" t="s">
        <v>3793</v>
      </c>
      <c r="B2345" t="s">
        <v>2921</v>
      </c>
      <c r="C2345">
        <v>2024</v>
      </c>
      <c r="D2345">
        <v>2024</v>
      </c>
      <c r="E2345" s="7">
        <v>45447</v>
      </c>
      <c r="F2345" s="7">
        <v>45811</v>
      </c>
      <c r="G2345" t="s">
        <v>99</v>
      </c>
      <c r="H2345" t="s">
        <v>112</v>
      </c>
      <c r="I2345" t="s">
        <v>101</v>
      </c>
      <c r="J2345">
        <v>19499.79</v>
      </c>
      <c r="K2345">
        <v>2000000</v>
      </c>
    </row>
    <row r="2346" spans="1:11" ht="15" customHeight="1" x14ac:dyDescent="0.2">
      <c r="A2346" t="s">
        <v>3795</v>
      </c>
      <c r="B2346" t="s">
        <v>8548</v>
      </c>
      <c r="C2346">
        <v>2024</v>
      </c>
      <c r="D2346">
        <v>2024</v>
      </c>
      <c r="E2346" s="7">
        <v>45447</v>
      </c>
      <c r="F2346" s="7">
        <v>45811</v>
      </c>
      <c r="G2346" t="s">
        <v>135</v>
      </c>
      <c r="H2346" t="s">
        <v>6332</v>
      </c>
      <c r="I2346" t="s">
        <v>101</v>
      </c>
      <c r="J2346">
        <v>9942.6</v>
      </c>
      <c r="K2346">
        <v>1500000</v>
      </c>
    </row>
    <row r="2347" spans="1:11" ht="15" customHeight="1" x14ac:dyDescent="0.2">
      <c r="A2347" t="s">
        <v>3797</v>
      </c>
      <c r="B2347" t="s">
        <v>8549</v>
      </c>
      <c r="C2347">
        <v>2024</v>
      </c>
      <c r="D2347">
        <v>2024</v>
      </c>
      <c r="E2347" s="7">
        <v>45447</v>
      </c>
      <c r="F2347" s="7">
        <v>45811</v>
      </c>
      <c r="G2347" t="s">
        <v>135</v>
      </c>
      <c r="H2347" t="s">
        <v>102</v>
      </c>
      <c r="I2347" t="s">
        <v>101</v>
      </c>
      <c r="J2347">
        <v>11518.56</v>
      </c>
      <c r="K2347">
        <v>1500000</v>
      </c>
    </row>
    <row r="2348" spans="1:11" ht="15" customHeight="1" x14ac:dyDescent="0.2">
      <c r="A2348" t="s">
        <v>3799</v>
      </c>
      <c r="B2348" t="s">
        <v>8550</v>
      </c>
      <c r="C2348">
        <v>2024</v>
      </c>
      <c r="D2348">
        <v>2024</v>
      </c>
      <c r="E2348" s="7">
        <v>45447</v>
      </c>
      <c r="F2348" s="7">
        <v>45811</v>
      </c>
      <c r="G2348" t="s">
        <v>135</v>
      </c>
      <c r="H2348" t="s">
        <v>107</v>
      </c>
      <c r="I2348" t="s">
        <v>104</v>
      </c>
      <c r="J2348">
        <v>5629.44</v>
      </c>
      <c r="K2348">
        <v>1000000</v>
      </c>
    </row>
    <row r="2349" spans="1:11" ht="15" customHeight="1" x14ac:dyDescent="0.2">
      <c r="A2349" t="s">
        <v>3800</v>
      </c>
      <c r="B2349" t="s">
        <v>879</v>
      </c>
      <c r="C2349">
        <v>2024</v>
      </c>
      <c r="D2349">
        <v>2024</v>
      </c>
      <c r="E2349" s="7">
        <v>45447</v>
      </c>
      <c r="F2349" s="7">
        <v>45811</v>
      </c>
      <c r="G2349" t="s">
        <v>135</v>
      </c>
      <c r="H2349" t="s">
        <v>107</v>
      </c>
      <c r="I2349" t="s">
        <v>101</v>
      </c>
      <c r="J2349">
        <v>32898.07</v>
      </c>
      <c r="K2349">
        <v>5000000</v>
      </c>
    </row>
    <row r="2350" spans="1:11" ht="15" customHeight="1" x14ac:dyDescent="0.2">
      <c r="A2350" t="s">
        <v>3801</v>
      </c>
      <c r="B2350" t="s">
        <v>6705</v>
      </c>
      <c r="C2350">
        <v>2024</v>
      </c>
      <c r="D2350">
        <v>2024</v>
      </c>
      <c r="E2350" s="7">
        <v>45447</v>
      </c>
      <c r="F2350" s="7">
        <v>45811</v>
      </c>
      <c r="G2350" t="s">
        <v>135</v>
      </c>
      <c r="H2350" t="s">
        <v>111</v>
      </c>
      <c r="I2350" t="s">
        <v>101</v>
      </c>
      <c r="J2350">
        <v>14419.9</v>
      </c>
      <c r="K2350">
        <v>2000000</v>
      </c>
    </row>
    <row r="2351" spans="1:11" ht="15" customHeight="1" x14ac:dyDescent="0.2">
      <c r="A2351" t="s">
        <v>3802</v>
      </c>
      <c r="B2351" t="s">
        <v>159</v>
      </c>
      <c r="C2351">
        <v>2024</v>
      </c>
      <c r="D2351">
        <v>2024</v>
      </c>
      <c r="E2351" s="7">
        <v>45447</v>
      </c>
      <c r="F2351" s="7">
        <v>45811</v>
      </c>
      <c r="G2351" t="s">
        <v>135</v>
      </c>
      <c r="H2351" t="s">
        <v>107</v>
      </c>
      <c r="I2351" t="s">
        <v>104</v>
      </c>
      <c r="J2351">
        <v>57500.93</v>
      </c>
      <c r="K2351">
        <v>10000000</v>
      </c>
    </row>
    <row r="2352" spans="1:11" ht="15" customHeight="1" x14ac:dyDescent="0.2">
      <c r="A2352" t="s">
        <v>3803</v>
      </c>
      <c r="B2352" t="s">
        <v>6707</v>
      </c>
      <c r="C2352">
        <v>2024</v>
      </c>
      <c r="D2352">
        <v>2024</v>
      </c>
      <c r="E2352" s="7">
        <v>45447</v>
      </c>
      <c r="F2352" s="7">
        <v>45811</v>
      </c>
      <c r="G2352" t="s">
        <v>135</v>
      </c>
      <c r="H2352" t="s">
        <v>107</v>
      </c>
      <c r="I2352" t="s">
        <v>101</v>
      </c>
      <c r="J2352">
        <v>9713.09</v>
      </c>
      <c r="K2352">
        <v>1500000</v>
      </c>
    </row>
    <row r="2353" spans="1:11" ht="15" customHeight="1" x14ac:dyDescent="0.2">
      <c r="A2353" t="s">
        <v>3804</v>
      </c>
      <c r="B2353" t="s">
        <v>2923</v>
      </c>
      <c r="C2353">
        <v>2024</v>
      </c>
      <c r="D2353">
        <v>2024</v>
      </c>
      <c r="E2353" s="7">
        <v>45448</v>
      </c>
      <c r="F2353" s="7">
        <v>45812</v>
      </c>
      <c r="G2353" t="s">
        <v>99</v>
      </c>
      <c r="H2353" t="s">
        <v>115</v>
      </c>
      <c r="I2353" t="s">
        <v>101</v>
      </c>
      <c r="J2353">
        <v>11612.51</v>
      </c>
      <c r="K2353">
        <v>1500000</v>
      </c>
    </row>
    <row r="2354" spans="1:11" ht="15" customHeight="1" x14ac:dyDescent="0.2">
      <c r="A2354" t="s">
        <v>3805</v>
      </c>
      <c r="B2354" t="s">
        <v>2932</v>
      </c>
      <c r="C2354">
        <v>2024</v>
      </c>
      <c r="D2354">
        <v>2024</v>
      </c>
      <c r="E2354" s="7">
        <v>45448</v>
      </c>
      <c r="F2354" s="7">
        <v>45812</v>
      </c>
      <c r="G2354" t="s">
        <v>99</v>
      </c>
      <c r="H2354" t="s">
        <v>106</v>
      </c>
      <c r="I2354" t="s">
        <v>104</v>
      </c>
      <c r="J2354">
        <v>15315.21</v>
      </c>
      <c r="K2354">
        <v>2000000</v>
      </c>
    </row>
    <row r="2355" spans="1:11" ht="15" customHeight="1" x14ac:dyDescent="0.2">
      <c r="A2355" t="s">
        <v>3806</v>
      </c>
      <c r="B2355" t="s">
        <v>881</v>
      </c>
      <c r="C2355">
        <v>2024</v>
      </c>
      <c r="D2355">
        <v>2024</v>
      </c>
      <c r="E2355" s="7">
        <v>45448</v>
      </c>
      <c r="F2355" s="7">
        <v>45812</v>
      </c>
      <c r="G2355" t="s">
        <v>135</v>
      </c>
      <c r="H2355" t="s">
        <v>102</v>
      </c>
      <c r="I2355" t="s">
        <v>101</v>
      </c>
      <c r="J2355">
        <v>10436.19</v>
      </c>
      <c r="K2355">
        <v>1500000</v>
      </c>
    </row>
    <row r="2356" spans="1:11" ht="15" customHeight="1" x14ac:dyDescent="0.2">
      <c r="A2356" t="s">
        <v>3807</v>
      </c>
      <c r="B2356" t="s">
        <v>8551</v>
      </c>
      <c r="C2356">
        <v>2024</v>
      </c>
      <c r="D2356">
        <v>2024</v>
      </c>
      <c r="E2356" s="7">
        <v>45448</v>
      </c>
      <c r="F2356" s="7">
        <v>45812</v>
      </c>
      <c r="G2356" t="s">
        <v>135</v>
      </c>
      <c r="H2356" t="s">
        <v>103</v>
      </c>
      <c r="I2356" t="s">
        <v>101</v>
      </c>
      <c r="J2356">
        <v>38315.78</v>
      </c>
      <c r="K2356">
        <v>5000000</v>
      </c>
    </row>
    <row r="2357" spans="1:11" ht="15" customHeight="1" x14ac:dyDescent="0.2">
      <c r="A2357" t="s">
        <v>3808</v>
      </c>
      <c r="B2357" t="s">
        <v>544</v>
      </c>
      <c r="C2357">
        <v>2024</v>
      </c>
      <c r="D2357">
        <v>2024</v>
      </c>
      <c r="E2357" s="7">
        <v>45448</v>
      </c>
      <c r="F2357" s="7">
        <v>45812</v>
      </c>
      <c r="G2357" t="s">
        <v>135</v>
      </c>
      <c r="H2357" t="s">
        <v>102</v>
      </c>
      <c r="I2357" t="s">
        <v>101</v>
      </c>
      <c r="J2357">
        <v>69634.62</v>
      </c>
      <c r="K2357">
        <v>10000000</v>
      </c>
    </row>
    <row r="2358" spans="1:11" ht="15" customHeight="1" x14ac:dyDescent="0.2">
      <c r="A2358" t="s">
        <v>3809</v>
      </c>
      <c r="B2358" t="s">
        <v>880</v>
      </c>
      <c r="C2358">
        <v>2024</v>
      </c>
      <c r="D2358">
        <v>2024</v>
      </c>
      <c r="E2358" s="7">
        <v>45448</v>
      </c>
      <c r="F2358" s="7">
        <v>45812</v>
      </c>
      <c r="G2358" t="s">
        <v>135</v>
      </c>
      <c r="H2358" t="s">
        <v>109</v>
      </c>
      <c r="I2358" t="s">
        <v>101</v>
      </c>
      <c r="J2358">
        <v>13154.18</v>
      </c>
      <c r="K2358">
        <v>2000000</v>
      </c>
    </row>
    <row r="2359" spans="1:11" ht="15" customHeight="1" x14ac:dyDescent="0.2">
      <c r="A2359" t="s">
        <v>3810</v>
      </c>
      <c r="B2359" t="s">
        <v>8552</v>
      </c>
      <c r="C2359">
        <v>2024</v>
      </c>
      <c r="D2359">
        <v>2024</v>
      </c>
      <c r="E2359" s="7">
        <v>45448</v>
      </c>
      <c r="F2359" s="7">
        <v>45812</v>
      </c>
      <c r="G2359" t="s">
        <v>135</v>
      </c>
      <c r="H2359" t="s">
        <v>107</v>
      </c>
      <c r="I2359" t="s">
        <v>101</v>
      </c>
      <c r="J2359">
        <v>10894.41</v>
      </c>
      <c r="K2359">
        <v>1500000</v>
      </c>
    </row>
    <row r="2360" spans="1:11" ht="15" customHeight="1" x14ac:dyDescent="0.2">
      <c r="A2360" t="s">
        <v>3812</v>
      </c>
      <c r="B2360" t="s">
        <v>2934</v>
      </c>
      <c r="C2360">
        <v>2024</v>
      </c>
      <c r="D2360">
        <v>2024</v>
      </c>
      <c r="E2360" s="7">
        <v>45449</v>
      </c>
      <c r="F2360" s="7">
        <v>45813</v>
      </c>
      <c r="G2360" t="s">
        <v>99</v>
      </c>
      <c r="H2360" t="s">
        <v>106</v>
      </c>
      <c r="I2360" t="s">
        <v>101</v>
      </c>
      <c r="J2360">
        <v>48260.41</v>
      </c>
      <c r="K2360">
        <v>5000000</v>
      </c>
    </row>
    <row r="2361" spans="1:11" ht="15" customHeight="1" x14ac:dyDescent="0.2">
      <c r="A2361" t="s">
        <v>3814</v>
      </c>
      <c r="B2361" t="s">
        <v>2942</v>
      </c>
      <c r="C2361">
        <v>2024</v>
      </c>
      <c r="D2361">
        <v>2024</v>
      </c>
      <c r="E2361" s="7">
        <v>45449</v>
      </c>
      <c r="F2361" s="7">
        <v>45813</v>
      </c>
      <c r="G2361" t="s">
        <v>99</v>
      </c>
      <c r="H2361" t="s">
        <v>103</v>
      </c>
      <c r="I2361" t="s">
        <v>101</v>
      </c>
      <c r="J2361">
        <v>9750.5499999999993</v>
      </c>
      <c r="K2361">
        <v>1500000</v>
      </c>
    </row>
    <row r="2362" spans="1:11" ht="15" customHeight="1" x14ac:dyDescent="0.2">
      <c r="A2362" t="s">
        <v>3816</v>
      </c>
      <c r="B2362" t="s">
        <v>8553</v>
      </c>
      <c r="C2362">
        <v>2024</v>
      </c>
      <c r="D2362">
        <v>2024</v>
      </c>
      <c r="E2362" s="7">
        <v>45449</v>
      </c>
      <c r="F2362" s="7">
        <v>45813</v>
      </c>
      <c r="G2362" t="s">
        <v>135</v>
      </c>
      <c r="H2362" t="s">
        <v>108</v>
      </c>
      <c r="I2362" t="s">
        <v>104</v>
      </c>
      <c r="J2362">
        <v>7742.85</v>
      </c>
      <c r="K2362">
        <v>1000000</v>
      </c>
    </row>
    <row r="2363" spans="1:11" ht="15" customHeight="1" x14ac:dyDescent="0.2">
      <c r="A2363" t="s">
        <v>3818</v>
      </c>
      <c r="B2363" t="s">
        <v>6719</v>
      </c>
      <c r="C2363">
        <v>2024</v>
      </c>
      <c r="D2363">
        <v>2024</v>
      </c>
      <c r="E2363" s="7">
        <v>45449</v>
      </c>
      <c r="F2363" s="7">
        <v>45813</v>
      </c>
      <c r="G2363" t="s">
        <v>135</v>
      </c>
      <c r="H2363" t="s">
        <v>106</v>
      </c>
      <c r="I2363" t="s">
        <v>101</v>
      </c>
      <c r="J2363">
        <v>14276.36</v>
      </c>
      <c r="K2363">
        <v>1500000</v>
      </c>
    </row>
    <row r="2364" spans="1:11" ht="15" customHeight="1" x14ac:dyDescent="0.2">
      <c r="A2364" t="s">
        <v>3820</v>
      </c>
      <c r="B2364" t="s">
        <v>883</v>
      </c>
      <c r="C2364">
        <v>2024</v>
      </c>
      <c r="D2364">
        <v>2024</v>
      </c>
      <c r="E2364" s="7">
        <v>45449</v>
      </c>
      <c r="F2364" s="7">
        <v>45813</v>
      </c>
      <c r="G2364" t="s">
        <v>135</v>
      </c>
      <c r="H2364" t="s">
        <v>110</v>
      </c>
      <c r="I2364" t="s">
        <v>101</v>
      </c>
      <c r="J2364">
        <v>9597.4</v>
      </c>
      <c r="K2364">
        <v>1000000</v>
      </c>
    </row>
    <row r="2365" spans="1:11" ht="15" customHeight="1" x14ac:dyDescent="0.2">
      <c r="A2365" t="s">
        <v>3822</v>
      </c>
      <c r="B2365" t="s">
        <v>6725</v>
      </c>
      <c r="C2365">
        <v>2024</v>
      </c>
      <c r="D2365">
        <v>2024</v>
      </c>
      <c r="E2365" s="7">
        <v>45449</v>
      </c>
      <c r="F2365" s="7">
        <v>45813</v>
      </c>
      <c r="G2365" t="s">
        <v>135</v>
      </c>
      <c r="H2365" t="s">
        <v>102</v>
      </c>
      <c r="I2365" t="s">
        <v>101</v>
      </c>
      <c r="J2365">
        <v>37290.93</v>
      </c>
      <c r="K2365">
        <v>5000000</v>
      </c>
    </row>
    <row r="2366" spans="1:11" ht="15" customHeight="1" x14ac:dyDescent="0.2">
      <c r="A2366" t="s">
        <v>3823</v>
      </c>
      <c r="B2366" t="s">
        <v>6711</v>
      </c>
      <c r="C2366">
        <v>2024</v>
      </c>
      <c r="D2366">
        <v>2024</v>
      </c>
      <c r="E2366" s="7">
        <v>45449</v>
      </c>
      <c r="F2366" s="7">
        <v>45813</v>
      </c>
      <c r="G2366" t="s">
        <v>135</v>
      </c>
      <c r="H2366" t="s">
        <v>107</v>
      </c>
      <c r="I2366" t="s">
        <v>104</v>
      </c>
      <c r="J2366">
        <v>6160.53</v>
      </c>
      <c r="K2366">
        <v>1000000</v>
      </c>
    </row>
    <row r="2367" spans="1:11" ht="15" customHeight="1" x14ac:dyDescent="0.2">
      <c r="A2367" t="s">
        <v>3824</v>
      </c>
      <c r="B2367" t="s">
        <v>6762</v>
      </c>
      <c r="C2367">
        <v>2024</v>
      </c>
      <c r="D2367">
        <v>2024</v>
      </c>
      <c r="E2367" s="7">
        <v>45449</v>
      </c>
      <c r="F2367" s="7">
        <v>45813</v>
      </c>
      <c r="G2367" t="s">
        <v>135</v>
      </c>
      <c r="H2367" t="s">
        <v>109</v>
      </c>
      <c r="I2367" t="s">
        <v>101</v>
      </c>
      <c r="J2367">
        <v>69577.42</v>
      </c>
      <c r="K2367">
        <v>10000000</v>
      </c>
    </row>
    <row r="2368" spans="1:11" ht="15" customHeight="1" x14ac:dyDescent="0.2">
      <c r="A2368" t="s">
        <v>3825</v>
      </c>
      <c r="B2368" t="s">
        <v>8554</v>
      </c>
      <c r="C2368">
        <v>2024</v>
      </c>
      <c r="D2368">
        <v>2024</v>
      </c>
      <c r="E2368" s="7">
        <v>45449</v>
      </c>
      <c r="F2368" s="7">
        <v>45813</v>
      </c>
      <c r="G2368" t="s">
        <v>135</v>
      </c>
      <c r="H2368" t="s">
        <v>6334</v>
      </c>
      <c r="I2368" t="s">
        <v>101</v>
      </c>
      <c r="J2368">
        <v>15065.2</v>
      </c>
      <c r="K2368">
        <v>2000000</v>
      </c>
    </row>
    <row r="2369" spans="1:11" ht="15" customHeight="1" x14ac:dyDescent="0.2">
      <c r="A2369" t="s">
        <v>3826</v>
      </c>
      <c r="B2369" t="s">
        <v>8555</v>
      </c>
      <c r="C2369">
        <v>2024</v>
      </c>
      <c r="D2369">
        <v>2024</v>
      </c>
      <c r="E2369" s="7">
        <v>45449</v>
      </c>
      <c r="F2369" s="7">
        <v>45813</v>
      </c>
      <c r="G2369" t="s">
        <v>135</v>
      </c>
      <c r="H2369" t="s">
        <v>105</v>
      </c>
      <c r="I2369" t="s">
        <v>101</v>
      </c>
      <c r="J2369">
        <v>37160.74</v>
      </c>
      <c r="K2369">
        <v>5000000</v>
      </c>
    </row>
    <row r="2370" spans="1:11" ht="15" customHeight="1" x14ac:dyDescent="0.2">
      <c r="A2370" t="s">
        <v>3827</v>
      </c>
      <c r="B2370" t="s">
        <v>882</v>
      </c>
      <c r="C2370">
        <v>2024</v>
      </c>
      <c r="D2370">
        <v>2024</v>
      </c>
      <c r="E2370" s="7">
        <v>45449</v>
      </c>
      <c r="F2370" s="7">
        <v>45813</v>
      </c>
      <c r="G2370" t="s">
        <v>135</v>
      </c>
      <c r="H2370" t="s">
        <v>6332</v>
      </c>
      <c r="I2370" t="s">
        <v>104</v>
      </c>
      <c r="J2370">
        <v>59943.05</v>
      </c>
      <c r="K2370">
        <v>10000000</v>
      </c>
    </row>
    <row r="2371" spans="1:11" ht="15" customHeight="1" x14ac:dyDescent="0.2">
      <c r="A2371" t="s">
        <v>3828</v>
      </c>
      <c r="B2371" t="s">
        <v>6714</v>
      </c>
      <c r="C2371">
        <v>2024</v>
      </c>
      <c r="D2371">
        <v>2024</v>
      </c>
      <c r="E2371" s="7">
        <v>45449</v>
      </c>
      <c r="F2371" s="7">
        <v>45813</v>
      </c>
      <c r="G2371" t="s">
        <v>135</v>
      </c>
      <c r="H2371" t="s">
        <v>109</v>
      </c>
      <c r="I2371" t="s">
        <v>104</v>
      </c>
      <c r="J2371">
        <v>52233.91</v>
      </c>
      <c r="K2371">
        <v>10000000</v>
      </c>
    </row>
    <row r="2372" spans="1:11" ht="15" customHeight="1" x14ac:dyDescent="0.2">
      <c r="A2372" t="s">
        <v>3829</v>
      </c>
      <c r="B2372" t="s">
        <v>6767</v>
      </c>
      <c r="C2372">
        <v>2024</v>
      </c>
      <c r="D2372">
        <v>2024</v>
      </c>
      <c r="E2372" s="7">
        <v>45449</v>
      </c>
      <c r="F2372" s="7">
        <v>45813</v>
      </c>
      <c r="G2372" t="s">
        <v>135</v>
      </c>
      <c r="H2372" t="s">
        <v>106</v>
      </c>
      <c r="I2372" t="s">
        <v>104</v>
      </c>
      <c r="J2372">
        <v>10782.55</v>
      </c>
      <c r="K2372">
        <v>1500000</v>
      </c>
    </row>
    <row r="2373" spans="1:11" ht="15" customHeight="1" x14ac:dyDescent="0.2">
      <c r="A2373" t="s">
        <v>3831</v>
      </c>
      <c r="B2373" t="s">
        <v>6738</v>
      </c>
      <c r="C2373">
        <v>2024</v>
      </c>
      <c r="D2373">
        <v>2024</v>
      </c>
      <c r="E2373" s="7">
        <v>45449</v>
      </c>
      <c r="F2373" s="7">
        <v>45813</v>
      </c>
      <c r="G2373" t="s">
        <v>135</v>
      </c>
      <c r="H2373" t="s">
        <v>102</v>
      </c>
      <c r="I2373" t="s">
        <v>101</v>
      </c>
      <c r="J2373">
        <v>35862.47</v>
      </c>
      <c r="K2373">
        <v>5000000</v>
      </c>
    </row>
    <row r="2374" spans="1:11" ht="15" customHeight="1" x14ac:dyDescent="0.2">
      <c r="A2374" t="s">
        <v>3833</v>
      </c>
      <c r="B2374" t="s">
        <v>8556</v>
      </c>
      <c r="C2374">
        <v>2024</v>
      </c>
      <c r="D2374">
        <v>2024</v>
      </c>
      <c r="E2374" s="7">
        <v>45450</v>
      </c>
      <c r="F2374" s="7">
        <v>45814</v>
      </c>
      <c r="G2374" t="s">
        <v>135</v>
      </c>
      <c r="H2374" t="s">
        <v>108</v>
      </c>
      <c r="I2374" t="s">
        <v>101</v>
      </c>
      <c r="J2374">
        <v>18006.400000000001</v>
      </c>
      <c r="K2374">
        <v>2000000</v>
      </c>
    </row>
    <row r="2375" spans="1:11" ht="15" customHeight="1" x14ac:dyDescent="0.2">
      <c r="A2375" t="s">
        <v>3834</v>
      </c>
      <c r="B2375" t="s">
        <v>205</v>
      </c>
      <c r="C2375">
        <v>2024</v>
      </c>
      <c r="D2375">
        <v>2024</v>
      </c>
      <c r="E2375" s="7">
        <v>45450</v>
      </c>
      <c r="F2375" s="7">
        <v>45814</v>
      </c>
      <c r="G2375" t="s">
        <v>135</v>
      </c>
      <c r="H2375" t="s">
        <v>114</v>
      </c>
      <c r="I2375" t="s">
        <v>104</v>
      </c>
      <c r="J2375">
        <v>61932.68</v>
      </c>
      <c r="K2375">
        <v>10000000</v>
      </c>
    </row>
    <row r="2376" spans="1:11" ht="15" customHeight="1" x14ac:dyDescent="0.2">
      <c r="A2376" t="s">
        <v>3835</v>
      </c>
      <c r="B2376" t="s">
        <v>8557</v>
      </c>
      <c r="C2376">
        <v>2024</v>
      </c>
      <c r="D2376">
        <v>2024</v>
      </c>
      <c r="E2376" s="7">
        <v>45450</v>
      </c>
      <c r="F2376" s="7">
        <v>45814</v>
      </c>
      <c r="G2376" t="s">
        <v>135</v>
      </c>
      <c r="H2376" t="s">
        <v>105</v>
      </c>
      <c r="I2376" t="s">
        <v>101</v>
      </c>
      <c r="J2376">
        <v>7688.57</v>
      </c>
      <c r="K2376">
        <v>1000000</v>
      </c>
    </row>
    <row r="2377" spans="1:11" ht="15" customHeight="1" x14ac:dyDescent="0.2">
      <c r="A2377" t="s">
        <v>3836</v>
      </c>
      <c r="B2377" t="s">
        <v>884</v>
      </c>
      <c r="C2377">
        <v>2024</v>
      </c>
      <c r="D2377">
        <v>2024</v>
      </c>
      <c r="E2377" s="7">
        <v>45450</v>
      </c>
      <c r="F2377" s="7">
        <v>45814</v>
      </c>
      <c r="G2377" t="s">
        <v>135</v>
      </c>
      <c r="H2377" t="s">
        <v>102</v>
      </c>
      <c r="I2377" t="s">
        <v>101</v>
      </c>
      <c r="J2377">
        <v>74369.47</v>
      </c>
      <c r="K2377">
        <v>10000000</v>
      </c>
    </row>
    <row r="2378" spans="1:11" ht="15" customHeight="1" x14ac:dyDescent="0.2">
      <c r="A2378" t="s">
        <v>3837</v>
      </c>
      <c r="B2378" t="s">
        <v>885</v>
      </c>
      <c r="C2378">
        <v>2024</v>
      </c>
      <c r="D2378">
        <v>2024</v>
      </c>
      <c r="E2378" s="7">
        <v>45450</v>
      </c>
      <c r="F2378" s="7">
        <v>45814</v>
      </c>
      <c r="G2378" t="s">
        <v>135</v>
      </c>
      <c r="H2378" t="s">
        <v>6334</v>
      </c>
      <c r="I2378" t="s">
        <v>101</v>
      </c>
      <c r="J2378">
        <v>11655.32</v>
      </c>
      <c r="K2378">
        <v>1500000</v>
      </c>
    </row>
    <row r="2379" spans="1:11" ht="15" customHeight="1" x14ac:dyDescent="0.2">
      <c r="A2379" t="s">
        <v>3838</v>
      </c>
      <c r="B2379" t="s">
        <v>8558</v>
      </c>
      <c r="C2379">
        <v>2024</v>
      </c>
      <c r="D2379">
        <v>2024</v>
      </c>
      <c r="E2379" s="7">
        <v>45450</v>
      </c>
      <c r="F2379" s="7">
        <v>45814</v>
      </c>
      <c r="G2379" t="s">
        <v>135</v>
      </c>
      <c r="H2379" t="s">
        <v>102</v>
      </c>
      <c r="I2379" t="s">
        <v>101</v>
      </c>
      <c r="J2379">
        <v>77548.86</v>
      </c>
      <c r="K2379">
        <v>10000000</v>
      </c>
    </row>
    <row r="2380" spans="1:11" ht="15" customHeight="1" x14ac:dyDescent="0.2">
      <c r="A2380" t="s">
        <v>3839</v>
      </c>
      <c r="B2380" t="s">
        <v>329</v>
      </c>
      <c r="C2380">
        <v>2024</v>
      </c>
      <c r="D2380">
        <v>2024</v>
      </c>
      <c r="E2380" s="7">
        <v>45450</v>
      </c>
      <c r="F2380" s="7">
        <v>45814</v>
      </c>
      <c r="G2380" t="s">
        <v>135</v>
      </c>
      <c r="H2380" t="s">
        <v>103</v>
      </c>
      <c r="I2380" t="s">
        <v>104</v>
      </c>
      <c r="J2380">
        <v>6234.65</v>
      </c>
      <c r="K2380">
        <v>1000000</v>
      </c>
    </row>
    <row r="2381" spans="1:11" ht="15" customHeight="1" x14ac:dyDescent="0.2">
      <c r="A2381" t="s">
        <v>3840</v>
      </c>
      <c r="B2381" t="s">
        <v>886</v>
      </c>
      <c r="C2381">
        <v>2024</v>
      </c>
      <c r="D2381">
        <v>2024</v>
      </c>
      <c r="E2381" s="7">
        <v>45450</v>
      </c>
      <c r="F2381" s="7">
        <v>45814</v>
      </c>
      <c r="G2381" t="s">
        <v>135</v>
      </c>
      <c r="H2381" t="s">
        <v>115</v>
      </c>
      <c r="I2381" t="s">
        <v>104</v>
      </c>
      <c r="J2381">
        <v>2704.89</v>
      </c>
      <c r="K2381">
        <v>500000</v>
      </c>
    </row>
    <row r="2382" spans="1:11" ht="15" customHeight="1" x14ac:dyDescent="0.2">
      <c r="A2382" t="s">
        <v>3841</v>
      </c>
      <c r="B2382" t="s">
        <v>2944</v>
      </c>
      <c r="C2382">
        <v>2024</v>
      </c>
      <c r="D2382">
        <v>2024</v>
      </c>
      <c r="E2382" s="7">
        <v>45451</v>
      </c>
      <c r="F2382" s="7">
        <v>45815</v>
      </c>
      <c r="G2382" t="s">
        <v>99</v>
      </c>
      <c r="H2382" t="s">
        <v>113</v>
      </c>
      <c r="I2382" t="s">
        <v>101</v>
      </c>
      <c r="J2382">
        <v>14460.2</v>
      </c>
      <c r="K2382">
        <v>2000000</v>
      </c>
    </row>
    <row r="2383" spans="1:11" ht="15" customHeight="1" x14ac:dyDescent="0.2">
      <c r="A2383" t="s">
        <v>3843</v>
      </c>
      <c r="B2383" t="s">
        <v>2946</v>
      </c>
      <c r="C2383">
        <v>2024</v>
      </c>
      <c r="D2383">
        <v>2024</v>
      </c>
      <c r="E2383" s="7">
        <v>45451</v>
      </c>
      <c r="F2383" s="7">
        <v>45815</v>
      </c>
      <c r="G2383" t="s">
        <v>99</v>
      </c>
      <c r="H2383" t="s">
        <v>6332</v>
      </c>
      <c r="I2383" t="s">
        <v>104</v>
      </c>
      <c r="J2383">
        <v>5653.85</v>
      </c>
      <c r="K2383">
        <v>1000000</v>
      </c>
    </row>
    <row r="2384" spans="1:11" ht="15" customHeight="1" x14ac:dyDescent="0.2">
      <c r="A2384" t="s">
        <v>3845</v>
      </c>
      <c r="B2384" t="s">
        <v>8559</v>
      </c>
      <c r="C2384">
        <v>2024</v>
      </c>
      <c r="D2384">
        <v>2024</v>
      </c>
      <c r="E2384" s="7">
        <v>45451</v>
      </c>
      <c r="F2384" s="7">
        <v>45815</v>
      </c>
      <c r="G2384" t="s">
        <v>135</v>
      </c>
      <c r="H2384" t="s">
        <v>108</v>
      </c>
      <c r="I2384" t="s">
        <v>104</v>
      </c>
      <c r="J2384">
        <v>10728.92</v>
      </c>
      <c r="K2384">
        <v>1500000</v>
      </c>
    </row>
    <row r="2385" spans="1:11" ht="15" customHeight="1" x14ac:dyDescent="0.2">
      <c r="A2385" t="s">
        <v>3847</v>
      </c>
      <c r="B2385" t="s">
        <v>8560</v>
      </c>
      <c r="C2385">
        <v>2024</v>
      </c>
      <c r="D2385">
        <v>2024</v>
      </c>
      <c r="E2385" s="7">
        <v>45451</v>
      </c>
      <c r="F2385" s="7">
        <v>45815</v>
      </c>
      <c r="G2385" t="s">
        <v>135</v>
      </c>
      <c r="H2385" t="s">
        <v>109</v>
      </c>
      <c r="I2385" t="s">
        <v>101</v>
      </c>
      <c r="J2385">
        <v>10445.049999999999</v>
      </c>
      <c r="K2385">
        <v>1500000</v>
      </c>
    </row>
    <row r="2386" spans="1:11" ht="15" customHeight="1" x14ac:dyDescent="0.2">
      <c r="A2386" t="s">
        <v>3848</v>
      </c>
      <c r="B2386" t="s">
        <v>8561</v>
      </c>
      <c r="C2386">
        <v>2024</v>
      </c>
      <c r="D2386">
        <v>2024</v>
      </c>
      <c r="E2386" s="7">
        <v>45451</v>
      </c>
      <c r="F2386" s="7">
        <v>45815</v>
      </c>
      <c r="G2386" t="s">
        <v>135</v>
      </c>
      <c r="H2386" t="s">
        <v>106</v>
      </c>
      <c r="I2386" t="s">
        <v>101</v>
      </c>
      <c r="J2386">
        <v>4898.88</v>
      </c>
      <c r="K2386">
        <v>500000</v>
      </c>
    </row>
    <row r="2387" spans="1:11" ht="15" customHeight="1" x14ac:dyDescent="0.2">
      <c r="A2387" t="s">
        <v>3849</v>
      </c>
      <c r="B2387" t="s">
        <v>6739</v>
      </c>
      <c r="C2387">
        <v>2024</v>
      </c>
      <c r="D2387">
        <v>2024</v>
      </c>
      <c r="E2387" s="7">
        <v>45451</v>
      </c>
      <c r="F2387" s="7">
        <v>45815</v>
      </c>
      <c r="G2387" t="s">
        <v>135</v>
      </c>
      <c r="H2387" t="s">
        <v>114</v>
      </c>
      <c r="I2387" t="s">
        <v>104</v>
      </c>
      <c r="J2387">
        <v>6135.63</v>
      </c>
      <c r="K2387">
        <v>1000000</v>
      </c>
    </row>
    <row r="2388" spans="1:11" ht="15" customHeight="1" x14ac:dyDescent="0.2">
      <c r="A2388" t="s">
        <v>3850</v>
      </c>
      <c r="B2388" t="s">
        <v>6761</v>
      </c>
      <c r="C2388">
        <v>2024</v>
      </c>
      <c r="D2388">
        <v>2024</v>
      </c>
      <c r="E2388" s="7">
        <v>45451</v>
      </c>
      <c r="F2388" s="7">
        <v>45815</v>
      </c>
      <c r="G2388" t="s">
        <v>135</v>
      </c>
      <c r="H2388" t="s">
        <v>102</v>
      </c>
      <c r="I2388" t="s">
        <v>104</v>
      </c>
      <c r="J2388">
        <v>59086.85</v>
      </c>
      <c r="K2388">
        <v>10000000</v>
      </c>
    </row>
    <row r="2389" spans="1:11" ht="15" customHeight="1" x14ac:dyDescent="0.2">
      <c r="A2389" t="s">
        <v>3851</v>
      </c>
      <c r="B2389" t="s">
        <v>887</v>
      </c>
      <c r="C2389">
        <v>2024</v>
      </c>
      <c r="D2389">
        <v>2024</v>
      </c>
      <c r="E2389" s="7">
        <v>45451</v>
      </c>
      <c r="F2389" s="7">
        <v>45815</v>
      </c>
      <c r="G2389" t="s">
        <v>135</v>
      </c>
      <c r="H2389" t="s">
        <v>112</v>
      </c>
      <c r="I2389" t="s">
        <v>101</v>
      </c>
      <c r="J2389">
        <v>14773.4</v>
      </c>
      <c r="K2389">
        <v>1500000</v>
      </c>
    </row>
    <row r="2390" spans="1:11" ht="15" customHeight="1" x14ac:dyDescent="0.2">
      <c r="A2390" t="s">
        <v>3852</v>
      </c>
      <c r="B2390" t="s">
        <v>8562</v>
      </c>
      <c r="C2390">
        <v>2024</v>
      </c>
      <c r="D2390">
        <v>2024</v>
      </c>
      <c r="E2390" s="7">
        <v>45451</v>
      </c>
      <c r="F2390" s="7">
        <v>45815</v>
      </c>
      <c r="G2390" t="s">
        <v>135</v>
      </c>
      <c r="H2390" t="s">
        <v>106</v>
      </c>
      <c r="I2390" t="s">
        <v>101</v>
      </c>
      <c r="J2390">
        <v>8358.9500000000007</v>
      </c>
      <c r="K2390">
        <v>1000000</v>
      </c>
    </row>
    <row r="2391" spans="1:11" ht="15" customHeight="1" x14ac:dyDescent="0.2">
      <c r="A2391" t="s">
        <v>3853</v>
      </c>
      <c r="B2391" t="s">
        <v>8563</v>
      </c>
      <c r="C2391">
        <v>2024</v>
      </c>
      <c r="D2391">
        <v>2024</v>
      </c>
      <c r="E2391" s="7">
        <v>45451</v>
      </c>
      <c r="F2391" s="7">
        <v>45815</v>
      </c>
      <c r="G2391" t="s">
        <v>135</v>
      </c>
      <c r="H2391" t="s">
        <v>111</v>
      </c>
      <c r="I2391" t="s">
        <v>101</v>
      </c>
      <c r="J2391">
        <v>6969.24</v>
      </c>
      <c r="K2391">
        <v>1000000</v>
      </c>
    </row>
    <row r="2392" spans="1:11" ht="15" customHeight="1" x14ac:dyDescent="0.2">
      <c r="A2392" t="s">
        <v>3855</v>
      </c>
      <c r="B2392" t="s">
        <v>206</v>
      </c>
      <c r="C2392">
        <v>2024</v>
      </c>
      <c r="D2392">
        <v>2024</v>
      </c>
      <c r="E2392" s="7">
        <v>45451</v>
      </c>
      <c r="F2392" s="7">
        <v>45815</v>
      </c>
      <c r="G2392" t="s">
        <v>135</v>
      </c>
      <c r="H2392" t="s">
        <v>105</v>
      </c>
      <c r="I2392" t="s">
        <v>101</v>
      </c>
      <c r="J2392">
        <v>3591.6</v>
      </c>
      <c r="K2392">
        <v>500000</v>
      </c>
    </row>
    <row r="2393" spans="1:11" ht="15" customHeight="1" x14ac:dyDescent="0.2">
      <c r="A2393" t="s">
        <v>3857</v>
      </c>
      <c r="B2393" t="s">
        <v>8564</v>
      </c>
      <c r="C2393">
        <v>2024</v>
      </c>
      <c r="D2393">
        <v>2024</v>
      </c>
      <c r="E2393" s="7">
        <v>45451</v>
      </c>
      <c r="F2393" s="7">
        <v>45815</v>
      </c>
      <c r="G2393" t="s">
        <v>135</v>
      </c>
      <c r="H2393" t="s">
        <v>102</v>
      </c>
      <c r="I2393" t="s">
        <v>104</v>
      </c>
      <c r="J2393">
        <v>57262.74</v>
      </c>
      <c r="K2393">
        <v>10000000</v>
      </c>
    </row>
    <row r="2394" spans="1:11" ht="15" customHeight="1" x14ac:dyDescent="0.2">
      <c r="A2394" t="s">
        <v>3859</v>
      </c>
      <c r="B2394" t="s">
        <v>330</v>
      </c>
      <c r="C2394">
        <v>2024</v>
      </c>
      <c r="D2394">
        <v>2024</v>
      </c>
      <c r="E2394" s="7">
        <v>45451</v>
      </c>
      <c r="F2394" s="7">
        <v>45815</v>
      </c>
      <c r="G2394" t="s">
        <v>135</v>
      </c>
      <c r="H2394" t="s">
        <v>108</v>
      </c>
      <c r="I2394" t="s">
        <v>101</v>
      </c>
      <c r="J2394">
        <v>16598.02</v>
      </c>
      <c r="K2394">
        <v>2000000</v>
      </c>
    </row>
    <row r="2395" spans="1:11" ht="15" customHeight="1" x14ac:dyDescent="0.2">
      <c r="A2395" t="s">
        <v>3861</v>
      </c>
      <c r="B2395" t="s">
        <v>2948</v>
      </c>
      <c r="C2395">
        <v>2024</v>
      </c>
      <c r="D2395">
        <v>2024</v>
      </c>
      <c r="E2395" s="7">
        <v>45452</v>
      </c>
      <c r="F2395" s="7">
        <v>45816</v>
      </c>
      <c r="G2395" t="s">
        <v>99</v>
      </c>
      <c r="H2395" t="s">
        <v>106</v>
      </c>
      <c r="I2395" t="s">
        <v>101</v>
      </c>
      <c r="J2395">
        <v>4409.22</v>
      </c>
      <c r="K2395">
        <v>500000</v>
      </c>
    </row>
    <row r="2396" spans="1:11" ht="15" customHeight="1" x14ac:dyDescent="0.2">
      <c r="A2396" t="s">
        <v>3863</v>
      </c>
      <c r="B2396" t="s">
        <v>2950</v>
      </c>
      <c r="C2396">
        <v>2024</v>
      </c>
      <c r="D2396">
        <v>2024</v>
      </c>
      <c r="E2396" s="7">
        <v>45452</v>
      </c>
      <c r="F2396" s="7">
        <v>45816</v>
      </c>
      <c r="G2396" t="s">
        <v>99</v>
      </c>
      <c r="H2396" t="s">
        <v>105</v>
      </c>
      <c r="I2396" t="s">
        <v>101</v>
      </c>
      <c r="J2396">
        <v>10318.629999999999</v>
      </c>
      <c r="K2396">
        <v>1500000</v>
      </c>
    </row>
    <row r="2397" spans="1:11" ht="15" customHeight="1" x14ac:dyDescent="0.2">
      <c r="A2397" t="s">
        <v>3865</v>
      </c>
      <c r="B2397" t="s">
        <v>2957</v>
      </c>
      <c r="C2397">
        <v>2024</v>
      </c>
      <c r="D2397">
        <v>2024</v>
      </c>
      <c r="E2397" s="7">
        <v>45452</v>
      </c>
      <c r="F2397" s="7">
        <v>45816</v>
      </c>
      <c r="G2397" t="s">
        <v>99</v>
      </c>
      <c r="H2397" t="s">
        <v>102</v>
      </c>
      <c r="I2397" t="s">
        <v>104</v>
      </c>
      <c r="J2397">
        <v>5283.02</v>
      </c>
      <c r="K2397">
        <v>1000000</v>
      </c>
    </row>
    <row r="2398" spans="1:11" ht="15" customHeight="1" x14ac:dyDescent="0.2">
      <c r="A2398" t="s">
        <v>3866</v>
      </c>
      <c r="B2398" t="s">
        <v>2959</v>
      </c>
      <c r="C2398">
        <v>2024</v>
      </c>
      <c r="D2398">
        <v>2024</v>
      </c>
      <c r="E2398" s="7">
        <v>45452</v>
      </c>
      <c r="F2398" s="7">
        <v>45816</v>
      </c>
      <c r="G2398" t="s">
        <v>99</v>
      </c>
      <c r="H2398" t="s">
        <v>108</v>
      </c>
      <c r="I2398" t="s">
        <v>101</v>
      </c>
      <c r="J2398">
        <v>94458.68</v>
      </c>
      <c r="K2398">
        <v>10000000</v>
      </c>
    </row>
    <row r="2399" spans="1:11" ht="15" customHeight="1" x14ac:dyDescent="0.2">
      <c r="A2399" t="s">
        <v>3867</v>
      </c>
      <c r="B2399" t="s">
        <v>2961</v>
      </c>
      <c r="C2399">
        <v>2024</v>
      </c>
      <c r="D2399">
        <v>2024</v>
      </c>
      <c r="E2399" s="7">
        <v>45452</v>
      </c>
      <c r="F2399" s="7">
        <v>45816</v>
      </c>
      <c r="G2399" t="s">
        <v>99</v>
      </c>
      <c r="H2399" t="s">
        <v>113</v>
      </c>
      <c r="I2399" t="s">
        <v>104</v>
      </c>
      <c r="J2399">
        <v>8627.75</v>
      </c>
      <c r="K2399">
        <v>1500000</v>
      </c>
    </row>
    <row r="2400" spans="1:11" ht="15" customHeight="1" x14ac:dyDescent="0.2">
      <c r="A2400" t="s">
        <v>3868</v>
      </c>
      <c r="B2400" t="s">
        <v>2963</v>
      </c>
      <c r="C2400">
        <v>2024</v>
      </c>
      <c r="D2400">
        <v>2024</v>
      </c>
      <c r="E2400" s="7">
        <v>45452</v>
      </c>
      <c r="F2400" s="7">
        <v>45816</v>
      </c>
      <c r="G2400" t="s">
        <v>99</v>
      </c>
      <c r="H2400" t="s">
        <v>113</v>
      </c>
      <c r="I2400" t="s">
        <v>101</v>
      </c>
      <c r="J2400">
        <v>6865.65</v>
      </c>
      <c r="K2400">
        <v>1000000</v>
      </c>
    </row>
    <row r="2401" spans="1:11" ht="15" customHeight="1" x14ac:dyDescent="0.2">
      <c r="A2401" t="s">
        <v>3869</v>
      </c>
      <c r="B2401" t="s">
        <v>2973</v>
      </c>
      <c r="C2401">
        <v>2024</v>
      </c>
      <c r="D2401">
        <v>2024</v>
      </c>
      <c r="E2401" s="7">
        <v>45452</v>
      </c>
      <c r="F2401" s="7">
        <v>45816</v>
      </c>
      <c r="G2401" t="s">
        <v>99</v>
      </c>
      <c r="H2401" t="s">
        <v>107</v>
      </c>
      <c r="I2401" t="s">
        <v>101</v>
      </c>
      <c r="J2401">
        <v>7338.9</v>
      </c>
      <c r="K2401">
        <v>1000000</v>
      </c>
    </row>
    <row r="2402" spans="1:11" ht="15" customHeight="1" x14ac:dyDescent="0.2">
      <c r="A2402" t="s">
        <v>3870</v>
      </c>
      <c r="B2402" t="s">
        <v>8565</v>
      </c>
      <c r="C2402">
        <v>2024</v>
      </c>
      <c r="D2402">
        <v>2024</v>
      </c>
      <c r="E2402" s="7">
        <v>45452</v>
      </c>
      <c r="F2402" s="7">
        <v>45816</v>
      </c>
      <c r="G2402" t="s">
        <v>135</v>
      </c>
      <c r="H2402" t="s">
        <v>107</v>
      </c>
      <c r="I2402" t="s">
        <v>101</v>
      </c>
      <c r="J2402">
        <v>7088.89</v>
      </c>
      <c r="K2402">
        <v>1000000</v>
      </c>
    </row>
    <row r="2403" spans="1:11" ht="15" customHeight="1" x14ac:dyDescent="0.2">
      <c r="A2403" t="s">
        <v>3871</v>
      </c>
      <c r="B2403" t="s">
        <v>333</v>
      </c>
      <c r="C2403">
        <v>2024</v>
      </c>
      <c r="D2403">
        <v>2024</v>
      </c>
      <c r="E2403" s="7">
        <v>45452</v>
      </c>
      <c r="F2403" s="7">
        <v>45816</v>
      </c>
      <c r="G2403" t="s">
        <v>135</v>
      </c>
      <c r="H2403" t="s">
        <v>6332</v>
      </c>
      <c r="I2403" t="s">
        <v>101</v>
      </c>
      <c r="J2403">
        <v>14568.79</v>
      </c>
      <c r="K2403">
        <v>2000000</v>
      </c>
    </row>
    <row r="2404" spans="1:11" ht="15" customHeight="1" x14ac:dyDescent="0.2">
      <c r="A2404" t="s">
        <v>3872</v>
      </c>
      <c r="B2404" t="s">
        <v>888</v>
      </c>
      <c r="C2404">
        <v>2024</v>
      </c>
      <c r="D2404">
        <v>2024</v>
      </c>
      <c r="E2404" s="7">
        <v>45452</v>
      </c>
      <c r="F2404" s="7">
        <v>45816</v>
      </c>
      <c r="G2404" t="s">
        <v>135</v>
      </c>
      <c r="H2404" t="s">
        <v>102</v>
      </c>
      <c r="I2404" t="s">
        <v>104</v>
      </c>
      <c r="J2404">
        <v>2938.06</v>
      </c>
      <c r="K2404">
        <v>500000</v>
      </c>
    </row>
    <row r="2405" spans="1:11" ht="15" customHeight="1" x14ac:dyDescent="0.2">
      <c r="A2405" t="s">
        <v>3873</v>
      </c>
      <c r="B2405" t="s">
        <v>8566</v>
      </c>
      <c r="C2405">
        <v>2024</v>
      </c>
      <c r="D2405">
        <v>2024</v>
      </c>
      <c r="E2405" s="7">
        <v>45452</v>
      </c>
      <c r="F2405" s="7">
        <v>45816</v>
      </c>
      <c r="G2405" t="s">
        <v>135</v>
      </c>
      <c r="H2405" t="s">
        <v>111</v>
      </c>
      <c r="I2405" t="s">
        <v>104</v>
      </c>
      <c r="J2405">
        <v>31510.41</v>
      </c>
      <c r="K2405">
        <v>5000000</v>
      </c>
    </row>
    <row r="2406" spans="1:11" ht="15" customHeight="1" x14ac:dyDescent="0.2">
      <c r="A2406" t="s">
        <v>3874</v>
      </c>
      <c r="B2406" t="s">
        <v>6713</v>
      </c>
      <c r="C2406">
        <v>2024</v>
      </c>
      <c r="D2406">
        <v>2024</v>
      </c>
      <c r="E2406" s="7">
        <v>45452</v>
      </c>
      <c r="F2406" s="7">
        <v>45816</v>
      </c>
      <c r="G2406" t="s">
        <v>135</v>
      </c>
      <c r="H2406" t="s">
        <v>108</v>
      </c>
      <c r="I2406" t="s">
        <v>101</v>
      </c>
      <c r="J2406">
        <v>43706.5</v>
      </c>
      <c r="K2406">
        <v>5000000</v>
      </c>
    </row>
    <row r="2407" spans="1:11" ht="15" customHeight="1" x14ac:dyDescent="0.2">
      <c r="A2407" t="s">
        <v>3875</v>
      </c>
      <c r="B2407" t="s">
        <v>890</v>
      </c>
      <c r="C2407">
        <v>2024</v>
      </c>
      <c r="D2407">
        <v>2024</v>
      </c>
      <c r="E2407" s="7">
        <v>45452</v>
      </c>
      <c r="F2407" s="7">
        <v>45816</v>
      </c>
      <c r="G2407" t="s">
        <v>135</v>
      </c>
      <c r="H2407" t="s">
        <v>114</v>
      </c>
      <c r="I2407" t="s">
        <v>101</v>
      </c>
      <c r="J2407">
        <v>13738.03</v>
      </c>
      <c r="K2407">
        <v>2000000</v>
      </c>
    </row>
    <row r="2408" spans="1:11" ht="15" customHeight="1" x14ac:dyDescent="0.2">
      <c r="A2408" t="s">
        <v>3876</v>
      </c>
      <c r="B2408" t="s">
        <v>8567</v>
      </c>
      <c r="C2408">
        <v>2024</v>
      </c>
      <c r="D2408">
        <v>2024</v>
      </c>
      <c r="E2408" s="7">
        <v>45452</v>
      </c>
      <c r="F2408" s="7">
        <v>45816</v>
      </c>
      <c r="G2408" t="s">
        <v>135</v>
      </c>
      <c r="H2408" t="s">
        <v>102</v>
      </c>
      <c r="I2408" t="s">
        <v>101</v>
      </c>
      <c r="J2408">
        <v>11303.61</v>
      </c>
      <c r="K2408">
        <v>1500000</v>
      </c>
    </row>
    <row r="2409" spans="1:11" ht="15" customHeight="1" x14ac:dyDescent="0.2">
      <c r="A2409" t="s">
        <v>3877</v>
      </c>
      <c r="B2409" t="s">
        <v>332</v>
      </c>
      <c r="C2409">
        <v>2024</v>
      </c>
      <c r="D2409">
        <v>2024</v>
      </c>
      <c r="E2409" s="7">
        <v>45452</v>
      </c>
      <c r="F2409" s="7">
        <v>45816</v>
      </c>
      <c r="G2409" t="s">
        <v>135</v>
      </c>
      <c r="H2409" t="s">
        <v>102</v>
      </c>
      <c r="I2409" t="s">
        <v>104</v>
      </c>
      <c r="J2409">
        <v>28879.39</v>
      </c>
      <c r="K2409">
        <v>5000000</v>
      </c>
    </row>
    <row r="2410" spans="1:11" ht="15" customHeight="1" x14ac:dyDescent="0.2">
      <c r="A2410" t="s">
        <v>3878</v>
      </c>
      <c r="B2410" t="s">
        <v>6720</v>
      </c>
      <c r="C2410">
        <v>2024</v>
      </c>
      <c r="D2410">
        <v>2024</v>
      </c>
      <c r="E2410" s="7">
        <v>45452</v>
      </c>
      <c r="F2410" s="7">
        <v>45816</v>
      </c>
      <c r="G2410" t="s">
        <v>135</v>
      </c>
      <c r="H2410" t="s">
        <v>108</v>
      </c>
      <c r="I2410" t="s">
        <v>104</v>
      </c>
      <c r="J2410">
        <v>6587.54</v>
      </c>
      <c r="K2410">
        <v>1000000</v>
      </c>
    </row>
    <row r="2411" spans="1:11" ht="15" customHeight="1" x14ac:dyDescent="0.2">
      <c r="A2411" t="s">
        <v>3880</v>
      </c>
      <c r="B2411" t="s">
        <v>8568</v>
      </c>
      <c r="C2411">
        <v>2024</v>
      </c>
      <c r="D2411">
        <v>2024</v>
      </c>
      <c r="E2411" s="7">
        <v>45452</v>
      </c>
      <c r="F2411" s="7">
        <v>45816</v>
      </c>
      <c r="G2411" t="s">
        <v>135</v>
      </c>
      <c r="H2411" t="s">
        <v>111</v>
      </c>
      <c r="I2411" t="s">
        <v>101</v>
      </c>
      <c r="J2411">
        <v>10021.19</v>
      </c>
      <c r="K2411">
        <v>1500000</v>
      </c>
    </row>
    <row r="2412" spans="1:11" ht="15" customHeight="1" x14ac:dyDescent="0.2">
      <c r="A2412" t="s">
        <v>3882</v>
      </c>
      <c r="B2412" t="s">
        <v>8569</v>
      </c>
      <c r="C2412">
        <v>2024</v>
      </c>
      <c r="D2412">
        <v>2024</v>
      </c>
      <c r="E2412" s="7">
        <v>45452</v>
      </c>
      <c r="F2412" s="7">
        <v>45816</v>
      </c>
      <c r="G2412" t="s">
        <v>135</v>
      </c>
      <c r="H2412" t="s">
        <v>106</v>
      </c>
      <c r="I2412" t="s">
        <v>101</v>
      </c>
      <c r="J2412">
        <v>9379.7999999999993</v>
      </c>
      <c r="K2412">
        <v>1000000</v>
      </c>
    </row>
    <row r="2413" spans="1:11" ht="15" customHeight="1" x14ac:dyDescent="0.2">
      <c r="A2413" t="s">
        <v>3884</v>
      </c>
      <c r="B2413" t="s">
        <v>6850</v>
      </c>
      <c r="C2413">
        <v>2024</v>
      </c>
      <c r="D2413">
        <v>2024</v>
      </c>
      <c r="E2413" s="7">
        <v>45452</v>
      </c>
      <c r="F2413" s="7">
        <v>45816</v>
      </c>
      <c r="G2413" t="s">
        <v>135</v>
      </c>
      <c r="H2413" t="s">
        <v>108</v>
      </c>
      <c r="I2413" t="s">
        <v>104</v>
      </c>
      <c r="J2413">
        <v>6659.85</v>
      </c>
      <c r="K2413">
        <v>1000000</v>
      </c>
    </row>
    <row r="2414" spans="1:11" ht="15" customHeight="1" x14ac:dyDescent="0.2">
      <c r="A2414" t="s">
        <v>3885</v>
      </c>
      <c r="B2414" t="s">
        <v>889</v>
      </c>
      <c r="C2414">
        <v>2024</v>
      </c>
      <c r="D2414">
        <v>2024</v>
      </c>
      <c r="E2414" s="7">
        <v>45452</v>
      </c>
      <c r="F2414" s="7">
        <v>45816</v>
      </c>
      <c r="G2414" t="s">
        <v>135</v>
      </c>
      <c r="H2414" t="s">
        <v>113</v>
      </c>
      <c r="I2414" t="s">
        <v>101</v>
      </c>
      <c r="J2414">
        <v>70345.64</v>
      </c>
      <c r="K2414">
        <v>10000000</v>
      </c>
    </row>
    <row r="2415" spans="1:11" ht="15" customHeight="1" x14ac:dyDescent="0.2">
      <c r="A2415" t="s">
        <v>3886</v>
      </c>
      <c r="B2415" t="s">
        <v>331</v>
      </c>
      <c r="C2415">
        <v>2024</v>
      </c>
      <c r="D2415">
        <v>2024</v>
      </c>
      <c r="E2415" s="7">
        <v>45452</v>
      </c>
      <c r="F2415" s="7">
        <v>45816</v>
      </c>
      <c r="G2415" t="s">
        <v>135</v>
      </c>
      <c r="H2415" t="s">
        <v>106</v>
      </c>
      <c r="I2415" t="s">
        <v>104</v>
      </c>
      <c r="J2415">
        <v>37861.56</v>
      </c>
      <c r="K2415">
        <v>5000000</v>
      </c>
    </row>
    <row r="2416" spans="1:11" ht="15" customHeight="1" x14ac:dyDescent="0.2">
      <c r="A2416" t="s">
        <v>3887</v>
      </c>
      <c r="B2416" t="s">
        <v>6721</v>
      </c>
      <c r="C2416">
        <v>2024</v>
      </c>
      <c r="D2416">
        <v>2024</v>
      </c>
      <c r="E2416" s="7">
        <v>45452</v>
      </c>
      <c r="F2416" s="7">
        <v>45816</v>
      </c>
      <c r="G2416" t="s">
        <v>135</v>
      </c>
      <c r="H2416" t="s">
        <v>106</v>
      </c>
      <c r="I2416" t="s">
        <v>104</v>
      </c>
      <c r="J2416">
        <v>7852.56</v>
      </c>
      <c r="K2416">
        <v>1000000</v>
      </c>
    </row>
    <row r="2417" spans="1:11" ht="15" customHeight="1" x14ac:dyDescent="0.2">
      <c r="A2417" t="s">
        <v>3888</v>
      </c>
      <c r="B2417" t="s">
        <v>2975</v>
      </c>
      <c r="C2417">
        <v>2024</v>
      </c>
      <c r="D2417">
        <v>2024</v>
      </c>
      <c r="E2417" s="7">
        <v>45453</v>
      </c>
      <c r="F2417" s="7">
        <v>45817</v>
      </c>
      <c r="G2417" t="s">
        <v>99</v>
      </c>
      <c r="H2417" t="s">
        <v>102</v>
      </c>
      <c r="I2417" t="s">
        <v>101</v>
      </c>
      <c r="J2417">
        <v>11014.56</v>
      </c>
      <c r="K2417">
        <v>1500000</v>
      </c>
    </row>
    <row r="2418" spans="1:11" ht="15" customHeight="1" x14ac:dyDescent="0.2">
      <c r="A2418" t="s">
        <v>3889</v>
      </c>
      <c r="B2418" t="s">
        <v>8570</v>
      </c>
      <c r="C2418">
        <v>2024</v>
      </c>
      <c r="D2418">
        <v>2024</v>
      </c>
      <c r="E2418" s="7">
        <v>45453</v>
      </c>
      <c r="F2418" s="7">
        <v>45817</v>
      </c>
      <c r="G2418" t="s">
        <v>135</v>
      </c>
      <c r="H2418" t="s">
        <v>107</v>
      </c>
      <c r="I2418" t="s">
        <v>101</v>
      </c>
      <c r="J2418">
        <v>68372.2</v>
      </c>
      <c r="K2418">
        <v>10000000</v>
      </c>
    </row>
    <row r="2419" spans="1:11" ht="15" customHeight="1" x14ac:dyDescent="0.2">
      <c r="A2419" t="s">
        <v>3890</v>
      </c>
      <c r="B2419" t="s">
        <v>891</v>
      </c>
      <c r="C2419">
        <v>2024</v>
      </c>
      <c r="D2419">
        <v>2024</v>
      </c>
      <c r="E2419" s="7">
        <v>45453</v>
      </c>
      <c r="F2419" s="7">
        <v>45817</v>
      </c>
      <c r="G2419" t="s">
        <v>135</v>
      </c>
      <c r="H2419" t="s">
        <v>113</v>
      </c>
      <c r="I2419" t="s">
        <v>104</v>
      </c>
      <c r="J2419">
        <v>5443.77</v>
      </c>
      <c r="K2419">
        <v>1000000</v>
      </c>
    </row>
    <row r="2420" spans="1:11" ht="15" customHeight="1" x14ac:dyDescent="0.2">
      <c r="A2420" t="s">
        <v>3891</v>
      </c>
      <c r="B2420" t="s">
        <v>8571</v>
      </c>
      <c r="C2420">
        <v>2024</v>
      </c>
      <c r="D2420">
        <v>2024</v>
      </c>
      <c r="E2420" s="7">
        <v>45453</v>
      </c>
      <c r="F2420" s="7">
        <v>45817</v>
      </c>
      <c r="G2420" t="s">
        <v>135</v>
      </c>
      <c r="H2420" t="s">
        <v>113</v>
      </c>
      <c r="I2420" t="s">
        <v>104</v>
      </c>
      <c r="J2420">
        <v>5501.42</v>
      </c>
      <c r="K2420">
        <v>1000000</v>
      </c>
    </row>
    <row r="2421" spans="1:11" ht="15" customHeight="1" x14ac:dyDescent="0.2">
      <c r="A2421" t="s">
        <v>3892</v>
      </c>
      <c r="B2421" t="s">
        <v>545</v>
      </c>
      <c r="C2421">
        <v>2024</v>
      </c>
      <c r="D2421">
        <v>2024</v>
      </c>
      <c r="E2421" s="7">
        <v>45453</v>
      </c>
      <c r="F2421" s="7">
        <v>45817</v>
      </c>
      <c r="G2421" t="s">
        <v>135</v>
      </c>
      <c r="H2421" t="s">
        <v>114</v>
      </c>
      <c r="I2421" t="s">
        <v>101</v>
      </c>
      <c r="J2421">
        <v>10768.91</v>
      </c>
      <c r="K2421">
        <v>1500000</v>
      </c>
    </row>
    <row r="2422" spans="1:11" ht="15" customHeight="1" x14ac:dyDescent="0.2">
      <c r="A2422" t="s">
        <v>3893</v>
      </c>
      <c r="B2422" t="s">
        <v>892</v>
      </c>
      <c r="C2422">
        <v>2024</v>
      </c>
      <c r="D2422">
        <v>2024</v>
      </c>
      <c r="E2422" s="7">
        <v>45453</v>
      </c>
      <c r="F2422" s="7">
        <v>45817</v>
      </c>
      <c r="G2422" t="s">
        <v>135</v>
      </c>
      <c r="H2422" t="s">
        <v>108</v>
      </c>
      <c r="I2422" t="s">
        <v>104</v>
      </c>
      <c r="J2422">
        <v>7054.2</v>
      </c>
      <c r="K2422">
        <v>1000000</v>
      </c>
    </row>
    <row r="2423" spans="1:11" ht="15" customHeight="1" x14ac:dyDescent="0.2">
      <c r="A2423" t="s">
        <v>3895</v>
      </c>
      <c r="B2423" t="s">
        <v>6722</v>
      </c>
      <c r="C2423">
        <v>2024</v>
      </c>
      <c r="D2423">
        <v>2024</v>
      </c>
      <c r="E2423" s="7">
        <v>45453</v>
      </c>
      <c r="F2423" s="7">
        <v>45817</v>
      </c>
      <c r="G2423" t="s">
        <v>135</v>
      </c>
      <c r="H2423" t="s">
        <v>102</v>
      </c>
      <c r="I2423" t="s">
        <v>101</v>
      </c>
      <c r="J2423">
        <v>3296.15</v>
      </c>
      <c r="K2423">
        <v>500000</v>
      </c>
    </row>
    <row r="2424" spans="1:11" ht="15" customHeight="1" x14ac:dyDescent="0.2">
      <c r="A2424" t="s">
        <v>3897</v>
      </c>
      <c r="B2424" t="s">
        <v>6737</v>
      </c>
      <c r="C2424">
        <v>2024</v>
      </c>
      <c r="D2424">
        <v>2024</v>
      </c>
      <c r="E2424" s="7">
        <v>45453</v>
      </c>
      <c r="F2424" s="7">
        <v>45817</v>
      </c>
      <c r="G2424" t="s">
        <v>135</v>
      </c>
      <c r="H2424" t="s">
        <v>108</v>
      </c>
      <c r="I2424" t="s">
        <v>101</v>
      </c>
      <c r="J2424">
        <v>13906.02</v>
      </c>
      <c r="K2424">
        <v>1500000</v>
      </c>
    </row>
    <row r="2425" spans="1:11" ht="15" customHeight="1" x14ac:dyDescent="0.2">
      <c r="A2425" t="s">
        <v>3898</v>
      </c>
      <c r="B2425" t="s">
        <v>2977</v>
      </c>
      <c r="C2425">
        <v>2024</v>
      </c>
      <c r="D2425">
        <v>2024</v>
      </c>
      <c r="E2425" s="7">
        <v>45454</v>
      </c>
      <c r="F2425" s="7">
        <v>45818</v>
      </c>
      <c r="G2425" t="s">
        <v>99</v>
      </c>
      <c r="H2425" t="s">
        <v>108</v>
      </c>
      <c r="I2425" t="s">
        <v>101</v>
      </c>
      <c r="J2425">
        <v>16797.53</v>
      </c>
      <c r="K2425">
        <v>2000000</v>
      </c>
    </row>
    <row r="2426" spans="1:11" ht="15" customHeight="1" x14ac:dyDescent="0.2">
      <c r="A2426" t="s">
        <v>3899</v>
      </c>
      <c r="B2426" t="s">
        <v>2979</v>
      </c>
      <c r="C2426">
        <v>2024</v>
      </c>
      <c r="D2426">
        <v>2024</v>
      </c>
      <c r="E2426" s="7">
        <v>45454</v>
      </c>
      <c r="F2426" s="7">
        <v>45818</v>
      </c>
      <c r="G2426" t="s">
        <v>99</v>
      </c>
      <c r="H2426" t="s">
        <v>102</v>
      </c>
      <c r="I2426" t="s">
        <v>104</v>
      </c>
      <c r="J2426">
        <v>2732.39</v>
      </c>
      <c r="K2426">
        <v>500000</v>
      </c>
    </row>
    <row r="2427" spans="1:11" ht="15" customHeight="1" x14ac:dyDescent="0.2">
      <c r="A2427" t="s">
        <v>3900</v>
      </c>
      <c r="B2427" t="s">
        <v>893</v>
      </c>
      <c r="C2427">
        <v>2024</v>
      </c>
      <c r="D2427">
        <v>2024</v>
      </c>
      <c r="E2427" s="7">
        <v>45454</v>
      </c>
      <c r="F2427" s="7">
        <v>45818</v>
      </c>
      <c r="G2427" t="s">
        <v>135</v>
      </c>
      <c r="H2427" t="s">
        <v>109</v>
      </c>
      <c r="I2427" t="s">
        <v>101</v>
      </c>
      <c r="J2427">
        <v>15713.27</v>
      </c>
      <c r="K2427">
        <v>2000000</v>
      </c>
    </row>
    <row r="2428" spans="1:11" ht="15" customHeight="1" x14ac:dyDescent="0.2">
      <c r="A2428" t="s">
        <v>3901</v>
      </c>
      <c r="B2428" t="s">
        <v>6726</v>
      </c>
      <c r="C2428">
        <v>2024</v>
      </c>
      <c r="D2428">
        <v>2024</v>
      </c>
      <c r="E2428" s="7">
        <v>45454</v>
      </c>
      <c r="F2428" s="7">
        <v>45818</v>
      </c>
      <c r="G2428" t="s">
        <v>135</v>
      </c>
      <c r="H2428" t="s">
        <v>108</v>
      </c>
      <c r="I2428" t="s">
        <v>101</v>
      </c>
      <c r="J2428">
        <v>9285.0400000000009</v>
      </c>
      <c r="K2428">
        <v>1000000</v>
      </c>
    </row>
    <row r="2429" spans="1:11" ht="15" customHeight="1" x14ac:dyDescent="0.2">
      <c r="A2429" t="s">
        <v>3902</v>
      </c>
      <c r="B2429" t="s">
        <v>546</v>
      </c>
      <c r="C2429">
        <v>2024</v>
      </c>
      <c r="D2429">
        <v>2024</v>
      </c>
      <c r="E2429" s="7">
        <v>45454</v>
      </c>
      <c r="F2429" s="7">
        <v>45818</v>
      </c>
      <c r="G2429" t="s">
        <v>135</v>
      </c>
      <c r="H2429" t="s">
        <v>107</v>
      </c>
      <c r="I2429" t="s">
        <v>101</v>
      </c>
      <c r="J2429">
        <v>7540.52</v>
      </c>
      <c r="K2429">
        <v>1000000</v>
      </c>
    </row>
    <row r="2430" spans="1:11" ht="15" customHeight="1" x14ac:dyDescent="0.2">
      <c r="A2430" t="s">
        <v>3903</v>
      </c>
      <c r="B2430" t="s">
        <v>8572</v>
      </c>
      <c r="C2430">
        <v>2024</v>
      </c>
      <c r="D2430">
        <v>2024</v>
      </c>
      <c r="E2430" s="7">
        <v>45454</v>
      </c>
      <c r="F2430" s="7">
        <v>45818</v>
      </c>
      <c r="G2430" t="s">
        <v>135</v>
      </c>
      <c r="H2430" t="s">
        <v>108</v>
      </c>
      <c r="I2430" t="s">
        <v>104</v>
      </c>
      <c r="J2430">
        <v>36527.51</v>
      </c>
      <c r="K2430">
        <v>5000000</v>
      </c>
    </row>
    <row r="2431" spans="1:11" ht="15" customHeight="1" x14ac:dyDescent="0.2">
      <c r="A2431" t="s">
        <v>3904</v>
      </c>
      <c r="B2431" t="s">
        <v>896</v>
      </c>
      <c r="C2431">
        <v>2024</v>
      </c>
      <c r="D2431">
        <v>2024</v>
      </c>
      <c r="E2431" s="7">
        <v>45454</v>
      </c>
      <c r="F2431" s="7">
        <v>45818</v>
      </c>
      <c r="G2431" t="s">
        <v>135</v>
      </c>
      <c r="H2431" t="s">
        <v>106</v>
      </c>
      <c r="I2431" t="s">
        <v>104</v>
      </c>
      <c r="J2431">
        <v>6908.17</v>
      </c>
      <c r="K2431">
        <v>1000000</v>
      </c>
    </row>
    <row r="2432" spans="1:11" ht="15" customHeight="1" x14ac:dyDescent="0.2">
      <c r="A2432" t="s">
        <v>3906</v>
      </c>
      <c r="B2432" t="s">
        <v>8573</v>
      </c>
      <c r="C2432">
        <v>2024</v>
      </c>
      <c r="D2432">
        <v>2024</v>
      </c>
      <c r="E2432" s="7">
        <v>45454</v>
      </c>
      <c r="F2432" s="7">
        <v>45818</v>
      </c>
      <c r="G2432" t="s">
        <v>135</v>
      </c>
      <c r="H2432" t="s">
        <v>113</v>
      </c>
      <c r="I2432" t="s">
        <v>104</v>
      </c>
      <c r="J2432">
        <v>8438.9</v>
      </c>
      <c r="K2432">
        <v>1500000</v>
      </c>
    </row>
    <row r="2433" spans="1:11" ht="15" customHeight="1" x14ac:dyDescent="0.2">
      <c r="A2433" t="s">
        <v>3908</v>
      </c>
      <c r="B2433" t="s">
        <v>895</v>
      </c>
      <c r="C2433">
        <v>2024</v>
      </c>
      <c r="D2433">
        <v>2024</v>
      </c>
      <c r="E2433" s="7">
        <v>45454</v>
      </c>
      <c r="F2433" s="7">
        <v>45818</v>
      </c>
      <c r="G2433" t="s">
        <v>135</v>
      </c>
      <c r="H2433" t="s">
        <v>106</v>
      </c>
      <c r="I2433" t="s">
        <v>104</v>
      </c>
      <c r="J2433">
        <v>37006.19</v>
      </c>
      <c r="K2433">
        <v>5000000</v>
      </c>
    </row>
    <row r="2434" spans="1:11" ht="15" customHeight="1" x14ac:dyDescent="0.2">
      <c r="A2434" t="s">
        <v>3910</v>
      </c>
      <c r="B2434" t="s">
        <v>8574</v>
      </c>
      <c r="C2434">
        <v>2024</v>
      </c>
      <c r="D2434">
        <v>2024</v>
      </c>
      <c r="E2434" s="7">
        <v>45454</v>
      </c>
      <c r="F2434" s="7">
        <v>45818</v>
      </c>
      <c r="G2434" t="s">
        <v>135</v>
      </c>
      <c r="H2434" t="s">
        <v>114</v>
      </c>
      <c r="I2434" t="s">
        <v>101</v>
      </c>
      <c r="J2434">
        <v>14223.45</v>
      </c>
      <c r="K2434">
        <v>2000000</v>
      </c>
    </row>
    <row r="2435" spans="1:11" ht="15" customHeight="1" x14ac:dyDescent="0.2">
      <c r="A2435" t="s">
        <v>3912</v>
      </c>
      <c r="B2435" t="s">
        <v>894</v>
      </c>
      <c r="C2435">
        <v>2024</v>
      </c>
      <c r="D2435">
        <v>2024</v>
      </c>
      <c r="E2435" s="7">
        <v>45454</v>
      </c>
      <c r="F2435" s="7">
        <v>45818</v>
      </c>
      <c r="G2435" t="s">
        <v>135</v>
      </c>
      <c r="H2435" t="s">
        <v>114</v>
      </c>
      <c r="I2435" t="s">
        <v>101</v>
      </c>
      <c r="J2435">
        <v>13076.93</v>
      </c>
      <c r="K2435">
        <v>2000000</v>
      </c>
    </row>
    <row r="2436" spans="1:11" ht="15" customHeight="1" x14ac:dyDescent="0.2">
      <c r="A2436" t="s">
        <v>3913</v>
      </c>
      <c r="B2436" t="s">
        <v>2981</v>
      </c>
      <c r="C2436">
        <v>2024</v>
      </c>
      <c r="D2436">
        <v>2024</v>
      </c>
      <c r="E2436" s="7">
        <v>45455</v>
      </c>
      <c r="F2436" s="7">
        <v>45819</v>
      </c>
      <c r="G2436" t="s">
        <v>99</v>
      </c>
      <c r="H2436" t="s">
        <v>110</v>
      </c>
      <c r="I2436" t="s">
        <v>101</v>
      </c>
      <c r="J2436">
        <v>12769.74</v>
      </c>
      <c r="K2436">
        <v>1500000</v>
      </c>
    </row>
    <row r="2437" spans="1:11" ht="15" customHeight="1" x14ac:dyDescent="0.2">
      <c r="A2437" t="s">
        <v>3914</v>
      </c>
      <c r="B2437" t="s">
        <v>2983</v>
      </c>
      <c r="C2437">
        <v>2024</v>
      </c>
      <c r="D2437">
        <v>2024</v>
      </c>
      <c r="E2437" s="7">
        <v>45455</v>
      </c>
      <c r="F2437" s="7">
        <v>45819</v>
      </c>
      <c r="G2437" t="s">
        <v>99</v>
      </c>
      <c r="H2437" t="s">
        <v>109</v>
      </c>
      <c r="I2437" t="s">
        <v>101</v>
      </c>
      <c r="J2437">
        <v>10673.6</v>
      </c>
      <c r="K2437">
        <v>1500000</v>
      </c>
    </row>
    <row r="2438" spans="1:11" ht="15" customHeight="1" x14ac:dyDescent="0.2">
      <c r="A2438" t="s">
        <v>3915</v>
      </c>
      <c r="B2438" t="s">
        <v>8575</v>
      </c>
      <c r="C2438">
        <v>2024</v>
      </c>
      <c r="D2438">
        <v>2024</v>
      </c>
      <c r="E2438" s="7">
        <v>45455</v>
      </c>
      <c r="F2438" s="7">
        <v>45819</v>
      </c>
      <c r="G2438" t="s">
        <v>135</v>
      </c>
      <c r="H2438" t="s">
        <v>107</v>
      </c>
      <c r="I2438" t="s">
        <v>101</v>
      </c>
      <c r="J2438">
        <v>11004.69</v>
      </c>
      <c r="K2438">
        <v>1500000</v>
      </c>
    </row>
    <row r="2439" spans="1:11" ht="15" customHeight="1" x14ac:dyDescent="0.2">
      <c r="A2439" t="s">
        <v>3916</v>
      </c>
      <c r="B2439" t="s">
        <v>6769</v>
      </c>
      <c r="C2439">
        <v>2024</v>
      </c>
      <c r="D2439">
        <v>2024</v>
      </c>
      <c r="E2439" s="7">
        <v>45455</v>
      </c>
      <c r="F2439" s="7">
        <v>45819</v>
      </c>
      <c r="G2439" t="s">
        <v>135</v>
      </c>
      <c r="H2439" t="s">
        <v>102</v>
      </c>
      <c r="I2439" t="s">
        <v>104</v>
      </c>
      <c r="J2439">
        <v>11678.51</v>
      </c>
      <c r="K2439">
        <v>2000000</v>
      </c>
    </row>
    <row r="2440" spans="1:11" ht="15" customHeight="1" x14ac:dyDescent="0.2">
      <c r="A2440" t="s">
        <v>3917</v>
      </c>
      <c r="B2440" t="s">
        <v>8576</v>
      </c>
      <c r="C2440">
        <v>2024</v>
      </c>
      <c r="D2440">
        <v>2024</v>
      </c>
      <c r="E2440" s="7">
        <v>45455</v>
      </c>
      <c r="F2440" s="7">
        <v>45819</v>
      </c>
      <c r="G2440" t="s">
        <v>135</v>
      </c>
      <c r="H2440" t="s">
        <v>109</v>
      </c>
      <c r="I2440" t="s">
        <v>101</v>
      </c>
      <c r="J2440">
        <v>7496.7</v>
      </c>
      <c r="K2440">
        <v>1000000</v>
      </c>
    </row>
    <row r="2441" spans="1:11" ht="15" customHeight="1" x14ac:dyDescent="0.2">
      <c r="A2441" t="s">
        <v>3918</v>
      </c>
      <c r="B2441" t="s">
        <v>897</v>
      </c>
      <c r="C2441">
        <v>2024</v>
      </c>
      <c r="D2441">
        <v>2024</v>
      </c>
      <c r="E2441" s="7">
        <v>45455</v>
      </c>
      <c r="F2441" s="7">
        <v>45819</v>
      </c>
      <c r="G2441" t="s">
        <v>135</v>
      </c>
      <c r="H2441" t="s">
        <v>106</v>
      </c>
      <c r="I2441" t="s">
        <v>101</v>
      </c>
      <c r="J2441">
        <v>8687.9500000000007</v>
      </c>
      <c r="K2441">
        <v>1000000</v>
      </c>
    </row>
    <row r="2442" spans="1:11" ht="15" customHeight="1" x14ac:dyDescent="0.2">
      <c r="A2442" t="s">
        <v>3919</v>
      </c>
      <c r="B2442" t="s">
        <v>6723</v>
      </c>
      <c r="C2442">
        <v>2024</v>
      </c>
      <c r="D2442">
        <v>2024</v>
      </c>
      <c r="E2442" s="7">
        <v>45455</v>
      </c>
      <c r="F2442" s="7">
        <v>45819</v>
      </c>
      <c r="G2442" t="s">
        <v>135</v>
      </c>
      <c r="H2442" t="s">
        <v>107</v>
      </c>
      <c r="I2442" t="s">
        <v>101</v>
      </c>
      <c r="J2442">
        <v>7462.46</v>
      </c>
      <c r="K2442">
        <v>1000000</v>
      </c>
    </row>
    <row r="2443" spans="1:11" ht="15" customHeight="1" x14ac:dyDescent="0.2">
      <c r="A2443" t="s">
        <v>3921</v>
      </c>
      <c r="B2443" t="s">
        <v>8577</v>
      </c>
      <c r="C2443">
        <v>2024</v>
      </c>
      <c r="D2443">
        <v>2024</v>
      </c>
      <c r="E2443" s="7">
        <v>45455</v>
      </c>
      <c r="F2443" s="7">
        <v>45819</v>
      </c>
      <c r="G2443" t="s">
        <v>135</v>
      </c>
      <c r="H2443" t="s">
        <v>114</v>
      </c>
      <c r="I2443" t="s">
        <v>104</v>
      </c>
      <c r="J2443">
        <v>30485.58</v>
      </c>
      <c r="K2443">
        <v>5000000</v>
      </c>
    </row>
    <row r="2444" spans="1:11" ht="15" customHeight="1" x14ac:dyDescent="0.2">
      <c r="A2444" t="s">
        <v>3923</v>
      </c>
      <c r="B2444" t="s">
        <v>6729</v>
      </c>
      <c r="C2444">
        <v>2024</v>
      </c>
      <c r="D2444">
        <v>2024</v>
      </c>
      <c r="E2444" s="7">
        <v>45455</v>
      </c>
      <c r="F2444" s="7">
        <v>45819</v>
      </c>
      <c r="G2444" t="s">
        <v>135</v>
      </c>
      <c r="H2444" t="s">
        <v>114</v>
      </c>
      <c r="I2444" t="s">
        <v>101</v>
      </c>
      <c r="J2444">
        <v>7392.38</v>
      </c>
      <c r="K2444">
        <v>1000000</v>
      </c>
    </row>
    <row r="2445" spans="1:11" ht="15" customHeight="1" x14ac:dyDescent="0.2">
      <c r="A2445" t="s">
        <v>3924</v>
      </c>
      <c r="B2445" t="s">
        <v>8578</v>
      </c>
      <c r="C2445">
        <v>2024</v>
      </c>
      <c r="D2445">
        <v>2024</v>
      </c>
      <c r="E2445" s="7">
        <v>45455</v>
      </c>
      <c r="F2445" s="7">
        <v>45819</v>
      </c>
      <c r="G2445" t="s">
        <v>135</v>
      </c>
      <c r="H2445" t="s">
        <v>106</v>
      </c>
      <c r="I2445" t="s">
        <v>101</v>
      </c>
      <c r="J2445">
        <v>8828.27</v>
      </c>
      <c r="K2445">
        <v>1000000</v>
      </c>
    </row>
    <row r="2446" spans="1:11" ht="15" customHeight="1" x14ac:dyDescent="0.2">
      <c r="A2446" t="s">
        <v>3925</v>
      </c>
      <c r="B2446" t="s">
        <v>6743</v>
      </c>
      <c r="C2446">
        <v>2024</v>
      </c>
      <c r="D2446">
        <v>2024</v>
      </c>
      <c r="E2446" s="7">
        <v>45455</v>
      </c>
      <c r="F2446" s="7">
        <v>45819</v>
      </c>
      <c r="G2446" t="s">
        <v>135</v>
      </c>
      <c r="H2446" t="s">
        <v>107</v>
      </c>
      <c r="I2446" t="s">
        <v>101</v>
      </c>
      <c r="J2446">
        <v>14660.94</v>
      </c>
      <c r="K2446">
        <v>2000000</v>
      </c>
    </row>
    <row r="2447" spans="1:11" ht="15" customHeight="1" x14ac:dyDescent="0.2">
      <c r="A2447" t="s">
        <v>3926</v>
      </c>
      <c r="B2447" t="s">
        <v>3003</v>
      </c>
      <c r="C2447">
        <v>2024</v>
      </c>
      <c r="D2447">
        <v>2024</v>
      </c>
      <c r="E2447" s="7">
        <v>45456</v>
      </c>
      <c r="F2447" s="7">
        <v>45820</v>
      </c>
      <c r="G2447" t="s">
        <v>99</v>
      </c>
      <c r="H2447" t="s">
        <v>103</v>
      </c>
      <c r="I2447" t="s">
        <v>104</v>
      </c>
      <c r="J2447">
        <v>12341.04</v>
      </c>
      <c r="K2447">
        <v>2000000</v>
      </c>
    </row>
    <row r="2448" spans="1:11" ht="15" customHeight="1" x14ac:dyDescent="0.2">
      <c r="A2448" t="s">
        <v>3927</v>
      </c>
      <c r="B2448" t="s">
        <v>3005</v>
      </c>
      <c r="C2448">
        <v>2024</v>
      </c>
      <c r="D2448">
        <v>2024</v>
      </c>
      <c r="E2448" s="7">
        <v>45456</v>
      </c>
      <c r="F2448" s="7">
        <v>45820</v>
      </c>
      <c r="G2448" t="s">
        <v>99</v>
      </c>
      <c r="H2448" t="s">
        <v>107</v>
      </c>
      <c r="I2448" t="s">
        <v>104</v>
      </c>
      <c r="J2448">
        <v>11521.07</v>
      </c>
      <c r="K2448">
        <v>2000000</v>
      </c>
    </row>
    <row r="2449" spans="1:11" ht="15" customHeight="1" x14ac:dyDescent="0.2">
      <c r="A2449" t="s">
        <v>3928</v>
      </c>
      <c r="B2449" t="s">
        <v>547</v>
      </c>
      <c r="C2449">
        <v>2024</v>
      </c>
      <c r="D2449">
        <v>2024</v>
      </c>
      <c r="E2449" s="7">
        <v>45456</v>
      </c>
      <c r="F2449" s="7">
        <v>45820</v>
      </c>
      <c r="G2449" t="s">
        <v>135</v>
      </c>
      <c r="H2449" t="s">
        <v>102</v>
      </c>
      <c r="I2449" t="s">
        <v>101</v>
      </c>
      <c r="J2449">
        <v>73050.59</v>
      </c>
      <c r="K2449">
        <v>10000000</v>
      </c>
    </row>
    <row r="2450" spans="1:11" ht="15" customHeight="1" x14ac:dyDescent="0.2">
      <c r="A2450" t="s">
        <v>3930</v>
      </c>
      <c r="B2450" t="s">
        <v>334</v>
      </c>
      <c r="C2450">
        <v>2024</v>
      </c>
      <c r="D2450">
        <v>2024</v>
      </c>
      <c r="E2450" s="7">
        <v>45456</v>
      </c>
      <c r="F2450" s="7">
        <v>45820</v>
      </c>
      <c r="G2450" t="s">
        <v>135</v>
      </c>
      <c r="H2450" t="s">
        <v>115</v>
      </c>
      <c r="I2450" t="s">
        <v>101</v>
      </c>
      <c r="J2450">
        <v>39262.800000000003</v>
      </c>
      <c r="K2450">
        <v>5000000</v>
      </c>
    </row>
    <row r="2451" spans="1:11" ht="15" customHeight="1" x14ac:dyDescent="0.2">
      <c r="A2451" t="s">
        <v>3932</v>
      </c>
      <c r="B2451" t="s">
        <v>8579</v>
      </c>
      <c r="C2451">
        <v>2024</v>
      </c>
      <c r="D2451">
        <v>2024</v>
      </c>
      <c r="E2451" s="7">
        <v>45456</v>
      </c>
      <c r="F2451" s="7">
        <v>45820</v>
      </c>
      <c r="G2451" t="s">
        <v>135</v>
      </c>
      <c r="H2451" t="s">
        <v>112</v>
      </c>
      <c r="I2451" t="s">
        <v>101</v>
      </c>
      <c r="J2451">
        <v>12477.35</v>
      </c>
      <c r="K2451">
        <v>1500000</v>
      </c>
    </row>
    <row r="2452" spans="1:11" ht="15" customHeight="1" x14ac:dyDescent="0.2">
      <c r="A2452" t="s">
        <v>3934</v>
      </c>
      <c r="B2452" t="s">
        <v>8580</v>
      </c>
      <c r="C2452">
        <v>2024</v>
      </c>
      <c r="D2452">
        <v>2024</v>
      </c>
      <c r="E2452" s="7">
        <v>45456</v>
      </c>
      <c r="F2452" s="7">
        <v>45820</v>
      </c>
      <c r="G2452" t="s">
        <v>135</v>
      </c>
      <c r="H2452" t="s">
        <v>106</v>
      </c>
      <c r="I2452" t="s">
        <v>101</v>
      </c>
      <c r="J2452">
        <v>17953.18</v>
      </c>
      <c r="K2452">
        <v>2000000</v>
      </c>
    </row>
    <row r="2453" spans="1:11" ht="15" customHeight="1" x14ac:dyDescent="0.2">
      <c r="A2453" t="s">
        <v>3936</v>
      </c>
      <c r="B2453" t="s">
        <v>6728</v>
      </c>
      <c r="C2453">
        <v>2024</v>
      </c>
      <c r="D2453">
        <v>2024</v>
      </c>
      <c r="E2453" s="7">
        <v>45456</v>
      </c>
      <c r="F2453" s="7">
        <v>45820</v>
      </c>
      <c r="G2453" t="s">
        <v>135</v>
      </c>
      <c r="H2453" t="s">
        <v>103</v>
      </c>
      <c r="I2453" t="s">
        <v>104</v>
      </c>
      <c r="J2453">
        <v>10904.38</v>
      </c>
      <c r="K2453">
        <v>2000000</v>
      </c>
    </row>
    <row r="2454" spans="1:11" ht="15" customHeight="1" x14ac:dyDescent="0.2">
      <c r="A2454" t="s">
        <v>3938</v>
      </c>
      <c r="B2454" t="s">
        <v>8581</v>
      </c>
      <c r="C2454">
        <v>2024</v>
      </c>
      <c r="D2454">
        <v>2024</v>
      </c>
      <c r="E2454" s="7">
        <v>45456</v>
      </c>
      <c r="F2454" s="7">
        <v>45820</v>
      </c>
      <c r="G2454" t="s">
        <v>135</v>
      </c>
      <c r="H2454" t="s">
        <v>102</v>
      </c>
      <c r="I2454" t="s">
        <v>101</v>
      </c>
      <c r="J2454">
        <v>71092.899999999994</v>
      </c>
      <c r="K2454">
        <v>10000000</v>
      </c>
    </row>
    <row r="2455" spans="1:11" ht="15" customHeight="1" x14ac:dyDescent="0.2">
      <c r="A2455" t="s">
        <v>3939</v>
      </c>
      <c r="B2455" t="s">
        <v>8582</v>
      </c>
      <c r="C2455">
        <v>2024</v>
      </c>
      <c r="D2455">
        <v>2024</v>
      </c>
      <c r="E2455" s="7">
        <v>45456</v>
      </c>
      <c r="F2455" s="7">
        <v>45820</v>
      </c>
      <c r="G2455" t="s">
        <v>135</v>
      </c>
      <c r="H2455" t="s">
        <v>107</v>
      </c>
      <c r="I2455" t="s">
        <v>101</v>
      </c>
      <c r="J2455">
        <v>75594.05</v>
      </c>
      <c r="K2455">
        <v>10000000</v>
      </c>
    </row>
    <row r="2456" spans="1:11" ht="15" customHeight="1" x14ac:dyDescent="0.2">
      <c r="A2456" t="s">
        <v>3940</v>
      </c>
      <c r="B2456" t="s">
        <v>8583</v>
      </c>
      <c r="C2456">
        <v>2024</v>
      </c>
      <c r="D2456">
        <v>2024</v>
      </c>
      <c r="E2456" s="7">
        <v>45456</v>
      </c>
      <c r="F2456" s="7">
        <v>45820</v>
      </c>
      <c r="G2456" t="s">
        <v>135</v>
      </c>
      <c r="H2456" t="s">
        <v>109</v>
      </c>
      <c r="I2456" t="s">
        <v>104</v>
      </c>
      <c r="J2456">
        <v>12560.69</v>
      </c>
      <c r="K2456">
        <v>2000000</v>
      </c>
    </row>
    <row r="2457" spans="1:11" ht="15" customHeight="1" x14ac:dyDescent="0.2">
      <c r="A2457" t="s">
        <v>3941</v>
      </c>
      <c r="B2457" t="s">
        <v>3007</v>
      </c>
      <c r="C2457">
        <v>2024</v>
      </c>
      <c r="D2457">
        <v>2024</v>
      </c>
      <c r="E2457" s="7">
        <v>45457</v>
      </c>
      <c r="F2457" s="7">
        <v>45821</v>
      </c>
      <c r="G2457" t="s">
        <v>99</v>
      </c>
      <c r="H2457" t="s">
        <v>105</v>
      </c>
      <c r="I2457" t="s">
        <v>101</v>
      </c>
      <c r="J2457">
        <v>10173.82</v>
      </c>
      <c r="K2457">
        <v>1500000</v>
      </c>
    </row>
    <row r="2458" spans="1:11" ht="15" customHeight="1" x14ac:dyDescent="0.2">
      <c r="A2458" t="s">
        <v>3942</v>
      </c>
      <c r="B2458" t="s">
        <v>3009</v>
      </c>
      <c r="C2458">
        <v>2024</v>
      </c>
      <c r="D2458">
        <v>2024</v>
      </c>
      <c r="E2458" s="7">
        <v>45457</v>
      </c>
      <c r="F2458" s="7">
        <v>45821</v>
      </c>
      <c r="G2458" t="s">
        <v>99</v>
      </c>
      <c r="H2458" t="s">
        <v>103</v>
      </c>
      <c r="I2458" t="s">
        <v>104</v>
      </c>
      <c r="J2458">
        <v>10846.33</v>
      </c>
      <c r="K2458">
        <v>2000000</v>
      </c>
    </row>
    <row r="2459" spans="1:11" ht="15" customHeight="1" x14ac:dyDescent="0.2">
      <c r="A2459" t="s">
        <v>3944</v>
      </c>
      <c r="B2459" t="s">
        <v>3018</v>
      </c>
      <c r="C2459">
        <v>2024</v>
      </c>
      <c r="D2459">
        <v>2024</v>
      </c>
      <c r="E2459" s="7">
        <v>45457</v>
      </c>
      <c r="F2459" s="7">
        <v>45821</v>
      </c>
      <c r="G2459" t="s">
        <v>99</v>
      </c>
      <c r="H2459" t="s">
        <v>106</v>
      </c>
      <c r="I2459" t="s">
        <v>104</v>
      </c>
      <c r="J2459">
        <v>39189.56</v>
      </c>
      <c r="K2459">
        <v>5000000</v>
      </c>
    </row>
    <row r="2460" spans="1:11" ht="15" customHeight="1" x14ac:dyDescent="0.2">
      <c r="A2460" t="s">
        <v>3946</v>
      </c>
      <c r="B2460" t="s">
        <v>8584</v>
      </c>
      <c r="C2460">
        <v>2024</v>
      </c>
      <c r="D2460">
        <v>2024</v>
      </c>
      <c r="E2460" s="7">
        <v>45457</v>
      </c>
      <c r="F2460" s="7">
        <v>45821</v>
      </c>
      <c r="G2460" t="s">
        <v>135</v>
      </c>
      <c r="H2460" t="s">
        <v>108</v>
      </c>
      <c r="I2460" t="s">
        <v>104</v>
      </c>
      <c r="J2460">
        <v>11299.1</v>
      </c>
      <c r="K2460">
        <v>1500000</v>
      </c>
    </row>
    <row r="2461" spans="1:11" ht="15" customHeight="1" x14ac:dyDescent="0.2">
      <c r="A2461" t="s">
        <v>3948</v>
      </c>
      <c r="B2461" t="s">
        <v>8585</v>
      </c>
      <c r="C2461">
        <v>2024</v>
      </c>
      <c r="D2461">
        <v>2024</v>
      </c>
      <c r="E2461" s="7">
        <v>45457</v>
      </c>
      <c r="F2461" s="7">
        <v>45821</v>
      </c>
      <c r="G2461" t="s">
        <v>135</v>
      </c>
      <c r="H2461" t="s">
        <v>6334</v>
      </c>
      <c r="I2461" t="s">
        <v>104</v>
      </c>
      <c r="J2461">
        <v>5827.14</v>
      </c>
      <c r="K2461">
        <v>1000000</v>
      </c>
    </row>
    <row r="2462" spans="1:11" ht="15" customHeight="1" x14ac:dyDescent="0.2">
      <c r="A2462" t="s">
        <v>3950</v>
      </c>
      <c r="B2462" t="s">
        <v>8586</v>
      </c>
      <c r="C2462">
        <v>2024</v>
      </c>
      <c r="D2462">
        <v>2024</v>
      </c>
      <c r="E2462" s="7">
        <v>45457</v>
      </c>
      <c r="F2462" s="7">
        <v>45821</v>
      </c>
      <c r="G2462" t="s">
        <v>135</v>
      </c>
      <c r="H2462" t="s">
        <v>102</v>
      </c>
      <c r="I2462" t="s">
        <v>104</v>
      </c>
      <c r="J2462">
        <v>8576.92</v>
      </c>
      <c r="K2462">
        <v>1500000</v>
      </c>
    </row>
    <row r="2463" spans="1:11" ht="15" customHeight="1" x14ac:dyDescent="0.2">
      <c r="A2463" t="s">
        <v>3951</v>
      </c>
      <c r="B2463" t="s">
        <v>8587</v>
      </c>
      <c r="C2463">
        <v>2024</v>
      </c>
      <c r="D2463">
        <v>2024</v>
      </c>
      <c r="E2463" s="7">
        <v>45457</v>
      </c>
      <c r="F2463" s="7">
        <v>45821</v>
      </c>
      <c r="G2463" t="s">
        <v>135</v>
      </c>
      <c r="H2463" t="s">
        <v>106</v>
      </c>
      <c r="I2463" t="s">
        <v>101</v>
      </c>
      <c r="J2463">
        <v>19395.57</v>
      </c>
      <c r="K2463">
        <v>2000000</v>
      </c>
    </row>
    <row r="2464" spans="1:11" ht="15" customHeight="1" x14ac:dyDescent="0.2">
      <c r="A2464" t="s">
        <v>3952</v>
      </c>
      <c r="B2464" t="s">
        <v>6733</v>
      </c>
      <c r="C2464">
        <v>2024</v>
      </c>
      <c r="D2464">
        <v>2024</v>
      </c>
      <c r="E2464" s="7">
        <v>45457</v>
      </c>
      <c r="F2464" s="7">
        <v>45821</v>
      </c>
      <c r="G2464" t="s">
        <v>135</v>
      </c>
      <c r="H2464" t="s">
        <v>102</v>
      </c>
      <c r="I2464" t="s">
        <v>101</v>
      </c>
      <c r="J2464">
        <v>38102.42</v>
      </c>
      <c r="K2464">
        <v>5000000</v>
      </c>
    </row>
    <row r="2465" spans="1:11" ht="15" customHeight="1" x14ac:dyDescent="0.2">
      <c r="A2465" t="s">
        <v>3953</v>
      </c>
      <c r="B2465" t="s">
        <v>6753</v>
      </c>
      <c r="C2465">
        <v>2024</v>
      </c>
      <c r="D2465">
        <v>2024</v>
      </c>
      <c r="E2465" s="7">
        <v>45457</v>
      </c>
      <c r="F2465" s="7">
        <v>45821</v>
      </c>
      <c r="G2465" t="s">
        <v>135</v>
      </c>
      <c r="H2465" t="s">
        <v>109</v>
      </c>
      <c r="I2465" t="s">
        <v>101</v>
      </c>
      <c r="J2465">
        <v>7745.43</v>
      </c>
      <c r="K2465">
        <v>1000000</v>
      </c>
    </row>
    <row r="2466" spans="1:11" ht="15" customHeight="1" x14ac:dyDescent="0.2">
      <c r="A2466" t="s">
        <v>3954</v>
      </c>
      <c r="B2466" t="s">
        <v>6746</v>
      </c>
      <c r="C2466">
        <v>2024</v>
      </c>
      <c r="D2466">
        <v>2024</v>
      </c>
      <c r="E2466" s="7">
        <v>45457</v>
      </c>
      <c r="F2466" s="7">
        <v>45821</v>
      </c>
      <c r="G2466" t="s">
        <v>135</v>
      </c>
      <c r="H2466" t="s">
        <v>102</v>
      </c>
      <c r="I2466" t="s">
        <v>101</v>
      </c>
      <c r="J2466">
        <v>6877.83</v>
      </c>
      <c r="K2466">
        <v>1000000</v>
      </c>
    </row>
    <row r="2467" spans="1:11" ht="15" customHeight="1" x14ac:dyDescent="0.2">
      <c r="A2467" t="s">
        <v>3955</v>
      </c>
      <c r="B2467" t="s">
        <v>8588</v>
      </c>
      <c r="C2467">
        <v>2024</v>
      </c>
      <c r="D2467">
        <v>2024</v>
      </c>
      <c r="E2467" s="7">
        <v>45457</v>
      </c>
      <c r="F2467" s="7">
        <v>45821</v>
      </c>
      <c r="G2467" t="s">
        <v>135</v>
      </c>
      <c r="H2467" t="s">
        <v>107</v>
      </c>
      <c r="I2467" t="s">
        <v>101</v>
      </c>
      <c r="J2467">
        <v>7046.52</v>
      </c>
      <c r="K2467">
        <v>1000000</v>
      </c>
    </row>
    <row r="2468" spans="1:11" ht="15" customHeight="1" x14ac:dyDescent="0.2">
      <c r="A2468" t="s">
        <v>3956</v>
      </c>
      <c r="B2468" t="s">
        <v>8589</v>
      </c>
      <c r="C2468">
        <v>2024</v>
      </c>
      <c r="D2468">
        <v>2024</v>
      </c>
      <c r="E2468" s="7">
        <v>45457</v>
      </c>
      <c r="F2468" s="7">
        <v>45821</v>
      </c>
      <c r="G2468" t="s">
        <v>135</v>
      </c>
      <c r="H2468" t="s">
        <v>102</v>
      </c>
      <c r="I2468" t="s">
        <v>104</v>
      </c>
      <c r="J2468">
        <v>3033.34</v>
      </c>
      <c r="K2468">
        <v>500000</v>
      </c>
    </row>
    <row r="2469" spans="1:11" ht="15" customHeight="1" x14ac:dyDescent="0.2">
      <c r="A2469" t="s">
        <v>3958</v>
      </c>
      <c r="B2469" t="s">
        <v>8590</v>
      </c>
      <c r="C2469">
        <v>2024</v>
      </c>
      <c r="D2469">
        <v>2024</v>
      </c>
      <c r="E2469" s="7">
        <v>45457</v>
      </c>
      <c r="F2469" s="7">
        <v>45821</v>
      </c>
      <c r="G2469" t="s">
        <v>135</v>
      </c>
      <c r="H2469" t="s">
        <v>102</v>
      </c>
      <c r="I2469" t="s">
        <v>101</v>
      </c>
      <c r="J2469">
        <v>6649.41</v>
      </c>
      <c r="K2469">
        <v>1000000</v>
      </c>
    </row>
    <row r="2470" spans="1:11" ht="15" customHeight="1" x14ac:dyDescent="0.2">
      <c r="A2470" t="s">
        <v>3960</v>
      </c>
      <c r="B2470" t="s">
        <v>548</v>
      </c>
      <c r="C2470">
        <v>2024</v>
      </c>
      <c r="D2470">
        <v>2024</v>
      </c>
      <c r="E2470" s="7">
        <v>45457</v>
      </c>
      <c r="F2470" s="7">
        <v>45821</v>
      </c>
      <c r="G2470" t="s">
        <v>135</v>
      </c>
      <c r="H2470" t="s">
        <v>105</v>
      </c>
      <c r="I2470" t="s">
        <v>104</v>
      </c>
      <c r="J2470">
        <v>53795.1</v>
      </c>
      <c r="K2470">
        <v>10000000</v>
      </c>
    </row>
    <row r="2471" spans="1:11" ht="15" customHeight="1" x14ac:dyDescent="0.2">
      <c r="A2471" t="s">
        <v>3962</v>
      </c>
      <c r="B2471" t="s">
        <v>8591</v>
      </c>
      <c r="C2471">
        <v>2024</v>
      </c>
      <c r="D2471">
        <v>2024</v>
      </c>
      <c r="E2471" s="7">
        <v>45457</v>
      </c>
      <c r="F2471" s="7">
        <v>45821</v>
      </c>
      <c r="G2471" t="s">
        <v>135</v>
      </c>
      <c r="H2471" t="s">
        <v>103</v>
      </c>
      <c r="I2471" t="s">
        <v>101</v>
      </c>
      <c r="J2471">
        <v>10024.040000000001</v>
      </c>
      <c r="K2471">
        <v>1500000</v>
      </c>
    </row>
    <row r="2472" spans="1:11" ht="15" customHeight="1" x14ac:dyDescent="0.2">
      <c r="A2472" t="s">
        <v>3964</v>
      </c>
      <c r="B2472" t="s">
        <v>6774</v>
      </c>
      <c r="C2472">
        <v>2024</v>
      </c>
      <c r="D2472">
        <v>2024</v>
      </c>
      <c r="E2472" s="7">
        <v>45457</v>
      </c>
      <c r="F2472" s="7">
        <v>45821</v>
      </c>
      <c r="G2472" t="s">
        <v>135</v>
      </c>
      <c r="H2472" t="s">
        <v>102</v>
      </c>
      <c r="I2472" t="s">
        <v>101</v>
      </c>
      <c r="J2472">
        <v>78289.11</v>
      </c>
      <c r="K2472">
        <v>10000000</v>
      </c>
    </row>
    <row r="2473" spans="1:11" ht="15" customHeight="1" x14ac:dyDescent="0.2">
      <c r="A2473" t="s">
        <v>3966</v>
      </c>
      <c r="B2473" t="s">
        <v>3020</v>
      </c>
      <c r="C2473">
        <v>2024</v>
      </c>
      <c r="D2473">
        <v>2024</v>
      </c>
      <c r="E2473" s="7">
        <v>45458</v>
      </c>
      <c r="F2473" s="7">
        <v>45822</v>
      </c>
      <c r="G2473" t="s">
        <v>99</v>
      </c>
      <c r="H2473" t="s">
        <v>106</v>
      </c>
      <c r="I2473" t="s">
        <v>101</v>
      </c>
      <c r="J2473">
        <v>9498.9500000000007</v>
      </c>
      <c r="K2473">
        <v>1000000</v>
      </c>
    </row>
    <row r="2474" spans="1:11" ht="15" customHeight="1" x14ac:dyDescent="0.2">
      <c r="A2474" t="s">
        <v>3968</v>
      </c>
      <c r="B2474" t="s">
        <v>6736</v>
      </c>
      <c r="C2474">
        <v>2024</v>
      </c>
      <c r="D2474">
        <v>2024</v>
      </c>
      <c r="E2474" s="7">
        <v>45458</v>
      </c>
      <c r="F2474" s="7">
        <v>45822</v>
      </c>
      <c r="G2474" t="s">
        <v>135</v>
      </c>
      <c r="H2474" t="s">
        <v>102</v>
      </c>
      <c r="I2474" t="s">
        <v>101</v>
      </c>
      <c r="J2474">
        <v>7644.08</v>
      </c>
      <c r="K2474">
        <v>1000000</v>
      </c>
    </row>
    <row r="2475" spans="1:11" ht="15" customHeight="1" x14ac:dyDescent="0.2">
      <c r="A2475" t="s">
        <v>3970</v>
      </c>
      <c r="B2475" t="s">
        <v>8592</v>
      </c>
      <c r="C2475">
        <v>2024</v>
      </c>
      <c r="D2475">
        <v>2024</v>
      </c>
      <c r="E2475" s="7">
        <v>45458</v>
      </c>
      <c r="F2475" s="7">
        <v>45822</v>
      </c>
      <c r="G2475" t="s">
        <v>135</v>
      </c>
      <c r="H2475" t="s">
        <v>113</v>
      </c>
      <c r="I2475" t="s">
        <v>101</v>
      </c>
      <c r="J2475">
        <v>13158.92</v>
      </c>
      <c r="K2475">
        <v>2000000</v>
      </c>
    </row>
    <row r="2476" spans="1:11" ht="15" customHeight="1" x14ac:dyDescent="0.2">
      <c r="A2476" t="s">
        <v>3972</v>
      </c>
      <c r="B2476" t="s">
        <v>8593</v>
      </c>
      <c r="C2476">
        <v>2024</v>
      </c>
      <c r="D2476">
        <v>2024</v>
      </c>
      <c r="E2476" s="7">
        <v>45458</v>
      </c>
      <c r="F2476" s="7">
        <v>45822</v>
      </c>
      <c r="G2476" t="s">
        <v>135</v>
      </c>
      <c r="H2476" t="s">
        <v>106</v>
      </c>
      <c r="I2476" t="s">
        <v>101</v>
      </c>
      <c r="J2476">
        <v>8403.2199999999993</v>
      </c>
      <c r="K2476">
        <v>1000000</v>
      </c>
    </row>
    <row r="2477" spans="1:11" ht="15" customHeight="1" x14ac:dyDescent="0.2">
      <c r="A2477" t="s">
        <v>3973</v>
      </c>
      <c r="B2477" t="s">
        <v>6734</v>
      </c>
      <c r="C2477">
        <v>2024</v>
      </c>
      <c r="D2477">
        <v>2024</v>
      </c>
      <c r="E2477" s="7">
        <v>45458</v>
      </c>
      <c r="F2477" s="7">
        <v>45822</v>
      </c>
      <c r="G2477" t="s">
        <v>135</v>
      </c>
      <c r="H2477" t="s">
        <v>110</v>
      </c>
      <c r="I2477" t="s">
        <v>104</v>
      </c>
      <c r="J2477">
        <v>11668.39</v>
      </c>
      <c r="K2477">
        <v>1500000</v>
      </c>
    </row>
    <row r="2478" spans="1:11" ht="15" customHeight="1" x14ac:dyDescent="0.2">
      <c r="A2478" t="s">
        <v>3974</v>
      </c>
      <c r="B2478" t="s">
        <v>8594</v>
      </c>
      <c r="C2478">
        <v>2024</v>
      </c>
      <c r="D2478">
        <v>2024</v>
      </c>
      <c r="E2478" s="7">
        <v>45458</v>
      </c>
      <c r="F2478" s="7">
        <v>45822</v>
      </c>
      <c r="G2478" t="s">
        <v>135</v>
      </c>
      <c r="H2478" t="s">
        <v>102</v>
      </c>
      <c r="I2478" t="s">
        <v>101</v>
      </c>
      <c r="J2478">
        <v>35341.730000000003</v>
      </c>
      <c r="K2478">
        <v>5000000</v>
      </c>
    </row>
    <row r="2479" spans="1:11" ht="15" customHeight="1" x14ac:dyDescent="0.2">
      <c r="A2479" t="s">
        <v>3975</v>
      </c>
      <c r="B2479" t="s">
        <v>8595</v>
      </c>
      <c r="C2479">
        <v>2024</v>
      </c>
      <c r="D2479">
        <v>2024</v>
      </c>
      <c r="E2479" s="7">
        <v>45458</v>
      </c>
      <c r="F2479" s="7">
        <v>45822</v>
      </c>
      <c r="G2479" t="s">
        <v>135</v>
      </c>
      <c r="H2479" t="s">
        <v>102</v>
      </c>
      <c r="I2479" t="s">
        <v>104</v>
      </c>
      <c r="J2479">
        <v>9261.15</v>
      </c>
      <c r="K2479">
        <v>1500000</v>
      </c>
    </row>
    <row r="2480" spans="1:11" ht="15" customHeight="1" x14ac:dyDescent="0.2">
      <c r="A2480" t="s">
        <v>3976</v>
      </c>
      <c r="B2480" t="s">
        <v>6731</v>
      </c>
      <c r="C2480">
        <v>2024</v>
      </c>
      <c r="D2480">
        <v>2024</v>
      </c>
      <c r="E2480" s="7">
        <v>45458</v>
      </c>
      <c r="F2480" s="7">
        <v>45822</v>
      </c>
      <c r="G2480" t="s">
        <v>135</v>
      </c>
      <c r="H2480" t="s">
        <v>108</v>
      </c>
      <c r="I2480" t="s">
        <v>104</v>
      </c>
      <c r="J2480">
        <v>3416.52</v>
      </c>
      <c r="K2480">
        <v>500000</v>
      </c>
    </row>
    <row r="2481" spans="1:11" ht="15" customHeight="1" x14ac:dyDescent="0.2">
      <c r="A2481" t="s">
        <v>3977</v>
      </c>
      <c r="B2481" t="s">
        <v>8596</v>
      </c>
      <c r="C2481">
        <v>2024</v>
      </c>
      <c r="D2481">
        <v>2024</v>
      </c>
      <c r="E2481" s="7">
        <v>45458</v>
      </c>
      <c r="F2481" s="7">
        <v>45822</v>
      </c>
      <c r="G2481" t="s">
        <v>135</v>
      </c>
      <c r="H2481" t="s">
        <v>107</v>
      </c>
      <c r="I2481" t="s">
        <v>101</v>
      </c>
      <c r="J2481">
        <v>6700.77</v>
      </c>
      <c r="K2481">
        <v>1000000</v>
      </c>
    </row>
    <row r="2482" spans="1:11" ht="15" customHeight="1" x14ac:dyDescent="0.2">
      <c r="A2482" t="s">
        <v>3978</v>
      </c>
      <c r="B2482" t="s">
        <v>898</v>
      </c>
      <c r="C2482">
        <v>2024</v>
      </c>
      <c r="D2482">
        <v>2024</v>
      </c>
      <c r="E2482" s="7">
        <v>45458</v>
      </c>
      <c r="F2482" s="7">
        <v>45822</v>
      </c>
      <c r="G2482" t="s">
        <v>135</v>
      </c>
      <c r="H2482" t="s">
        <v>106</v>
      </c>
      <c r="I2482" t="s">
        <v>101</v>
      </c>
      <c r="J2482">
        <v>13351.76</v>
      </c>
      <c r="K2482">
        <v>1500000</v>
      </c>
    </row>
    <row r="2483" spans="1:11" ht="15" customHeight="1" x14ac:dyDescent="0.2">
      <c r="A2483" t="s">
        <v>3979</v>
      </c>
      <c r="B2483" t="s">
        <v>3022</v>
      </c>
      <c r="C2483">
        <v>2024</v>
      </c>
      <c r="D2483">
        <v>2024</v>
      </c>
      <c r="E2483" s="7">
        <v>45459</v>
      </c>
      <c r="F2483" s="7">
        <v>45823</v>
      </c>
      <c r="G2483" t="s">
        <v>99</v>
      </c>
      <c r="H2483" t="s">
        <v>109</v>
      </c>
      <c r="I2483" t="s">
        <v>101</v>
      </c>
      <c r="J2483">
        <v>13736.27</v>
      </c>
      <c r="K2483">
        <v>2000000</v>
      </c>
    </row>
    <row r="2484" spans="1:11" ht="15" customHeight="1" x14ac:dyDescent="0.2">
      <c r="A2484" t="s">
        <v>3980</v>
      </c>
      <c r="B2484" t="s">
        <v>3024</v>
      </c>
      <c r="C2484">
        <v>2024</v>
      </c>
      <c r="D2484">
        <v>2024</v>
      </c>
      <c r="E2484" s="7">
        <v>45459</v>
      </c>
      <c r="F2484" s="7">
        <v>45823</v>
      </c>
      <c r="G2484" t="s">
        <v>99</v>
      </c>
      <c r="H2484" t="s">
        <v>106</v>
      </c>
      <c r="I2484" t="s">
        <v>104</v>
      </c>
      <c r="J2484">
        <v>7682.23</v>
      </c>
      <c r="K2484">
        <v>1000000</v>
      </c>
    </row>
    <row r="2485" spans="1:11" ht="15" customHeight="1" x14ac:dyDescent="0.2">
      <c r="A2485" t="s">
        <v>3981</v>
      </c>
      <c r="B2485" t="s">
        <v>3029</v>
      </c>
      <c r="C2485">
        <v>2024</v>
      </c>
      <c r="D2485">
        <v>2024</v>
      </c>
      <c r="E2485" s="7">
        <v>45459</v>
      </c>
      <c r="F2485" s="7">
        <v>45823</v>
      </c>
      <c r="G2485" t="s">
        <v>99</v>
      </c>
      <c r="H2485" t="s">
        <v>106</v>
      </c>
      <c r="I2485" t="s">
        <v>104</v>
      </c>
      <c r="J2485">
        <v>7439.49</v>
      </c>
      <c r="K2485">
        <v>1000000</v>
      </c>
    </row>
    <row r="2486" spans="1:11" ht="15" customHeight="1" x14ac:dyDescent="0.2">
      <c r="A2486" t="s">
        <v>3982</v>
      </c>
      <c r="B2486" t="s">
        <v>3031</v>
      </c>
      <c r="C2486">
        <v>2024</v>
      </c>
      <c r="D2486">
        <v>2024</v>
      </c>
      <c r="E2486" s="7">
        <v>45459</v>
      </c>
      <c r="F2486" s="7">
        <v>45823</v>
      </c>
      <c r="G2486" t="s">
        <v>99</v>
      </c>
      <c r="H2486" t="s">
        <v>115</v>
      </c>
      <c r="I2486" t="s">
        <v>101</v>
      </c>
      <c r="J2486">
        <v>7250.47</v>
      </c>
      <c r="K2486">
        <v>1000000</v>
      </c>
    </row>
    <row r="2487" spans="1:11" ht="15" customHeight="1" x14ac:dyDescent="0.2">
      <c r="A2487" t="s">
        <v>3983</v>
      </c>
      <c r="B2487" t="s">
        <v>3041</v>
      </c>
      <c r="C2487">
        <v>2024</v>
      </c>
      <c r="D2487">
        <v>2024</v>
      </c>
      <c r="E2487" s="7">
        <v>45459</v>
      </c>
      <c r="F2487" s="7">
        <v>45823</v>
      </c>
      <c r="G2487" t="s">
        <v>99</v>
      </c>
      <c r="H2487" t="s">
        <v>110</v>
      </c>
      <c r="I2487" t="s">
        <v>101</v>
      </c>
      <c r="J2487">
        <v>9414.4</v>
      </c>
      <c r="K2487">
        <v>1000000</v>
      </c>
    </row>
    <row r="2488" spans="1:11" ht="15" customHeight="1" x14ac:dyDescent="0.2">
      <c r="A2488" t="s">
        <v>3985</v>
      </c>
      <c r="B2488" t="s">
        <v>3043</v>
      </c>
      <c r="C2488">
        <v>2024</v>
      </c>
      <c r="D2488">
        <v>2024</v>
      </c>
      <c r="E2488" s="7">
        <v>45459</v>
      </c>
      <c r="F2488" s="7">
        <v>45823</v>
      </c>
      <c r="G2488" t="s">
        <v>99</v>
      </c>
      <c r="H2488" t="s">
        <v>102</v>
      </c>
      <c r="I2488" t="s">
        <v>104</v>
      </c>
      <c r="J2488">
        <v>10929.3</v>
      </c>
      <c r="K2488">
        <v>2000000</v>
      </c>
    </row>
    <row r="2489" spans="1:11" ht="15" customHeight="1" x14ac:dyDescent="0.2">
      <c r="A2489" t="s">
        <v>3987</v>
      </c>
      <c r="B2489" t="s">
        <v>3045</v>
      </c>
      <c r="C2489">
        <v>2024</v>
      </c>
      <c r="D2489">
        <v>2024</v>
      </c>
      <c r="E2489" s="7">
        <v>45459</v>
      </c>
      <c r="F2489" s="7">
        <v>45823</v>
      </c>
      <c r="G2489" t="s">
        <v>99</v>
      </c>
      <c r="H2489" t="s">
        <v>116</v>
      </c>
      <c r="I2489" t="s">
        <v>101</v>
      </c>
      <c r="J2489">
        <v>9974.91</v>
      </c>
      <c r="K2489">
        <v>1500000</v>
      </c>
    </row>
    <row r="2490" spans="1:11" ht="15" customHeight="1" x14ac:dyDescent="0.2">
      <c r="A2490" t="s">
        <v>3989</v>
      </c>
      <c r="B2490" t="s">
        <v>3054</v>
      </c>
      <c r="C2490">
        <v>2024</v>
      </c>
      <c r="D2490">
        <v>2024</v>
      </c>
      <c r="E2490" s="7">
        <v>45459</v>
      </c>
      <c r="F2490" s="7">
        <v>45823</v>
      </c>
      <c r="G2490" t="s">
        <v>99</v>
      </c>
      <c r="H2490" t="s">
        <v>106</v>
      </c>
      <c r="I2490" t="s">
        <v>101</v>
      </c>
      <c r="J2490">
        <v>12121.75</v>
      </c>
      <c r="K2490">
        <v>1500000</v>
      </c>
    </row>
    <row r="2491" spans="1:11" ht="15" customHeight="1" x14ac:dyDescent="0.2">
      <c r="A2491" t="s">
        <v>3991</v>
      </c>
      <c r="B2491" t="s">
        <v>549</v>
      </c>
      <c r="C2491">
        <v>2024</v>
      </c>
      <c r="D2491">
        <v>2024</v>
      </c>
      <c r="E2491" s="7">
        <v>45459</v>
      </c>
      <c r="F2491" s="7">
        <v>45823</v>
      </c>
      <c r="G2491" t="s">
        <v>135</v>
      </c>
      <c r="H2491" t="s">
        <v>107</v>
      </c>
      <c r="I2491" t="s">
        <v>104</v>
      </c>
      <c r="J2491">
        <v>7754.07</v>
      </c>
      <c r="K2491">
        <v>1500000</v>
      </c>
    </row>
    <row r="2492" spans="1:11" ht="15" customHeight="1" x14ac:dyDescent="0.2">
      <c r="A2492" t="s">
        <v>3993</v>
      </c>
      <c r="B2492" t="s">
        <v>901</v>
      </c>
      <c r="C2492">
        <v>2024</v>
      </c>
      <c r="D2492">
        <v>2024</v>
      </c>
      <c r="E2492" s="7">
        <v>45459</v>
      </c>
      <c r="F2492" s="7">
        <v>45823</v>
      </c>
      <c r="G2492" t="s">
        <v>135</v>
      </c>
      <c r="H2492" t="s">
        <v>107</v>
      </c>
      <c r="I2492" t="s">
        <v>104</v>
      </c>
      <c r="J2492">
        <v>5965.24</v>
      </c>
      <c r="K2492">
        <v>1000000</v>
      </c>
    </row>
    <row r="2493" spans="1:11" ht="15" customHeight="1" x14ac:dyDescent="0.2">
      <c r="A2493" t="s">
        <v>3995</v>
      </c>
      <c r="B2493" t="s">
        <v>899</v>
      </c>
      <c r="C2493">
        <v>2024</v>
      </c>
      <c r="D2493">
        <v>2024</v>
      </c>
      <c r="E2493" s="7">
        <v>45459</v>
      </c>
      <c r="F2493" s="7">
        <v>45823</v>
      </c>
      <c r="G2493" t="s">
        <v>135</v>
      </c>
      <c r="H2493" t="s">
        <v>6332</v>
      </c>
      <c r="I2493" t="s">
        <v>101</v>
      </c>
      <c r="J2493">
        <v>7850.48</v>
      </c>
      <c r="K2493">
        <v>1000000</v>
      </c>
    </row>
    <row r="2494" spans="1:11" ht="15" customHeight="1" x14ac:dyDescent="0.2">
      <c r="A2494" t="s">
        <v>3997</v>
      </c>
      <c r="B2494" t="s">
        <v>6732</v>
      </c>
      <c r="C2494">
        <v>2024</v>
      </c>
      <c r="D2494">
        <v>2024</v>
      </c>
      <c r="E2494" s="7">
        <v>45459</v>
      </c>
      <c r="F2494" s="7">
        <v>45823</v>
      </c>
      <c r="G2494" t="s">
        <v>135</v>
      </c>
      <c r="H2494" t="s">
        <v>114</v>
      </c>
      <c r="I2494" t="s">
        <v>101</v>
      </c>
      <c r="J2494">
        <v>11602.11</v>
      </c>
      <c r="K2494">
        <v>1500000</v>
      </c>
    </row>
    <row r="2495" spans="1:11" ht="15" customHeight="1" x14ac:dyDescent="0.2">
      <c r="A2495" t="s">
        <v>3998</v>
      </c>
      <c r="B2495" t="s">
        <v>8597</v>
      </c>
      <c r="C2495">
        <v>2024</v>
      </c>
      <c r="D2495">
        <v>2024</v>
      </c>
      <c r="E2495" s="7">
        <v>45459</v>
      </c>
      <c r="F2495" s="7">
        <v>45823</v>
      </c>
      <c r="G2495" t="s">
        <v>135</v>
      </c>
      <c r="H2495" t="s">
        <v>106</v>
      </c>
      <c r="I2495" t="s">
        <v>101</v>
      </c>
      <c r="J2495">
        <v>19713.740000000002</v>
      </c>
      <c r="K2495">
        <v>2000000</v>
      </c>
    </row>
    <row r="2496" spans="1:11" ht="15" customHeight="1" x14ac:dyDescent="0.2">
      <c r="A2496" t="s">
        <v>3999</v>
      </c>
      <c r="B2496" t="s">
        <v>6861</v>
      </c>
      <c r="C2496">
        <v>2024</v>
      </c>
      <c r="D2496">
        <v>2024</v>
      </c>
      <c r="E2496" s="7">
        <v>45459</v>
      </c>
      <c r="F2496" s="7">
        <v>45823</v>
      </c>
      <c r="G2496" t="s">
        <v>135</v>
      </c>
      <c r="H2496" t="s">
        <v>114</v>
      </c>
      <c r="I2496" t="s">
        <v>104</v>
      </c>
      <c r="J2496">
        <v>3085.37</v>
      </c>
      <c r="K2496">
        <v>500000</v>
      </c>
    </row>
    <row r="2497" spans="1:11" ht="15" customHeight="1" x14ac:dyDescent="0.2">
      <c r="A2497" t="s">
        <v>4000</v>
      </c>
      <c r="B2497" t="s">
        <v>160</v>
      </c>
      <c r="C2497">
        <v>2024</v>
      </c>
      <c r="D2497">
        <v>2024</v>
      </c>
      <c r="E2497" s="7">
        <v>45459</v>
      </c>
      <c r="F2497" s="7">
        <v>45823</v>
      </c>
      <c r="G2497" t="s">
        <v>135</v>
      </c>
      <c r="H2497" t="s">
        <v>107</v>
      </c>
      <c r="I2497" t="s">
        <v>104</v>
      </c>
      <c r="J2497">
        <v>8503.14</v>
      </c>
      <c r="K2497">
        <v>1500000</v>
      </c>
    </row>
    <row r="2498" spans="1:11" ht="15" customHeight="1" x14ac:dyDescent="0.2">
      <c r="A2498" t="s">
        <v>4001</v>
      </c>
      <c r="B2498" t="s">
        <v>8598</v>
      </c>
      <c r="C2498">
        <v>2024</v>
      </c>
      <c r="D2498">
        <v>2024</v>
      </c>
      <c r="E2498" s="7">
        <v>45459</v>
      </c>
      <c r="F2498" s="7">
        <v>45823</v>
      </c>
      <c r="G2498" t="s">
        <v>135</v>
      </c>
      <c r="H2498" t="s">
        <v>113</v>
      </c>
      <c r="I2498" t="s">
        <v>101</v>
      </c>
      <c r="J2498">
        <v>7609.52</v>
      </c>
      <c r="K2498">
        <v>1000000</v>
      </c>
    </row>
    <row r="2499" spans="1:11" ht="15" customHeight="1" x14ac:dyDescent="0.2">
      <c r="A2499" t="s">
        <v>4002</v>
      </c>
      <c r="B2499" t="s">
        <v>8599</v>
      </c>
      <c r="C2499">
        <v>2024</v>
      </c>
      <c r="D2499">
        <v>2024</v>
      </c>
      <c r="E2499" s="7">
        <v>45459</v>
      </c>
      <c r="F2499" s="7">
        <v>45823</v>
      </c>
      <c r="G2499" t="s">
        <v>135</v>
      </c>
      <c r="H2499" t="s">
        <v>114</v>
      </c>
      <c r="I2499" t="s">
        <v>104</v>
      </c>
      <c r="J2499">
        <v>55549.37</v>
      </c>
      <c r="K2499">
        <v>10000000</v>
      </c>
    </row>
    <row r="2500" spans="1:11" ht="15" customHeight="1" x14ac:dyDescent="0.2">
      <c r="A2500" t="s">
        <v>4003</v>
      </c>
      <c r="B2500" t="s">
        <v>335</v>
      </c>
      <c r="C2500">
        <v>2024</v>
      </c>
      <c r="D2500">
        <v>2024</v>
      </c>
      <c r="E2500" s="7">
        <v>45459</v>
      </c>
      <c r="F2500" s="7">
        <v>45823</v>
      </c>
      <c r="G2500" t="s">
        <v>135</v>
      </c>
      <c r="H2500" t="s">
        <v>110</v>
      </c>
      <c r="I2500" t="s">
        <v>104</v>
      </c>
      <c r="J2500">
        <v>6808.04</v>
      </c>
      <c r="K2500">
        <v>1000000</v>
      </c>
    </row>
    <row r="2501" spans="1:11" ht="15" customHeight="1" x14ac:dyDescent="0.2">
      <c r="A2501" t="s">
        <v>4004</v>
      </c>
      <c r="B2501" t="s">
        <v>900</v>
      </c>
      <c r="C2501">
        <v>2024</v>
      </c>
      <c r="D2501">
        <v>2024</v>
      </c>
      <c r="E2501" s="7">
        <v>45459</v>
      </c>
      <c r="F2501" s="7">
        <v>45823</v>
      </c>
      <c r="G2501" t="s">
        <v>135</v>
      </c>
      <c r="H2501" t="s">
        <v>102</v>
      </c>
      <c r="I2501" t="s">
        <v>101</v>
      </c>
      <c r="J2501">
        <v>15130.62</v>
      </c>
      <c r="K2501">
        <v>2000000</v>
      </c>
    </row>
    <row r="2502" spans="1:11" ht="15" customHeight="1" x14ac:dyDescent="0.2">
      <c r="A2502" t="s">
        <v>4005</v>
      </c>
      <c r="B2502" t="s">
        <v>3056</v>
      </c>
      <c r="C2502">
        <v>2024</v>
      </c>
      <c r="D2502">
        <v>2024</v>
      </c>
      <c r="E2502" s="7">
        <v>45460</v>
      </c>
      <c r="F2502" s="7">
        <v>45824</v>
      </c>
      <c r="G2502" t="s">
        <v>99</v>
      </c>
      <c r="H2502" t="s">
        <v>114</v>
      </c>
      <c r="I2502" t="s">
        <v>101</v>
      </c>
      <c r="J2502">
        <v>78245.02</v>
      </c>
      <c r="K2502">
        <v>10000000</v>
      </c>
    </row>
    <row r="2503" spans="1:11" ht="15" customHeight="1" x14ac:dyDescent="0.2">
      <c r="A2503" t="s">
        <v>4006</v>
      </c>
      <c r="B2503" t="s">
        <v>8600</v>
      </c>
      <c r="C2503">
        <v>2024</v>
      </c>
      <c r="D2503">
        <v>2024</v>
      </c>
      <c r="E2503" s="7">
        <v>45460</v>
      </c>
      <c r="F2503" s="7">
        <v>45824</v>
      </c>
      <c r="G2503" t="s">
        <v>135</v>
      </c>
      <c r="H2503" t="s">
        <v>107</v>
      </c>
      <c r="I2503" t="s">
        <v>101</v>
      </c>
      <c r="J2503">
        <v>3435.01</v>
      </c>
      <c r="K2503">
        <v>500000</v>
      </c>
    </row>
    <row r="2504" spans="1:11" ht="15" customHeight="1" x14ac:dyDescent="0.2">
      <c r="A2504" t="s">
        <v>4007</v>
      </c>
      <c r="B2504" t="s">
        <v>161</v>
      </c>
      <c r="C2504">
        <v>2024</v>
      </c>
      <c r="D2504">
        <v>2024</v>
      </c>
      <c r="E2504" s="7">
        <v>45460</v>
      </c>
      <c r="F2504" s="7">
        <v>45824</v>
      </c>
      <c r="G2504" t="s">
        <v>135</v>
      </c>
      <c r="H2504" t="s">
        <v>6337</v>
      </c>
      <c r="I2504" t="s">
        <v>101</v>
      </c>
      <c r="J2504">
        <v>3928.84</v>
      </c>
      <c r="K2504">
        <v>500000</v>
      </c>
    </row>
    <row r="2505" spans="1:11" ht="15" customHeight="1" x14ac:dyDescent="0.2">
      <c r="A2505" t="s">
        <v>4008</v>
      </c>
      <c r="B2505" t="s">
        <v>903</v>
      </c>
      <c r="C2505">
        <v>2024</v>
      </c>
      <c r="D2505">
        <v>2024</v>
      </c>
      <c r="E2505" s="7">
        <v>45460</v>
      </c>
      <c r="F2505" s="7">
        <v>45824</v>
      </c>
      <c r="G2505" t="s">
        <v>135</v>
      </c>
      <c r="H2505" t="s">
        <v>109</v>
      </c>
      <c r="I2505" t="s">
        <v>101</v>
      </c>
      <c r="J2505">
        <v>10091.700000000001</v>
      </c>
      <c r="K2505">
        <v>1500000</v>
      </c>
    </row>
    <row r="2506" spans="1:11" ht="15" customHeight="1" x14ac:dyDescent="0.2">
      <c r="A2506" t="s">
        <v>4009</v>
      </c>
      <c r="B2506" t="s">
        <v>6742</v>
      </c>
      <c r="C2506">
        <v>2024</v>
      </c>
      <c r="D2506">
        <v>2024</v>
      </c>
      <c r="E2506" s="7">
        <v>45460</v>
      </c>
      <c r="F2506" s="7">
        <v>45824</v>
      </c>
      <c r="G2506" t="s">
        <v>135</v>
      </c>
      <c r="H2506" t="s">
        <v>116</v>
      </c>
      <c r="I2506" t="s">
        <v>101</v>
      </c>
      <c r="J2506">
        <v>74770.67</v>
      </c>
      <c r="K2506">
        <v>10000000</v>
      </c>
    </row>
    <row r="2507" spans="1:11" ht="15" customHeight="1" x14ac:dyDescent="0.2">
      <c r="A2507" t="s">
        <v>4011</v>
      </c>
      <c r="B2507" t="s">
        <v>8601</v>
      </c>
      <c r="C2507">
        <v>2024</v>
      </c>
      <c r="D2507">
        <v>2024</v>
      </c>
      <c r="E2507" s="7">
        <v>45460</v>
      </c>
      <c r="F2507" s="7">
        <v>45824</v>
      </c>
      <c r="G2507" t="s">
        <v>135</v>
      </c>
      <c r="H2507" t="s">
        <v>102</v>
      </c>
      <c r="I2507" t="s">
        <v>104</v>
      </c>
      <c r="J2507">
        <v>7824.66</v>
      </c>
      <c r="K2507">
        <v>1500000</v>
      </c>
    </row>
    <row r="2508" spans="1:11" ht="15" customHeight="1" x14ac:dyDescent="0.2">
      <c r="A2508" t="s">
        <v>4013</v>
      </c>
      <c r="B2508" t="s">
        <v>6755</v>
      </c>
      <c r="C2508">
        <v>2024</v>
      </c>
      <c r="D2508">
        <v>2024</v>
      </c>
      <c r="E2508" s="7">
        <v>45460</v>
      </c>
      <c r="F2508" s="7">
        <v>45824</v>
      </c>
      <c r="G2508" t="s">
        <v>135</v>
      </c>
      <c r="H2508" t="s">
        <v>114</v>
      </c>
      <c r="I2508" t="s">
        <v>101</v>
      </c>
      <c r="J2508">
        <v>11000.34</v>
      </c>
      <c r="K2508">
        <v>1500000</v>
      </c>
    </row>
    <row r="2509" spans="1:11" ht="15" customHeight="1" x14ac:dyDescent="0.2">
      <c r="A2509" t="s">
        <v>4014</v>
      </c>
      <c r="B2509" t="s">
        <v>336</v>
      </c>
      <c r="C2509">
        <v>2024</v>
      </c>
      <c r="D2509">
        <v>2024</v>
      </c>
      <c r="E2509" s="7">
        <v>45460</v>
      </c>
      <c r="F2509" s="7">
        <v>45824</v>
      </c>
      <c r="G2509" t="s">
        <v>135</v>
      </c>
      <c r="H2509" t="s">
        <v>6337</v>
      </c>
      <c r="I2509" t="s">
        <v>101</v>
      </c>
      <c r="J2509">
        <v>11751.9</v>
      </c>
      <c r="K2509">
        <v>1500000</v>
      </c>
    </row>
    <row r="2510" spans="1:11" ht="15" customHeight="1" x14ac:dyDescent="0.2">
      <c r="A2510" t="s">
        <v>4015</v>
      </c>
      <c r="B2510" t="s">
        <v>6741</v>
      </c>
      <c r="C2510">
        <v>2024</v>
      </c>
      <c r="D2510">
        <v>2024</v>
      </c>
      <c r="E2510" s="7">
        <v>45460</v>
      </c>
      <c r="F2510" s="7">
        <v>45824</v>
      </c>
      <c r="G2510" t="s">
        <v>135</v>
      </c>
      <c r="H2510" t="s">
        <v>102</v>
      </c>
      <c r="I2510" t="s">
        <v>101</v>
      </c>
      <c r="J2510">
        <v>10157.11</v>
      </c>
      <c r="K2510">
        <v>1500000</v>
      </c>
    </row>
    <row r="2511" spans="1:11" ht="15" customHeight="1" x14ac:dyDescent="0.2">
      <c r="A2511" t="s">
        <v>4016</v>
      </c>
      <c r="B2511" t="s">
        <v>337</v>
      </c>
      <c r="C2511">
        <v>2024</v>
      </c>
      <c r="D2511">
        <v>2024</v>
      </c>
      <c r="E2511" s="7">
        <v>45460</v>
      </c>
      <c r="F2511" s="7">
        <v>45824</v>
      </c>
      <c r="G2511" t="s">
        <v>135</v>
      </c>
      <c r="H2511" t="s">
        <v>113</v>
      </c>
      <c r="I2511" t="s">
        <v>104</v>
      </c>
      <c r="J2511">
        <v>12499.26</v>
      </c>
      <c r="K2511">
        <v>2000000</v>
      </c>
    </row>
    <row r="2512" spans="1:11" ht="15" customHeight="1" x14ac:dyDescent="0.2">
      <c r="A2512" t="s">
        <v>4017</v>
      </c>
      <c r="B2512" t="s">
        <v>8602</v>
      </c>
      <c r="C2512">
        <v>2024</v>
      </c>
      <c r="D2512">
        <v>2024</v>
      </c>
      <c r="E2512" s="7">
        <v>45460</v>
      </c>
      <c r="F2512" s="7">
        <v>45824</v>
      </c>
      <c r="G2512" t="s">
        <v>135</v>
      </c>
      <c r="H2512" t="s">
        <v>102</v>
      </c>
      <c r="I2512" t="s">
        <v>101</v>
      </c>
      <c r="J2512">
        <v>7140.14</v>
      </c>
      <c r="K2512">
        <v>1000000</v>
      </c>
    </row>
    <row r="2513" spans="1:11" ht="15" customHeight="1" x14ac:dyDescent="0.2">
      <c r="A2513" t="s">
        <v>4018</v>
      </c>
      <c r="B2513" t="s">
        <v>902</v>
      </c>
      <c r="C2513">
        <v>2024</v>
      </c>
      <c r="D2513">
        <v>2024</v>
      </c>
      <c r="E2513" s="7">
        <v>45460</v>
      </c>
      <c r="F2513" s="7">
        <v>45824</v>
      </c>
      <c r="G2513" t="s">
        <v>135</v>
      </c>
      <c r="H2513" t="s">
        <v>106</v>
      </c>
      <c r="I2513" t="s">
        <v>104</v>
      </c>
      <c r="J2513">
        <v>10370.98</v>
      </c>
      <c r="K2513">
        <v>1500000</v>
      </c>
    </row>
    <row r="2514" spans="1:11" ht="15" customHeight="1" x14ac:dyDescent="0.2">
      <c r="A2514" t="s">
        <v>4019</v>
      </c>
      <c r="B2514" t="s">
        <v>8603</v>
      </c>
      <c r="C2514">
        <v>2024</v>
      </c>
      <c r="D2514">
        <v>2024</v>
      </c>
      <c r="E2514" s="7">
        <v>45460</v>
      </c>
      <c r="F2514" s="7">
        <v>45824</v>
      </c>
      <c r="G2514" t="s">
        <v>135</v>
      </c>
      <c r="H2514" t="s">
        <v>102</v>
      </c>
      <c r="I2514" t="s">
        <v>101</v>
      </c>
      <c r="J2514">
        <v>7324.29</v>
      </c>
      <c r="K2514">
        <v>1000000</v>
      </c>
    </row>
    <row r="2515" spans="1:11" ht="15" customHeight="1" x14ac:dyDescent="0.2">
      <c r="A2515" t="s">
        <v>4020</v>
      </c>
      <c r="B2515" t="s">
        <v>8604</v>
      </c>
      <c r="C2515">
        <v>2024</v>
      </c>
      <c r="D2515">
        <v>2024</v>
      </c>
      <c r="E2515" s="7">
        <v>45460</v>
      </c>
      <c r="F2515" s="7">
        <v>45824</v>
      </c>
      <c r="G2515" t="s">
        <v>135</v>
      </c>
      <c r="H2515" t="s">
        <v>106</v>
      </c>
      <c r="I2515" t="s">
        <v>104</v>
      </c>
      <c r="J2515">
        <v>14209.31</v>
      </c>
      <c r="K2515">
        <v>2000000</v>
      </c>
    </row>
    <row r="2516" spans="1:11" ht="15" customHeight="1" x14ac:dyDescent="0.2">
      <c r="A2516" t="s">
        <v>4022</v>
      </c>
      <c r="B2516" t="s">
        <v>8605</v>
      </c>
      <c r="C2516">
        <v>2024</v>
      </c>
      <c r="D2516">
        <v>2024</v>
      </c>
      <c r="E2516" s="7">
        <v>45460</v>
      </c>
      <c r="F2516" s="7">
        <v>45824</v>
      </c>
      <c r="G2516" t="s">
        <v>135</v>
      </c>
      <c r="H2516" t="s">
        <v>102</v>
      </c>
      <c r="I2516" t="s">
        <v>104</v>
      </c>
      <c r="J2516">
        <v>9294.39</v>
      </c>
      <c r="K2516">
        <v>1500000</v>
      </c>
    </row>
    <row r="2517" spans="1:11" ht="15" customHeight="1" x14ac:dyDescent="0.2">
      <c r="A2517" t="s">
        <v>4024</v>
      </c>
      <c r="B2517" t="s">
        <v>6735</v>
      </c>
      <c r="C2517">
        <v>2024</v>
      </c>
      <c r="D2517">
        <v>2024</v>
      </c>
      <c r="E2517" s="7">
        <v>45460</v>
      </c>
      <c r="F2517" s="7">
        <v>45824</v>
      </c>
      <c r="G2517" t="s">
        <v>135</v>
      </c>
      <c r="H2517" t="s">
        <v>102</v>
      </c>
      <c r="I2517" t="s">
        <v>101</v>
      </c>
      <c r="J2517">
        <v>13373.46</v>
      </c>
      <c r="K2517">
        <v>2000000</v>
      </c>
    </row>
    <row r="2518" spans="1:11" ht="15" customHeight="1" x14ac:dyDescent="0.2">
      <c r="A2518" t="s">
        <v>4025</v>
      </c>
      <c r="B2518" t="s">
        <v>3072</v>
      </c>
      <c r="C2518">
        <v>2024</v>
      </c>
      <c r="D2518">
        <v>2024</v>
      </c>
      <c r="E2518" s="7">
        <v>45461</v>
      </c>
      <c r="F2518" s="7">
        <v>45825</v>
      </c>
      <c r="G2518" t="s">
        <v>99</v>
      </c>
      <c r="H2518" t="s">
        <v>106</v>
      </c>
      <c r="I2518" t="s">
        <v>104</v>
      </c>
      <c r="J2518">
        <v>15201.22</v>
      </c>
      <c r="K2518">
        <v>2000000</v>
      </c>
    </row>
    <row r="2519" spans="1:11" ht="15" customHeight="1" x14ac:dyDescent="0.2">
      <c r="A2519" t="s">
        <v>4026</v>
      </c>
      <c r="B2519" t="s">
        <v>3074</v>
      </c>
      <c r="C2519">
        <v>2024</v>
      </c>
      <c r="D2519">
        <v>2024</v>
      </c>
      <c r="E2519" s="7">
        <v>45461</v>
      </c>
      <c r="F2519" s="7">
        <v>45825</v>
      </c>
      <c r="G2519" t="s">
        <v>99</v>
      </c>
      <c r="H2519" t="s">
        <v>109</v>
      </c>
      <c r="I2519" t="s">
        <v>104</v>
      </c>
      <c r="J2519">
        <v>2845.65</v>
      </c>
      <c r="K2519">
        <v>500000</v>
      </c>
    </row>
    <row r="2520" spans="1:11" ht="15" customHeight="1" x14ac:dyDescent="0.2">
      <c r="A2520" t="s">
        <v>4027</v>
      </c>
      <c r="B2520" t="s">
        <v>3076</v>
      </c>
      <c r="C2520">
        <v>2024</v>
      </c>
      <c r="D2520">
        <v>2024</v>
      </c>
      <c r="E2520" s="7">
        <v>45461</v>
      </c>
      <c r="F2520" s="7">
        <v>45825</v>
      </c>
      <c r="G2520" t="s">
        <v>99</v>
      </c>
      <c r="H2520" t="s">
        <v>116</v>
      </c>
      <c r="I2520" t="s">
        <v>104</v>
      </c>
      <c r="J2520">
        <v>56637.27</v>
      </c>
      <c r="K2520">
        <v>10000000</v>
      </c>
    </row>
    <row r="2521" spans="1:11" ht="15" customHeight="1" x14ac:dyDescent="0.2">
      <c r="A2521" t="s">
        <v>4028</v>
      </c>
      <c r="B2521" t="s">
        <v>6790</v>
      </c>
      <c r="C2521">
        <v>2024</v>
      </c>
      <c r="D2521">
        <v>2024</v>
      </c>
      <c r="E2521" s="7">
        <v>45461</v>
      </c>
      <c r="F2521" s="7">
        <v>45825</v>
      </c>
      <c r="G2521" t="s">
        <v>135</v>
      </c>
      <c r="H2521" t="s">
        <v>6334</v>
      </c>
      <c r="I2521" t="s">
        <v>101</v>
      </c>
      <c r="J2521">
        <v>14204.91</v>
      </c>
      <c r="K2521">
        <v>2000000</v>
      </c>
    </row>
    <row r="2522" spans="1:11" ht="15" customHeight="1" x14ac:dyDescent="0.2">
      <c r="A2522" t="s">
        <v>4029</v>
      </c>
      <c r="B2522" t="s">
        <v>906</v>
      </c>
      <c r="C2522">
        <v>2024</v>
      </c>
      <c r="D2522">
        <v>2024</v>
      </c>
      <c r="E2522" s="7">
        <v>45461</v>
      </c>
      <c r="F2522" s="7">
        <v>45825</v>
      </c>
      <c r="G2522" t="s">
        <v>135</v>
      </c>
      <c r="H2522" t="s">
        <v>102</v>
      </c>
      <c r="I2522" t="s">
        <v>101</v>
      </c>
      <c r="J2522">
        <v>14563.3</v>
      </c>
      <c r="K2522">
        <v>2000000</v>
      </c>
    </row>
    <row r="2523" spans="1:11" ht="15" customHeight="1" x14ac:dyDescent="0.2">
      <c r="A2523" t="s">
        <v>4030</v>
      </c>
      <c r="B2523" t="s">
        <v>8606</v>
      </c>
      <c r="C2523">
        <v>2024</v>
      </c>
      <c r="D2523">
        <v>2024</v>
      </c>
      <c r="E2523" s="7">
        <v>45461</v>
      </c>
      <c r="F2523" s="7">
        <v>45825</v>
      </c>
      <c r="G2523" t="s">
        <v>135</v>
      </c>
      <c r="H2523" t="s">
        <v>103</v>
      </c>
      <c r="I2523" t="s">
        <v>101</v>
      </c>
      <c r="J2523">
        <v>7809.18</v>
      </c>
      <c r="K2523">
        <v>1000000</v>
      </c>
    </row>
    <row r="2524" spans="1:11" ht="15" customHeight="1" x14ac:dyDescent="0.2">
      <c r="A2524" t="s">
        <v>4031</v>
      </c>
      <c r="B2524" t="s">
        <v>6783</v>
      </c>
      <c r="C2524">
        <v>2024</v>
      </c>
      <c r="D2524">
        <v>2024</v>
      </c>
      <c r="E2524" s="7">
        <v>45461</v>
      </c>
      <c r="F2524" s="7">
        <v>45825</v>
      </c>
      <c r="G2524" t="s">
        <v>135</v>
      </c>
      <c r="H2524" t="s">
        <v>103</v>
      </c>
      <c r="I2524" t="s">
        <v>101</v>
      </c>
      <c r="J2524">
        <v>3456.58</v>
      </c>
      <c r="K2524">
        <v>500000</v>
      </c>
    </row>
    <row r="2525" spans="1:11" ht="15" customHeight="1" x14ac:dyDescent="0.2">
      <c r="A2525" t="s">
        <v>4032</v>
      </c>
      <c r="B2525" t="s">
        <v>8607</v>
      </c>
      <c r="C2525">
        <v>2024</v>
      </c>
      <c r="D2525">
        <v>2024</v>
      </c>
      <c r="E2525" s="7">
        <v>45461</v>
      </c>
      <c r="F2525" s="7">
        <v>45825</v>
      </c>
      <c r="G2525" t="s">
        <v>135</v>
      </c>
      <c r="H2525" t="s">
        <v>109</v>
      </c>
      <c r="I2525" t="s">
        <v>104</v>
      </c>
      <c r="J2525">
        <v>10926.09</v>
      </c>
      <c r="K2525">
        <v>2000000</v>
      </c>
    </row>
    <row r="2526" spans="1:11" ht="15" customHeight="1" x14ac:dyDescent="0.2">
      <c r="A2526" t="s">
        <v>4033</v>
      </c>
      <c r="B2526" t="s">
        <v>6740</v>
      </c>
      <c r="C2526">
        <v>2024</v>
      </c>
      <c r="D2526">
        <v>2024</v>
      </c>
      <c r="E2526" s="7">
        <v>45461</v>
      </c>
      <c r="F2526" s="7">
        <v>45825</v>
      </c>
      <c r="G2526" t="s">
        <v>135</v>
      </c>
      <c r="H2526" t="s">
        <v>102</v>
      </c>
      <c r="I2526" t="s">
        <v>101</v>
      </c>
      <c r="J2526">
        <v>7182.12</v>
      </c>
      <c r="K2526">
        <v>1000000</v>
      </c>
    </row>
    <row r="2527" spans="1:11" ht="15" customHeight="1" x14ac:dyDescent="0.2">
      <c r="A2527" t="s">
        <v>4035</v>
      </c>
      <c r="B2527" t="s">
        <v>7252</v>
      </c>
      <c r="C2527">
        <v>2024</v>
      </c>
      <c r="D2527">
        <v>2024</v>
      </c>
      <c r="E2527" s="7">
        <v>45461</v>
      </c>
      <c r="F2527" s="7">
        <v>45825</v>
      </c>
      <c r="G2527" t="s">
        <v>135</v>
      </c>
      <c r="H2527" t="s">
        <v>103</v>
      </c>
      <c r="I2527" t="s">
        <v>104</v>
      </c>
      <c r="J2527">
        <v>2657.24</v>
      </c>
      <c r="K2527">
        <v>500000</v>
      </c>
    </row>
    <row r="2528" spans="1:11" ht="15" customHeight="1" x14ac:dyDescent="0.2">
      <c r="A2528" t="s">
        <v>4037</v>
      </c>
      <c r="B2528" t="s">
        <v>905</v>
      </c>
      <c r="C2528">
        <v>2024</v>
      </c>
      <c r="D2528">
        <v>2024</v>
      </c>
      <c r="E2528" s="7">
        <v>45461</v>
      </c>
      <c r="F2528" s="7">
        <v>45825</v>
      </c>
      <c r="G2528" t="s">
        <v>135</v>
      </c>
      <c r="H2528" t="s">
        <v>107</v>
      </c>
      <c r="I2528" t="s">
        <v>101</v>
      </c>
      <c r="J2528">
        <v>7544.21</v>
      </c>
      <c r="K2528">
        <v>1000000</v>
      </c>
    </row>
    <row r="2529" spans="1:11" ht="15" customHeight="1" x14ac:dyDescent="0.2">
      <c r="A2529" t="s">
        <v>4038</v>
      </c>
      <c r="B2529" t="s">
        <v>8608</v>
      </c>
      <c r="C2529">
        <v>2024</v>
      </c>
      <c r="D2529">
        <v>2024</v>
      </c>
      <c r="E2529" s="7">
        <v>45461</v>
      </c>
      <c r="F2529" s="7">
        <v>45825</v>
      </c>
      <c r="G2529" t="s">
        <v>135</v>
      </c>
      <c r="H2529" t="s">
        <v>102</v>
      </c>
      <c r="I2529" t="s">
        <v>101</v>
      </c>
      <c r="J2529">
        <v>14236.02</v>
      </c>
      <c r="K2529">
        <v>2000000</v>
      </c>
    </row>
    <row r="2530" spans="1:11" ht="15" customHeight="1" x14ac:dyDescent="0.2">
      <c r="A2530" t="s">
        <v>4039</v>
      </c>
      <c r="B2530" t="s">
        <v>904</v>
      </c>
      <c r="C2530">
        <v>2024</v>
      </c>
      <c r="D2530">
        <v>2024</v>
      </c>
      <c r="E2530" s="7">
        <v>45461</v>
      </c>
      <c r="F2530" s="7">
        <v>45825</v>
      </c>
      <c r="G2530" t="s">
        <v>135</v>
      </c>
      <c r="H2530" t="s">
        <v>113</v>
      </c>
      <c r="I2530" t="s">
        <v>104</v>
      </c>
      <c r="J2530">
        <v>27510.68</v>
      </c>
      <c r="K2530">
        <v>5000000</v>
      </c>
    </row>
    <row r="2531" spans="1:11" ht="15" customHeight="1" x14ac:dyDescent="0.2">
      <c r="A2531" t="s">
        <v>4040</v>
      </c>
      <c r="B2531" t="s">
        <v>550</v>
      </c>
      <c r="C2531">
        <v>2024</v>
      </c>
      <c r="D2531">
        <v>2024</v>
      </c>
      <c r="E2531" s="7">
        <v>45461</v>
      </c>
      <c r="F2531" s="7">
        <v>45825</v>
      </c>
      <c r="G2531" t="s">
        <v>135</v>
      </c>
      <c r="H2531" t="s">
        <v>108</v>
      </c>
      <c r="I2531" t="s">
        <v>104</v>
      </c>
      <c r="J2531">
        <v>33113.67</v>
      </c>
      <c r="K2531">
        <v>5000000</v>
      </c>
    </row>
    <row r="2532" spans="1:11" ht="15" customHeight="1" x14ac:dyDescent="0.2">
      <c r="A2532" t="s">
        <v>4041</v>
      </c>
      <c r="B2532" t="s">
        <v>8609</v>
      </c>
      <c r="C2532">
        <v>2024</v>
      </c>
      <c r="D2532">
        <v>2024</v>
      </c>
      <c r="E2532" s="7">
        <v>45461</v>
      </c>
      <c r="F2532" s="7">
        <v>45825</v>
      </c>
      <c r="G2532" t="s">
        <v>135</v>
      </c>
      <c r="H2532" t="s">
        <v>103</v>
      </c>
      <c r="I2532" t="s">
        <v>104</v>
      </c>
      <c r="J2532">
        <v>5265.24</v>
      </c>
      <c r="K2532">
        <v>1000000</v>
      </c>
    </row>
    <row r="2533" spans="1:11" ht="15" customHeight="1" x14ac:dyDescent="0.2">
      <c r="A2533" t="s">
        <v>4042</v>
      </c>
      <c r="B2533" t="s">
        <v>3078</v>
      </c>
      <c r="C2533">
        <v>2024</v>
      </c>
      <c r="D2533">
        <v>2024</v>
      </c>
      <c r="E2533" s="7">
        <v>45462</v>
      </c>
      <c r="F2533" s="7">
        <v>45826</v>
      </c>
      <c r="G2533" t="s">
        <v>99</v>
      </c>
      <c r="H2533" t="s">
        <v>114</v>
      </c>
      <c r="I2533" t="s">
        <v>101</v>
      </c>
      <c r="J2533">
        <v>32321.82</v>
      </c>
      <c r="K2533">
        <v>5000000</v>
      </c>
    </row>
    <row r="2534" spans="1:11" ht="15" customHeight="1" x14ac:dyDescent="0.2">
      <c r="A2534" t="s">
        <v>4043</v>
      </c>
      <c r="B2534" t="s">
        <v>3080</v>
      </c>
      <c r="C2534">
        <v>2024</v>
      </c>
      <c r="D2534">
        <v>2024</v>
      </c>
      <c r="E2534" s="7">
        <v>45462</v>
      </c>
      <c r="F2534" s="7">
        <v>45826</v>
      </c>
      <c r="G2534" t="s">
        <v>99</v>
      </c>
      <c r="H2534" t="s">
        <v>108</v>
      </c>
      <c r="I2534" t="s">
        <v>101</v>
      </c>
      <c r="J2534">
        <v>16572.43</v>
      </c>
      <c r="K2534">
        <v>2000000</v>
      </c>
    </row>
    <row r="2535" spans="1:11" ht="15" customHeight="1" x14ac:dyDescent="0.2">
      <c r="A2535" t="s">
        <v>4044</v>
      </c>
      <c r="B2535" t="s">
        <v>552</v>
      </c>
      <c r="C2535">
        <v>2024</v>
      </c>
      <c r="D2535">
        <v>2024</v>
      </c>
      <c r="E2535" s="7">
        <v>45462</v>
      </c>
      <c r="F2535" s="7">
        <v>45826</v>
      </c>
      <c r="G2535" t="s">
        <v>135</v>
      </c>
      <c r="H2535" t="s">
        <v>108</v>
      </c>
      <c r="I2535" t="s">
        <v>104</v>
      </c>
      <c r="J2535">
        <v>11173.78</v>
      </c>
      <c r="K2535">
        <v>1500000</v>
      </c>
    </row>
    <row r="2536" spans="1:11" ht="15" customHeight="1" x14ac:dyDescent="0.2">
      <c r="A2536" t="s">
        <v>4046</v>
      </c>
      <c r="B2536" t="s">
        <v>7267</v>
      </c>
      <c r="C2536">
        <v>2024</v>
      </c>
      <c r="D2536">
        <v>2024</v>
      </c>
      <c r="E2536" s="7">
        <v>45462</v>
      </c>
      <c r="F2536" s="7">
        <v>45826</v>
      </c>
      <c r="G2536" t="s">
        <v>135</v>
      </c>
      <c r="H2536" t="s">
        <v>109</v>
      </c>
      <c r="I2536" t="s">
        <v>104</v>
      </c>
      <c r="J2536">
        <v>10350.64</v>
      </c>
      <c r="K2536">
        <v>2000000</v>
      </c>
    </row>
    <row r="2537" spans="1:11" ht="15" customHeight="1" x14ac:dyDescent="0.2">
      <c r="A2537" t="s">
        <v>4048</v>
      </c>
      <c r="B2537" t="s">
        <v>8610</v>
      </c>
      <c r="C2537">
        <v>2024</v>
      </c>
      <c r="D2537">
        <v>2024</v>
      </c>
      <c r="E2537" s="7">
        <v>45462</v>
      </c>
      <c r="F2537" s="7">
        <v>45826</v>
      </c>
      <c r="G2537" t="s">
        <v>135</v>
      </c>
      <c r="H2537" t="s">
        <v>106</v>
      </c>
      <c r="I2537" t="s">
        <v>104</v>
      </c>
      <c r="J2537">
        <v>15647.87</v>
      </c>
      <c r="K2537">
        <v>2000000</v>
      </c>
    </row>
    <row r="2538" spans="1:11" ht="15" customHeight="1" x14ac:dyDescent="0.2">
      <c r="A2538" t="s">
        <v>4049</v>
      </c>
      <c r="B2538" t="s">
        <v>339</v>
      </c>
      <c r="C2538">
        <v>2024</v>
      </c>
      <c r="D2538">
        <v>2024</v>
      </c>
      <c r="E2538" s="7">
        <v>45462</v>
      </c>
      <c r="F2538" s="7">
        <v>45826</v>
      </c>
      <c r="G2538" t="s">
        <v>135</v>
      </c>
      <c r="H2538" t="s">
        <v>102</v>
      </c>
      <c r="I2538" t="s">
        <v>101</v>
      </c>
      <c r="J2538">
        <v>7167.34</v>
      </c>
      <c r="K2538">
        <v>1000000</v>
      </c>
    </row>
    <row r="2539" spans="1:11" ht="15" customHeight="1" x14ac:dyDescent="0.2">
      <c r="A2539" t="s">
        <v>4050</v>
      </c>
      <c r="B2539" t="s">
        <v>6751</v>
      </c>
      <c r="C2539">
        <v>2024</v>
      </c>
      <c r="D2539">
        <v>2024</v>
      </c>
      <c r="E2539" s="7">
        <v>45462</v>
      </c>
      <c r="F2539" s="7">
        <v>45826</v>
      </c>
      <c r="G2539" t="s">
        <v>135</v>
      </c>
      <c r="H2539" t="s">
        <v>105</v>
      </c>
      <c r="I2539" t="s">
        <v>101</v>
      </c>
      <c r="J2539">
        <v>10133.81</v>
      </c>
      <c r="K2539">
        <v>1500000</v>
      </c>
    </row>
    <row r="2540" spans="1:11" ht="15" customHeight="1" x14ac:dyDescent="0.2">
      <c r="A2540" t="s">
        <v>4051</v>
      </c>
      <c r="B2540" t="s">
        <v>8611</v>
      </c>
      <c r="C2540">
        <v>2024</v>
      </c>
      <c r="D2540">
        <v>2024</v>
      </c>
      <c r="E2540" s="7">
        <v>45462</v>
      </c>
      <c r="F2540" s="7">
        <v>45826</v>
      </c>
      <c r="G2540" t="s">
        <v>135</v>
      </c>
      <c r="H2540" t="s">
        <v>107</v>
      </c>
      <c r="I2540" t="s">
        <v>101</v>
      </c>
      <c r="J2540">
        <v>3340.56</v>
      </c>
      <c r="K2540">
        <v>500000</v>
      </c>
    </row>
    <row r="2541" spans="1:11" ht="15" customHeight="1" x14ac:dyDescent="0.2">
      <c r="A2541" t="s">
        <v>4052</v>
      </c>
      <c r="B2541" t="s">
        <v>6794</v>
      </c>
      <c r="C2541">
        <v>2024</v>
      </c>
      <c r="D2541">
        <v>2024</v>
      </c>
      <c r="E2541" s="7">
        <v>45462</v>
      </c>
      <c r="F2541" s="7">
        <v>45826</v>
      </c>
      <c r="G2541" t="s">
        <v>135</v>
      </c>
      <c r="H2541" t="s">
        <v>109</v>
      </c>
      <c r="I2541" t="s">
        <v>101</v>
      </c>
      <c r="J2541">
        <v>10721.29</v>
      </c>
      <c r="K2541">
        <v>1500000</v>
      </c>
    </row>
    <row r="2542" spans="1:11" ht="15" customHeight="1" x14ac:dyDescent="0.2">
      <c r="A2542" t="s">
        <v>4053</v>
      </c>
      <c r="B2542" t="s">
        <v>6745</v>
      </c>
      <c r="C2542">
        <v>2024</v>
      </c>
      <c r="D2542">
        <v>2024</v>
      </c>
      <c r="E2542" s="7">
        <v>45462</v>
      </c>
      <c r="F2542" s="7">
        <v>45826</v>
      </c>
      <c r="G2542" t="s">
        <v>135</v>
      </c>
      <c r="H2542" t="s">
        <v>102</v>
      </c>
      <c r="I2542" t="s">
        <v>101</v>
      </c>
      <c r="J2542">
        <v>14381.36</v>
      </c>
      <c r="K2542">
        <v>2000000</v>
      </c>
    </row>
    <row r="2543" spans="1:11" ht="15" customHeight="1" x14ac:dyDescent="0.2">
      <c r="A2543" t="s">
        <v>4054</v>
      </c>
      <c r="B2543" t="s">
        <v>8612</v>
      </c>
      <c r="C2543">
        <v>2024</v>
      </c>
      <c r="D2543">
        <v>2024</v>
      </c>
      <c r="E2543" s="7">
        <v>45462</v>
      </c>
      <c r="F2543" s="7">
        <v>45826</v>
      </c>
      <c r="G2543" t="s">
        <v>135</v>
      </c>
      <c r="H2543" t="s">
        <v>105</v>
      </c>
      <c r="I2543" t="s">
        <v>101</v>
      </c>
      <c r="J2543">
        <v>3554.27</v>
      </c>
      <c r="K2543">
        <v>500000</v>
      </c>
    </row>
    <row r="2544" spans="1:11" ht="15" customHeight="1" x14ac:dyDescent="0.2">
      <c r="A2544" t="s">
        <v>4056</v>
      </c>
      <c r="B2544" t="s">
        <v>6756</v>
      </c>
      <c r="C2544">
        <v>2024</v>
      </c>
      <c r="D2544">
        <v>2024</v>
      </c>
      <c r="E2544" s="7">
        <v>45462</v>
      </c>
      <c r="F2544" s="7">
        <v>45826</v>
      </c>
      <c r="G2544" t="s">
        <v>135</v>
      </c>
      <c r="H2544" t="s">
        <v>108</v>
      </c>
      <c r="I2544" t="s">
        <v>104</v>
      </c>
      <c r="J2544">
        <v>6683.97</v>
      </c>
      <c r="K2544">
        <v>1000000</v>
      </c>
    </row>
    <row r="2545" spans="1:11" ht="15" customHeight="1" x14ac:dyDescent="0.2">
      <c r="A2545" t="s">
        <v>4057</v>
      </c>
      <c r="B2545" t="s">
        <v>6749</v>
      </c>
      <c r="C2545">
        <v>2024</v>
      </c>
      <c r="D2545">
        <v>2024</v>
      </c>
      <c r="E2545" s="7">
        <v>45462</v>
      </c>
      <c r="F2545" s="7">
        <v>45826</v>
      </c>
      <c r="G2545" t="s">
        <v>135</v>
      </c>
      <c r="H2545" t="s">
        <v>106</v>
      </c>
      <c r="I2545" t="s">
        <v>104</v>
      </c>
      <c r="J2545">
        <v>38508.879999999997</v>
      </c>
      <c r="K2545">
        <v>5000000</v>
      </c>
    </row>
    <row r="2546" spans="1:11" ht="15" customHeight="1" x14ac:dyDescent="0.2">
      <c r="A2546" t="s">
        <v>4059</v>
      </c>
      <c r="B2546" t="s">
        <v>907</v>
      </c>
      <c r="C2546">
        <v>2024</v>
      </c>
      <c r="D2546">
        <v>2024</v>
      </c>
      <c r="E2546" s="7">
        <v>45462</v>
      </c>
      <c r="F2546" s="7">
        <v>45826</v>
      </c>
      <c r="G2546" t="s">
        <v>135</v>
      </c>
      <c r="H2546" t="s">
        <v>102</v>
      </c>
      <c r="I2546" t="s">
        <v>101</v>
      </c>
      <c r="J2546">
        <v>10598.01</v>
      </c>
      <c r="K2546">
        <v>1500000</v>
      </c>
    </row>
    <row r="2547" spans="1:11" ht="15" customHeight="1" x14ac:dyDescent="0.2">
      <c r="A2547" t="s">
        <v>4061</v>
      </c>
      <c r="B2547" t="s">
        <v>338</v>
      </c>
      <c r="C2547">
        <v>2024</v>
      </c>
      <c r="D2547">
        <v>2024</v>
      </c>
      <c r="E2547" s="7">
        <v>45462</v>
      </c>
      <c r="F2547" s="7">
        <v>45826</v>
      </c>
      <c r="G2547" t="s">
        <v>135</v>
      </c>
      <c r="H2547" t="s">
        <v>112</v>
      </c>
      <c r="I2547" t="s">
        <v>101</v>
      </c>
      <c r="J2547">
        <v>13886.16</v>
      </c>
      <c r="K2547">
        <v>1500000</v>
      </c>
    </row>
    <row r="2548" spans="1:11" ht="15" customHeight="1" x14ac:dyDescent="0.2">
      <c r="A2548" t="s">
        <v>4063</v>
      </c>
      <c r="B2548" t="s">
        <v>551</v>
      </c>
      <c r="C2548">
        <v>2024</v>
      </c>
      <c r="D2548">
        <v>2024</v>
      </c>
      <c r="E2548" s="7">
        <v>45462</v>
      </c>
      <c r="F2548" s="7">
        <v>45826</v>
      </c>
      <c r="G2548" t="s">
        <v>135</v>
      </c>
      <c r="H2548" t="s">
        <v>6332</v>
      </c>
      <c r="I2548" t="s">
        <v>104</v>
      </c>
      <c r="J2548">
        <v>28634.16</v>
      </c>
      <c r="K2548">
        <v>5000000</v>
      </c>
    </row>
    <row r="2549" spans="1:11" ht="15" customHeight="1" x14ac:dyDescent="0.2">
      <c r="A2549" t="s">
        <v>4065</v>
      </c>
      <c r="B2549" t="s">
        <v>3082</v>
      </c>
      <c r="C2549">
        <v>2024</v>
      </c>
      <c r="D2549">
        <v>2024</v>
      </c>
      <c r="E2549" s="7">
        <v>45463</v>
      </c>
      <c r="F2549" s="7">
        <v>45827</v>
      </c>
      <c r="G2549" t="s">
        <v>99</v>
      </c>
      <c r="H2549" t="s">
        <v>107</v>
      </c>
      <c r="I2549" t="s">
        <v>101</v>
      </c>
      <c r="J2549">
        <v>6814.57</v>
      </c>
      <c r="K2549">
        <v>1000000</v>
      </c>
    </row>
    <row r="2550" spans="1:11" ht="15" customHeight="1" x14ac:dyDescent="0.2">
      <c r="A2550" t="s">
        <v>4066</v>
      </c>
      <c r="B2550" t="s">
        <v>8613</v>
      </c>
      <c r="C2550">
        <v>2024</v>
      </c>
      <c r="D2550">
        <v>2024</v>
      </c>
      <c r="E2550" s="7">
        <v>45463</v>
      </c>
      <c r="F2550" s="7">
        <v>45827</v>
      </c>
      <c r="G2550" t="s">
        <v>135</v>
      </c>
      <c r="H2550" t="s">
        <v>106</v>
      </c>
      <c r="I2550" t="s">
        <v>104</v>
      </c>
      <c r="J2550">
        <v>11721.59</v>
      </c>
      <c r="K2550">
        <v>1500000</v>
      </c>
    </row>
    <row r="2551" spans="1:11" ht="15" customHeight="1" x14ac:dyDescent="0.2">
      <c r="A2551" t="s">
        <v>4067</v>
      </c>
      <c r="B2551" t="s">
        <v>207</v>
      </c>
      <c r="C2551">
        <v>2024</v>
      </c>
      <c r="D2551">
        <v>2024</v>
      </c>
      <c r="E2551" s="7">
        <v>45463</v>
      </c>
      <c r="F2551" s="7">
        <v>45827</v>
      </c>
      <c r="G2551" t="s">
        <v>135</v>
      </c>
      <c r="H2551" t="s">
        <v>113</v>
      </c>
      <c r="I2551" t="s">
        <v>104</v>
      </c>
      <c r="J2551">
        <v>11675.15</v>
      </c>
      <c r="K2551">
        <v>2000000</v>
      </c>
    </row>
    <row r="2552" spans="1:11" ht="15" customHeight="1" x14ac:dyDescent="0.2">
      <c r="A2552" t="s">
        <v>4068</v>
      </c>
      <c r="B2552" t="s">
        <v>8614</v>
      </c>
      <c r="C2552">
        <v>2024</v>
      </c>
      <c r="D2552">
        <v>2024</v>
      </c>
      <c r="E2552" s="7">
        <v>45463</v>
      </c>
      <c r="F2552" s="7">
        <v>45827</v>
      </c>
      <c r="G2552" t="s">
        <v>135</v>
      </c>
      <c r="H2552" t="s">
        <v>115</v>
      </c>
      <c r="I2552" t="s">
        <v>104</v>
      </c>
      <c r="J2552">
        <v>5958.63</v>
      </c>
      <c r="K2552">
        <v>1000000</v>
      </c>
    </row>
    <row r="2553" spans="1:11" ht="15" customHeight="1" x14ac:dyDescent="0.2">
      <c r="A2553" t="s">
        <v>4069</v>
      </c>
      <c r="B2553" t="s">
        <v>8615</v>
      </c>
      <c r="C2553">
        <v>2024</v>
      </c>
      <c r="D2553">
        <v>2024</v>
      </c>
      <c r="E2553" s="7">
        <v>45463</v>
      </c>
      <c r="F2553" s="7">
        <v>45827</v>
      </c>
      <c r="G2553" t="s">
        <v>135</v>
      </c>
      <c r="H2553" t="s">
        <v>108</v>
      </c>
      <c r="I2553" t="s">
        <v>104</v>
      </c>
      <c r="J2553">
        <v>76191.570000000007</v>
      </c>
      <c r="K2553">
        <v>10000000</v>
      </c>
    </row>
    <row r="2554" spans="1:11" ht="15" customHeight="1" x14ac:dyDescent="0.2">
      <c r="A2554" t="s">
        <v>4071</v>
      </c>
      <c r="B2554" t="s">
        <v>6748</v>
      </c>
      <c r="C2554">
        <v>2024</v>
      </c>
      <c r="D2554">
        <v>2024</v>
      </c>
      <c r="E2554" s="7">
        <v>45463</v>
      </c>
      <c r="F2554" s="7">
        <v>45827</v>
      </c>
      <c r="G2554" t="s">
        <v>135</v>
      </c>
      <c r="H2554" t="s">
        <v>116</v>
      </c>
      <c r="I2554" t="s">
        <v>101</v>
      </c>
      <c r="J2554">
        <v>32581.68</v>
      </c>
      <c r="K2554">
        <v>5000000</v>
      </c>
    </row>
    <row r="2555" spans="1:11" ht="15" customHeight="1" x14ac:dyDescent="0.2">
      <c r="A2555" t="s">
        <v>4072</v>
      </c>
      <c r="B2555" t="s">
        <v>8616</v>
      </c>
      <c r="C2555">
        <v>2024</v>
      </c>
      <c r="D2555">
        <v>2024</v>
      </c>
      <c r="E2555" s="7">
        <v>45463</v>
      </c>
      <c r="F2555" s="7">
        <v>45827</v>
      </c>
      <c r="G2555" t="s">
        <v>135</v>
      </c>
      <c r="H2555" t="s">
        <v>102</v>
      </c>
      <c r="I2555" t="s">
        <v>101</v>
      </c>
      <c r="J2555">
        <v>78674.55</v>
      </c>
      <c r="K2555">
        <v>10000000</v>
      </c>
    </row>
    <row r="2556" spans="1:11" ht="15" customHeight="1" x14ac:dyDescent="0.2">
      <c r="A2556" t="s">
        <v>4074</v>
      </c>
      <c r="B2556" t="s">
        <v>908</v>
      </c>
      <c r="C2556">
        <v>2024</v>
      </c>
      <c r="D2556">
        <v>2024</v>
      </c>
      <c r="E2556" s="7">
        <v>45463</v>
      </c>
      <c r="F2556" s="7">
        <v>45827</v>
      </c>
      <c r="G2556" t="s">
        <v>135</v>
      </c>
      <c r="H2556" t="s">
        <v>102</v>
      </c>
      <c r="I2556" t="s">
        <v>101</v>
      </c>
      <c r="J2556">
        <v>10103.780000000001</v>
      </c>
      <c r="K2556">
        <v>1500000</v>
      </c>
    </row>
    <row r="2557" spans="1:11" ht="15" customHeight="1" x14ac:dyDescent="0.2">
      <c r="A2557" t="s">
        <v>4076</v>
      </c>
      <c r="B2557" t="s">
        <v>8617</v>
      </c>
      <c r="C2557">
        <v>2024</v>
      </c>
      <c r="D2557">
        <v>2024</v>
      </c>
      <c r="E2557" s="7">
        <v>45463</v>
      </c>
      <c r="F2557" s="7">
        <v>45827</v>
      </c>
      <c r="G2557" t="s">
        <v>135</v>
      </c>
      <c r="H2557" t="s">
        <v>103</v>
      </c>
      <c r="I2557" t="s">
        <v>101</v>
      </c>
      <c r="J2557">
        <v>3445.59</v>
      </c>
      <c r="K2557">
        <v>500000</v>
      </c>
    </row>
    <row r="2558" spans="1:11" ht="15" customHeight="1" x14ac:dyDescent="0.2">
      <c r="A2558" t="s">
        <v>4078</v>
      </c>
      <c r="B2558" t="s">
        <v>6752</v>
      </c>
      <c r="C2558">
        <v>2024</v>
      </c>
      <c r="D2558">
        <v>2024</v>
      </c>
      <c r="E2558" s="7">
        <v>45463</v>
      </c>
      <c r="F2558" s="7">
        <v>45827</v>
      </c>
      <c r="G2558" t="s">
        <v>135</v>
      </c>
      <c r="H2558" t="s">
        <v>108</v>
      </c>
      <c r="I2558" t="s">
        <v>104</v>
      </c>
      <c r="J2558">
        <v>13846.21</v>
      </c>
      <c r="K2558">
        <v>2000000</v>
      </c>
    </row>
    <row r="2559" spans="1:11" ht="15" customHeight="1" x14ac:dyDescent="0.2">
      <c r="A2559" t="s">
        <v>4079</v>
      </c>
      <c r="B2559" t="s">
        <v>553</v>
      </c>
      <c r="C2559">
        <v>2024</v>
      </c>
      <c r="D2559">
        <v>2024</v>
      </c>
      <c r="E2559" s="7">
        <v>45463</v>
      </c>
      <c r="F2559" s="7">
        <v>45827</v>
      </c>
      <c r="G2559" t="s">
        <v>135</v>
      </c>
      <c r="H2559" t="s">
        <v>102</v>
      </c>
      <c r="I2559" t="s">
        <v>104</v>
      </c>
      <c r="J2559">
        <v>6223.41</v>
      </c>
      <c r="K2559">
        <v>1000000</v>
      </c>
    </row>
    <row r="2560" spans="1:11" ht="15" customHeight="1" x14ac:dyDescent="0.2">
      <c r="A2560" t="s">
        <v>4080</v>
      </c>
      <c r="B2560" t="s">
        <v>3090</v>
      </c>
      <c r="C2560">
        <v>2024</v>
      </c>
      <c r="D2560">
        <v>2024</v>
      </c>
      <c r="E2560" s="7">
        <v>45464</v>
      </c>
      <c r="F2560" s="7">
        <v>45828</v>
      </c>
      <c r="G2560" t="s">
        <v>99</v>
      </c>
      <c r="H2560" t="s">
        <v>102</v>
      </c>
      <c r="I2560" t="s">
        <v>104</v>
      </c>
      <c r="J2560">
        <v>60158.33</v>
      </c>
      <c r="K2560">
        <v>10000000</v>
      </c>
    </row>
    <row r="2561" spans="1:11" ht="15" customHeight="1" x14ac:dyDescent="0.2">
      <c r="A2561" t="s">
        <v>4081</v>
      </c>
      <c r="B2561" t="s">
        <v>3092</v>
      </c>
      <c r="C2561">
        <v>2024</v>
      </c>
      <c r="D2561">
        <v>2024</v>
      </c>
      <c r="E2561" s="7">
        <v>45464</v>
      </c>
      <c r="F2561" s="7">
        <v>45828</v>
      </c>
      <c r="G2561" t="s">
        <v>99</v>
      </c>
      <c r="H2561" t="s">
        <v>106</v>
      </c>
      <c r="I2561" t="s">
        <v>101</v>
      </c>
      <c r="J2561">
        <v>84557.25</v>
      </c>
      <c r="K2561">
        <v>10000000</v>
      </c>
    </row>
    <row r="2562" spans="1:11" ht="15" customHeight="1" x14ac:dyDescent="0.2">
      <c r="A2562" t="s">
        <v>4082</v>
      </c>
      <c r="B2562" t="s">
        <v>340</v>
      </c>
      <c r="C2562">
        <v>2024</v>
      </c>
      <c r="D2562">
        <v>2024</v>
      </c>
      <c r="E2562" s="7">
        <v>45464</v>
      </c>
      <c r="F2562" s="7">
        <v>45828</v>
      </c>
      <c r="G2562" t="s">
        <v>135</v>
      </c>
      <c r="H2562" t="s">
        <v>111</v>
      </c>
      <c r="I2562" t="s">
        <v>101</v>
      </c>
      <c r="J2562">
        <v>13252.59</v>
      </c>
      <c r="K2562">
        <v>2000000</v>
      </c>
    </row>
    <row r="2563" spans="1:11" ht="15" customHeight="1" x14ac:dyDescent="0.2">
      <c r="A2563" t="s">
        <v>4083</v>
      </c>
      <c r="B2563" t="s">
        <v>8618</v>
      </c>
      <c r="C2563">
        <v>2024</v>
      </c>
      <c r="D2563">
        <v>2024</v>
      </c>
      <c r="E2563" s="7">
        <v>45464</v>
      </c>
      <c r="F2563" s="7">
        <v>45828</v>
      </c>
      <c r="G2563" t="s">
        <v>135</v>
      </c>
      <c r="H2563" t="s">
        <v>112</v>
      </c>
      <c r="I2563" t="s">
        <v>101</v>
      </c>
      <c r="J2563">
        <v>9028.41</v>
      </c>
      <c r="K2563">
        <v>1000000</v>
      </c>
    </row>
    <row r="2564" spans="1:11" ht="15" customHeight="1" x14ac:dyDescent="0.2">
      <c r="A2564" t="s">
        <v>4084</v>
      </c>
      <c r="B2564" t="s">
        <v>8619</v>
      </c>
      <c r="C2564">
        <v>2024</v>
      </c>
      <c r="D2564">
        <v>2024</v>
      </c>
      <c r="E2564" s="7">
        <v>45464</v>
      </c>
      <c r="F2564" s="7">
        <v>45828</v>
      </c>
      <c r="G2564" t="s">
        <v>135</v>
      </c>
      <c r="H2564" t="s">
        <v>6337</v>
      </c>
      <c r="I2564" t="s">
        <v>104</v>
      </c>
      <c r="J2564">
        <v>6229.59</v>
      </c>
      <c r="K2564">
        <v>1000000</v>
      </c>
    </row>
    <row r="2565" spans="1:11" ht="15" customHeight="1" x14ac:dyDescent="0.2">
      <c r="A2565" t="s">
        <v>4085</v>
      </c>
      <c r="B2565" t="s">
        <v>912</v>
      </c>
      <c r="C2565">
        <v>2024</v>
      </c>
      <c r="D2565">
        <v>2024</v>
      </c>
      <c r="E2565" s="7">
        <v>45464</v>
      </c>
      <c r="F2565" s="7">
        <v>45828</v>
      </c>
      <c r="G2565" t="s">
        <v>135</v>
      </c>
      <c r="H2565" t="s">
        <v>114</v>
      </c>
      <c r="I2565" t="s">
        <v>104</v>
      </c>
      <c r="J2565">
        <v>58437.71</v>
      </c>
      <c r="K2565">
        <v>10000000</v>
      </c>
    </row>
    <row r="2566" spans="1:11" ht="15" customHeight="1" x14ac:dyDescent="0.2">
      <c r="A2566" t="s">
        <v>4086</v>
      </c>
      <c r="B2566" t="s">
        <v>8620</v>
      </c>
      <c r="C2566">
        <v>2024</v>
      </c>
      <c r="D2566">
        <v>2024</v>
      </c>
      <c r="E2566" s="7">
        <v>45464</v>
      </c>
      <c r="F2566" s="7">
        <v>45828</v>
      </c>
      <c r="G2566" t="s">
        <v>135</v>
      </c>
      <c r="H2566" t="s">
        <v>107</v>
      </c>
      <c r="I2566" t="s">
        <v>104</v>
      </c>
      <c r="J2566">
        <v>9255.2000000000007</v>
      </c>
      <c r="K2566">
        <v>1500000</v>
      </c>
    </row>
    <row r="2567" spans="1:11" ht="15" customHeight="1" x14ac:dyDescent="0.2">
      <c r="A2567" t="s">
        <v>4087</v>
      </c>
      <c r="B2567" t="s">
        <v>911</v>
      </c>
      <c r="C2567">
        <v>2024</v>
      </c>
      <c r="D2567">
        <v>2024</v>
      </c>
      <c r="E2567" s="7">
        <v>45464</v>
      </c>
      <c r="F2567" s="7">
        <v>45828</v>
      </c>
      <c r="G2567" t="s">
        <v>135</v>
      </c>
      <c r="H2567" t="s">
        <v>106</v>
      </c>
      <c r="I2567" t="s">
        <v>104</v>
      </c>
      <c r="J2567">
        <v>6800.83</v>
      </c>
      <c r="K2567">
        <v>1000000</v>
      </c>
    </row>
    <row r="2568" spans="1:11" ht="15" customHeight="1" x14ac:dyDescent="0.2">
      <c r="A2568" t="s">
        <v>4088</v>
      </c>
      <c r="B2568" t="s">
        <v>910</v>
      </c>
      <c r="C2568">
        <v>2024</v>
      </c>
      <c r="D2568">
        <v>2024</v>
      </c>
      <c r="E2568" s="7">
        <v>45464</v>
      </c>
      <c r="F2568" s="7">
        <v>45828</v>
      </c>
      <c r="G2568" t="s">
        <v>135</v>
      </c>
      <c r="H2568" t="s">
        <v>113</v>
      </c>
      <c r="I2568" t="s">
        <v>104</v>
      </c>
      <c r="J2568">
        <v>27406.62</v>
      </c>
      <c r="K2568">
        <v>5000000</v>
      </c>
    </row>
    <row r="2569" spans="1:11" ht="15" customHeight="1" x14ac:dyDescent="0.2">
      <c r="A2569" t="s">
        <v>4089</v>
      </c>
      <c r="B2569" t="s">
        <v>909</v>
      </c>
      <c r="C2569">
        <v>2024</v>
      </c>
      <c r="D2569">
        <v>2024</v>
      </c>
      <c r="E2569" s="7">
        <v>45464</v>
      </c>
      <c r="F2569" s="7">
        <v>45828</v>
      </c>
      <c r="G2569" t="s">
        <v>135</v>
      </c>
      <c r="H2569" t="s">
        <v>106</v>
      </c>
      <c r="I2569" t="s">
        <v>104</v>
      </c>
      <c r="J2569">
        <v>13539</v>
      </c>
      <c r="K2569">
        <v>2000000</v>
      </c>
    </row>
    <row r="2570" spans="1:11" ht="15" customHeight="1" x14ac:dyDescent="0.2">
      <c r="A2570" t="s">
        <v>4090</v>
      </c>
      <c r="B2570" t="s">
        <v>8621</v>
      </c>
      <c r="C2570">
        <v>2024</v>
      </c>
      <c r="D2570">
        <v>2024</v>
      </c>
      <c r="E2570" s="7">
        <v>45464</v>
      </c>
      <c r="F2570" s="7">
        <v>45828</v>
      </c>
      <c r="G2570" t="s">
        <v>135</v>
      </c>
      <c r="H2570" t="s">
        <v>114</v>
      </c>
      <c r="I2570" t="s">
        <v>101</v>
      </c>
      <c r="J2570">
        <v>3343.86</v>
      </c>
      <c r="K2570">
        <v>500000</v>
      </c>
    </row>
    <row r="2571" spans="1:11" ht="15" customHeight="1" x14ac:dyDescent="0.2">
      <c r="A2571" t="s">
        <v>4091</v>
      </c>
      <c r="B2571" t="s">
        <v>3094</v>
      </c>
      <c r="C2571">
        <v>2024</v>
      </c>
      <c r="D2571">
        <v>2024</v>
      </c>
      <c r="E2571" s="7">
        <v>45465</v>
      </c>
      <c r="F2571" s="7">
        <v>45829</v>
      </c>
      <c r="G2571" t="s">
        <v>99</v>
      </c>
      <c r="H2571" t="s">
        <v>102</v>
      </c>
      <c r="I2571" t="s">
        <v>101</v>
      </c>
      <c r="J2571">
        <v>64858.01</v>
      </c>
      <c r="K2571">
        <v>10000000</v>
      </c>
    </row>
    <row r="2572" spans="1:11" ht="15" customHeight="1" x14ac:dyDescent="0.2">
      <c r="A2572" t="s">
        <v>4092</v>
      </c>
      <c r="B2572" t="s">
        <v>3096</v>
      </c>
      <c r="C2572">
        <v>2024</v>
      </c>
      <c r="D2572">
        <v>2024</v>
      </c>
      <c r="E2572" s="7">
        <v>45465</v>
      </c>
      <c r="F2572" s="7">
        <v>45829</v>
      </c>
      <c r="G2572" t="s">
        <v>99</v>
      </c>
      <c r="H2572" t="s">
        <v>109</v>
      </c>
      <c r="I2572" t="s">
        <v>101</v>
      </c>
      <c r="J2572">
        <v>74503.16</v>
      </c>
      <c r="K2572">
        <v>10000000</v>
      </c>
    </row>
    <row r="2573" spans="1:11" ht="15" customHeight="1" x14ac:dyDescent="0.2">
      <c r="A2573" t="s">
        <v>4094</v>
      </c>
      <c r="B2573" t="s">
        <v>3098</v>
      </c>
      <c r="C2573">
        <v>2024</v>
      </c>
      <c r="D2573">
        <v>2024</v>
      </c>
      <c r="E2573" s="7">
        <v>45465</v>
      </c>
      <c r="F2573" s="7">
        <v>45829</v>
      </c>
      <c r="G2573" t="s">
        <v>99</v>
      </c>
      <c r="H2573" t="s">
        <v>106</v>
      </c>
      <c r="I2573" t="s">
        <v>104</v>
      </c>
      <c r="J2573">
        <v>7186.59</v>
      </c>
      <c r="K2573">
        <v>1000000</v>
      </c>
    </row>
    <row r="2574" spans="1:11" ht="15" customHeight="1" x14ac:dyDescent="0.2">
      <c r="A2574" t="s">
        <v>4096</v>
      </c>
      <c r="B2574" t="s">
        <v>3100</v>
      </c>
      <c r="C2574">
        <v>2024</v>
      </c>
      <c r="D2574">
        <v>2024</v>
      </c>
      <c r="E2574" s="7">
        <v>45465</v>
      </c>
      <c r="F2574" s="7">
        <v>45829</v>
      </c>
      <c r="G2574" t="s">
        <v>99</v>
      </c>
      <c r="H2574" t="s">
        <v>105</v>
      </c>
      <c r="I2574" t="s">
        <v>101</v>
      </c>
      <c r="J2574">
        <v>11809.81</v>
      </c>
      <c r="K2574">
        <v>1500000</v>
      </c>
    </row>
    <row r="2575" spans="1:11" ht="15" customHeight="1" x14ac:dyDescent="0.2">
      <c r="A2575" t="s">
        <v>4098</v>
      </c>
      <c r="B2575" t="s">
        <v>8622</v>
      </c>
      <c r="C2575">
        <v>2024</v>
      </c>
      <c r="D2575">
        <v>2024</v>
      </c>
      <c r="E2575" s="7">
        <v>45465</v>
      </c>
      <c r="F2575" s="7">
        <v>45829</v>
      </c>
      <c r="G2575" t="s">
        <v>135</v>
      </c>
      <c r="H2575" t="s">
        <v>107</v>
      </c>
      <c r="I2575" t="s">
        <v>104</v>
      </c>
      <c r="J2575">
        <v>12204.14</v>
      </c>
      <c r="K2575">
        <v>2000000</v>
      </c>
    </row>
    <row r="2576" spans="1:11" ht="15" customHeight="1" x14ac:dyDescent="0.2">
      <c r="A2576" t="s">
        <v>4100</v>
      </c>
      <c r="B2576" t="s">
        <v>8623</v>
      </c>
      <c r="C2576">
        <v>2024</v>
      </c>
      <c r="D2576">
        <v>2024</v>
      </c>
      <c r="E2576" s="7">
        <v>45465</v>
      </c>
      <c r="F2576" s="7">
        <v>45829</v>
      </c>
      <c r="G2576" t="s">
        <v>135</v>
      </c>
      <c r="H2576" t="s">
        <v>102</v>
      </c>
      <c r="I2576" t="s">
        <v>101</v>
      </c>
      <c r="J2576">
        <v>14739.7</v>
      </c>
      <c r="K2576">
        <v>2000000</v>
      </c>
    </row>
    <row r="2577" spans="1:11" ht="15" customHeight="1" x14ac:dyDescent="0.2">
      <c r="A2577" t="s">
        <v>4102</v>
      </c>
      <c r="B2577" t="s">
        <v>8624</v>
      </c>
      <c r="C2577">
        <v>2024</v>
      </c>
      <c r="D2577">
        <v>2024</v>
      </c>
      <c r="E2577" s="7">
        <v>45465</v>
      </c>
      <c r="F2577" s="7">
        <v>45829</v>
      </c>
      <c r="G2577" t="s">
        <v>135</v>
      </c>
      <c r="H2577" t="s">
        <v>6332</v>
      </c>
      <c r="I2577" t="s">
        <v>104</v>
      </c>
      <c r="J2577">
        <v>28035.95</v>
      </c>
      <c r="K2577">
        <v>5000000</v>
      </c>
    </row>
    <row r="2578" spans="1:11" ht="15" customHeight="1" x14ac:dyDescent="0.2">
      <c r="A2578" t="s">
        <v>4103</v>
      </c>
      <c r="B2578" t="s">
        <v>8625</v>
      </c>
      <c r="C2578">
        <v>2024</v>
      </c>
      <c r="D2578">
        <v>2024</v>
      </c>
      <c r="E2578" s="7">
        <v>45465</v>
      </c>
      <c r="F2578" s="7">
        <v>45829</v>
      </c>
      <c r="G2578" t="s">
        <v>135</v>
      </c>
      <c r="H2578" t="s">
        <v>106</v>
      </c>
      <c r="I2578" t="s">
        <v>104</v>
      </c>
      <c r="J2578">
        <v>9999.7000000000007</v>
      </c>
      <c r="K2578">
        <v>1500000</v>
      </c>
    </row>
    <row r="2579" spans="1:11" ht="15" customHeight="1" x14ac:dyDescent="0.2">
      <c r="A2579" t="s">
        <v>4104</v>
      </c>
      <c r="B2579" t="s">
        <v>6759</v>
      </c>
      <c r="C2579">
        <v>2024</v>
      </c>
      <c r="D2579">
        <v>2024</v>
      </c>
      <c r="E2579" s="7">
        <v>45465</v>
      </c>
      <c r="F2579" s="7">
        <v>45829</v>
      </c>
      <c r="G2579" t="s">
        <v>135</v>
      </c>
      <c r="H2579" t="s">
        <v>6334</v>
      </c>
      <c r="I2579" t="s">
        <v>104</v>
      </c>
      <c r="J2579">
        <v>29816.81</v>
      </c>
      <c r="K2579">
        <v>5000000</v>
      </c>
    </row>
    <row r="2580" spans="1:11" ht="15" customHeight="1" x14ac:dyDescent="0.2">
      <c r="A2580" t="s">
        <v>4105</v>
      </c>
      <c r="B2580" t="s">
        <v>914</v>
      </c>
      <c r="C2580">
        <v>2024</v>
      </c>
      <c r="D2580">
        <v>2024</v>
      </c>
      <c r="E2580" s="7">
        <v>45465</v>
      </c>
      <c r="F2580" s="7">
        <v>45829</v>
      </c>
      <c r="G2580" t="s">
        <v>135</v>
      </c>
      <c r="H2580" t="s">
        <v>110</v>
      </c>
      <c r="I2580" t="s">
        <v>104</v>
      </c>
      <c r="J2580">
        <v>10546.84</v>
      </c>
      <c r="K2580">
        <v>1500000</v>
      </c>
    </row>
    <row r="2581" spans="1:11" ht="15" customHeight="1" x14ac:dyDescent="0.2">
      <c r="A2581" t="s">
        <v>4106</v>
      </c>
      <c r="B2581" t="s">
        <v>342</v>
      </c>
      <c r="C2581">
        <v>2024</v>
      </c>
      <c r="D2581">
        <v>2024</v>
      </c>
      <c r="E2581" s="7">
        <v>45465</v>
      </c>
      <c r="F2581" s="7">
        <v>45829</v>
      </c>
      <c r="G2581" t="s">
        <v>135</v>
      </c>
      <c r="H2581" t="s">
        <v>116</v>
      </c>
      <c r="I2581" t="s">
        <v>104</v>
      </c>
      <c r="J2581">
        <v>10993.41</v>
      </c>
      <c r="K2581">
        <v>2000000</v>
      </c>
    </row>
    <row r="2582" spans="1:11" ht="15" customHeight="1" x14ac:dyDescent="0.2">
      <c r="A2582" t="s">
        <v>4107</v>
      </c>
      <c r="B2582" t="s">
        <v>8626</v>
      </c>
      <c r="C2582">
        <v>2024</v>
      </c>
      <c r="D2582">
        <v>2024</v>
      </c>
      <c r="E2582" s="7">
        <v>45465</v>
      </c>
      <c r="F2582" s="7">
        <v>45829</v>
      </c>
      <c r="G2582" t="s">
        <v>135</v>
      </c>
      <c r="H2582" t="s">
        <v>106</v>
      </c>
      <c r="I2582" t="s">
        <v>101</v>
      </c>
      <c r="J2582">
        <v>43962.46</v>
      </c>
      <c r="K2582">
        <v>5000000</v>
      </c>
    </row>
    <row r="2583" spans="1:11" ht="15" customHeight="1" x14ac:dyDescent="0.2">
      <c r="A2583" t="s">
        <v>4108</v>
      </c>
      <c r="B2583" t="s">
        <v>6754</v>
      </c>
      <c r="C2583">
        <v>2024</v>
      </c>
      <c r="D2583">
        <v>2024</v>
      </c>
      <c r="E2583" s="7">
        <v>45465</v>
      </c>
      <c r="F2583" s="7">
        <v>45829</v>
      </c>
      <c r="G2583" t="s">
        <v>135</v>
      </c>
      <c r="H2583" t="s">
        <v>106</v>
      </c>
      <c r="I2583" t="s">
        <v>104</v>
      </c>
      <c r="J2583">
        <v>6468.33</v>
      </c>
      <c r="K2583">
        <v>1000000</v>
      </c>
    </row>
    <row r="2584" spans="1:11" ht="15" customHeight="1" x14ac:dyDescent="0.2">
      <c r="A2584" t="s">
        <v>4109</v>
      </c>
      <c r="B2584" t="s">
        <v>913</v>
      </c>
      <c r="C2584">
        <v>2024</v>
      </c>
      <c r="D2584">
        <v>2024</v>
      </c>
      <c r="E2584" s="7">
        <v>45465</v>
      </c>
      <c r="F2584" s="7">
        <v>45829</v>
      </c>
      <c r="G2584" t="s">
        <v>135</v>
      </c>
      <c r="H2584" t="s">
        <v>102</v>
      </c>
      <c r="I2584" t="s">
        <v>101</v>
      </c>
      <c r="J2584">
        <v>36855.1</v>
      </c>
      <c r="K2584">
        <v>5000000</v>
      </c>
    </row>
    <row r="2585" spans="1:11" ht="15" customHeight="1" x14ac:dyDescent="0.2">
      <c r="A2585" t="s">
        <v>4110</v>
      </c>
      <c r="B2585" t="s">
        <v>6763</v>
      </c>
      <c r="C2585">
        <v>2024</v>
      </c>
      <c r="D2585">
        <v>2024</v>
      </c>
      <c r="E2585" s="7">
        <v>45465</v>
      </c>
      <c r="F2585" s="7">
        <v>45829</v>
      </c>
      <c r="G2585" t="s">
        <v>135</v>
      </c>
      <c r="H2585" t="s">
        <v>106</v>
      </c>
      <c r="I2585" t="s">
        <v>104</v>
      </c>
      <c r="J2585">
        <v>7372.01</v>
      </c>
      <c r="K2585">
        <v>1000000</v>
      </c>
    </row>
    <row r="2586" spans="1:11" ht="15" customHeight="1" x14ac:dyDescent="0.2">
      <c r="A2586" t="s">
        <v>4111</v>
      </c>
      <c r="B2586" t="s">
        <v>341</v>
      </c>
      <c r="C2586">
        <v>2024</v>
      </c>
      <c r="D2586">
        <v>2024</v>
      </c>
      <c r="E2586" s="7">
        <v>45465</v>
      </c>
      <c r="F2586" s="7">
        <v>45829</v>
      </c>
      <c r="G2586" t="s">
        <v>135</v>
      </c>
      <c r="H2586" t="s">
        <v>110</v>
      </c>
      <c r="I2586" t="s">
        <v>101</v>
      </c>
      <c r="J2586">
        <v>19129.84</v>
      </c>
      <c r="K2586">
        <v>2000000</v>
      </c>
    </row>
    <row r="2587" spans="1:11" ht="15" customHeight="1" x14ac:dyDescent="0.2">
      <c r="A2587" t="s">
        <v>4112</v>
      </c>
      <c r="B2587" t="s">
        <v>8627</v>
      </c>
      <c r="C2587">
        <v>2024</v>
      </c>
      <c r="D2587">
        <v>2024</v>
      </c>
      <c r="E2587" s="7">
        <v>45465</v>
      </c>
      <c r="F2587" s="7">
        <v>45829</v>
      </c>
      <c r="G2587" t="s">
        <v>135</v>
      </c>
      <c r="H2587" t="s">
        <v>109</v>
      </c>
      <c r="I2587" t="s">
        <v>104</v>
      </c>
      <c r="J2587">
        <v>5578.44</v>
      </c>
      <c r="K2587">
        <v>1000000</v>
      </c>
    </row>
    <row r="2588" spans="1:11" ht="15" customHeight="1" x14ac:dyDescent="0.2">
      <c r="A2588" t="s">
        <v>4113</v>
      </c>
      <c r="B2588" t="s">
        <v>3102</v>
      </c>
      <c r="C2588">
        <v>2024</v>
      </c>
      <c r="D2588">
        <v>2024</v>
      </c>
      <c r="E2588" s="7">
        <v>45466</v>
      </c>
      <c r="F2588" s="7">
        <v>45830</v>
      </c>
      <c r="G2588" t="s">
        <v>99</v>
      </c>
      <c r="H2588" t="s">
        <v>115</v>
      </c>
      <c r="I2588" t="s">
        <v>104</v>
      </c>
      <c r="J2588">
        <v>29163.82</v>
      </c>
      <c r="K2588">
        <v>5000000</v>
      </c>
    </row>
    <row r="2589" spans="1:11" ht="15" customHeight="1" x14ac:dyDescent="0.2">
      <c r="A2589" t="s">
        <v>4114</v>
      </c>
      <c r="B2589" t="s">
        <v>3114</v>
      </c>
      <c r="C2589">
        <v>2024</v>
      </c>
      <c r="D2589">
        <v>2024</v>
      </c>
      <c r="E2589" s="7">
        <v>45466</v>
      </c>
      <c r="F2589" s="7">
        <v>45830</v>
      </c>
      <c r="G2589" t="s">
        <v>99</v>
      </c>
      <c r="H2589" t="s">
        <v>102</v>
      </c>
      <c r="I2589" t="s">
        <v>104</v>
      </c>
      <c r="J2589">
        <v>11415.14</v>
      </c>
      <c r="K2589">
        <v>2000000</v>
      </c>
    </row>
    <row r="2590" spans="1:11" ht="15" customHeight="1" x14ac:dyDescent="0.2">
      <c r="A2590" t="s">
        <v>4115</v>
      </c>
      <c r="B2590" t="s">
        <v>6757</v>
      </c>
      <c r="C2590">
        <v>2024</v>
      </c>
      <c r="D2590">
        <v>2024</v>
      </c>
      <c r="E2590" s="7">
        <v>45466</v>
      </c>
      <c r="F2590" s="7">
        <v>45830</v>
      </c>
      <c r="G2590" t="s">
        <v>135</v>
      </c>
      <c r="H2590" t="s">
        <v>100</v>
      </c>
      <c r="I2590" t="s">
        <v>104</v>
      </c>
      <c r="J2590">
        <v>2884.93</v>
      </c>
      <c r="K2590">
        <v>500000</v>
      </c>
    </row>
    <row r="2591" spans="1:11" ht="15" customHeight="1" x14ac:dyDescent="0.2">
      <c r="A2591" t="s">
        <v>4116</v>
      </c>
      <c r="B2591" t="s">
        <v>8628</v>
      </c>
      <c r="C2591">
        <v>2024</v>
      </c>
      <c r="D2591">
        <v>2024</v>
      </c>
      <c r="E2591" s="7">
        <v>45466</v>
      </c>
      <c r="F2591" s="7">
        <v>45830</v>
      </c>
      <c r="G2591" t="s">
        <v>135</v>
      </c>
      <c r="H2591" t="s">
        <v>100</v>
      </c>
      <c r="I2591" t="s">
        <v>101</v>
      </c>
      <c r="J2591">
        <v>15140.74</v>
      </c>
      <c r="K2591">
        <v>2000000</v>
      </c>
    </row>
    <row r="2592" spans="1:11" ht="15" customHeight="1" x14ac:dyDescent="0.2">
      <c r="A2592" t="s">
        <v>4118</v>
      </c>
      <c r="B2592" t="s">
        <v>916</v>
      </c>
      <c r="C2592">
        <v>2024</v>
      </c>
      <c r="D2592">
        <v>2024</v>
      </c>
      <c r="E2592" s="7">
        <v>45466</v>
      </c>
      <c r="F2592" s="7">
        <v>45830</v>
      </c>
      <c r="G2592" t="s">
        <v>135</v>
      </c>
      <c r="H2592" t="s">
        <v>103</v>
      </c>
      <c r="I2592" t="s">
        <v>101</v>
      </c>
      <c r="J2592">
        <v>10000.33</v>
      </c>
      <c r="K2592">
        <v>1500000</v>
      </c>
    </row>
    <row r="2593" spans="1:11" ht="15" customHeight="1" x14ac:dyDescent="0.2">
      <c r="A2593" t="s">
        <v>4121</v>
      </c>
      <c r="B2593" t="s">
        <v>8629</v>
      </c>
      <c r="C2593">
        <v>2024</v>
      </c>
      <c r="D2593">
        <v>2024</v>
      </c>
      <c r="E2593" s="7">
        <v>45466</v>
      </c>
      <c r="F2593" s="7">
        <v>45830</v>
      </c>
      <c r="G2593" t="s">
        <v>135</v>
      </c>
      <c r="H2593" t="s">
        <v>102</v>
      </c>
      <c r="I2593" t="s">
        <v>101</v>
      </c>
      <c r="J2593">
        <v>33744.04</v>
      </c>
      <c r="K2593">
        <v>5000000</v>
      </c>
    </row>
    <row r="2594" spans="1:11" ht="15" customHeight="1" x14ac:dyDescent="0.2">
      <c r="A2594" t="s">
        <v>4122</v>
      </c>
      <c r="B2594" t="s">
        <v>344</v>
      </c>
      <c r="C2594">
        <v>2024</v>
      </c>
      <c r="D2594">
        <v>2024</v>
      </c>
      <c r="E2594" s="7">
        <v>45466</v>
      </c>
      <c r="F2594" s="7">
        <v>45830</v>
      </c>
      <c r="G2594" t="s">
        <v>135</v>
      </c>
      <c r="H2594" t="s">
        <v>102</v>
      </c>
      <c r="I2594" t="s">
        <v>101</v>
      </c>
      <c r="J2594">
        <v>13481.9</v>
      </c>
      <c r="K2594">
        <v>2000000</v>
      </c>
    </row>
    <row r="2595" spans="1:11" ht="15" customHeight="1" x14ac:dyDescent="0.2">
      <c r="A2595" t="s">
        <v>4123</v>
      </c>
      <c r="B2595" t="s">
        <v>8630</v>
      </c>
      <c r="C2595">
        <v>2024</v>
      </c>
      <c r="D2595">
        <v>2024</v>
      </c>
      <c r="E2595" s="7">
        <v>45466</v>
      </c>
      <c r="F2595" s="7">
        <v>45830</v>
      </c>
      <c r="G2595" t="s">
        <v>135</v>
      </c>
      <c r="H2595" t="s">
        <v>102</v>
      </c>
      <c r="I2595" t="s">
        <v>101</v>
      </c>
      <c r="J2595">
        <v>3799.14</v>
      </c>
      <c r="K2595">
        <v>500000</v>
      </c>
    </row>
    <row r="2596" spans="1:11" ht="15" customHeight="1" x14ac:dyDescent="0.2">
      <c r="A2596" t="s">
        <v>4124</v>
      </c>
      <c r="B2596" t="s">
        <v>554</v>
      </c>
      <c r="C2596">
        <v>2024</v>
      </c>
      <c r="D2596">
        <v>2024</v>
      </c>
      <c r="E2596" s="7">
        <v>45466</v>
      </c>
      <c r="F2596" s="7">
        <v>45830</v>
      </c>
      <c r="G2596" t="s">
        <v>135</v>
      </c>
      <c r="H2596" t="s">
        <v>6348</v>
      </c>
      <c r="I2596" t="s">
        <v>101</v>
      </c>
      <c r="J2596">
        <v>66464.84</v>
      </c>
      <c r="K2596">
        <v>10000000</v>
      </c>
    </row>
    <row r="2597" spans="1:11" ht="15" customHeight="1" x14ac:dyDescent="0.2">
      <c r="A2597" t="s">
        <v>4125</v>
      </c>
      <c r="B2597" t="s">
        <v>343</v>
      </c>
      <c r="C2597">
        <v>2024</v>
      </c>
      <c r="D2597">
        <v>2024</v>
      </c>
      <c r="E2597" s="7">
        <v>45466</v>
      </c>
      <c r="F2597" s="7">
        <v>45830</v>
      </c>
      <c r="G2597" t="s">
        <v>135</v>
      </c>
      <c r="H2597" t="s">
        <v>103</v>
      </c>
      <c r="I2597" t="s">
        <v>101</v>
      </c>
      <c r="J2597">
        <v>7396.72</v>
      </c>
      <c r="K2597">
        <v>1000000</v>
      </c>
    </row>
    <row r="2598" spans="1:11" ht="15" customHeight="1" x14ac:dyDescent="0.2">
      <c r="A2598" t="s">
        <v>4126</v>
      </c>
      <c r="B2598" t="s">
        <v>8631</v>
      </c>
      <c r="C2598">
        <v>2024</v>
      </c>
      <c r="D2598">
        <v>2024</v>
      </c>
      <c r="E2598" s="7">
        <v>45466</v>
      </c>
      <c r="F2598" s="7">
        <v>45830</v>
      </c>
      <c r="G2598" t="s">
        <v>135</v>
      </c>
      <c r="H2598" t="s">
        <v>102</v>
      </c>
      <c r="I2598" t="s">
        <v>104</v>
      </c>
      <c r="J2598">
        <v>10462.76</v>
      </c>
      <c r="K2598">
        <v>2000000</v>
      </c>
    </row>
    <row r="2599" spans="1:11" ht="15" customHeight="1" x14ac:dyDescent="0.2">
      <c r="A2599" t="s">
        <v>4128</v>
      </c>
      <c r="B2599" t="s">
        <v>915</v>
      </c>
      <c r="C2599">
        <v>2024</v>
      </c>
      <c r="D2599">
        <v>2024</v>
      </c>
      <c r="E2599" s="7">
        <v>45466</v>
      </c>
      <c r="F2599" s="7">
        <v>45830</v>
      </c>
      <c r="G2599" t="s">
        <v>135</v>
      </c>
      <c r="H2599" t="s">
        <v>103</v>
      </c>
      <c r="I2599" t="s">
        <v>101</v>
      </c>
      <c r="J2599">
        <v>6849.31</v>
      </c>
      <c r="K2599">
        <v>1000000</v>
      </c>
    </row>
    <row r="2600" spans="1:11" ht="15" customHeight="1" x14ac:dyDescent="0.2">
      <c r="A2600" t="s">
        <v>4130</v>
      </c>
      <c r="B2600" t="s">
        <v>8632</v>
      </c>
      <c r="C2600">
        <v>2024</v>
      </c>
      <c r="D2600">
        <v>2024</v>
      </c>
      <c r="E2600" s="7">
        <v>45466</v>
      </c>
      <c r="F2600" s="7">
        <v>45830</v>
      </c>
      <c r="G2600" t="s">
        <v>135</v>
      </c>
      <c r="H2600" t="s">
        <v>106</v>
      </c>
      <c r="I2600" t="s">
        <v>101</v>
      </c>
      <c r="J2600">
        <v>43279.8</v>
      </c>
      <c r="K2600">
        <v>5000000</v>
      </c>
    </row>
    <row r="2601" spans="1:11" ht="15" customHeight="1" x14ac:dyDescent="0.2">
      <c r="A2601" t="s">
        <v>4132</v>
      </c>
      <c r="B2601" t="s">
        <v>3116</v>
      </c>
      <c r="C2601">
        <v>2024</v>
      </c>
      <c r="D2601">
        <v>2024</v>
      </c>
      <c r="E2601" s="7">
        <v>45467</v>
      </c>
      <c r="F2601" s="7">
        <v>45831</v>
      </c>
      <c r="G2601" t="s">
        <v>99</v>
      </c>
      <c r="H2601" t="s">
        <v>102</v>
      </c>
      <c r="I2601" t="s">
        <v>101</v>
      </c>
      <c r="J2601">
        <v>10702.3</v>
      </c>
      <c r="K2601">
        <v>1500000</v>
      </c>
    </row>
    <row r="2602" spans="1:11" ht="15" customHeight="1" x14ac:dyDescent="0.2">
      <c r="A2602" t="s">
        <v>4133</v>
      </c>
      <c r="B2602" t="s">
        <v>555</v>
      </c>
      <c r="C2602">
        <v>2024</v>
      </c>
      <c r="D2602">
        <v>2024</v>
      </c>
      <c r="E2602" s="7">
        <v>45467</v>
      </c>
      <c r="F2602" s="7">
        <v>45831</v>
      </c>
      <c r="G2602" t="s">
        <v>135</v>
      </c>
      <c r="H2602" t="s">
        <v>112</v>
      </c>
      <c r="I2602" t="s">
        <v>104</v>
      </c>
      <c r="J2602">
        <v>7749.48</v>
      </c>
      <c r="K2602">
        <v>1000000</v>
      </c>
    </row>
    <row r="2603" spans="1:11" ht="15" customHeight="1" x14ac:dyDescent="0.2">
      <c r="A2603" t="s">
        <v>4134</v>
      </c>
      <c r="B2603" t="s">
        <v>8633</v>
      </c>
      <c r="C2603">
        <v>2024</v>
      </c>
      <c r="D2603">
        <v>2024</v>
      </c>
      <c r="E2603" s="7">
        <v>45467</v>
      </c>
      <c r="F2603" s="7">
        <v>45831</v>
      </c>
      <c r="G2603" t="s">
        <v>135</v>
      </c>
      <c r="H2603" t="s">
        <v>105</v>
      </c>
      <c r="I2603" t="s">
        <v>101</v>
      </c>
      <c r="J2603">
        <v>15778.25</v>
      </c>
      <c r="K2603">
        <v>2000000</v>
      </c>
    </row>
    <row r="2604" spans="1:11" ht="15" customHeight="1" x14ac:dyDescent="0.2">
      <c r="A2604" t="s">
        <v>4135</v>
      </c>
      <c r="B2604" t="s">
        <v>8634</v>
      </c>
      <c r="C2604">
        <v>2024</v>
      </c>
      <c r="D2604">
        <v>2024</v>
      </c>
      <c r="E2604" s="7">
        <v>45467</v>
      </c>
      <c r="F2604" s="7">
        <v>45831</v>
      </c>
      <c r="G2604" t="s">
        <v>135</v>
      </c>
      <c r="H2604" t="s">
        <v>6334</v>
      </c>
      <c r="I2604" t="s">
        <v>101</v>
      </c>
      <c r="J2604">
        <v>7309.15</v>
      </c>
      <c r="K2604">
        <v>1000000</v>
      </c>
    </row>
    <row r="2605" spans="1:11" ht="15" customHeight="1" x14ac:dyDescent="0.2">
      <c r="A2605" t="s">
        <v>4136</v>
      </c>
      <c r="B2605" t="s">
        <v>8635</v>
      </c>
      <c r="C2605">
        <v>2024</v>
      </c>
      <c r="D2605">
        <v>2024</v>
      </c>
      <c r="E2605" s="7">
        <v>45467</v>
      </c>
      <c r="F2605" s="7">
        <v>45831</v>
      </c>
      <c r="G2605" t="s">
        <v>135</v>
      </c>
      <c r="H2605" t="s">
        <v>102</v>
      </c>
      <c r="I2605" t="s">
        <v>104</v>
      </c>
      <c r="J2605">
        <v>12481.28</v>
      </c>
      <c r="K2605">
        <v>2000000</v>
      </c>
    </row>
    <row r="2606" spans="1:11" ht="15" customHeight="1" x14ac:dyDescent="0.2">
      <c r="A2606" t="s">
        <v>4137</v>
      </c>
      <c r="B2606" t="s">
        <v>345</v>
      </c>
      <c r="C2606">
        <v>2024</v>
      </c>
      <c r="D2606">
        <v>2024</v>
      </c>
      <c r="E2606" s="7">
        <v>45467</v>
      </c>
      <c r="F2606" s="7">
        <v>45831</v>
      </c>
      <c r="G2606" t="s">
        <v>135</v>
      </c>
      <c r="H2606" t="s">
        <v>6348</v>
      </c>
      <c r="I2606" t="s">
        <v>101</v>
      </c>
      <c r="J2606">
        <v>13859.85</v>
      </c>
      <c r="K2606">
        <v>2000000</v>
      </c>
    </row>
    <row r="2607" spans="1:11" ht="15" customHeight="1" x14ac:dyDescent="0.2">
      <c r="A2607" t="s">
        <v>4138</v>
      </c>
      <c r="B2607" t="s">
        <v>8636</v>
      </c>
      <c r="C2607">
        <v>2024</v>
      </c>
      <c r="D2607">
        <v>2024</v>
      </c>
      <c r="E2607" s="7">
        <v>45467</v>
      </c>
      <c r="F2607" s="7">
        <v>45831</v>
      </c>
      <c r="G2607" t="s">
        <v>135</v>
      </c>
      <c r="H2607" t="s">
        <v>108</v>
      </c>
      <c r="I2607" t="s">
        <v>101</v>
      </c>
      <c r="J2607">
        <v>16570.7</v>
      </c>
      <c r="K2607">
        <v>2000000</v>
      </c>
    </row>
    <row r="2608" spans="1:11" ht="15" customHeight="1" x14ac:dyDescent="0.2">
      <c r="A2608" t="s">
        <v>4139</v>
      </c>
      <c r="B2608" t="s">
        <v>8637</v>
      </c>
      <c r="C2608">
        <v>2024</v>
      </c>
      <c r="D2608">
        <v>2024</v>
      </c>
      <c r="E2608" s="7">
        <v>45467</v>
      </c>
      <c r="F2608" s="7">
        <v>45831</v>
      </c>
      <c r="G2608" t="s">
        <v>135</v>
      </c>
      <c r="H2608" t="s">
        <v>106</v>
      </c>
      <c r="I2608" t="s">
        <v>104</v>
      </c>
      <c r="J2608">
        <v>10197.36</v>
      </c>
      <c r="K2608">
        <v>1500000</v>
      </c>
    </row>
    <row r="2609" spans="1:11" ht="15" customHeight="1" x14ac:dyDescent="0.2">
      <c r="A2609" t="s">
        <v>4140</v>
      </c>
      <c r="B2609" t="s">
        <v>917</v>
      </c>
      <c r="C2609">
        <v>2024</v>
      </c>
      <c r="D2609">
        <v>2024</v>
      </c>
      <c r="E2609" s="7">
        <v>45467</v>
      </c>
      <c r="F2609" s="7">
        <v>45831</v>
      </c>
      <c r="G2609" t="s">
        <v>135</v>
      </c>
      <c r="H2609" t="s">
        <v>109</v>
      </c>
      <c r="I2609" t="s">
        <v>104</v>
      </c>
      <c r="J2609">
        <v>30793.95</v>
      </c>
      <c r="K2609">
        <v>5000000</v>
      </c>
    </row>
    <row r="2610" spans="1:11" ht="15" customHeight="1" x14ac:dyDescent="0.2">
      <c r="A2610" t="s">
        <v>4141</v>
      </c>
      <c r="B2610" t="s">
        <v>3118</v>
      </c>
      <c r="C2610">
        <v>2024</v>
      </c>
      <c r="D2610">
        <v>2024</v>
      </c>
      <c r="E2610" s="7">
        <v>45468</v>
      </c>
      <c r="F2610" s="7">
        <v>45832</v>
      </c>
      <c r="G2610" t="s">
        <v>99</v>
      </c>
      <c r="H2610" t="s">
        <v>106</v>
      </c>
      <c r="I2610" t="s">
        <v>101</v>
      </c>
      <c r="J2610">
        <v>8305.11</v>
      </c>
      <c r="K2610">
        <v>1000000</v>
      </c>
    </row>
    <row r="2611" spans="1:11" ht="15" customHeight="1" x14ac:dyDescent="0.2">
      <c r="A2611" t="s">
        <v>4143</v>
      </c>
      <c r="B2611" t="s">
        <v>3125</v>
      </c>
      <c r="C2611">
        <v>2024</v>
      </c>
      <c r="D2611">
        <v>2024</v>
      </c>
      <c r="E2611" s="7">
        <v>45468</v>
      </c>
      <c r="F2611" s="7">
        <v>45832</v>
      </c>
      <c r="G2611" t="s">
        <v>99</v>
      </c>
      <c r="H2611" t="s">
        <v>112</v>
      </c>
      <c r="I2611" t="s">
        <v>104</v>
      </c>
      <c r="J2611">
        <v>15315.66</v>
      </c>
      <c r="K2611">
        <v>2000000</v>
      </c>
    </row>
    <row r="2612" spans="1:11" ht="15" customHeight="1" x14ac:dyDescent="0.2">
      <c r="A2612" t="s">
        <v>4145</v>
      </c>
      <c r="B2612" t="s">
        <v>3140</v>
      </c>
      <c r="C2612">
        <v>2024</v>
      </c>
      <c r="D2612">
        <v>2024</v>
      </c>
      <c r="E2612" s="7">
        <v>45468</v>
      </c>
      <c r="F2612" s="7">
        <v>45832</v>
      </c>
      <c r="G2612" t="s">
        <v>99</v>
      </c>
      <c r="H2612" t="s">
        <v>109</v>
      </c>
      <c r="I2612" t="s">
        <v>104</v>
      </c>
      <c r="J2612">
        <v>29148.04</v>
      </c>
      <c r="K2612">
        <v>5000000</v>
      </c>
    </row>
    <row r="2613" spans="1:11" ht="15" customHeight="1" x14ac:dyDescent="0.2">
      <c r="A2613" t="s">
        <v>4147</v>
      </c>
      <c r="B2613" t="s">
        <v>8638</v>
      </c>
      <c r="C2613">
        <v>2024</v>
      </c>
      <c r="D2613">
        <v>2024</v>
      </c>
      <c r="E2613" s="7">
        <v>45468</v>
      </c>
      <c r="F2613" s="7">
        <v>45832</v>
      </c>
      <c r="G2613" t="s">
        <v>135</v>
      </c>
      <c r="H2613" t="s">
        <v>107</v>
      </c>
      <c r="I2613" t="s">
        <v>104</v>
      </c>
      <c r="J2613">
        <v>26914.63</v>
      </c>
      <c r="K2613">
        <v>5000000</v>
      </c>
    </row>
    <row r="2614" spans="1:11" ht="15" customHeight="1" x14ac:dyDescent="0.2">
      <c r="A2614" t="s">
        <v>4149</v>
      </c>
      <c r="B2614" t="s">
        <v>8639</v>
      </c>
      <c r="C2614">
        <v>2024</v>
      </c>
      <c r="D2614">
        <v>2024</v>
      </c>
      <c r="E2614" s="7">
        <v>45468</v>
      </c>
      <c r="F2614" s="7">
        <v>45832</v>
      </c>
      <c r="G2614" t="s">
        <v>135</v>
      </c>
      <c r="H2614" t="s">
        <v>112</v>
      </c>
      <c r="I2614" t="s">
        <v>104</v>
      </c>
      <c r="J2614">
        <v>78491.09</v>
      </c>
      <c r="K2614">
        <v>10000000</v>
      </c>
    </row>
    <row r="2615" spans="1:11" ht="15" customHeight="1" x14ac:dyDescent="0.2">
      <c r="A2615" t="s">
        <v>4151</v>
      </c>
      <c r="B2615" t="s">
        <v>6771</v>
      </c>
      <c r="C2615">
        <v>2024</v>
      </c>
      <c r="D2615">
        <v>2024</v>
      </c>
      <c r="E2615" s="7">
        <v>45468</v>
      </c>
      <c r="F2615" s="7">
        <v>45832</v>
      </c>
      <c r="G2615" t="s">
        <v>135</v>
      </c>
      <c r="H2615" t="s">
        <v>105</v>
      </c>
      <c r="I2615" t="s">
        <v>104</v>
      </c>
      <c r="J2615">
        <v>5425.85</v>
      </c>
      <c r="K2615">
        <v>1000000</v>
      </c>
    </row>
    <row r="2616" spans="1:11" ht="15" customHeight="1" x14ac:dyDescent="0.2">
      <c r="A2616" t="s">
        <v>4153</v>
      </c>
      <c r="B2616" t="s">
        <v>6773</v>
      </c>
      <c r="C2616">
        <v>2024</v>
      </c>
      <c r="D2616">
        <v>2024</v>
      </c>
      <c r="E2616" s="7">
        <v>45468</v>
      </c>
      <c r="F2616" s="7">
        <v>45832</v>
      </c>
      <c r="G2616" t="s">
        <v>135</v>
      </c>
      <c r="H2616" t="s">
        <v>6348</v>
      </c>
      <c r="I2616" t="s">
        <v>101</v>
      </c>
      <c r="J2616">
        <v>3512.56</v>
      </c>
      <c r="K2616">
        <v>500000</v>
      </c>
    </row>
    <row r="2617" spans="1:11" ht="15" customHeight="1" x14ac:dyDescent="0.2">
      <c r="A2617" t="s">
        <v>4154</v>
      </c>
      <c r="B2617" t="s">
        <v>918</v>
      </c>
      <c r="C2617">
        <v>2024</v>
      </c>
      <c r="D2617">
        <v>2024</v>
      </c>
      <c r="E2617" s="7">
        <v>45468</v>
      </c>
      <c r="F2617" s="7">
        <v>45832</v>
      </c>
      <c r="G2617" t="s">
        <v>135</v>
      </c>
      <c r="H2617" t="s">
        <v>102</v>
      </c>
      <c r="I2617" t="s">
        <v>101</v>
      </c>
      <c r="J2617">
        <v>3616.31</v>
      </c>
      <c r="K2617">
        <v>500000</v>
      </c>
    </row>
    <row r="2618" spans="1:11" ht="15" customHeight="1" x14ac:dyDescent="0.2">
      <c r="A2618" t="s">
        <v>4155</v>
      </c>
      <c r="B2618" t="s">
        <v>6760</v>
      </c>
      <c r="C2618">
        <v>2024</v>
      </c>
      <c r="D2618">
        <v>2024</v>
      </c>
      <c r="E2618" s="7">
        <v>45468</v>
      </c>
      <c r="F2618" s="7">
        <v>45832</v>
      </c>
      <c r="G2618" t="s">
        <v>135</v>
      </c>
      <c r="H2618" t="s">
        <v>103</v>
      </c>
      <c r="I2618" t="s">
        <v>101</v>
      </c>
      <c r="J2618">
        <v>13908.81</v>
      </c>
      <c r="K2618">
        <v>2000000</v>
      </c>
    </row>
    <row r="2619" spans="1:11" ht="15" customHeight="1" x14ac:dyDescent="0.2">
      <c r="A2619" t="s">
        <v>4156</v>
      </c>
      <c r="B2619" t="s">
        <v>8640</v>
      </c>
      <c r="C2619">
        <v>2024</v>
      </c>
      <c r="D2619">
        <v>2024</v>
      </c>
      <c r="E2619" s="7">
        <v>45468</v>
      </c>
      <c r="F2619" s="7">
        <v>45832</v>
      </c>
      <c r="G2619" t="s">
        <v>135</v>
      </c>
      <c r="H2619" t="s">
        <v>105</v>
      </c>
      <c r="I2619" t="s">
        <v>104</v>
      </c>
      <c r="J2619">
        <v>12262.42</v>
      </c>
      <c r="K2619">
        <v>2000000</v>
      </c>
    </row>
    <row r="2620" spans="1:11" ht="15" customHeight="1" x14ac:dyDescent="0.2">
      <c r="A2620" t="s">
        <v>4157</v>
      </c>
      <c r="B2620" t="s">
        <v>346</v>
      </c>
      <c r="C2620">
        <v>2024</v>
      </c>
      <c r="D2620">
        <v>2024</v>
      </c>
      <c r="E2620" s="7">
        <v>45468</v>
      </c>
      <c r="F2620" s="7">
        <v>45832</v>
      </c>
      <c r="G2620" t="s">
        <v>135</v>
      </c>
      <c r="H2620" t="s">
        <v>116</v>
      </c>
      <c r="I2620" t="s">
        <v>101</v>
      </c>
      <c r="J2620">
        <v>13591.05</v>
      </c>
      <c r="K2620">
        <v>2000000</v>
      </c>
    </row>
    <row r="2621" spans="1:11" ht="15" customHeight="1" x14ac:dyDescent="0.2">
      <c r="A2621" t="s">
        <v>4158</v>
      </c>
      <c r="B2621" t="s">
        <v>919</v>
      </c>
      <c r="C2621">
        <v>2024</v>
      </c>
      <c r="D2621">
        <v>2024</v>
      </c>
      <c r="E2621" s="7">
        <v>45468</v>
      </c>
      <c r="F2621" s="7">
        <v>45832</v>
      </c>
      <c r="G2621" t="s">
        <v>135</v>
      </c>
      <c r="H2621" t="s">
        <v>109</v>
      </c>
      <c r="I2621" t="s">
        <v>101</v>
      </c>
      <c r="J2621">
        <v>7481.52</v>
      </c>
      <c r="K2621">
        <v>1000000</v>
      </c>
    </row>
    <row r="2622" spans="1:11" ht="15" customHeight="1" x14ac:dyDescent="0.2">
      <c r="A2622" t="s">
        <v>4159</v>
      </c>
      <c r="B2622" t="s">
        <v>6775</v>
      </c>
      <c r="C2622">
        <v>2024</v>
      </c>
      <c r="D2622">
        <v>2024</v>
      </c>
      <c r="E2622" s="7">
        <v>45468</v>
      </c>
      <c r="F2622" s="7">
        <v>45832</v>
      </c>
      <c r="G2622" t="s">
        <v>135</v>
      </c>
      <c r="H2622" t="s">
        <v>6332</v>
      </c>
      <c r="I2622" t="s">
        <v>101</v>
      </c>
      <c r="J2622">
        <v>6872.62</v>
      </c>
      <c r="K2622">
        <v>1000000</v>
      </c>
    </row>
    <row r="2623" spans="1:11" ht="15" customHeight="1" x14ac:dyDescent="0.2">
      <c r="A2623" t="s">
        <v>4160</v>
      </c>
      <c r="B2623" t="s">
        <v>8641</v>
      </c>
      <c r="C2623">
        <v>2024</v>
      </c>
      <c r="D2623">
        <v>2024</v>
      </c>
      <c r="E2623" s="7">
        <v>45468</v>
      </c>
      <c r="F2623" s="7">
        <v>45832</v>
      </c>
      <c r="G2623" t="s">
        <v>135</v>
      </c>
      <c r="H2623" t="s">
        <v>102</v>
      </c>
      <c r="I2623" t="s">
        <v>101</v>
      </c>
      <c r="J2623">
        <v>37556.29</v>
      </c>
      <c r="K2623">
        <v>5000000</v>
      </c>
    </row>
    <row r="2624" spans="1:11" ht="15" customHeight="1" x14ac:dyDescent="0.2">
      <c r="A2624" t="s">
        <v>4161</v>
      </c>
      <c r="B2624" t="s">
        <v>3142</v>
      </c>
      <c r="C2624">
        <v>2024</v>
      </c>
      <c r="D2624">
        <v>2024</v>
      </c>
      <c r="E2624" s="7">
        <v>45469</v>
      </c>
      <c r="F2624" s="7">
        <v>45833</v>
      </c>
      <c r="G2624" t="s">
        <v>99</v>
      </c>
      <c r="H2624" t="s">
        <v>102</v>
      </c>
      <c r="I2624" t="s">
        <v>101</v>
      </c>
      <c r="J2624">
        <v>10431.209999999999</v>
      </c>
      <c r="K2624">
        <v>1500000</v>
      </c>
    </row>
    <row r="2625" spans="1:11" ht="15" customHeight="1" x14ac:dyDescent="0.2">
      <c r="A2625" t="s">
        <v>4163</v>
      </c>
      <c r="B2625" t="s">
        <v>3144</v>
      </c>
      <c r="C2625">
        <v>2024</v>
      </c>
      <c r="D2625">
        <v>2024</v>
      </c>
      <c r="E2625" s="7">
        <v>45469</v>
      </c>
      <c r="F2625" s="7">
        <v>45833</v>
      </c>
      <c r="G2625" t="s">
        <v>99</v>
      </c>
      <c r="H2625" t="s">
        <v>114</v>
      </c>
      <c r="I2625" t="s">
        <v>101</v>
      </c>
      <c r="J2625">
        <v>7807.51</v>
      </c>
      <c r="K2625">
        <v>1000000</v>
      </c>
    </row>
    <row r="2626" spans="1:11" ht="15" customHeight="1" x14ac:dyDescent="0.2">
      <c r="A2626" t="s">
        <v>4165</v>
      </c>
      <c r="B2626" t="s">
        <v>556</v>
      </c>
      <c r="C2626">
        <v>2024</v>
      </c>
      <c r="D2626">
        <v>2024</v>
      </c>
      <c r="E2626" s="7">
        <v>45469</v>
      </c>
      <c r="F2626" s="7">
        <v>45833</v>
      </c>
      <c r="G2626" t="s">
        <v>135</v>
      </c>
      <c r="H2626" t="s">
        <v>110</v>
      </c>
      <c r="I2626" t="s">
        <v>104</v>
      </c>
      <c r="J2626">
        <v>6752.9</v>
      </c>
      <c r="K2626">
        <v>1000000</v>
      </c>
    </row>
    <row r="2627" spans="1:11" ht="15" customHeight="1" x14ac:dyDescent="0.2">
      <c r="A2627" t="s">
        <v>4167</v>
      </c>
      <c r="B2627" t="s">
        <v>8642</v>
      </c>
      <c r="C2627">
        <v>2024</v>
      </c>
      <c r="D2627">
        <v>2024</v>
      </c>
      <c r="E2627" s="7">
        <v>45469</v>
      </c>
      <c r="F2627" s="7">
        <v>45833</v>
      </c>
      <c r="G2627" t="s">
        <v>135</v>
      </c>
      <c r="H2627" t="s">
        <v>115</v>
      </c>
      <c r="I2627" t="s">
        <v>101</v>
      </c>
      <c r="J2627">
        <v>14161.87</v>
      </c>
      <c r="K2627">
        <v>2000000</v>
      </c>
    </row>
    <row r="2628" spans="1:11" ht="15" customHeight="1" x14ac:dyDescent="0.2">
      <c r="A2628" t="s">
        <v>4169</v>
      </c>
      <c r="B2628" t="s">
        <v>347</v>
      </c>
      <c r="C2628">
        <v>2024</v>
      </c>
      <c r="D2628">
        <v>2024</v>
      </c>
      <c r="E2628" s="7">
        <v>45469</v>
      </c>
      <c r="F2628" s="7">
        <v>45833</v>
      </c>
      <c r="G2628" t="s">
        <v>135</v>
      </c>
      <c r="H2628" t="s">
        <v>110</v>
      </c>
      <c r="I2628" t="s">
        <v>101</v>
      </c>
      <c r="J2628">
        <v>84482.16</v>
      </c>
      <c r="K2628">
        <v>10000000</v>
      </c>
    </row>
    <row r="2629" spans="1:11" ht="15" customHeight="1" x14ac:dyDescent="0.2">
      <c r="A2629" t="s">
        <v>4171</v>
      </c>
      <c r="B2629" t="s">
        <v>8643</v>
      </c>
      <c r="C2629">
        <v>2024</v>
      </c>
      <c r="D2629">
        <v>2024</v>
      </c>
      <c r="E2629" s="7">
        <v>45469</v>
      </c>
      <c r="F2629" s="7">
        <v>45833</v>
      </c>
      <c r="G2629" t="s">
        <v>135</v>
      </c>
      <c r="H2629" t="s">
        <v>107</v>
      </c>
      <c r="I2629" t="s">
        <v>104</v>
      </c>
      <c r="J2629">
        <v>11160.04</v>
      </c>
      <c r="K2629">
        <v>2000000</v>
      </c>
    </row>
    <row r="2630" spans="1:11" ht="15" customHeight="1" x14ac:dyDescent="0.2">
      <c r="A2630" t="s">
        <v>4173</v>
      </c>
      <c r="B2630" t="s">
        <v>8644</v>
      </c>
      <c r="C2630">
        <v>2024</v>
      </c>
      <c r="D2630">
        <v>2024</v>
      </c>
      <c r="E2630" s="7">
        <v>45469</v>
      </c>
      <c r="F2630" s="7">
        <v>45833</v>
      </c>
      <c r="G2630" t="s">
        <v>135</v>
      </c>
      <c r="H2630" t="s">
        <v>106</v>
      </c>
      <c r="I2630" t="s">
        <v>101</v>
      </c>
      <c r="J2630">
        <v>9707.48</v>
      </c>
      <c r="K2630">
        <v>1000000</v>
      </c>
    </row>
    <row r="2631" spans="1:11" ht="15" customHeight="1" x14ac:dyDescent="0.2">
      <c r="A2631" t="s">
        <v>4174</v>
      </c>
      <c r="B2631" t="s">
        <v>8645</v>
      </c>
      <c r="C2631">
        <v>2024</v>
      </c>
      <c r="D2631">
        <v>2024</v>
      </c>
      <c r="E2631" s="7">
        <v>45469</v>
      </c>
      <c r="F2631" s="7">
        <v>45833</v>
      </c>
      <c r="G2631" t="s">
        <v>135</v>
      </c>
      <c r="H2631" t="s">
        <v>107</v>
      </c>
      <c r="I2631" t="s">
        <v>101</v>
      </c>
      <c r="J2631">
        <v>76888.69</v>
      </c>
      <c r="K2631">
        <v>10000000</v>
      </c>
    </row>
    <row r="2632" spans="1:11" ht="15" customHeight="1" x14ac:dyDescent="0.2">
      <c r="A2632" t="s">
        <v>4175</v>
      </c>
      <c r="B2632" t="s">
        <v>8646</v>
      </c>
      <c r="C2632">
        <v>2024</v>
      </c>
      <c r="D2632">
        <v>2024</v>
      </c>
      <c r="E2632" s="7">
        <v>45469</v>
      </c>
      <c r="F2632" s="7">
        <v>45833</v>
      </c>
      <c r="G2632" t="s">
        <v>135</v>
      </c>
      <c r="H2632" t="s">
        <v>108</v>
      </c>
      <c r="I2632" t="s">
        <v>104</v>
      </c>
      <c r="J2632">
        <v>15257.66</v>
      </c>
      <c r="K2632">
        <v>2000000</v>
      </c>
    </row>
    <row r="2633" spans="1:11" ht="15" customHeight="1" x14ac:dyDescent="0.2">
      <c r="A2633" t="s">
        <v>4176</v>
      </c>
      <c r="B2633" t="s">
        <v>8647</v>
      </c>
      <c r="C2633">
        <v>2024</v>
      </c>
      <c r="D2633">
        <v>2024</v>
      </c>
      <c r="E2633" s="7">
        <v>45469</v>
      </c>
      <c r="F2633" s="7">
        <v>45833</v>
      </c>
      <c r="G2633" t="s">
        <v>135</v>
      </c>
      <c r="H2633" t="s">
        <v>6348</v>
      </c>
      <c r="I2633" t="s">
        <v>101</v>
      </c>
      <c r="J2633">
        <v>7200.27</v>
      </c>
      <c r="K2633">
        <v>1000000</v>
      </c>
    </row>
    <row r="2634" spans="1:11" ht="15" customHeight="1" x14ac:dyDescent="0.2">
      <c r="A2634" t="s">
        <v>4177</v>
      </c>
      <c r="B2634" t="s">
        <v>3146</v>
      </c>
      <c r="C2634">
        <v>2024</v>
      </c>
      <c r="D2634">
        <v>2024</v>
      </c>
      <c r="E2634" s="7">
        <v>45470</v>
      </c>
      <c r="F2634" s="7">
        <v>45834</v>
      </c>
      <c r="G2634" t="s">
        <v>99</v>
      </c>
      <c r="H2634" t="s">
        <v>107</v>
      </c>
      <c r="I2634" t="s">
        <v>104</v>
      </c>
      <c r="J2634">
        <v>6150.23</v>
      </c>
      <c r="K2634">
        <v>1000000</v>
      </c>
    </row>
    <row r="2635" spans="1:11" ht="15" customHeight="1" x14ac:dyDescent="0.2">
      <c r="A2635" t="s">
        <v>4178</v>
      </c>
      <c r="B2635" t="s">
        <v>3148</v>
      </c>
      <c r="C2635">
        <v>2024</v>
      </c>
      <c r="D2635">
        <v>2024</v>
      </c>
      <c r="E2635" s="7">
        <v>45470</v>
      </c>
      <c r="F2635" s="7">
        <v>45834</v>
      </c>
      <c r="G2635" t="s">
        <v>99</v>
      </c>
      <c r="H2635" t="s">
        <v>106</v>
      </c>
      <c r="I2635" t="s">
        <v>101</v>
      </c>
      <c r="J2635">
        <v>4467.9399999999996</v>
      </c>
      <c r="K2635">
        <v>500000</v>
      </c>
    </row>
    <row r="2636" spans="1:11" ht="15" customHeight="1" x14ac:dyDescent="0.2">
      <c r="A2636" t="s">
        <v>4179</v>
      </c>
      <c r="B2636" t="s">
        <v>3163</v>
      </c>
      <c r="C2636">
        <v>2024</v>
      </c>
      <c r="D2636">
        <v>2024</v>
      </c>
      <c r="E2636" s="7">
        <v>45470</v>
      </c>
      <c r="F2636" s="7">
        <v>45834</v>
      </c>
      <c r="G2636" t="s">
        <v>99</v>
      </c>
      <c r="H2636" t="s">
        <v>106</v>
      </c>
      <c r="I2636" t="s">
        <v>104</v>
      </c>
      <c r="J2636">
        <v>7768.43</v>
      </c>
      <c r="K2636">
        <v>1000000</v>
      </c>
    </row>
    <row r="2637" spans="1:11" ht="15" customHeight="1" x14ac:dyDescent="0.2">
      <c r="A2637" t="s">
        <v>4180</v>
      </c>
      <c r="B2637" t="s">
        <v>3165</v>
      </c>
      <c r="C2637">
        <v>2024</v>
      </c>
      <c r="D2637">
        <v>2024</v>
      </c>
      <c r="E2637" s="7">
        <v>45470</v>
      </c>
      <c r="F2637" s="7">
        <v>45834</v>
      </c>
      <c r="G2637" t="s">
        <v>99</v>
      </c>
      <c r="H2637" t="s">
        <v>6334</v>
      </c>
      <c r="I2637" t="s">
        <v>104</v>
      </c>
      <c r="J2637">
        <v>61309.01</v>
      </c>
      <c r="K2637">
        <v>10000000</v>
      </c>
    </row>
    <row r="2638" spans="1:11" ht="15" customHeight="1" x14ac:dyDescent="0.2">
      <c r="A2638" t="s">
        <v>4181</v>
      </c>
      <c r="B2638" t="s">
        <v>3167</v>
      </c>
      <c r="C2638">
        <v>2024</v>
      </c>
      <c r="D2638">
        <v>2024</v>
      </c>
      <c r="E2638" s="7">
        <v>45470</v>
      </c>
      <c r="F2638" s="7">
        <v>45834</v>
      </c>
      <c r="G2638" t="s">
        <v>99</v>
      </c>
      <c r="H2638" t="s">
        <v>6348</v>
      </c>
      <c r="I2638" t="s">
        <v>104</v>
      </c>
      <c r="J2638">
        <v>8270.5300000000007</v>
      </c>
      <c r="K2638">
        <v>1500000</v>
      </c>
    </row>
    <row r="2639" spans="1:11" ht="15" customHeight="1" x14ac:dyDescent="0.2">
      <c r="A2639" t="s">
        <v>4182</v>
      </c>
      <c r="B2639" t="s">
        <v>3170</v>
      </c>
      <c r="C2639">
        <v>2024</v>
      </c>
      <c r="D2639">
        <v>2024</v>
      </c>
      <c r="E2639" s="7">
        <v>45470</v>
      </c>
      <c r="F2639" s="7">
        <v>45834</v>
      </c>
      <c r="G2639" t="s">
        <v>99</v>
      </c>
      <c r="H2639" t="s">
        <v>106</v>
      </c>
      <c r="I2639" t="s">
        <v>101</v>
      </c>
      <c r="J2639">
        <v>8928.39</v>
      </c>
      <c r="K2639">
        <v>1000000</v>
      </c>
    </row>
    <row r="2640" spans="1:11" ht="15" customHeight="1" x14ac:dyDescent="0.2">
      <c r="A2640" t="s">
        <v>4183</v>
      </c>
      <c r="B2640" t="s">
        <v>3172</v>
      </c>
      <c r="C2640">
        <v>2024</v>
      </c>
      <c r="D2640">
        <v>2024</v>
      </c>
      <c r="E2640" s="7">
        <v>45470</v>
      </c>
      <c r="F2640" s="7">
        <v>45834</v>
      </c>
      <c r="G2640" t="s">
        <v>99</v>
      </c>
      <c r="H2640" t="s">
        <v>108</v>
      </c>
      <c r="I2640" t="s">
        <v>104</v>
      </c>
      <c r="J2640">
        <v>3726.11</v>
      </c>
      <c r="K2640">
        <v>500000</v>
      </c>
    </row>
    <row r="2641" spans="1:11" ht="15" customHeight="1" x14ac:dyDescent="0.2">
      <c r="A2641" t="s">
        <v>4184</v>
      </c>
      <c r="B2641" t="s">
        <v>3183</v>
      </c>
      <c r="C2641">
        <v>2024</v>
      </c>
      <c r="D2641">
        <v>2024</v>
      </c>
      <c r="E2641" s="7">
        <v>45470</v>
      </c>
      <c r="F2641" s="7">
        <v>45834</v>
      </c>
      <c r="G2641" t="s">
        <v>99</v>
      </c>
      <c r="H2641" t="s">
        <v>106</v>
      </c>
      <c r="I2641" t="s">
        <v>104</v>
      </c>
      <c r="J2641">
        <v>13602.21</v>
      </c>
      <c r="K2641">
        <v>2000000</v>
      </c>
    </row>
    <row r="2642" spans="1:11" ht="15" customHeight="1" x14ac:dyDescent="0.2">
      <c r="A2642" t="s">
        <v>4185</v>
      </c>
      <c r="B2642" t="s">
        <v>8648</v>
      </c>
      <c r="C2642">
        <v>2024</v>
      </c>
      <c r="D2642">
        <v>2024</v>
      </c>
      <c r="E2642" s="7">
        <v>45470</v>
      </c>
      <c r="F2642" s="7">
        <v>45834</v>
      </c>
      <c r="G2642" t="s">
        <v>135</v>
      </c>
      <c r="H2642" t="s">
        <v>102</v>
      </c>
      <c r="I2642" t="s">
        <v>101</v>
      </c>
      <c r="J2642">
        <v>15658.17</v>
      </c>
      <c r="K2642">
        <v>2000000</v>
      </c>
    </row>
    <row r="2643" spans="1:11" ht="15" customHeight="1" x14ac:dyDescent="0.2">
      <c r="A2643" t="s">
        <v>4186</v>
      </c>
      <c r="B2643" t="s">
        <v>920</v>
      </c>
      <c r="C2643">
        <v>2024</v>
      </c>
      <c r="D2643">
        <v>2024</v>
      </c>
      <c r="E2643" s="7">
        <v>45470</v>
      </c>
      <c r="F2643" s="7">
        <v>45834</v>
      </c>
      <c r="G2643" t="s">
        <v>135</v>
      </c>
      <c r="H2643" t="s">
        <v>106</v>
      </c>
      <c r="I2643" t="s">
        <v>101</v>
      </c>
      <c r="J2643">
        <v>17883.419999999998</v>
      </c>
      <c r="K2643">
        <v>2000000</v>
      </c>
    </row>
    <row r="2644" spans="1:11" ht="15" customHeight="1" x14ac:dyDescent="0.2">
      <c r="A2644" t="s">
        <v>4187</v>
      </c>
      <c r="B2644" t="s">
        <v>8649</v>
      </c>
      <c r="C2644">
        <v>2024</v>
      </c>
      <c r="D2644">
        <v>2024</v>
      </c>
      <c r="E2644" s="7">
        <v>45470</v>
      </c>
      <c r="F2644" s="7">
        <v>45834</v>
      </c>
      <c r="G2644" t="s">
        <v>135</v>
      </c>
      <c r="H2644" t="s">
        <v>6348</v>
      </c>
      <c r="I2644" t="s">
        <v>104</v>
      </c>
      <c r="J2644">
        <v>11413.7</v>
      </c>
      <c r="K2644">
        <v>2000000</v>
      </c>
    </row>
    <row r="2645" spans="1:11" ht="15" customHeight="1" x14ac:dyDescent="0.2">
      <c r="A2645" t="s">
        <v>4189</v>
      </c>
      <c r="B2645" t="s">
        <v>557</v>
      </c>
      <c r="C2645">
        <v>2024</v>
      </c>
      <c r="D2645">
        <v>2024</v>
      </c>
      <c r="E2645" s="7">
        <v>45470</v>
      </c>
      <c r="F2645" s="7">
        <v>45834</v>
      </c>
      <c r="G2645" t="s">
        <v>135</v>
      </c>
      <c r="H2645" t="s">
        <v>106</v>
      </c>
      <c r="I2645" t="s">
        <v>101</v>
      </c>
      <c r="J2645">
        <v>17857.93</v>
      </c>
      <c r="K2645">
        <v>2000000</v>
      </c>
    </row>
    <row r="2646" spans="1:11" ht="15" customHeight="1" x14ac:dyDescent="0.2">
      <c r="A2646" t="s">
        <v>4191</v>
      </c>
      <c r="B2646" t="s">
        <v>6764</v>
      </c>
      <c r="C2646">
        <v>2024</v>
      </c>
      <c r="D2646">
        <v>2024</v>
      </c>
      <c r="E2646" s="7">
        <v>45470</v>
      </c>
      <c r="F2646" s="7">
        <v>45834</v>
      </c>
      <c r="G2646" t="s">
        <v>135</v>
      </c>
      <c r="H2646" t="s">
        <v>106</v>
      </c>
      <c r="I2646" t="s">
        <v>104</v>
      </c>
      <c r="J2646">
        <v>7399.65</v>
      </c>
      <c r="K2646">
        <v>1000000</v>
      </c>
    </row>
    <row r="2647" spans="1:11" ht="15" customHeight="1" x14ac:dyDescent="0.2">
      <c r="A2647" t="s">
        <v>4193</v>
      </c>
      <c r="B2647" t="s">
        <v>8650</v>
      </c>
      <c r="C2647">
        <v>2024</v>
      </c>
      <c r="D2647">
        <v>2024</v>
      </c>
      <c r="E2647" s="7">
        <v>45470</v>
      </c>
      <c r="F2647" s="7">
        <v>45834</v>
      </c>
      <c r="G2647" t="s">
        <v>135</v>
      </c>
      <c r="H2647" t="s">
        <v>109</v>
      </c>
      <c r="I2647" t="s">
        <v>101</v>
      </c>
      <c r="J2647">
        <v>6822.46</v>
      </c>
      <c r="K2647">
        <v>1000000</v>
      </c>
    </row>
    <row r="2648" spans="1:11" ht="15" customHeight="1" x14ac:dyDescent="0.2">
      <c r="A2648" t="s">
        <v>4195</v>
      </c>
      <c r="B2648" t="s">
        <v>8651</v>
      </c>
      <c r="C2648">
        <v>2024</v>
      </c>
      <c r="D2648">
        <v>2024</v>
      </c>
      <c r="E2648" s="7">
        <v>45470</v>
      </c>
      <c r="F2648" s="7">
        <v>45834</v>
      </c>
      <c r="G2648" t="s">
        <v>135</v>
      </c>
      <c r="H2648" t="s">
        <v>113</v>
      </c>
      <c r="I2648" t="s">
        <v>104</v>
      </c>
      <c r="J2648">
        <v>5454.94</v>
      </c>
      <c r="K2648">
        <v>1000000</v>
      </c>
    </row>
    <row r="2649" spans="1:11" ht="15" customHeight="1" x14ac:dyDescent="0.2">
      <c r="A2649" t="s">
        <v>4197</v>
      </c>
      <c r="B2649" t="s">
        <v>8652</v>
      </c>
      <c r="C2649">
        <v>2024</v>
      </c>
      <c r="D2649">
        <v>2024</v>
      </c>
      <c r="E2649" s="7">
        <v>45470</v>
      </c>
      <c r="F2649" s="7">
        <v>45834</v>
      </c>
      <c r="G2649" t="s">
        <v>135</v>
      </c>
      <c r="H2649" t="s">
        <v>115</v>
      </c>
      <c r="I2649" t="s">
        <v>104</v>
      </c>
      <c r="J2649">
        <v>5179.8</v>
      </c>
      <c r="K2649">
        <v>1000000</v>
      </c>
    </row>
    <row r="2650" spans="1:11" ht="15" customHeight="1" x14ac:dyDescent="0.2">
      <c r="A2650" t="s">
        <v>4198</v>
      </c>
      <c r="B2650" t="s">
        <v>7256</v>
      </c>
      <c r="C2650">
        <v>2024</v>
      </c>
      <c r="D2650">
        <v>2024</v>
      </c>
      <c r="E2650" s="7">
        <v>45470</v>
      </c>
      <c r="F2650" s="7">
        <v>45834</v>
      </c>
      <c r="G2650" t="s">
        <v>135</v>
      </c>
      <c r="H2650" t="s">
        <v>115</v>
      </c>
      <c r="I2650" t="s">
        <v>104</v>
      </c>
      <c r="J2650">
        <v>5455.22</v>
      </c>
      <c r="K2650">
        <v>1000000</v>
      </c>
    </row>
    <row r="2651" spans="1:11" ht="15" customHeight="1" x14ac:dyDescent="0.2">
      <c r="A2651" t="s">
        <v>4199</v>
      </c>
      <c r="B2651" t="s">
        <v>8653</v>
      </c>
      <c r="C2651">
        <v>2024</v>
      </c>
      <c r="D2651">
        <v>2024</v>
      </c>
      <c r="E2651" s="7">
        <v>45470</v>
      </c>
      <c r="F2651" s="7">
        <v>45834</v>
      </c>
      <c r="G2651" t="s">
        <v>135</v>
      </c>
      <c r="H2651" t="s">
        <v>107</v>
      </c>
      <c r="I2651" t="s">
        <v>104</v>
      </c>
      <c r="J2651">
        <v>6247.67</v>
      </c>
      <c r="K2651">
        <v>1000000</v>
      </c>
    </row>
    <row r="2652" spans="1:11" ht="15" customHeight="1" x14ac:dyDescent="0.2">
      <c r="A2652" t="s">
        <v>4200</v>
      </c>
      <c r="B2652" t="s">
        <v>6808</v>
      </c>
      <c r="C2652">
        <v>2024</v>
      </c>
      <c r="D2652">
        <v>2024</v>
      </c>
      <c r="E2652" s="7">
        <v>45470</v>
      </c>
      <c r="F2652" s="7">
        <v>45834</v>
      </c>
      <c r="G2652" t="s">
        <v>135</v>
      </c>
      <c r="H2652" t="s">
        <v>106</v>
      </c>
      <c r="I2652" t="s">
        <v>104</v>
      </c>
      <c r="J2652">
        <v>36194.11</v>
      </c>
      <c r="K2652">
        <v>5000000</v>
      </c>
    </row>
    <row r="2653" spans="1:11" ht="15" customHeight="1" x14ac:dyDescent="0.2">
      <c r="A2653" t="s">
        <v>4201</v>
      </c>
      <c r="B2653" t="s">
        <v>3185</v>
      </c>
      <c r="C2653">
        <v>2024</v>
      </c>
      <c r="D2653">
        <v>2024</v>
      </c>
      <c r="E2653" s="7">
        <v>45471</v>
      </c>
      <c r="F2653" s="7">
        <v>45835</v>
      </c>
      <c r="G2653" t="s">
        <v>99</v>
      </c>
      <c r="H2653" t="s">
        <v>112</v>
      </c>
      <c r="I2653" t="s">
        <v>101</v>
      </c>
      <c r="J2653">
        <v>17790.349999999999</v>
      </c>
      <c r="K2653">
        <v>2000000</v>
      </c>
    </row>
    <row r="2654" spans="1:11" ht="15" customHeight="1" x14ac:dyDescent="0.2">
      <c r="A2654" t="s">
        <v>4202</v>
      </c>
      <c r="B2654" t="s">
        <v>921</v>
      </c>
      <c r="C2654">
        <v>2024</v>
      </c>
      <c r="D2654">
        <v>2024</v>
      </c>
      <c r="E2654" s="7">
        <v>45471</v>
      </c>
      <c r="F2654" s="7">
        <v>45835</v>
      </c>
      <c r="G2654" t="s">
        <v>135</v>
      </c>
      <c r="H2654" t="s">
        <v>102</v>
      </c>
      <c r="I2654" t="s">
        <v>101</v>
      </c>
      <c r="J2654">
        <v>7569.22</v>
      </c>
      <c r="K2654">
        <v>1000000</v>
      </c>
    </row>
    <row r="2655" spans="1:11" ht="15" customHeight="1" x14ac:dyDescent="0.2">
      <c r="A2655" t="s">
        <v>4203</v>
      </c>
      <c r="B2655" t="s">
        <v>8654</v>
      </c>
      <c r="C2655">
        <v>2024</v>
      </c>
      <c r="D2655">
        <v>2024</v>
      </c>
      <c r="E2655" s="7">
        <v>45471</v>
      </c>
      <c r="F2655" s="7">
        <v>45835</v>
      </c>
      <c r="G2655" t="s">
        <v>135</v>
      </c>
      <c r="H2655" t="s">
        <v>110</v>
      </c>
      <c r="I2655" t="s">
        <v>104</v>
      </c>
      <c r="J2655">
        <v>13298.56</v>
      </c>
      <c r="K2655">
        <v>2000000</v>
      </c>
    </row>
    <row r="2656" spans="1:11" ht="15" customHeight="1" x14ac:dyDescent="0.2">
      <c r="A2656" t="s">
        <v>4204</v>
      </c>
      <c r="B2656" t="s">
        <v>348</v>
      </c>
      <c r="C2656">
        <v>2024</v>
      </c>
      <c r="D2656">
        <v>2024</v>
      </c>
      <c r="E2656" s="7">
        <v>45471</v>
      </c>
      <c r="F2656" s="7">
        <v>45835</v>
      </c>
      <c r="G2656" t="s">
        <v>135</v>
      </c>
      <c r="H2656" t="s">
        <v>107</v>
      </c>
      <c r="I2656" t="s">
        <v>104</v>
      </c>
      <c r="J2656">
        <v>9290.76</v>
      </c>
      <c r="K2656">
        <v>1500000</v>
      </c>
    </row>
    <row r="2657" spans="1:11" ht="15" customHeight="1" x14ac:dyDescent="0.2">
      <c r="A2657" t="s">
        <v>4205</v>
      </c>
      <c r="B2657" t="s">
        <v>8655</v>
      </c>
      <c r="C2657">
        <v>2024</v>
      </c>
      <c r="D2657">
        <v>2024</v>
      </c>
      <c r="E2657" s="7">
        <v>45471</v>
      </c>
      <c r="F2657" s="7">
        <v>45835</v>
      </c>
      <c r="G2657" t="s">
        <v>135</v>
      </c>
      <c r="H2657" t="s">
        <v>111</v>
      </c>
      <c r="I2657" t="s">
        <v>104</v>
      </c>
      <c r="J2657">
        <v>26775.35</v>
      </c>
      <c r="K2657">
        <v>5000000</v>
      </c>
    </row>
    <row r="2658" spans="1:11" ht="15" customHeight="1" x14ac:dyDescent="0.2">
      <c r="A2658" t="s">
        <v>4206</v>
      </c>
      <c r="B2658" t="s">
        <v>8656</v>
      </c>
      <c r="C2658">
        <v>2024</v>
      </c>
      <c r="D2658">
        <v>2024</v>
      </c>
      <c r="E2658" s="7">
        <v>45471</v>
      </c>
      <c r="F2658" s="7">
        <v>45835</v>
      </c>
      <c r="G2658" t="s">
        <v>135</v>
      </c>
      <c r="H2658" t="s">
        <v>114</v>
      </c>
      <c r="I2658" t="s">
        <v>101</v>
      </c>
      <c r="J2658">
        <v>9933.39</v>
      </c>
      <c r="K2658">
        <v>1500000</v>
      </c>
    </row>
    <row r="2659" spans="1:11" ht="15" customHeight="1" x14ac:dyDescent="0.2">
      <c r="A2659" t="s">
        <v>4207</v>
      </c>
      <c r="B2659" t="s">
        <v>6810</v>
      </c>
      <c r="C2659">
        <v>2024</v>
      </c>
      <c r="D2659">
        <v>2024</v>
      </c>
      <c r="E2659" s="7">
        <v>45471</v>
      </c>
      <c r="F2659" s="7">
        <v>45835</v>
      </c>
      <c r="G2659" t="s">
        <v>135</v>
      </c>
      <c r="H2659" t="s">
        <v>106</v>
      </c>
      <c r="I2659" t="s">
        <v>104</v>
      </c>
      <c r="J2659">
        <v>10069.59</v>
      </c>
      <c r="K2659">
        <v>1500000</v>
      </c>
    </row>
    <row r="2660" spans="1:11" ht="15" customHeight="1" x14ac:dyDescent="0.2">
      <c r="A2660" t="s">
        <v>4208</v>
      </c>
      <c r="B2660" t="s">
        <v>8657</v>
      </c>
      <c r="C2660">
        <v>2024</v>
      </c>
      <c r="D2660">
        <v>2024</v>
      </c>
      <c r="E2660" s="7">
        <v>45471</v>
      </c>
      <c r="F2660" s="7">
        <v>45835</v>
      </c>
      <c r="G2660" t="s">
        <v>135</v>
      </c>
      <c r="H2660" t="s">
        <v>113</v>
      </c>
      <c r="I2660" t="s">
        <v>101</v>
      </c>
      <c r="J2660">
        <v>10897.26</v>
      </c>
      <c r="K2660">
        <v>1500000</v>
      </c>
    </row>
    <row r="2661" spans="1:11" ht="15" customHeight="1" x14ac:dyDescent="0.2">
      <c r="A2661" t="s">
        <v>4209</v>
      </c>
      <c r="B2661" t="s">
        <v>559</v>
      </c>
      <c r="C2661">
        <v>2024</v>
      </c>
      <c r="D2661">
        <v>2024</v>
      </c>
      <c r="E2661" s="7">
        <v>45471</v>
      </c>
      <c r="F2661" s="7">
        <v>45835</v>
      </c>
      <c r="G2661" t="s">
        <v>135</v>
      </c>
      <c r="H2661" t="s">
        <v>106</v>
      </c>
      <c r="I2661" t="s">
        <v>101</v>
      </c>
      <c r="J2661">
        <v>13583.24</v>
      </c>
      <c r="K2661">
        <v>1500000</v>
      </c>
    </row>
    <row r="2662" spans="1:11" ht="15" customHeight="1" x14ac:dyDescent="0.2">
      <c r="A2662" t="s">
        <v>4210</v>
      </c>
      <c r="B2662" t="s">
        <v>558</v>
      </c>
      <c r="C2662">
        <v>2024</v>
      </c>
      <c r="D2662">
        <v>2024</v>
      </c>
      <c r="E2662" s="7">
        <v>45471</v>
      </c>
      <c r="F2662" s="7">
        <v>45835</v>
      </c>
      <c r="G2662" t="s">
        <v>135</v>
      </c>
      <c r="H2662" t="s">
        <v>100</v>
      </c>
      <c r="I2662" t="s">
        <v>101</v>
      </c>
      <c r="J2662">
        <v>3349.92</v>
      </c>
      <c r="K2662">
        <v>500000</v>
      </c>
    </row>
    <row r="2663" spans="1:11" ht="15" customHeight="1" x14ac:dyDescent="0.2">
      <c r="A2663" t="s">
        <v>4211</v>
      </c>
      <c r="B2663" t="s">
        <v>6768</v>
      </c>
      <c r="C2663">
        <v>2024</v>
      </c>
      <c r="D2663">
        <v>2024</v>
      </c>
      <c r="E2663" s="7">
        <v>45471</v>
      </c>
      <c r="F2663" s="7">
        <v>45835</v>
      </c>
      <c r="G2663" t="s">
        <v>135</v>
      </c>
      <c r="H2663" t="s">
        <v>105</v>
      </c>
      <c r="I2663" t="s">
        <v>101</v>
      </c>
      <c r="J2663">
        <v>10468.68</v>
      </c>
      <c r="K2663">
        <v>1500000</v>
      </c>
    </row>
    <row r="2664" spans="1:11" ht="15" customHeight="1" x14ac:dyDescent="0.2">
      <c r="A2664" t="s">
        <v>4212</v>
      </c>
      <c r="B2664" t="s">
        <v>349</v>
      </c>
      <c r="C2664">
        <v>2024</v>
      </c>
      <c r="D2664">
        <v>2024</v>
      </c>
      <c r="E2664" s="7">
        <v>45471</v>
      </c>
      <c r="F2664" s="7">
        <v>45835</v>
      </c>
      <c r="G2664" t="s">
        <v>135</v>
      </c>
      <c r="H2664" t="s">
        <v>107</v>
      </c>
      <c r="I2664" t="s">
        <v>104</v>
      </c>
      <c r="J2664">
        <v>9324.06</v>
      </c>
      <c r="K2664">
        <v>1500000</v>
      </c>
    </row>
    <row r="2665" spans="1:11" ht="15" customHeight="1" x14ac:dyDescent="0.2">
      <c r="A2665" t="s">
        <v>4214</v>
      </c>
      <c r="B2665" t="s">
        <v>560</v>
      </c>
      <c r="C2665">
        <v>2024</v>
      </c>
      <c r="D2665">
        <v>2024</v>
      </c>
      <c r="E2665" s="7">
        <v>45471</v>
      </c>
      <c r="F2665" s="7">
        <v>45835</v>
      </c>
      <c r="G2665" t="s">
        <v>135</v>
      </c>
      <c r="H2665" t="s">
        <v>102</v>
      </c>
      <c r="I2665" t="s">
        <v>101</v>
      </c>
      <c r="J2665">
        <v>9817.86</v>
      </c>
      <c r="K2665">
        <v>1500000</v>
      </c>
    </row>
    <row r="2666" spans="1:11" ht="15" customHeight="1" x14ac:dyDescent="0.2">
      <c r="A2666" t="s">
        <v>4216</v>
      </c>
      <c r="B2666" t="s">
        <v>3187</v>
      </c>
      <c r="C2666">
        <v>2024</v>
      </c>
      <c r="D2666">
        <v>2024</v>
      </c>
      <c r="E2666" s="7">
        <v>45472</v>
      </c>
      <c r="F2666" s="7">
        <v>45836</v>
      </c>
      <c r="G2666" t="s">
        <v>99</v>
      </c>
      <c r="H2666" t="s">
        <v>109</v>
      </c>
      <c r="I2666" t="s">
        <v>101</v>
      </c>
      <c r="J2666">
        <v>7857.2</v>
      </c>
      <c r="K2666">
        <v>1000000</v>
      </c>
    </row>
    <row r="2667" spans="1:11" ht="15" customHeight="1" x14ac:dyDescent="0.2">
      <c r="A2667" t="s">
        <v>4217</v>
      </c>
      <c r="B2667" t="s">
        <v>3189</v>
      </c>
      <c r="C2667">
        <v>2024</v>
      </c>
      <c r="D2667">
        <v>2024</v>
      </c>
      <c r="E2667" s="7">
        <v>45472</v>
      </c>
      <c r="F2667" s="7">
        <v>45836</v>
      </c>
      <c r="G2667" t="s">
        <v>99</v>
      </c>
      <c r="H2667" t="s">
        <v>102</v>
      </c>
      <c r="I2667" t="s">
        <v>101</v>
      </c>
      <c r="J2667">
        <v>36317.339999999997</v>
      </c>
      <c r="K2667">
        <v>5000000</v>
      </c>
    </row>
    <row r="2668" spans="1:11" ht="15" customHeight="1" x14ac:dyDescent="0.2">
      <c r="A2668" t="s">
        <v>4218</v>
      </c>
      <c r="B2668" t="s">
        <v>6765</v>
      </c>
      <c r="C2668">
        <v>2024</v>
      </c>
      <c r="D2668">
        <v>2024</v>
      </c>
      <c r="E2668" s="7">
        <v>45472</v>
      </c>
      <c r="F2668" s="7">
        <v>45836</v>
      </c>
      <c r="G2668" t="s">
        <v>135</v>
      </c>
      <c r="H2668" t="s">
        <v>103</v>
      </c>
      <c r="I2668" t="s">
        <v>101</v>
      </c>
      <c r="J2668">
        <v>35742.870000000003</v>
      </c>
      <c r="K2668">
        <v>5000000</v>
      </c>
    </row>
    <row r="2669" spans="1:11" ht="15" customHeight="1" x14ac:dyDescent="0.2">
      <c r="A2669" t="s">
        <v>4219</v>
      </c>
      <c r="B2669" t="s">
        <v>8658</v>
      </c>
      <c r="C2669">
        <v>2024</v>
      </c>
      <c r="D2669">
        <v>2024</v>
      </c>
      <c r="E2669" s="7">
        <v>45472</v>
      </c>
      <c r="F2669" s="7">
        <v>45836</v>
      </c>
      <c r="G2669" t="s">
        <v>135</v>
      </c>
      <c r="H2669" t="s">
        <v>106</v>
      </c>
      <c r="I2669" t="s">
        <v>104</v>
      </c>
      <c r="J2669">
        <v>7364.68</v>
      </c>
      <c r="K2669">
        <v>1000000</v>
      </c>
    </row>
    <row r="2670" spans="1:11" ht="15" customHeight="1" x14ac:dyDescent="0.2">
      <c r="A2670" t="s">
        <v>4220</v>
      </c>
      <c r="B2670" t="s">
        <v>8659</v>
      </c>
      <c r="C2670">
        <v>2024</v>
      </c>
      <c r="D2670">
        <v>2024</v>
      </c>
      <c r="E2670" s="7">
        <v>45472</v>
      </c>
      <c r="F2670" s="7">
        <v>45836</v>
      </c>
      <c r="G2670" t="s">
        <v>135</v>
      </c>
      <c r="H2670" t="s">
        <v>102</v>
      </c>
      <c r="I2670" t="s">
        <v>101</v>
      </c>
      <c r="J2670">
        <v>12976.71</v>
      </c>
      <c r="K2670">
        <v>2000000</v>
      </c>
    </row>
    <row r="2671" spans="1:11" ht="15" customHeight="1" x14ac:dyDescent="0.2">
      <c r="A2671" t="s">
        <v>4221</v>
      </c>
      <c r="B2671" t="s">
        <v>922</v>
      </c>
      <c r="C2671">
        <v>2024</v>
      </c>
      <c r="D2671">
        <v>2024</v>
      </c>
      <c r="E2671" s="7">
        <v>45472</v>
      </c>
      <c r="F2671" s="7">
        <v>45836</v>
      </c>
      <c r="G2671" t="s">
        <v>135</v>
      </c>
      <c r="H2671" t="s">
        <v>106</v>
      </c>
      <c r="I2671" t="s">
        <v>104</v>
      </c>
      <c r="J2671">
        <v>6469.66</v>
      </c>
      <c r="K2671">
        <v>1000000</v>
      </c>
    </row>
    <row r="2672" spans="1:11" ht="15" customHeight="1" x14ac:dyDescent="0.2">
      <c r="A2672" t="s">
        <v>4222</v>
      </c>
      <c r="B2672" t="s">
        <v>8660</v>
      </c>
      <c r="C2672">
        <v>2024</v>
      </c>
      <c r="D2672">
        <v>2024</v>
      </c>
      <c r="E2672" s="7">
        <v>45472</v>
      </c>
      <c r="F2672" s="7">
        <v>45836</v>
      </c>
      <c r="G2672" t="s">
        <v>135</v>
      </c>
      <c r="H2672" t="s">
        <v>106</v>
      </c>
      <c r="I2672" t="s">
        <v>101</v>
      </c>
      <c r="J2672">
        <v>13574.4</v>
      </c>
      <c r="K2672">
        <v>1500000</v>
      </c>
    </row>
    <row r="2673" spans="1:11" ht="15" customHeight="1" x14ac:dyDescent="0.2">
      <c r="A2673" t="s">
        <v>4223</v>
      </c>
      <c r="B2673" t="s">
        <v>8661</v>
      </c>
      <c r="C2673">
        <v>2024</v>
      </c>
      <c r="D2673">
        <v>2024</v>
      </c>
      <c r="E2673" s="7">
        <v>45472</v>
      </c>
      <c r="F2673" s="7">
        <v>45836</v>
      </c>
      <c r="G2673" t="s">
        <v>135</v>
      </c>
      <c r="H2673" t="s">
        <v>110</v>
      </c>
      <c r="I2673" t="s">
        <v>101</v>
      </c>
      <c r="J2673">
        <v>4257.83</v>
      </c>
      <c r="K2673">
        <v>500000</v>
      </c>
    </row>
    <row r="2674" spans="1:11" ht="15" customHeight="1" x14ac:dyDescent="0.2">
      <c r="A2674" t="s">
        <v>4225</v>
      </c>
      <c r="B2674" t="s">
        <v>8662</v>
      </c>
      <c r="C2674">
        <v>2024</v>
      </c>
      <c r="D2674">
        <v>2024</v>
      </c>
      <c r="E2674" s="7">
        <v>45472</v>
      </c>
      <c r="F2674" s="7">
        <v>45836</v>
      </c>
      <c r="G2674" t="s">
        <v>135</v>
      </c>
      <c r="H2674" t="s">
        <v>102</v>
      </c>
      <c r="I2674" t="s">
        <v>104</v>
      </c>
      <c r="J2674">
        <v>11457.92</v>
      </c>
      <c r="K2674">
        <v>2000000</v>
      </c>
    </row>
    <row r="2675" spans="1:11" ht="15" customHeight="1" x14ac:dyDescent="0.2">
      <c r="A2675" t="s">
        <v>4228</v>
      </c>
      <c r="B2675" t="s">
        <v>6772</v>
      </c>
      <c r="C2675">
        <v>2024</v>
      </c>
      <c r="D2675">
        <v>2024</v>
      </c>
      <c r="E2675" s="7">
        <v>45472</v>
      </c>
      <c r="F2675" s="7">
        <v>45836</v>
      </c>
      <c r="G2675" t="s">
        <v>135</v>
      </c>
      <c r="H2675" t="s">
        <v>107</v>
      </c>
      <c r="I2675" t="s">
        <v>101</v>
      </c>
      <c r="J2675">
        <v>11619.8</v>
      </c>
      <c r="K2675">
        <v>1500000</v>
      </c>
    </row>
    <row r="2676" spans="1:11" ht="15" customHeight="1" x14ac:dyDescent="0.2">
      <c r="A2676" t="s">
        <v>4229</v>
      </c>
      <c r="B2676" t="s">
        <v>6766</v>
      </c>
      <c r="C2676">
        <v>2024</v>
      </c>
      <c r="D2676">
        <v>2024</v>
      </c>
      <c r="E2676" s="7">
        <v>45472</v>
      </c>
      <c r="F2676" s="7">
        <v>45836</v>
      </c>
      <c r="G2676" t="s">
        <v>135</v>
      </c>
      <c r="H2676" t="s">
        <v>107</v>
      </c>
      <c r="I2676" t="s">
        <v>101</v>
      </c>
      <c r="J2676">
        <v>10362.66</v>
      </c>
      <c r="K2676">
        <v>1500000</v>
      </c>
    </row>
    <row r="2677" spans="1:11" ht="15" customHeight="1" x14ac:dyDescent="0.2">
      <c r="A2677" t="s">
        <v>4231</v>
      </c>
      <c r="B2677" t="s">
        <v>6786</v>
      </c>
      <c r="C2677">
        <v>2024</v>
      </c>
      <c r="D2677">
        <v>2024</v>
      </c>
      <c r="E2677" s="7">
        <v>45472</v>
      </c>
      <c r="F2677" s="7">
        <v>45836</v>
      </c>
      <c r="G2677" t="s">
        <v>135</v>
      </c>
      <c r="H2677" t="s">
        <v>110</v>
      </c>
      <c r="I2677" t="s">
        <v>104</v>
      </c>
      <c r="J2677">
        <v>3935.02</v>
      </c>
      <c r="K2677">
        <v>500000</v>
      </c>
    </row>
    <row r="2678" spans="1:11" ht="15" customHeight="1" x14ac:dyDescent="0.2">
      <c r="A2678" t="s">
        <v>4232</v>
      </c>
      <c r="B2678" t="s">
        <v>8663</v>
      </c>
      <c r="C2678">
        <v>2024</v>
      </c>
      <c r="D2678">
        <v>2024</v>
      </c>
      <c r="E2678" s="7">
        <v>45472</v>
      </c>
      <c r="F2678" s="7">
        <v>45836</v>
      </c>
      <c r="G2678" t="s">
        <v>135</v>
      </c>
      <c r="H2678" t="s">
        <v>6332</v>
      </c>
      <c r="I2678" t="s">
        <v>104</v>
      </c>
      <c r="J2678">
        <v>10438.780000000001</v>
      </c>
      <c r="K2678">
        <v>2000000</v>
      </c>
    </row>
    <row r="2679" spans="1:11" ht="15" customHeight="1" x14ac:dyDescent="0.2">
      <c r="A2679" t="s">
        <v>4233</v>
      </c>
      <c r="B2679" t="s">
        <v>8664</v>
      </c>
      <c r="C2679">
        <v>2024</v>
      </c>
      <c r="D2679">
        <v>2024</v>
      </c>
      <c r="E2679" s="7">
        <v>45472</v>
      </c>
      <c r="F2679" s="7">
        <v>45836</v>
      </c>
      <c r="G2679" t="s">
        <v>135</v>
      </c>
      <c r="H2679" t="s">
        <v>110</v>
      </c>
      <c r="I2679" t="s">
        <v>101</v>
      </c>
      <c r="J2679">
        <v>13804.88</v>
      </c>
      <c r="K2679">
        <v>1500000</v>
      </c>
    </row>
    <row r="2680" spans="1:11" ht="15" customHeight="1" x14ac:dyDescent="0.2">
      <c r="A2680" t="s">
        <v>4234</v>
      </c>
      <c r="B2680" t="s">
        <v>3191</v>
      </c>
      <c r="C2680">
        <v>2024</v>
      </c>
      <c r="D2680">
        <v>2024</v>
      </c>
      <c r="E2680" s="7">
        <v>45473</v>
      </c>
      <c r="F2680" s="7">
        <v>45837</v>
      </c>
      <c r="G2680" t="s">
        <v>99</v>
      </c>
      <c r="H2680" t="s">
        <v>106</v>
      </c>
      <c r="I2680" t="s">
        <v>101</v>
      </c>
      <c r="J2680">
        <v>8468.0400000000009</v>
      </c>
      <c r="K2680">
        <v>1000000</v>
      </c>
    </row>
    <row r="2681" spans="1:11" ht="15" customHeight="1" x14ac:dyDescent="0.2">
      <c r="A2681" t="s">
        <v>4235</v>
      </c>
      <c r="B2681" t="s">
        <v>3200</v>
      </c>
      <c r="C2681">
        <v>2024</v>
      </c>
      <c r="D2681">
        <v>2024</v>
      </c>
      <c r="E2681" s="7">
        <v>45473</v>
      </c>
      <c r="F2681" s="7">
        <v>45837</v>
      </c>
      <c r="G2681" t="s">
        <v>99</v>
      </c>
      <c r="H2681" t="s">
        <v>103</v>
      </c>
      <c r="I2681" t="s">
        <v>104</v>
      </c>
      <c r="J2681">
        <v>10818.94</v>
      </c>
      <c r="K2681">
        <v>2000000</v>
      </c>
    </row>
    <row r="2682" spans="1:11" ht="15" customHeight="1" x14ac:dyDescent="0.2">
      <c r="A2682" t="s">
        <v>4236</v>
      </c>
      <c r="B2682" t="s">
        <v>3202</v>
      </c>
      <c r="C2682">
        <v>2024</v>
      </c>
      <c r="D2682">
        <v>2024</v>
      </c>
      <c r="E2682" s="7">
        <v>45473</v>
      </c>
      <c r="F2682" s="7">
        <v>45837</v>
      </c>
      <c r="G2682" t="s">
        <v>99</v>
      </c>
      <c r="H2682" t="s">
        <v>107</v>
      </c>
      <c r="I2682" t="s">
        <v>104</v>
      </c>
      <c r="J2682">
        <v>28801.16</v>
      </c>
      <c r="K2682">
        <v>5000000</v>
      </c>
    </row>
    <row r="2683" spans="1:11" ht="15" customHeight="1" x14ac:dyDescent="0.2">
      <c r="A2683" t="s">
        <v>4237</v>
      </c>
      <c r="B2683" t="s">
        <v>3204</v>
      </c>
      <c r="C2683">
        <v>2024</v>
      </c>
      <c r="D2683">
        <v>2024</v>
      </c>
      <c r="E2683" s="7">
        <v>45473</v>
      </c>
      <c r="F2683" s="7">
        <v>45837</v>
      </c>
      <c r="G2683" t="s">
        <v>99</v>
      </c>
      <c r="H2683" t="s">
        <v>108</v>
      </c>
      <c r="I2683" t="s">
        <v>104</v>
      </c>
      <c r="J2683">
        <v>7618.3</v>
      </c>
      <c r="K2683">
        <v>1000000</v>
      </c>
    </row>
    <row r="2684" spans="1:11" ht="15" customHeight="1" x14ac:dyDescent="0.2">
      <c r="A2684" t="s">
        <v>4238</v>
      </c>
      <c r="B2684" t="s">
        <v>8665</v>
      </c>
      <c r="C2684">
        <v>2024</v>
      </c>
      <c r="D2684">
        <v>2024</v>
      </c>
      <c r="E2684" s="7">
        <v>45473</v>
      </c>
      <c r="F2684" s="7">
        <v>45837</v>
      </c>
      <c r="G2684" t="s">
        <v>135</v>
      </c>
      <c r="H2684" t="s">
        <v>111</v>
      </c>
      <c r="I2684" t="s">
        <v>104</v>
      </c>
      <c r="J2684">
        <v>52740.84</v>
      </c>
      <c r="K2684">
        <v>10000000</v>
      </c>
    </row>
    <row r="2685" spans="1:11" ht="15" customHeight="1" x14ac:dyDescent="0.2">
      <c r="A2685" t="s">
        <v>4239</v>
      </c>
      <c r="B2685" t="s">
        <v>8666</v>
      </c>
      <c r="C2685">
        <v>2024</v>
      </c>
      <c r="D2685">
        <v>2024</v>
      </c>
      <c r="E2685" s="7">
        <v>45473</v>
      </c>
      <c r="F2685" s="7">
        <v>45837</v>
      </c>
      <c r="G2685" t="s">
        <v>135</v>
      </c>
      <c r="H2685" t="s">
        <v>107</v>
      </c>
      <c r="I2685" t="s">
        <v>101</v>
      </c>
      <c r="J2685">
        <v>7472.02</v>
      </c>
      <c r="K2685">
        <v>1000000</v>
      </c>
    </row>
    <row r="2686" spans="1:11" ht="15" customHeight="1" x14ac:dyDescent="0.2">
      <c r="A2686" t="s">
        <v>4240</v>
      </c>
      <c r="B2686" t="s">
        <v>924</v>
      </c>
      <c r="C2686">
        <v>2024</v>
      </c>
      <c r="D2686">
        <v>2024</v>
      </c>
      <c r="E2686" s="7">
        <v>45473</v>
      </c>
      <c r="F2686" s="7">
        <v>45837</v>
      </c>
      <c r="G2686" t="s">
        <v>135</v>
      </c>
      <c r="H2686" t="s">
        <v>102</v>
      </c>
      <c r="I2686" t="s">
        <v>104</v>
      </c>
      <c r="J2686">
        <v>8986.5300000000007</v>
      </c>
      <c r="K2686">
        <v>1500000</v>
      </c>
    </row>
    <row r="2687" spans="1:11" ht="15" customHeight="1" x14ac:dyDescent="0.2">
      <c r="A2687" t="s">
        <v>4242</v>
      </c>
      <c r="B2687" t="s">
        <v>8667</v>
      </c>
      <c r="C2687">
        <v>2024</v>
      </c>
      <c r="D2687">
        <v>2024</v>
      </c>
      <c r="E2687" s="7">
        <v>45473</v>
      </c>
      <c r="F2687" s="7">
        <v>45837</v>
      </c>
      <c r="G2687" t="s">
        <v>135</v>
      </c>
      <c r="H2687" t="s">
        <v>107</v>
      </c>
      <c r="I2687" t="s">
        <v>104</v>
      </c>
      <c r="J2687">
        <v>26249.01</v>
      </c>
      <c r="K2687">
        <v>5000000</v>
      </c>
    </row>
    <row r="2688" spans="1:11" ht="15" customHeight="1" x14ac:dyDescent="0.2">
      <c r="A2688" t="s">
        <v>4243</v>
      </c>
      <c r="B2688" t="s">
        <v>8668</v>
      </c>
      <c r="C2688">
        <v>2024</v>
      </c>
      <c r="D2688">
        <v>2024</v>
      </c>
      <c r="E2688" s="7">
        <v>45473</v>
      </c>
      <c r="F2688" s="7">
        <v>45837</v>
      </c>
      <c r="G2688" t="s">
        <v>135</v>
      </c>
      <c r="H2688" t="s">
        <v>109</v>
      </c>
      <c r="I2688" t="s">
        <v>101</v>
      </c>
      <c r="J2688">
        <v>70263.88</v>
      </c>
      <c r="K2688">
        <v>10000000</v>
      </c>
    </row>
    <row r="2689" spans="1:11" ht="15" customHeight="1" x14ac:dyDescent="0.2">
      <c r="A2689" t="s">
        <v>4244</v>
      </c>
      <c r="B2689" t="s">
        <v>923</v>
      </c>
      <c r="C2689">
        <v>2024</v>
      </c>
      <c r="D2689">
        <v>2024</v>
      </c>
      <c r="E2689" s="7">
        <v>45473</v>
      </c>
      <c r="F2689" s="7">
        <v>45837</v>
      </c>
      <c r="G2689" t="s">
        <v>135</v>
      </c>
      <c r="H2689" t="s">
        <v>114</v>
      </c>
      <c r="I2689" t="s">
        <v>104</v>
      </c>
      <c r="J2689">
        <v>62724.28</v>
      </c>
      <c r="K2689">
        <v>10000000</v>
      </c>
    </row>
    <row r="2690" spans="1:11" ht="15" customHeight="1" x14ac:dyDescent="0.2">
      <c r="A2690" t="s">
        <v>4245</v>
      </c>
      <c r="B2690" t="s">
        <v>8669</v>
      </c>
      <c r="C2690">
        <v>2024</v>
      </c>
      <c r="D2690">
        <v>2024</v>
      </c>
      <c r="E2690" s="7">
        <v>45473</v>
      </c>
      <c r="F2690" s="7">
        <v>45837</v>
      </c>
      <c r="G2690" t="s">
        <v>135</v>
      </c>
      <c r="H2690" t="s">
        <v>106</v>
      </c>
      <c r="I2690" t="s">
        <v>101</v>
      </c>
      <c r="J2690">
        <v>12616.39</v>
      </c>
      <c r="K2690">
        <v>1500000</v>
      </c>
    </row>
    <row r="2691" spans="1:11" ht="15" customHeight="1" x14ac:dyDescent="0.2">
      <c r="A2691" t="s">
        <v>4246</v>
      </c>
      <c r="B2691" t="s">
        <v>8670</v>
      </c>
      <c r="C2691">
        <v>2024</v>
      </c>
      <c r="D2691">
        <v>2024</v>
      </c>
      <c r="E2691" s="7">
        <v>45473</v>
      </c>
      <c r="F2691" s="7">
        <v>45837</v>
      </c>
      <c r="G2691" t="s">
        <v>135</v>
      </c>
      <c r="H2691" t="s">
        <v>114</v>
      </c>
      <c r="I2691" t="s">
        <v>104</v>
      </c>
      <c r="J2691">
        <v>53606.31</v>
      </c>
      <c r="K2691">
        <v>10000000</v>
      </c>
    </row>
    <row r="2692" spans="1:11" ht="15" customHeight="1" x14ac:dyDescent="0.2">
      <c r="A2692" t="s">
        <v>4247</v>
      </c>
      <c r="B2692" t="s">
        <v>350</v>
      </c>
      <c r="C2692">
        <v>2024</v>
      </c>
      <c r="D2692">
        <v>2024</v>
      </c>
      <c r="E2692" s="7">
        <v>45473</v>
      </c>
      <c r="F2692" s="7">
        <v>45837</v>
      </c>
      <c r="G2692" t="s">
        <v>135</v>
      </c>
      <c r="H2692" t="s">
        <v>106</v>
      </c>
      <c r="I2692" t="s">
        <v>101</v>
      </c>
      <c r="J2692">
        <v>43626.95</v>
      </c>
      <c r="K2692">
        <v>5000000</v>
      </c>
    </row>
    <row r="2693" spans="1:11" ht="15" customHeight="1" x14ac:dyDescent="0.2">
      <c r="A2693" t="s">
        <v>4248</v>
      </c>
      <c r="B2693" t="s">
        <v>8671</v>
      </c>
      <c r="C2693">
        <v>2024</v>
      </c>
      <c r="D2693">
        <v>2024</v>
      </c>
      <c r="E2693" s="7">
        <v>45473</v>
      </c>
      <c r="F2693" s="7">
        <v>45837</v>
      </c>
      <c r="G2693" t="s">
        <v>135</v>
      </c>
      <c r="H2693" t="s">
        <v>106</v>
      </c>
      <c r="I2693" t="s">
        <v>101</v>
      </c>
      <c r="J2693">
        <v>8425.85</v>
      </c>
      <c r="K2693">
        <v>1000000</v>
      </c>
    </row>
    <row r="2694" spans="1:11" ht="15" customHeight="1" x14ac:dyDescent="0.2">
      <c r="A2694" t="s">
        <v>4250</v>
      </c>
      <c r="B2694" t="s">
        <v>8672</v>
      </c>
      <c r="C2694">
        <v>2024</v>
      </c>
      <c r="D2694">
        <v>2024</v>
      </c>
      <c r="E2694" s="7">
        <v>45473</v>
      </c>
      <c r="F2694" s="7">
        <v>45837</v>
      </c>
      <c r="G2694" t="s">
        <v>135</v>
      </c>
      <c r="H2694" t="s">
        <v>106</v>
      </c>
      <c r="I2694" t="s">
        <v>101</v>
      </c>
      <c r="J2694">
        <v>45785.74</v>
      </c>
      <c r="K2694">
        <v>5000000</v>
      </c>
    </row>
    <row r="2695" spans="1:11" ht="15" customHeight="1" x14ac:dyDescent="0.2">
      <c r="A2695" t="s">
        <v>4252</v>
      </c>
      <c r="B2695" t="s">
        <v>8673</v>
      </c>
      <c r="C2695">
        <v>2024</v>
      </c>
      <c r="D2695">
        <v>2024</v>
      </c>
      <c r="E2695" s="7">
        <v>45473</v>
      </c>
      <c r="F2695" s="7">
        <v>45837</v>
      </c>
      <c r="G2695" t="s">
        <v>135</v>
      </c>
      <c r="H2695" t="s">
        <v>102</v>
      </c>
      <c r="I2695" t="s">
        <v>101</v>
      </c>
      <c r="J2695">
        <v>6870</v>
      </c>
      <c r="K2695">
        <v>1000000</v>
      </c>
    </row>
    <row r="2696" spans="1:11" ht="15" customHeight="1" x14ac:dyDescent="0.2">
      <c r="A2696" t="s">
        <v>4254</v>
      </c>
      <c r="B2696" t="s">
        <v>3220</v>
      </c>
      <c r="C2696">
        <v>2024</v>
      </c>
      <c r="D2696">
        <v>2024</v>
      </c>
      <c r="E2696" s="7">
        <v>45474</v>
      </c>
      <c r="F2696" s="7">
        <v>45838</v>
      </c>
      <c r="G2696" t="s">
        <v>99</v>
      </c>
      <c r="H2696" t="s">
        <v>109</v>
      </c>
      <c r="I2696" t="s">
        <v>101</v>
      </c>
      <c r="J2696">
        <v>6680.3</v>
      </c>
      <c r="K2696">
        <v>1000000</v>
      </c>
    </row>
    <row r="2697" spans="1:11" ht="15" customHeight="1" x14ac:dyDescent="0.2">
      <c r="A2697" t="s">
        <v>4256</v>
      </c>
      <c r="B2697" t="s">
        <v>3222</v>
      </c>
      <c r="C2697">
        <v>2024</v>
      </c>
      <c r="D2697">
        <v>2024</v>
      </c>
      <c r="E2697" s="7">
        <v>45474</v>
      </c>
      <c r="F2697" s="7">
        <v>45838</v>
      </c>
      <c r="G2697" t="s">
        <v>99</v>
      </c>
      <c r="H2697" t="s">
        <v>102</v>
      </c>
      <c r="I2697" t="s">
        <v>104</v>
      </c>
      <c r="J2697">
        <v>5727.53</v>
      </c>
      <c r="K2697">
        <v>1000000</v>
      </c>
    </row>
    <row r="2698" spans="1:11" ht="15" customHeight="1" x14ac:dyDescent="0.2">
      <c r="A2698" t="s">
        <v>4257</v>
      </c>
      <c r="B2698" t="s">
        <v>3236</v>
      </c>
      <c r="C2698">
        <v>2024</v>
      </c>
      <c r="D2698">
        <v>2024</v>
      </c>
      <c r="E2698" s="7">
        <v>45474</v>
      </c>
      <c r="F2698" s="7">
        <v>45838</v>
      </c>
      <c r="G2698" t="s">
        <v>99</v>
      </c>
      <c r="H2698" t="s">
        <v>115</v>
      </c>
      <c r="I2698" t="s">
        <v>104</v>
      </c>
      <c r="J2698">
        <v>8456.1200000000008</v>
      </c>
      <c r="K2698">
        <v>1500000</v>
      </c>
    </row>
    <row r="2699" spans="1:11" ht="15" customHeight="1" x14ac:dyDescent="0.2">
      <c r="A2699" t="s">
        <v>4258</v>
      </c>
      <c r="B2699" t="s">
        <v>3238</v>
      </c>
      <c r="C2699">
        <v>2024</v>
      </c>
      <c r="D2699">
        <v>2024</v>
      </c>
      <c r="E2699" s="7">
        <v>45474</v>
      </c>
      <c r="F2699" s="7">
        <v>45838</v>
      </c>
      <c r="G2699" t="s">
        <v>99</v>
      </c>
      <c r="H2699" t="s">
        <v>102</v>
      </c>
      <c r="I2699" t="s">
        <v>101</v>
      </c>
      <c r="J2699">
        <v>3565.96</v>
      </c>
      <c r="K2699">
        <v>500000</v>
      </c>
    </row>
    <row r="2700" spans="1:11" ht="15" customHeight="1" x14ac:dyDescent="0.2">
      <c r="A2700" t="s">
        <v>4259</v>
      </c>
      <c r="B2700" t="s">
        <v>3249</v>
      </c>
      <c r="C2700">
        <v>2024</v>
      </c>
      <c r="D2700">
        <v>2024</v>
      </c>
      <c r="E2700" s="7">
        <v>45474</v>
      </c>
      <c r="F2700" s="7">
        <v>45838</v>
      </c>
      <c r="G2700" t="s">
        <v>99</v>
      </c>
      <c r="H2700" t="s">
        <v>108</v>
      </c>
      <c r="I2700" t="s">
        <v>104</v>
      </c>
      <c r="J2700">
        <v>6831.08</v>
      </c>
      <c r="K2700">
        <v>1000000</v>
      </c>
    </row>
    <row r="2701" spans="1:11" ht="15" customHeight="1" x14ac:dyDescent="0.2">
      <c r="A2701" t="s">
        <v>4260</v>
      </c>
      <c r="B2701" t="s">
        <v>3251</v>
      </c>
      <c r="C2701">
        <v>2024</v>
      </c>
      <c r="D2701">
        <v>2024</v>
      </c>
      <c r="E2701" s="7">
        <v>45474</v>
      </c>
      <c r="F2701" s="7">
        <v>45838</v>
      </c>
      <c r="G2701" t="s">
        <v>99</v>
      </c>
      <c r="H2701" t="s">
        <v>106</v>
      </c>
      <c r="I2701" t="s">
        <v>104</v>
      </c>
      <c r="J2701">
        <v>39130.49</v>
      </c>
      <c r="K2701">
        <v>5000000</v>
      </c>
    </row>
    <row r="2702" spans="1:11" ht="15" customHeight="1" x14ac:dyDescent="0.2">
      <c r="A2702" t="s">
        <v>4261</v>
      </c>
      <c r="B2702" t="s">
        <v>3253</v>
      </c>
      <c r="C2702">
        <v>2024</v>
      </c>
      <c r="D2702">
        <v>2024</v>
      </c>
      <c r="E2702" s="7">
        <v>45474</v>
      </c>
      <c r="F2702" s="7">
        <v>45838</v>
      </c>
      <c r="G2702" t="s">
        <v>99</v>
      </c>
      <c r="H2702" t="s">
        <v>114</v>
      </c>
      <c r="I2702" t="s">
        <v>101</v>
      </c>
      <c r="J2702">
        <v>6787.95</v>
      </c>
      <c r="K2702">
        <v>1000000</v>
      </c>
    </row>
    <row r="2703" spans="1:11" ht="15" customHeight="1" x14ac:dyDescent="0.2">
      <c r="A2703" t="s">
        <v>4262</v>
      </c>
      <c r="B2703" t="s">
        <v>6777</v>
      </c>
      <c r="C2703">
        <v>2024</v>
      </c>
      <c r="D2703">
        <v>2024</v>
      </c>
      <c r="E2703" s="7">
        <v>45474</v>
      </c>
      <c r="F2703" s="7">
        <v>45838</v>
      </c>
      <c r="G2703" t="s">
        <v>135</v>
      </c>
      <c r="H2703" t="s">
        <v>107</v>
      </c>
      <c r="I2703" t="s">
        <v>101</v>
      </c>
      <c r="J2703">
        <v>3893.46</v>
      </c>
      <c r="K2703">
        <v>500000</v>
      </c>
    </row>
    <row r="2704" spans="1:11" ht="15" customHeight="1" x14ac:dyDescent="0.2">
      <c r="A2704" t="s">
        <v>4263</v>
      </c>
      <c r="B2704" t="s">
        <v>8674</v>
      </c>
      <c r="C2704">
        <v>2024</v>
      </c>
      <c r="D2704">
        <v>2024</v>
      </c>
      <c r="E2704" s="7">
        <v>45474</v>
      </c>
      <c r="F2704" s="7">
        <v>45838</v>
      </c>
      <c r="G2704" t="s">
        <v>135</v>
      </c>
      <c r="H2704" t="s">
        <v>106</v>
      </c>
      <c r="I2704" t="s">
        <v>104</v>
      </c>
      <c r="J2704">
        <v>34678.089999999997</v>
      </c>
      <c r="K2704">
        <v>5000000</v>
      </c>
    </row>
    <row r="2705" spans="1:11" ht="15" customHeight="1" x14ac:dyDescent="0.2">
      <c r="A2705" t="s">
        <v>4264</v>
      </c>
      <c r="B2705" t="s">
        <v>8675</v>
      </c>
      <c r="C2705">
        <v>2024</v>
      </c>
      <c r="D2705">
        <v>2024</v>
      </c>
      <c r="E2705" s="7">
        <v>45474</v>
      </c>
      <c r="F2705" s="7">
        <v>45838</v>
      </c>
      <c r="G2705" t="s">
        <v>135</v>
      </c>
      <c r="H2705" t="s">
        <v>110</v>
      </c>
      <c r="I2705" t="s">
        <v>104</v>
      </c>
      <c r="J2705">
        <v>7679.52</v>
      </c>
      <c r="K2705">
        <v>1000000</v>
      </c>
    </row>
    <row r="2706" spans="1:11" ht="15" customHeight="1" x14ac:dyDescent="0.2">
      <c r="A2706" t="s">
        <v>4266</v>
      </c>
      <c r="B2706" t="s">
        <v>6778</v>
      </c>
      <c r="C2706">
        <v>2024</v>
      </c>
      <c r="D2706">
        <v>2024</v>
      </c>
      <c r="E2706" s="7">
        <v>45474</v>
      </c>
      <c r="F2706" s="7">
        <v>45838</v>
      </c>
      <c r="G2706" t="s">
        <v>135</v>
      </c>
      <c r="H2706" t="s">
        <v>106</v>
      </c>
      <c r="I2706" t="s">
        <v>101</v>
      </c>
      <c r="J2706">
        <v>12344.73</v>
      </c>
      <c r="K2706">
        <v>1500000</v>
      </c>
    </row>
    <row r="2707" spans="1:11" ht="15" customHeight="1" x14ac:dyDescent="0.2">
      <c r="A2707" t="s">
        <v>4268</v>
      </c>
      <c r="B2707" t="s">
        <v>8676</v>
      </c>
      <c r="C2707">
        <v>2024</v>
      </c>
      <c r="D2707">
        <v>2024</v>
      </c>
      <c r="E2707" s="7">
        <v>45474</v>
      </c>
      <c r="F2707" s="7">
        <v>45838</v>
      </c>
      <c r="G2707" t="s">
        <v>135</v>
      </c>
      <c r="H2707" t="s">
        <v>6334</v>
      </c>
      <c r="I2707" t="s">
        <v>104</v>
      </c>
      <c r="J2707">
        <v>5298.16</v>
      </c>
      <c r="K2707">
        <v>1000000</v>
      </c>
    </row>
    <row r="2708" spans="1:11" ht="15" customHeight="1" x14ac:dyDescent="0.2">
      <c r="A2708" t="s">
        <v>4270</v>
      </c>
      <c r="B2708" t="s">
        <v>8677</v>
      </c>
      <c r="C2708">
        <v>2024</v>
      </c>
      <c r="D2708">
        <v>2024</v>
      </c>
      <c r="E2708" s="7">
        <v>45474</v>
      </c>
      <c r="F2708" s="7">
        <v>45838</v>
      </c>
      <c r="G2708" t="s">
        <v>135</v>
      </c>
      <c r="H2708" t="s">
        <v>105</v>
      </c>
      <c r="I2708" t="s">
        <v>104</v>
      </c>
      <c r="J2708">
        <v>3110.87</v>
      </c>
      <c r="K2708">
        <v>500000</v>
      </c>
    </row>
    <row r="2709" spans="1:11" ht="15" customHeight="1" x14ac:dyDescent="0.2">
      <c r="A2709" t="s">
        <v>4271</v>
      </c>
      <c r="B2709" t="s">
        <v>6789</v>
      </c>
      <c r="C2709">
        <v>2024</v>
      </c>
      <c r="D2709">
        <v>2024</v>
      </c>
      <c r="E2709" s="7">
        <v>45474</v>
      </c>
      <c r="F2709" s="7">
        <v>45838</v>
      </c>
      <c r="G2709" t="s">
        <v>135</v>
      </c>
      <c r="H2709" t="s">
        <v>102</v>
      </c>
      <c r="I2709" t="s">
        <v>101</v>
      </c>
      <c r="J2709">
        <v>15419.5</v>
      </c>
      <c r="K2709">
        <v>2000000</v>
      </c>
    </row>
    <row r="2710" spans="1:11" ht="15" customHeight="1" x14ac:dyDescent="0.2">
      <c r="A2710" t="s">
        <v>4273</v>
      </c>
      <c r="B2710" t="s">
        <v>926</v>
      </c>
      <c r="C2710">
        <v>2024</v>
      </c>
      <c r="D2710">
        <v>2024</v>
      </c>
      <c r="E2710" s="7">
        <v>45474</v>
      </c>
      <c r="F2710" s="7">
        <v>45838</v>
      </c>
      <c r="G2710" t="s">
        <v>135</v>
      </c>
      <c r="H2710" t="s">
        <v>103</v>
      </c>
      <c r="I2710" t="s">
        <v>104</v>
      </c>
      <c r="J2710">
        <v>11817.61</v>
      </c>
      <c r="K2710">
        <v>2000000</v>
      </c>
    </row>
    <row r="2711" spans="1:11" ht="15" customHeight="1" x14ac:dyDescent="0.2">
      <c r="A2711" t="s">
        <v>4275</v>
      </c>
      <c r="B2711" t="s">
        <v>8678</v>
      </c>
      <c r="C2711">
        <v>2024</v>
      </c>
      <c r="D2711">
        <v>2024</v>
      </c>
      <c r="E2711" s="7">
        <v>45474</v>
      </c>
      <c r="F2711" s="7">
        <v>45838</v>
      </c>
      <c r="G2711" t="s">
        <v>135</v>
      </c>
      <c r="H2711" t="s">
        <v>107</v>
      </c>
      <c r="I2711" t="s">
        <v>101</v>
      </c>
      <c r="J2711">
        <v>6802.43</v>
      </c>
      <c r="K2711">
        <v>1000000</v>
      </c>
    </row>
    <row r="2712" spans="1:11" ht="15" customHeight="1" x14ac:dyDescent="0.2">
      <c r="A2712" t="s">
        <v>4276</v>
      </c>
      <c r="B2712" t="s">
        <v>925</v>
      </c>
      <c r="C2712">
        <v>2024</v>
      </c>
      <c r="D2712">
        <v>2024</v>
      </c>
      <c r="E2712" s="7">
        <v>45474</v>
      </c>
      <c r="F2712" s="7">
        <v>45838</v>
      </c>
      <c r="G2712" t="s">
        <v>135</v>
      </c>
      <c r="H2712" t="s">
        <v>105</v>
      </c>
      <c r="I2712" t="s">
        <v>101</v>
      </c>
      <c r="J2712">
        <v>38139.99</v>
      </c>
      <c r="K2712">
        <v>5000000</v>
      </c>
    </row>
    <row r="2713" spans="1:11" ht="15" customHeight="1" x14ac:dyDescent="0.2">
      <c r="A2713" t="s">
        <v>4277</v>
      </c>
      <c r="B2713" t="s">
        <v>8679</v>
      </c>
      <c r="C2713">
        <v>2024</v>
      </c>
      <c r="D2713">
        <v>2024</v>
      </c>
      <c r="E2713" s="7">
        <v>45474</v>
      </c>
      <c r="F2713" s="7">
        <v>45838</v>
      </c>
      <c r="G2713" t="s">
        <v>135</v>
      </c>
      <c r="H2713" t="s">
        <v>106</v>
      </c>
      <c r="I2713" t="s">
        <v>101</v>
      </c>
      <c r="J2713">
        <v>18092.990000000002</v>
      </c>
      <c r="K2713">
        <v>2000000</v>
      </c>
    </row>
    <row r="2714" spans="1:11" ht="15" customHeight="1" x14ac:dyDescent="0.2">
      <c r="A2714" t="s">
        <v>4278</v>
      </c>
      <c r="B2714" t="s">
        <v>3255</v>
      </c>
      <c r="C2714">
        <v>2024</v>
      </c>
      <c r="D2714">
        <v>2024</v>
      </c>
      <c r="E2714" s="7">
        <v>45475</v>
      </c>
      <c r="F2714" s="7">
        <v>45839</v>
      </c>
      <c r="G2714" t="s">
        <v>99</v>
      </c>
      <c r="H2714" t="s">
        <v>115</v>
      </c>
      <c r="I2714" t="s">
        <v>101</v>
      </c>
      <c r="J2714">
        <v>3543.47</v>
      </c>
      <c r="K2714">
        <v>500000</v>
      </c>
    </row>
    <row r="2715" spans="1:11" ht="15" customHeight="1" x14ac:dyDescent="0.2">
      <c r="A2715" t="s">
        <v>4279</v>
      </c>
      <c r="B2715" t="s">
        <v>3265</v>
      </c>
      <c r="C2715">
        <v>2024</v>
      </c>
      <c r="D2715">
        <v>2024</v>
      </c>
      <c r="E2715" s="7">
        <v>45475</v>
      </c>
      <c r="F2715" s="7">
        <v>45839</v>
      </c>
      <c r="G2715" t="s">
        <v>99</v>
      </c>
      <c r="H2715" t="s">
        <v>112</v>
      </c>
      <c r="I2715" t="s">
        <v>104</v>
      </c>
      <c r="J2715">
        <v>14392.27</v>
      </c>
      <c r="K2715">
        <v>2000000</v>
      </c>
    </row>
    <row r="2716" spans="1:11" ht="15" customHeight="1" x14ac:dyDescent="0.2">
      <c r="A2716" t="s">
        <v>4280</v>
      </c>
      <c r="B2716" t="s">
        <v>3267</v>
      </c>
      <c r="C2716">
        <v>2024</v>
      </c>
      <c r="D2716">
        <v>2024</v>
      </c>
      <c r="E2716" s="7">
        <v>45475</v>
      </c>
      <c r="F2716" s="7">
        <v>45839</v>
      </c>
      <c r="G2716" t="s">
        <v>99</v>
      </c>
      <c r="H2716" t="s">
        <v>6332</v>
      </c>
      <c r="I2716" t="s">
        <v>104</v>
      </c>
      <c r="J2716">
        <v>2968.73</v>
      </c>
      <c r="K2716">
        <v>500000</v>
      </c>
    </row>
    <row r="2717" spans="1:11" ht="15" customHeight="1" x14ac:dyDescent="0.2">
      <c r="A2717" t="s">
        <v>4281</v>
      </c>
      <c r="B2717" t="s">
        <v>3269</v>
      </c>
      <c r="C2717">
        <v>2024</v>
      </c>
      <c r="D2717">
        <v>2024</v>
      </c>
      <c r="E2717" s="7">
        <v>45475</v>
      </c>
      <c r="F2717" s="7">
        <v>45839</v>
      </c>
      <c r="G2717" t="s">
        <v>99</v>
      </c>
      <c r="H2717" t="s">
        <v>116</v>
      </c>
      <c r="I2717" t="s">
        <v>101</v>
      </c>
      <c r="J2717">
        <v>11799.64</v>
      </c>
      <c r="K2717">
        <v>1500000</v>
      </c>
    </row>
    <row r="2718" spans="1:11" ht="15" customHeight="1" x14ac:dyDescent="0.2">
      <c r="A2718" t="s">
        <v>4282</v>
      </c>
      <c r="B2718" t="s">
        <v>3271</v>
      </c>
      <c r="C2718">
        <v>2024</v>
      </c>
      <c r="D2718">
        <v>2024</v>
      </c>
      <c r="E2718" s="7">
        <v>45475</v>
      </c>
      <c r="F2718" s="7">
        <v>45839</v>
      </c>
      <c r="G2718" t="s">
        <v>99</v>
      </c>
      <c r="H2718" t="s">
        <v>108</v>
      </c>
      <c r="I2718" t="s">
        <v>101</v>
      </c>
      <c r="J2718">
        <v>4261.46</v>
      </c>
      <c r="K2718">
        <v>500000</v>
      </c>
    </row>
    <row r="2719" spans="1:11" ht="15" customHeight="1" x14ac:dyDescent="0.2">
      <c r="A2719" t="s">
        <v>4283</v>
      </c>
      <c r="B2719" t="s">
        <v>561</v>
      </c>
      <c r="C2719">
        <v>2024</v>
      </c>
      <c r="D2719">
        <v>2024</v>
      </c>
      <c r="E2719" s="7">
        <v>45475</v>
      </c>
      <c r="F2719" s="7">
        <v>45839</v>
      </c>
      <c r="G2719" t="s">
        <v>135</v>
      </c>
      <c r="H2719" t="s">
        <v>108</v>
      </c>
      <c r="I2719" t="s">
        <v>104</v>
      </c>
      <c r="J2719">
        <v>32852.47</v>
      </c>
      <c r="K2719">
        <v>5000000</v>
      </c>
    </row>
    <row r="2720" spans="1:11" ht="15" customHeight="1" x14ac:dyDescent="0.2">
      <c r="A2720" t="s">
        <v>4284</v>
      </c>
      <c r="B2720" t="s">
        <v>8680</v>
      </c>
      <c r="C2720">
        <v>2024</v>
      </c>
      <c r="D2720">
        <v>2024</v>
      </c>
      <c r="E2720" s="7">
        <v>45475</v>
      </c>
      <c r="F2720" s="7">
        <v>45839</v>
      </c>
      <c r="G2720" t="s">
        <v>135</v>
      </c>
      <c r="H2720" t="s">
        <v>113</v>
      </c>
      <c r="I2720" t="s">
        <v>104</v>
      </c>
      <c r="J2720">
        <v>11567.85</v>
      </c>
      <c r="K2720">
        <v>2000000</v>
      </c>
    </row>
    <row r="2721" spans="1:11" ht="15" customHeight="1" x14ac:dyDescent="0.2">
      <c r="A2721" t="s">
        <v>4285</v>
      </c>
      <c r="B2721" t="s">
        <v>126</v>
      </c>
      <c r="C2721">
        <v>2024</v>
      </c>
      <c r="D2721">
        <v>2024</v>
      </c>
      <c r="E2721" s="7">
        <v>45475</v>
      </c>
      <c r="F2721" s="7">
        <v>45839</v>
      </c>
      <c r="G2721" t="s">
        <v>135</v>
      </c>
      <c r="H2721" t="s">
        <v>110</v>
      </c>
      <c r="I2721" t="s">
        <v>101</v>
      </c>
      <c r="J2721">
        <v>16978.59</v>
      </c>
      <c r="K2721">
        <v>2000000</v>
      </c>
    </row>
    <row r="2722" spans="1:11" ht="15" customHeight="1" x14ac:dyDescent="0.2">
      <c r="A2722" t="s">
        <v>4286</v>
      </c>
      <c r="B2722" t="s">
        <v>8681</v>
      </c>
      <c r="C2722">
        <v>2024</v>
      </c>
      <c r="D2722">
        <v>2024</v>
      </c>
      <c r="E2722" s="7">
        <v>45475</v>
      </c>
      <c r="F2722" s="7">
        <v>45839</v>
      </c>
      <c r="G2722" t="s">
        <v>135</v>
      </c>
      <c r="H2722" t="s">
        <v>103</v>
      </c>
      <c r="I2722" t="s">
        <v>104</v>
      </c>
      <c r="J2722">
        <v>3045.03</v>
      </c>
      <c r="K2722">
        <v>500000</v>
      </c>
    </row>
    <row r="2723" spans="1:11" ht="15" customHeight="1" x14ac:dyDescent="0.2">
      <c r="A2723" t="s">
        <v>4288</v>
      </c>
      <c r="B2723" t="s">
        <v>8682</v>
      </c>
      <c r="C2723">
        <v>2024</v>
      </c>
      <c r="D2723">
        <v>2024</v>
      </c>
      <c r="E2723" s="7">
        <v>45475</v>
      </c>
      <c r="F2723" s="7">
        <v>45839</v>
      </c>
      <c r="G2723" t="s">
        <v>135</v>
      </c>
      <c r="H2723" t="s">
        <v>108</v>
      </c>
      <c r="I2723" t="s">
        <v>104</v>
      </c>
      <c r="J2723">
        <v>14690.23</v>
      </c>
      <c r="K2723">
        <v>2000000</v>
      </c>
    </row>
    <row r="2724" spans="1:11" ht="15" customHeight="1" x14ac:dyDescent="0.2">
      <c r="A2724" t="s">
        <v>4290</v>
      </c>
      <c r="B2724" t="s">
        <v>8683</v>
      </c>
      <c r="C2724">
        <v>2024</v>
      </c>
      <c r="D2724">
        <v>2024</v>
      </c>
      <c r="E2724" s="7">
        <v>45475</v>
      </c>
      <c r="F2724" s="7">
        <v>45839</v>
      </c>
      <c r="G2724" t="s">
        <v>135</v>
      </c>
      <c r="H2724" t="s">
        <v>108</v>
      </c>
      <c r="I2724" t="s">
        <v>101</v>
      </c>
      <c r="J2724">
        <v>17687.38</v>
      </c>
      <c r="K2724">
        <v>2000000</v>
      </c>
    </row>
    <row r="2725" spans="1:11" ht="15" customHeight="1" x14ac:dyDescent="0.2">
      <c r="A2725" t="s">
        <v>4292</v>
      </c>
      <c r="B2725" t="s">
        <v>927</v>
      </c>
      <c r="C2725">
        <v>2024</v>
      </c>
      <c r="D2725">
        <v>2024</v>
      </c>
      <c r="E2725" s="7">
        <v>45475</v>
      </c>
      <c r="F2725" s="7">
        <v>45839</v>
      </c>
      <c r="G2725" t="s">
        <v>135</v>
      </c>
      <c r="H2725" t="s">
        <v>114</v>
      </c>
      <c r="I2725" t="s">
        <v>101</v>
      </c>
      <c r="J2725">
        <v>7614.75</v>
      </c>
      <c r="K2725">
        <v>1000000</v>
      </c>
    </row>
    <row r="2726" spans="1:11" ht="15" customHeight="1" x14ac:dyDescent="0.2">
      <c r="A2726" t="s">
        <v>4293</v>
      </c>
      <c r="B2726" t="s">
        <v>8684</v>
      </c>
      <c r="C2726">
        <v>2024</v>
      </c>
      <c r="D2726">
        <v>2024</v>
      </c>
      <c r="E2726" s="7">
        <v>45475</v>
      </c>
      <c r="F2726" s="7">
        <v>45839</v>
      </c>
      <c r="G2726" t="s">
        <v>135</v>
      </c>
      <c r="H2726" t="s">
        <v>113</v>
      </c>
      <c r="I2726" t="s">
        <v>101</v>
      </c>
      <c r="J2726">
        <v>6680.09</v>
      </c>
      <c r="K2726">
        <v>1000000</v>
      </c>
    </row>
    <row r="2727" spans="1:11" ht="15" customHeight="1" x14ac:dyDescent="0.2">
      <c r="A2727" t="s">
        <v>4294</v>
      </c>
      <c r="B2727" t="s">
        <v>6780</v>
      </c>
      <c r="C2727">
        <v>2024</v>
      </c>
      <c r="D2727">
        <v>2024</v>
      </c>
      <c r="E2727" s="7">
        <v>45475</v>
      </c>
      <c r="F2727" s="7">
        <v>45839</v>
      </c>
      <c r="G2727" t="s">
        <v>135</v>
      </c>
      <c r="H2727" t="s">
        <v>6332</v>
      </c>
      <c r="I2727" t="s">
        <v>101</v>
      </c>
      <c r="J2727">
        <v>6520.96</v>
      </c>
      <c r="K2727">
        <v>1000000</v>
      </c>
    </row>
    <row r="2728" spans="1:11" ht="15" customHeight="1" x14ac:dyDescent="0.2">
      <c r="A2728" t="s">
        <v>4295</v>
      </c>
      <c r="B2728" t="s">
        <v>3273</v>
      </c>
      <c r="C2728">
        <v>2024</v>
      </c>
      <c r="D2728">
        <v>2024</v>
      </c>
      <c r="E2728" s="7">
        <v>45476</v>
      </c>
      <c r="F2728" s="7">
        <v>45840</v>
      </c>
      <c r="G2728" t="s">
        <v>99</v>
      </c>
      <c r="H2728" t="s">
        <v>114</v>
      </c>
      <c r="I2728" t="s">
        <v>104</v>
      </c>
      <c r="J2728">
        <v>10599.52</v>
      </c>
      <c r="K2728">
        <v>2000000</v>
      </c>
    </row>
    <row r="2729" spans="1:11" ht="15" customHeight="1" x14ac:dyDescent="0.2">
      <c r="A2729" t="s">
        <v>4296</v>
      </c>
      <c r="B2729" t="s">
        <v>8685</v>
      </c>
      <c r="C2729">
        <v>2024</v>
      </c>
      <c r="D2729">
        <v>2024</v>
      </c>
      <c r="E2729" s="7">
        <v>45476</v>
      </c>
      <c r="F2729" s="7">
        <v>45840</v>
      </c>
      <c r="G2729" t="s">
        <v>135</v>
      </c>
      <c r="H2729" t="s">
        <v>115</v>
      </c>
      <c r="I2729" t="s">
        <v>101</v>
      </c>
      <c r="J2729">
        <v>7822.02</v>
      </c>
      <c r="K2729">
        <v>1000000</v>
      </c>
    </row>
    <row r="2730" spans="1:11" ht="15" customHeight="1" x14ac:dyDescent="0.2">
      <c r="A2730" t="s">
        <v>4297</v>
      </c>
      <c r="B2730" t="s">
        <v>8686</v>
      </c>
      <c r="C2730">
        <v>2024</v>
      </c>
      <c r="D2730">
        <v>2024</v>
      </c>
      <c r="E2730" s="7">
        <v>45476</v>
      </c>
      <c r="F2730" s="7">
        <v>45840</v>
      </c>
      <c r="G2730" t="s">
        <v>135</v>
      </c>
      <c r="H2730" t="s">
        <v>103</v>
      </c>
      <c r="I2730" t="s">
        <v>101</v>
      </c>
      <c r="J2730">
        <v>64710.09</v>
      </c>
      <c r="K2730">
        <v>10000000</v>
      </c>
    </row>
    <row r="2731" spans="1:11" ht="15" customHeight="1" x14ac:dyDescent="0.2">
      <c r="A2731" t="s">
        <v>4298</v>
      </c>
      <c r="B2731" t="s">
        <v>8687</v>
      </c>
      <c r="C2731">
        <v>2024</v>
      </c>
      <c r="D2731">
        <v>2024</v>
      </c>
      <c r="E2731" s="7">
        <v>45476</v>
      </c>
      <c r="F2731" s="7">
        <v>45840</v>
      </c>
      <c r="G2731" t="s">
        <v>135</v>
      </c>
      <c r="H2731" t="s">
        <v>113</v>
      </c>
      <c r="I2731" t="s">
        <v>104</v>
      </c>
      <c r="J2731">
        <v>11726.31</v>
      </c>
      <c r="K2731">
        <v>2000000</v>
      </c>
    </row>
    <row r="2732" spans="1:11" ht="15" customHeight="1" x14ac:dyDescent="0.2">
      <c r="A2732" t="s">
        <v>4299</v>
      </c>
      <c r="B2732" t="s">
        <v>562</v>
      </c>
      <c r="C2732">
        <v>2024</v>
      </c>
      <c r="D2732">
        <v>2024</v>
      </c>
      <c r="E2732" s="7">
        <v>45476</v>
      </c>
      <c r="F2732" s="7">
        <v>45840</v>
      </c>
      <c r="G2732" t="s">
        <v>135</v>
      </c>
      <c r="H2732" t="s">
        <v>106</v>
      </c>
      <c r="I2732" t="s">
        <v>104</v>
      </c>
      <c r="J2732">
        <v>14594.99</v>
      </c>
      <c r="K2732">
        <v>2000000</v>
      </c>
    </row>
    <row r="2733" spans="1:11" ht="15" customHeight="1" x14ac:dyDescent="0.2">
      <c r="A2733" t="s">
        <v>4301</v>
      </c>
      <c r="B2733" t="s">
        <v>8688</v>
      </c>
      <c r="C2733">
        <v>2024</v>
      </c>
      <c r="D2733">
        <v>2024</v>
      </c>
      <c r="E2733" s="7">
        <v>45476</v>
      </c>
      <c r="F2733" s="7">
        <v>45840</v>
      </c>
      <c r="G2733" t="s">
        <v>135</v>
      </c>
      <c r="H2733" t="s">
        <v>106</v>
      </c>
      <c r="I2733" t="s">
        <v>104</v>
      </c>
      <c r="J2733">
        <v>7719.61</v>
      </c>
      <c r="K2733">
        <v>1000000</v>
      </c>
    </row>
    <row r="2734" spans="1:11" ht="15" customHeight="1" x14ac:dyDescent="0.2">
      <c r="A2734" t="s">
        <v>4303</v>
      </c>
      <c r="B2734" t="s">
        <v>8689</v>
      </c>
      <c r="C2734">
        <v>2024</v>
      </c>
      <c r="D2734">
        <v>2024</v>
      </c>
      <c r="E2734" s="7">
        <v>45476</v>
      </c>
      <c r="F2734" s="7">
        <v>45840</v>
      </c>
      <c r="G2734" t="s">
        <v>135</v>
      </c>
      <c r="H2734" t="s">
        <v>110</v>
      </c>
      <c r="I2734" t="s">
        <v>104</v>
      </c>
      <c r="J2734">
        <v>3473.84</v>
      </c>
      <c r="K2734">
        <v>500000</v>
      </c>
    </row>
    <row r="2735" spans="1:11" ht="15" customHeight="1" x14ac:dyDescent="0.2">
      <c r="A2735" t="s">
        <v>4305</v>
      </c>
      <c r="B2735" t="s">
        <v>8690</v>
      </c>
      <c r="C2735">
        <v>2024</v>
      </c>
      <c r="D2735">
        <v>2024</v>
      </c>
      <c r="E2735" s="7">
        <v>45476</v>
      </c>
      <c r="F2735" s="7">
        <v>45840</v>
      </c>
      <c r="G2735" t="s">
        <v>135</v>
      </c>
      <c r="H2735" t="s">
        <v>6332</v>
      </c>
      <c r="I2735" t="s">
        <v>104</v>
      </c>
      <c r="J2735">
        <v>3032.7</v>
      </c>
      <c r="K2735">
        <v>500000</v>
      </c>
    </row>
    <row r="2736" spans="1:11" ht="15" customHeight="1" x14ac:dyDescent="0.2">
      <c r="A2736" t="s">
        <v>4306</v>
      </c>
      <c r="B2736" t="s">
        <v>8691</v>
      </c>
      <c r="C2736">
        <v>2024</v>
      </c>
      <c r="D2736">
        <v>2024</v>
      </c>
      <c r="E2736" s="7">
        <v>45476</v>
      </c>
      <c r="F2736" s="7">
        <v>45840</v>
      </c>
      <c r="G2736" t="s">
        <v>135</v>
      </c>
      <c r="H2736" t="s">
        <v>113</v>
      </c>
      <c r="I2736" t="s">
        <v>104</v>
      </c>
      <c r="J2736">
        <v>11313.15</v>
      </c>
      <c r="K2736">
        <v>2000000</v>
      </c>
    </row>
    <row r="2737" spans="1:11" ht="15" customHeight="1" x14ac:dyDescent="0.2">
      <c r="A2737" t="s">
        <v>4307</v>
      </c>
      <c r="B2737" t="s">
        <v>8692</v>
      </c>
      <c r="C2737">
        <v>2024</v>
      </c>
      <c r="D2737">
        <v>2024</v>
      </c>
      <c r="E2737" s="7">
        <v>45476</v>
      </c>
      <c r="F2737" s="7">
        <v>45840</v>
      </c>
      <c r="G2737" t="s">
        <v>135</v>
      </c>
      <c r="H2737" t="s">
        <v>116</v>
      </c>
      <c r="I2737" t="s">
        <v>104</v>
      </c>
      <c r="J2737">
        <v>29488.25</v>
      </c>
      <c r="K2737">
        <v>5000000</v>
      </c>
    </row>
    <row r="2738" spans="1:11" ht="15" customHeight="1" x14ac:dyDescent="0.2">
      <c r="A2738" t="s">
        <v>4308</v>
      </c>
      <c r="B2738" t="s">
        <v>8693</v>
      </c>
      <c r="C2738">
        <v>2024</v>
      </c>
      <c r="D2738">
        <v>2024</v>
      </c>
      <c r="E2738" s="7">
        <v>45476</v>
      </c>
      <c r="F2738" s="7">
        <v>45840</v>
      </c>
      <c r="G2738" t="s">
        <v>135</v>
      </c>
      <c r="H2738" t="s">
        <v>105</v>
      </c>
      <c r="I2738" t="s">
        <v>104</v>
      </c>
      <c r="J2738">
        <v>26228.78</v>
      </c>
      <c r="K2738">
        <v>5000000</v>
      </c>
    </row>
    <row r="2739" spans="1:11" ht="15" customHeight="1" x14ac:dyDescent="0.2">
      <c r="A2739" t="s">
        <v>4309</v>
      </c>
      <c r="B2739" t="s">
        <v>8694</v>
      </c>
      <c r="C2739">
        <v>2024</v>
      </c>
      <c r="D2739">
        <v>2024</v>
      </c>
      <c r="E2739" s="7">
        <v>45476</v>
      </c>
      <c r="F2739" s="7">
        <v>45840</v>
      </c>
      <c r="G2739" t="s">
        <v>135</v>
      </c>
      <c r="H2739" t="s">
        <v>102</v>
      </c>
      <c r="I2739" t="s">
        <v>101</v>
      </c>
      <c r="J2739">
        <v>7190.28</v>
      </c>
      <c r="K2739">
        <v>1000000</v>
      </c>
    </row>
    <row r="2740" spans="1:11" ht="15" customHeight="1" x14ac:dyDescent="0.2">
      <c r="A2740" t="s">
        <v>4310</v>
      </c>
      <c r="B2740" t="s">
        <v>928</v>
      </c>
      <c r="C2740">
        <v>2024</v>
      </c>
      <c r="D2740">
        <v>2024</v>
      </c>
      <c r="E2740" s="7">
        <v>45476</v>
      </c>
      <c r="F2740" s="7">
        <v>45840</v>
      </c>
      <c r="G2740" t="s">
        <v>135</v>
      </c>
      <c r="H2740" t="s">
        <v>108</v>
      </c>
      <c r="I2740" t="s">
        <v>101</v>
      </c>
      <c r="J2740">
        <v>85262.65</v>
      </c>
      <c r="K2740">
        <v>10000000</v>
      </c>
    </row>
    <row r="2741" spans="1:11" ht="15" customHeight="1" x14ac:dyDescent="0.2">
      <c r="A2741" t="s">
        <v>4311</v>
      </c>
      <c r="B2741" t="s">
        <v>8695</v>
      </c>
      <c r="C2741">
        <v>2024</v>
      </c>
      <c r="D2741">
        <v>2024</v>
      </c>
      <c r="E2741" s="7">
        <v>45476</v>
      </c>
      <c r="F2741" s="7">
        <v>45840</v>
      </c>
      <c r="G2741" t="s">
        <v>135</v>
      </c>
      <c r="H2741" t="s">
        <v>106</v>
      </c>
      <c r="I2741" t="s">
        <v>101</v>
      </c>
      <c r="J2741">
        <v>13563.77</v>
      </c>
      <c r="K2741">
        <v>1500000</v>
      </c>
    </row>
    <row r="2742" spans="1:11" ht="15" customHeight="1" x14ac:dyDescent="0.2">
      <c r="A2742" t="s">
        <v>4312</v>
      </c>
      <c r="B2742" t="s">
        <v>3281</v>
      </c>
      <c r="C2742">
        <v>2024</v>
      </c>
      <c r="D2742">
        <v>2024</v>
      </c>
      <c r="E2742" s="7">
        <v>45477</v>
      </c>
      <c r="F2742" s="7">
        <v>45841</v>
      </c>
      <c r="G2742" t="s">
        <v>99</v>
      </c>
      <c r="H2742" t="s">
        <v>110</v>
      </c>
      <c r="I2742" t="s">
        <v>101</v>
      </c>
      <c r="J2742">
        <v>14736.72</v>
      </c>
      <c r="K2742">
        <v>1500000</v>
      </c>
    </row>
    <row r="2743" spans="1:11" ht="15" customHeight="1" x14ac:dyDescent="0.2">
      <c r="A2743" t="s">
        <v>4313</v>
      </c>
      <c r="B2743" t="s">
        <v>3283</v>
      </c>
      <c r="C2743">
        <v>2024</v>
      </c>
      <c r="D2743">
        <v>2024</v>
      </c>
      <c r="E2743" s="7">
        <v>45477</v>
      </c>
      <c r="F2743" s="7">
        <v>45841</v>
      </c>
      <c r="G2743" t="s">
        <v>99</v>
      </c>
      <c r="H2743" t="s">
        <v>102</v>
      </c>
      <c r="I2743" t="s">
        <v>101</v>
      </c>
      <c r="J2743">
        <v>15603.93</v>
      </c>
      <c r="K2743">
        <v>2000000</v>
      </c>
    </row>
    <row r="2744" spans="1:11" ht="15" customHeight="1" x14ac:dyDescent="0.2">
      <c r="A2744" t="s">
        <v>4314</v>
      </c>
      <c r="B2744" t="s">
        <v>3285</v>
      </c>
      <c r="C2744">
        <v>2024</v>
      </c>
      <c r="D2744">
        <v>2024</v>
      </c>
      <c r="E2744" s="7">
        <v>45477</v>
      </c>
      <c r="F2744" s="7">
        <v>45841</v>
      </c>
      <c r="G2744" t="s">
        <v>99</v>
      </c>
      <c r="H2744" t="s">
        <v>6337</v>
      </c>
      <c r="I2744" t="s">
        <v>101</v>
      </c>
      <c r="J2744">
        <v>14270.91</v>
      </c>
      <c r="K2744">
        <v>2000000</v>
      </c>
    </row>
    <row r="2745" spans="1:11" ht="15" customHeight="1" x14ac:dyDescent="0.2">
      <c r="A2745" t="s">
        <v>4315</v>
      </c>
      <c r="B2745" t="s">
        <v>3287</v>
      </c>
      <c r="C2745">
        <v>2024</v>
      </c>
      <c r="D2745">
        <v>2024</v>
      </c>
      <c r="E2745" s="7">
        <v>45477</v>
      </c>
      <c r="F2745" s="7">
        <v>45841</v>
      </c>
      <c r="G2745" t="s">
        <v>99</v>
      </c>
      <c r="H2745" t="s">
        <v>108</v>
      </c>
      <c r="I2745" t="s">
        <v>101</v>
      </c>
      <c r="J2745">
        <v>16386.91</v>
      </c>
      <c r="K2745">
        <v>2000000</v>
      </c>
    </row>
    <row r="2746" spans="1:11" ht="15" customHeight="1" x14ac:dyDescent="0.2">
      <c r="A2746" t="s">
        <v>4316</v>
      </c>
      <c r="B2746" t="s">
        <v>8696</v>
      </c>
      <c r="C2746">
        <v>2024</v>
      </c>
      <c r="D2746">
        <v>2024</v>
      </c>
      <c r="E2746" s="7">
        <v>45477</v>
      </c>
      <c r="F2746" s="7">
        <v>45841</v>
      </c>
      <c r="G2746" t="s">
        <v>135</v>
      </c>
      <c r="H2746" t="s">
        <v>6334</v>
      </c>
      <c r="I2746" t="s">
        <v>101</v>
      </c>
      <c r="J2746">
        <v>6685.37</v>
      </c>
      <c r="K2746">
        <v>1000000</v>
      </c>
    </row>
    <row r="2747" spans="1:11" ht="15" customHeight="1" x14ac:dyDescent="0.2">
      <c r="A2747" t="s">
        <v>4317</v>
      </c>
      <c r="B2747" t="s">
        <v>8697</v>
      </c>
      <c r="C2747">
        <v>2024</v>
      </c>
      <c r="D2747">
        <v>2024</v>
      </c>
      <c r="E2747" s="7">
        <v>45477</v>
      </c>
      <c r="F2747" s="7">
        <v>45841</v>
      </c>
      <c r="G2747" t="s">
        <v>135</v>
      </c>
      <c r="H2747" t="s">
        <v>107</v>
      </c>
      <c r="I2747" t="s">
        <v>104</v>
      </c>
      <c r="J2747">
        <v>7855.58</v>
      </c>
      <c r="K2747">
        <v>1500000</v>
      </c>
    </row>
    <row r="2748" spans="1:11" ht="15" customHeight="1" x14ac:dyDescent="0.2">
      <c r="A2748" t="s">
        <v>4318</v>
      </c>
      <c r="B2748" t="s">
        <v>8698</v>
      </c>
      <c r="C2748">
        <v>2024</v>
      </c>
      <c r="D2748">
        <v>2024</v>
      </c>
      <c r="E2748" s="7">
        <v>45477</v>
      </c>
      <c r="F2748" s="7">
        <v>45841</v>
      </c>
      <c r="G2748" t="s">
        <v>135</v>
      </c>
      <c r="H2748" t="s">
        <v>108</v>
      </c>
      <c r="I2748" t="s">
        <v>101</v>
      </c>
      <c r="J2748">
        <v>12418.83</v>
      </c>
      <c r="K2748">
        <v>1500000</v>
      </c>
    </row>
    <row r="2749" spans="1:11" ht="15" customHeight="1" x14ac:dyDescent="0.2">
      <c r="A2749" t="s">
        <v>4319</v>
      </c>
      <c r="B2749" t="s">
        <v>8699</v>
      </c>
      <c r="C2749">
        <v>2024</v>
      </c>
      <c r="D2749">
        <v>2024</v>
      </c>
      <c r="E2749" s="7">
        <v>45477</v>
      </c>
      <c r="F2749" s="7">
        <v>45841</v>
      </c>
      <c r="G2749" t="s">
        <v>135</v>
      </c>
      <c r="H2749" t="s">
        <v>108</v>
      </c>
      <c r="I2749" t="s">
        <v>101</v>
      </c>
      <c r="J2749">
        <v>41658.35</v>
      </c>
      <c r="K2749">
        <v>5000000</v>
      </c>
    </row>
    <row r="2750" spans="1:11" ht="15" customHeight="1" x14ac:dyDescent="0.2">
      <c r="A2750" t="s">
        <v>4321</v>
      </c>
      <c r="B2750" t="s">
        <v>8700</v>
      </c>
      <c r="C2750">
        <v>2024</v>
      </c>
      <c r="D2750">
        <v>2024</v>
      </c>
      <c r="E2750" s="7">
        <v>45477</v>
      </c>
      <c r="F2750" s="7">
        <v>45841</v>
      </c>
      <c r="G2750" t="s">
        <v>135</v>
      </c>
      <c r="H2750" t="s">
        <v>106</v>
      </c>
      <c r="I2750" t="s">
        <v>101</v>
      </c>
      <c r="J2750">
        <v>13655.76</v>
      </c>
      <c r="K2750">
        <v>1500000</v>
      </c>
    </row>
    <row r="2751" spans="1:11" ht="15" customHeight="1" x14ac:dyDescent="0.2">
      <c r="A2751" t="s">
        <v>4323</v>
      </c>
      <c r="B2751" t="s">
        <v>8701</v>
      </c>
      <c r="C2751">
        <v>2024</v>
      </c>
      <c r="D2751">
        <v>2024</v>
      </c>
      <c r="E2751" s="7">
        <v>45477</v>
      </c>
      <c r="F2751" s="7">
        <v>45841</v>
      </c>
      <c r="G2751" t="s">
        <v>135</v>
      </c>
      <c r="H2751" t="s">
        <v>100</v>
      </c>
      <c r="I2751" t="s">
        <v>101</v>
      </c>
      <c r="J2751">
        <v>11627.67</v>
      </c>
      <c r="K2751">
        <v>1500000</v>
      </c>
    </row>
    <row r="2752" spans="1:11" ht="15" customHeight="1" x14ac:dyDescent="0.2">
      <c r="A2752" t="s">
        <v>4324</v>
      </c>
      <c r="B2752" t="s">
        <v>8702</v>
      </c>
      <c r="C2752">
        <v>2024</v>
      </c>
      <c r="D2752">
        <v>2024</v>
      </c>
      <c r="E2752" s="7">
        <v>45477</v>
      </c>
      <c r="F2752" s="7">
        <v>45841</v>
      </c>
      <c r="G2752" t="s">
        <v>135</v>
      </c>
      <c r="H2752" t="s">
        <v>114</v>
      </c>
      <c r="I2752" t="s">
        <v>101</v>
      </c>
      <c r="J2752">
        <v>14055.69</v>
      </c>
      <c r="K2752">
        <v>2000000</v>
      </c>
    </row>
    <row r="2753" spans="1:11" ht="15" customHeight="1" x14ac:dyDescent="0.2">
      <c r="A2753" t="s">
        <v>4325</v>
      </c>
      <c r="B2753" t="s">
        <v>8703</v>
      </c>
      <c r="C2753">
        <v>2024</v>
      </c>
      <c r="D2753">
        <v>2024</v>
      </c>
      <c r="E2753" s="7">
        <v>45477</v>
      </c>
      <c r="F2753" s="7">
        <v>45841</v>
      </c>
      <c r="G2753" t="s">
        <v>135</v>
      </c>
      <c r="H2753" t="s">
        <v>113</v>
      </c>
      <c r="I2753" t="s">
        <v>101</v>
      </c>
      <c r="J2753">
        <v>7239.89</v>
      </c>
      <c r="K2753">
        <v>1000000</v>
      </c>
    </row>
    <row r="2754" spans="1:11" ht="15" customHeight="1" x14ac:dyDescent="0.2">
      <c r="A2754" t="s">
        <v>4326</v>
      </c>
      <c r="B2754" t="s">
        <v>8704</v>
      </c>
      <c r="C2754">
        <v>2024</v>
      </c>
      <c r="D2754">
        <v>2024</v>
      </c>
      <c r="E2754" s="7">
        <v>45477</v>
      </c>
      <c r="F2754" s="7">
        <v>45841</v>
      </c>
      <c r="G2754" t="s">
        <v>135</v>
      </c>
      <c r="H2754" t="s">
        <v>106</v>
      </c>
      <c r="I2754" t="s">
        <v>101</v>
      </c>
      <c r="J2754">
        <v>16324.8</v>
      </c>
      <c r="K2754">
        <v>2000000</v>
      </c>
    </row>
    <row r="2755" spans="1:11" ht="15" customHeight="1" x14ac:dyDescent="0.2">
      <c r="A2755" t="s">
        <v>4327</v>
      </c>
      <c r="B2755" t="s">
        <v>6799</v>
      </c>
      <c r="C2755">
        <v>2024</v>
      </c>
      <c r="D2755">
        <v>2024</v>
      </c>
      <c r="E2755" s="7">
        <v>45477</v>
      </c>
      <c r="F2755" s="7">
        <v>45841</v>
      </c>
      <c r="G2755" t="s">
        <v>135</v>
      </c>
      <c r="H2755" t="s">
        <v>115</v>
      </c>
      <c r="I2755" t="s">
        <v>101</v>
      </c>
      <c r="J2755">
        <v>15020.98</v>
      </c>
      <c r="K2755">
        <v>2000000</v>
      </c>
    </row>
    <row r="2756" spans="1:11" ht="15" customHeight="1" x14ac:dyDescent="0.2">
      <c r="A2756" t="s">
        <v>4328</v>
      </c>
      <c r="B2756" t="s">
        <v>8705</v>
      </c>
      <c r="C2756">
        <v>2024</v>
      </c>
      <c r="D2756">
        <v>2024</v>
      </c>
      <c r="E2756" s="7">
        <v>45477</v>
      </c>
      <c r="F2756" s="7">
        <v>45841</v>
      </c>
      <c r="G2756" t="s">
        <v>135</v>
      </c>
      <c r="H2756" t="s">
        <v>102</v>
      </c>
      <c r="I2756" t="s">
        <v>104</v>
      </c>
      <c r="J2756">
        <v>59692.25</v>
      </c>
      <c r="K2756">
        <v>10000000</v>
      </c>
    </row>
    <row r="2757" spans="1:11" ht="15" customHeight="1" x14ac:dyDescent="0.2">
      <c r="A2757" t="s">
        <v>4329</v>
      </c>
      <c r="B2757" t="s">
        <v>929</v>
      </c>
      <c r="C2757">
        <v>2024</v>
      </c>
      <c r="D2757">
        <v>2024</v>
      </c>
      <c r="E2757" s="7">
        <v>45477</v>
      </c>
      <c r="F2757" s="7">
        <v>45841</v>
      </c>
      <c r="G2757" t="s">
        <v>135</v>
      </c>
      <c r="H2757" t="s">
        <v>102</v>
      </c>
      <c r="I2757" t="s">
        <v>101</v>
      </c>
      <c r="J2757">
        <v>10338.76</v>
      </c>
      <c r="K2757">
        <v>1500000</v>
      </c>
    </row>
    <row r="2758" spans="1:11" ht="15" customHeight="1" x14ac:dyDescent="0.2">
      <c r="A2758" t="s">
        <v>4330</v>
      </c>
      <c r="B2758" t="s">
        <v>8706</v>
      </c>
      <c r="C2758">
        <v>2024</v>
      </c>
      <c r="D2758">
        <v>2024</v>
      </c>
      <c r="E2758" s="7">
        <v>45477</v>
      </c>
      <c r="F2758" s="7">
        <v>45841</v>
      </c>
      <c r="G2758" t="s">
        <v>135</v>
      </c>
      <c r="H2758" t="s">
        <v>6332</v>
      </c>
      <c r="I2758" t="s">
        <v>101</v>
      </c>
      <c r="J2758">
        <v>6991.28</v>
      </c>
      <c r="K2758">
        <v>1000000</v>
      </c>
    </row>
    <row r="2759" spans="1:11" ht="15" customHeight="1" x14ac:dyDescent="0.2">
      <c r="A2759" t="s">
        <v>4331</v>
      </c>
      <c r="B2759" t="s">
        <v>3289</v>
      </c>
      <c r="C2759">
        <v>2024</v>
      </c>
      <c r="D2759">
        <v>2024</v>
      </c>
      <c r="E2759" s="7">
        <v>45478</v>
      </c>
      <c r="F2759" s="7">
        <v>45842</v>
      </c>
      <c r="G2759" t="s">
        <v>99</v>
      </c>
      <c r="H2759" t="s">
        <v>102</v>
      </c>
      <c r="I2759" t="s">
        <v>101</v>
      </c>
      <c r="J2759">
        <v>9988.94</v>
      </c>
      <c r="K2759">
        <v>1500000</v>
      </c>
    </row>
    <row r="2760" spans="1:11" ht="15" customHeight="1" x14ac:dyDescent="0.2">
      <c r="A2760" t="s">
        <v>4332</v>
      </c>
      <c r="B2760" t="s">
        <v>6770</v>
      </c>
      <c r="C2760">
        <v>2024</v>
      </c>
      <c r="D2760">
        <v>2024</v>
      </c>
      <c r="E2760" s="7">
        <v>45478</v>
      </c>
      <c r="F2760" s="7">
        <v>45842</v>
      </c>
      <c r="G2760" t="s">
        <v>135</v>
      </c>
      <c r="H2760" t="s">
        <v>106</v>
      </c>
      <c r="I2760" t="s">
        <v>101</v>
      </c>
      <c r="J2760">
        <v>4717.09</v>
      </c>
      <c r="K2760">
        <v>500000</v>
      </c>
    </row>
    <row r="2761" spans="1:11" ht="15" customHeight="1" x14ac:dyDescent="0.2">
      <c r="A2761" t="s">
        <v>4334</v>
      </c>
      <c r="B2761" t="s">
        <v>6781</v>
      </c>
      <c r="C2761">
        <v>2024</v>
      </c>
      <c r="D2761">
        <v>2024</v>
      </c>
      <c r="E2761" s="7">
        <v>45478</v>
      </c>
      <c r="F2761" s="7">
        <v>45842</v>
      </c>
      <c r="G2761" t="s">
        <v>135</v>
      </c>
      <c r="H2761" t="s">
        <v>114</v>
      </c>
      <c r="I2761" t="s">
        <v>101</v>
      </c>
      <c r="J2761">
        <v>73628.92</v>
      </c>
      <c r="K2761">
        <v>10000000</v>
      </c>
    </row>
    <row r="2762" spans="1:11" ht="15" customHeight="1" x14ac:dyDescent="0.2">
      <c r="A2762" t="s">
        <v>4336</v>
      </c>
      <c r="B2762" t="s">
        <v>8707</v>
      </c>
      <c r="C2762">
        <v>2024</v>
      </c>
      <c r="D2762">
        <v>2024</v>
      </c>
      <c r="E2762" s="7">
        <v>45478</v>
      </c>
      <c r="F2762" s="7">
        <v>45842</v>
      </c>
      <c r="G2762" t="s">
        <v>135</v>
      </c>
      <c r="H2762" t="s">
        <v>107</v>
      </c>
      <c r="I2762" t="s">
        <v>101</v>
      </c>
      <c r="J2762">
        <v>3678.4</v>
      </c>
      <c r="K2762">
        <v>500000</v>
      </c>
    </row>
    <row r="2763" spans="1:11" ht="15" customHeight="1" x14ac:dyDescent="0.2">
      <c r="A2763" t="s">
        <v>4338</v>
      </c>
      <c r="B2763" t="s">
        <v>8708</v>
      </c>
      <c r="C2763">
        <v>2024</v>
      </c>
      <c r="D2763">
        <v>2024</v>
      </c>
      <c r="E2763" s="7">
        <v>45478</v>
      </c>
      <c r="F2763" s="7">
        <v>45842</v>
      </c>
      <c r="G2763" t="s">
        <v>135</v>
      </c>
      <c r="H2763" t="s">
        <v>100</v>
      </c>
      <c r="I2763" t="s">
        <v>101</v>
      </c>
      <c r="J2763">
        <v>7462.19</v>
      </c>
      <c r="K2763">
        <v>1000000</v>
      </c>
    </row>
    <row r="2764" spans="1:11" ht="15" customHeight="1" x14ac:dyDescent="0.2">
      <c r="A2764" t="s">
        <v>4340</v>
      </c>
      <c r="B2764" t="s">
        <v>351</v>
      </c>
      <c r="C2764">
        <v>2024</v>
      </c>
      <c r="D2764">
        <v>2024</v>
      </c>
      <c r="E2764" s="7">
        <v>45478</v>
      </c>
      <c r="F2764" s="7">
        <v>45842</v>
      </c>
      <c r="G2764" t="s">
        <v>135</v>
      </c>
      <c r="H2764" t="s">
        <v>103</v>
      </c>
      <c r="I2764" t="s">
        <v>104</v>
      </c>
      <c r="J2764">
        <v>30896.14</v>
      </c>
      <c r="K2764">
        <v>5000000</v>
      </c>
    </row>
    <row r="2765" spans="1:11" ht="15" customHeight="1" x14ac:dyDescent="0.2">
      <c r="A2765" t="s">
        <v>4341</v>
      </c>
      <c r="B2765" t="s">
        <v>8709</v>
      </c>
      <c r="C2765">
        <v>2024</v>
      </c>
      <c r="D2765">
        <v>2024</v>
      </c>
      <c r="E2765" s="7">
        <v>45478</v>
      </c>
      <c r="F2765" s="7">
        <v>45842</v>
      </c>
      <c r="G2765" t="s">
        <v>135</v>
      </c>
      <c r="H2765" t="s">
        <v>106</v>
      </c>
      <c r="I2765" t="s">
        <v>101</v>
      </c>
      <c r="J2765">
        <v>8892.2199999999993</v>
      </c>
      <c r="K2765">
        <v>1000000</v>
      </c>
    </row>
    <row r="2766" spans="1:11" ht="15" customHeight="1" x14ac:dyDescent="0.2">
      <c r="A2766" t="s">
        <v>4342</v>
      </c>
      <c r="B2766" t="s">
        <v>930</v>
      </c>
      <c r="C2766">
        <v>2024</v>
      </c>
      <c r="D2766">
        <v>2024</v>
      </c>
      <c r="E2766" s="7">
        <v>45478</v>
      </c>
      <c r="F2766" s="7">
        <v>45842</v>
      </c>
      <c r="G2766" t="s">
        <v>135</v>
      </c>
      <c r="H2766" t="s">
        <v>108</v>
      </c>
      <c r="I2766" t="s">
        <v>101</v>
      </c>
      <c r="J2766">
        <v>80921.41</v>
      </c>
      <c r="K2766">
        <v>10000000</v>
      </c>
    </row>
    <row r="2767" spans="1:11" ht="15" customHeight="1" x14ac:dyDescent="0.2">
      <c r="A2767" t="s">
        <v>4343</v>
      </c>
      <c r="B2767" t="s">
        <v>127</v>
      </c>
      <c r="C2767">
        <v>2024</v>
      </c>
      <c r="D2767">
        <v>2024</v>
      </c>
      <c r="E2767" s="7">
        <v>45478</v>
      </c>
      <c r="F2767" s="7">
        <v>45842</v>
      </c>
      <c r="G2767" t="s">
        <v>135</v>
      </c>
      <c r="H2767" t="s">
        <v>108</v>
      </c>
      <c r="I2767" t="s">
        <v>104</v>
      </c>
      <c r="J2767">
        <v>37471.79</v>
      </c>
      <c r="K2767">
        <v>5000000</v>
      </c>
    </row>
    <row r="2768" spans="1:11" ht="15" customHeight="1" x14ac:dyDescent="0.2">
      <c r="A2768" t="s">
        <v>4344</v>
      </c>
      <c r="B2768" t="s">
        <v>8710</v>
      </c>
      <c r="C2768">
        <v>2024</v>
      </c>
      <c r="D2768">
        <v>2024</v>
      </c>
      <c r="E2768" s="7">
        <v>45478</v>
      </c>
      <c r="F2768" s="7">
        <v>45842</v>
      </c>
      <c r="G2768" t="s">
        <v>135</v>
      </c>
      <c r="H2768" t="s">
        <v>106</v>
      </c>
      <c r="I2768" t="s">
        <v>101</v>
      </c>
      <c r="J2768">
        <v>9171.6200000000008</v>
      </c>
      <c r="K2768">
        <v>1000000</v>
      </c>
    </row>
    <row r="2769" spans="1:11" ht="15" customHeight="1" x14ac:dyDescent="0.2">
      <c r="A2769" t="s">
        <v>4345</v>
      </c>
      <c r="B2769" t="s">
        <v>8711</v>
      </c>
      <c r="C2769">
        <v>2024</v>
      </c>
      <c r="D2769">
        <v>2024</v>
      </c>
      <c r="E2769" s="7">
        <v>45478</v>
      </c>
      <c r="F2769" s="7">
        <v>45842</v>
      </c>
      <c r="G2769" t="s">
        <v>135</v>
      </c>
      <c r="H2769" t="s">
        <v>106</v>
      </c>
      <c r="I2769" t="s">
        <v>101</v>
      </c>
      <c r="J2769">
        <v>4494.95</v>
      </c>
      <c r="K2769">
        <v>500000</v>
      </c>
    </row>
    <row r="2770" spans="1:11" ht="15" customHeight="1" x14ac:dyDescent="0.2">
      <c r="A2770" t="s">
        <v>4346</v>
      </c>
      <c r="B2770" t="s">
        <v>3291</v>
      </c>
      <c r="C2770">
        <v>2024</v>
      </c>
      <c r="D2770">
        <v>2024</v>
      </c>
      <c r="E2770" s="7">
        <v>45479</v>
      </c>
      <c r="F2770" s="7">
        <v>45843</v>
      </c>
      <c r="G2770" t="s">
        <v>99</v>
      </c>
      <c r="H2770" t="s">
        <v>110</v>
      </c>
      <c r="I2770" t="s">
        <v>101</v>
      </c>
      <c r="J2770">
        <v>8642.8799999999992</v>
      </c>
      <c r="K2770">
        <v>1000000</v>
      </c>
    </row>
    <row r="2771" spans="1:11" ht="15" customHeight="1" x14ac:dyDescent="0.2">
      <c r="A2771" t="s">
        <v>4347</v>
      </c>
      <c r="B2771" t="s">
        <v>3300</v>
      </c>
      <c r="C2771">
        <v>2024</v>
      </c>
      <c r="D2771">
        <v>2024</v>
      </c>
      <c r="E2771" s="7">
        <v>45479</v>
      </c>
      <c r="F2771" s="7">
        <v>45843</v>
      </c>
      <c r="G2771" t="s">
        <v>99</v>
      </c>
      <c r="H2771" t="s">
        <v>112</v>
      </c>
      <c r="I2771" t="s">
        <v>101</v>
      </c>
      <c r="J2771">
        <v>12463.52</v>
      </c>
      <c r="K2771">
        <v>1500000</v>
      </c>
    </row>
    <row r="2772" spans="1:11" ht="15" customHeight="1" x14ac:dyDescent="0.2">
      <c r="A2772" t="s">
        <v>4348</v>
      </c>
      <c r="B2772" t="s">
        <v>931</v>
      </c>
      <c r="C2772">
        <v>2024</v>
      </c>
      <c r="D2772">
        <v>2024</v>
      </c>
      <c r="E2772" s="7">
        <v>45479</v>
      </c>
      <c r="F2772" s="7">
        <v>45843</v>
      </c>
      <c r="G2772" t="s">
        <v>135</v>
      </c>
      <c r="H2772" t="s">
        <v>105</v>
      </c>
      <c r="I2772" t="s">
        <v>104</v>
      </c>
      <c r="J2772">
        <v>8241.82</v>
      </c>
      <c r="K2772">
        <v>1500000</v>
      </c>
    </row>
    <row r="2773" spans="1:11" ht="15" customHeight="1" x14ac:dyDescent="0.2">
      <c r="A2773" t="s">
        <v>4350</v>
      </c>
      <c r="B2773" t="s">
        <v>8712</v>
      </c>
      <c r="C2773">
        <v>2024</v>
      </c>
      <c r="D2773">
        <v>2024</v>
      </c>
      <c r="E2773" s="7">
        <v>45479</v>
      </c>
      <c r="F2773" s="7">
        <v>45843</v>
      </c>
      <c r="G2773" t="s">
        <v>135</v>
      </c>
      <c r="H2773" t="s">
        <v>113</v>
      </c>
      <c r="I2773" t="s">
        <v>101</v>
      </c>
      <c r="J2773">
        <v>6813.09</v>
      </c>
      <c r="K2773">
        <v>1000000</v>
      </c>
    </row>
    <row r="2774" spans="1:11" ht="15" customHeight="1" x14ac:dyDescent="0.2">
      <c r="A2774" t="s">
        <v>4351</v>
      </c>
      <c r="B2774" t="s">
        <v>6792</v>
      </c>
      <c r="C2774">
        <v>2024</v>
      </c>
      <c r="D2774">
        <v>2024</v>
      </c>
      <c r="E2774" s="7">
        <v>45479</v>
      </c>
      <c r="F2774" s="7">
        <v>45843</v>
      </c>
      <c r="G2774" t="s">
        <v>135</v>
      </c>
      <c r="H2774" t="s">
        <v>102</v>
      </c>
      <c r="I2774" t="s">
        <v>101</v>
      </c>
      <c r="J2774">
        <v>72582.679999999993</v>
      </c>
      <c r="K2774">
        <v>10000000</v>
      </c>
    </row>
    <row r="2775" spans="1:11" ht="15" customHeight="1" x14ac:dyDescent="0.2">
      <c r="A2775" t="s">
        <v>4352</v>
      </c>
      <c r="B2775" t="s">
        <v>6805</v>
      </c>
      <c r="C2775">
        <v>2024</v>
      </c>
      <c r="D2775">
        <v>2024</v>
      </c>
      <c r="E2775" s="7">
        <v>45479</v>
      </c>
      <c r="F2775" s="7">
        <v>45843</v>
      </c>
      <c r="G2775" t="s">
        <v>135</v>
      </c>
      <c r="H2775" t="s">
        <v>6334</v>
      </c>
      <c r="I2775" t="s">
        <v>101</v>
      </c>
      <c r="J2775">
        <v>38481.94</v>
      </c>
      <c r="K2775">
        <v>5000000</v>
      </c>
    </row>
    <row r="2776" spans="1:11" ht="15" customHeight="1" x14ac:dyDescent="0.2">
      <c r="A2776" t="s">
        <v>4353</v>
      </c>
      <c r="B2776" t="s">
        <v>8713</v>
      </c>
      <c r="C2776">
        <v>2024</v>
      </c>
      <c r="D2776">
        <v>2024</v>
      </c>
      <c r="E2776" s="7">
        <v>45479</v>
      </c>
      <c r="F2776" s="7">
        <v>45843</v>
      </c>
      <c r="G2776" t="s">
        <v>135</v>
      </c>
      <c r="H2776" t="s">
        <v>102</v>
      </c>
      <c r="I2776" t="s">
        <v>104</v>
      </c>
      <c r="J2776">
        <v>7886.73</v>
      </c>
      <c r="K2776">
        <v>1500000</v>
      </c>
    </row>
    <row r="2777" spans="1:11" ht="15" customHeight="1" x14ac:dyDescent="0.2">
      <c r="A2777" t="s">
        <v>4354</v>
      </c>
      <c r="B2777" t="s">
        <v>6785</v>
      </c>
      <c r="C2777">
        <v>2024</v>
      </c>
      <c r="D2777">
        <v>2024</v>
      </c>
      <c r="E2777" s="7">
        <v>45479</v>
      </c>
      <c r="F2777" s="7">
        <v>45843</v>
      </c>
      <c r="G2777" t="s">
        <v>135</v>
      </c>
      <c r="H2777" t="s">
        <v>107</v>
      </c>
      <c r="I2777" t="s">
        <v>101</v>
      </c>
      <c r="J2777">
        <v>10839.71</v>
      </c>
      <c r="K2777">
        <v>1500000</v>
      </c>
    </row>
    <row r="2778" spans="1:11" ht="15" customHeight="1" x14ac:dyDescent="0.2">
      <c r="A2778" t="s">
        <v>4355</v>
      </c>
      <c r="B2778" t="s">
        <v>6788</v>
      </c>
      <c r="C2778">
        <v>2024</v>
      </c>
      <c r="D2778">
        <v>2024</v>
      </c>
      <c r="E2778" s="7">
        <v>45479</v>
      </c>
      <c r="F2778" s="7">
        <v>45843</v>
      </c>
      <c r="G2778" t="s">
        <v>135</v>
      </c>
      <c r="H2778" t="s">
        <v>110</v>
      </c>
      <c r="I2778" t="s">
        <v>101</v>
      </c>
      <c r="J2778">
        <v>9317.01</v>
      </c>
      <c r="K2778">
        <v>1000000</v>
      </c>
    </row>
    <row r="2779" spans="1:11" ht="15" customHeight="1" x14ac:dyDescent="0.2">
      <c r="A2779" t="s">
        <v>4356</v>
      </c>
      <c r="B2779" t="s">
        <v>8714</v>
      </c>
      <c r="C2779">
        <v>2024</v>
      </c>
      <c r="D2779">
        <v>2024</v>
      </c>
      <c r="E2779" s="7">
        <v>45479</v>
      </c>
      <c r="F2779" s="7">
        <v>45843</v>
      </c>
      <c r="G2779" t="s">
        <v>135</v>
      </c>
      <c r="H2779" t="s">
        <v>106</v>
      </c>
      <c r="I2779" t="s">
        <v>101</v>
      </c>
      <c r="J2779">
        <v>8987.61</v>
      </c>
      <c r="K2779">
        <v>1000000</v>
      </c>
    </row>
    <row r="2780" spans="1:11" ht="15" customHeight="1" x14ac:dyDescent="0.2">
      <c r="A2780" t="s">
        <v>4357</v>
      </c>
      <c r="B2780" t="s">
        <v>6815</v>
      </c>
      <c r="C2780">
        <v>2024</v>
      </c>
      <c r="D2780">
        <v>2024</v>
      </c>
      <c r="E2780" s="7">
        <v>45479</v>
      </c>
      <c r="F2780" s="7">
        <v>45843</v>
      </c>
      <c r="G2780" t="s">
        <v>135</v>
      </c>
      <c r="H2780" t="s">
        <v>106</v>
      </c>
      <c r="I2780" t="s">
        <v>104</v>
      </c>
      <c r="J2780">
        <v>14604.59</v>
      </c>
      <c r="K2780">
        <v>2000000</v>
      </c>
    </row>
    <row r="2781" spans="1:11" ht="15" customHeight="1" x14ac:dyDescent="0.2">
      <c r="A2781" t="s">
        <v>4358</v>
      </c>
      <c r="B2781" t="s">
        <v>8715</v>
      </c>
      <c r="C2781">
        <v>2024</v>
      </c>
      <c r="D2781">
        <v>2024</v>
      </c>
      <c r="E2781" s="7">
        <v>45479</v>
      </c>
      <c r="F2781" s="7">
        <v>45843</v>
      </c>
      <c r="G2781" t="s">
        <v>135</v>
      </c>
      <c r="H2781" t="s">
        <v>102</v>
      </c>
      <c r="I2781" t="s">
        <v>101</v>
      </c>
      <c r="J2781">
        <v>11481.16</v>
      </c>
      <c r="K2781">
        <v>1500000</v>
      </c>
    </row>
    <row r="2782" spans="1:11" ht="15" customHeight="1" x14ac:dyDescent="0.2">
      <c r="A2782" t="s">
        <v>4359</v>
      </c>
      <c r="B2782" t="s">
        <v>6787</v>
      </c>
      <c r="C2782">
        <v>2024</v>
      </c>
      <c r="D2782">
        <v>2024</v>
      </c>
      <c r="E2782" s="7">
        <v>45479</v>
      </c>
      <c r="F2782" s="7">
        <v>45843</v>
      </c>
      <c r="G2782" t="s">
        <v>135</v>
      </c>
      <c r="H2782" t="s">
        <v>107</v>
      </c>
      <c r="I2782" t="s">
        <v>101</v>
      </c>
      <c r="J2782">
        <v>7085.83</v>
      </c>
      <c r="K2782">
        <v>1000000</v>
      </c>
    </row>
    <row r="2783" spans="1:11" ht="15" customHeight="1" x14ac:dyDescent="0.2">
      <c r="A2783" t="s">
        <v>4360</v>
      </c>
      <c r="B2783" t="s">
        <v>6796</v>
      </c>
      <c r="C2783">
        <v>2024</v>
      </c>
      <c r="D2783">
        <v>2024</v>
      </c>
      <c r="E2783" s="7">
        <v>45479</v>
      </c>
      <c r="F2783" s="7">
        <v>45843</v>
      </c>
      <c r="G2783" t="s">
        <v>135</v>
      </c>
      <c r="H2783" t="s">
        <v>102</v>
      </c>
      <c r="I2783" t="s">
        <v>101</v>
      </c>
      <c r="J2783">
        <v>7123.85</v>
      </c>
      <c r="K2783">
        <v>1000000</v>
      </c>
    </row>
    <row r="2784" spans="1:11" ht="15" customHeight="1" x14ac:dyDescent="0.2">
      <c r="A2784" t="s">
        <v>4361</v>
      </c>
      <c r="B2784" t="s">
        <v>3302</v>
      </c>
      <c r="C2784">
        <v>2024</v>
      </c>
      <c r="D2784">
        <v>2024</v>
      </c>
      <c r="E2784" s="7">
        <v>45480</v>
      </c>
      <c r="F2784" s="7">
        <v>45844</v>
      </c>
      <c r="G2784" t="s">
        <v>99</v>
      </c>
      <c r="H2784" t="s">
        <v>6337</v>
      </c>
      <c r="I2784" t="s">
        <v>104</v>
      </c>
      <c r="J2784">
        <v>58585.95</v>
      </c>
      <c r="K2784">
        <v>10000000</v>
      </c>
    </row>
    <row r="2785" spans="1:11" ht="15" customHeight="1" x14ac:dyDescent="0.2">
      <c r="A2785" t="s">
        <v>4363</v>
      </c>
      <c r="B2785" t="s">
        <v>3304</v>
      </c>
      <c r="C2785">
        <v>2024</v>
      </c>
      <c r="D2785">
        <v>2024</v>
      </c>
      <c r="E2785" s="7">
        <v>45480</v>
      </c>
      <c r="F2785" s="7">
        <v>45844</v>
      </c>
      <c r="G2785" t="s">
        <v>99</v>
      </c>
      <c r="H2785" t="s">
        <v>105</v>
      </c>
      <c r="I2785" t="s">
        <v>101</v>
      </c>
      <c r="J2785">
        <v>34592.879999999997</v>
      </c>
      <c r="K2785">
        <v>5000000</v>
      </c>
    </row>
    <row r="2786" spans="1:11" ht="15" customHeight="1" x14ac:dyDescent="0.2">
      <c r="A2786" t="s">
        <v>4365</v>
      </c>
      <c r="B2786" t="s">
        <v>3306</v>
      </c>
      <c r="C2786">
        <v>2024</v>
      </c>
      <c r="D2786">
        <v>2024</v>
      </c>
      <c r="E2786" s="7">
        <v>45480</v>
      </c>
      <c r="F2786" s="7">
        <v>45844</v>
      </c>
      <c r="G2786" t="s">
        <v>99</v>
      </c>
      <c r="H2786" t="s">
        <v>108</v>
      </c>
      <c r="I2786" t="s">
        <v>101</v>
      </c>
      <c r="J2786">
        <v>8143</v>
      </c>
      <c r="K2786">
        <v>1000000</v>
      </c>
    </row>
    <row r="2787" spans="1:11" ht="15" customHeight="1" x14ac:dyDescent="0.2">
      <c r="A2787" t="s">
        <v>4367</v>
      </c>
      <c r="B2787" t="s">
        <v>8716</v>
      </c>
      <c r="C2787">
        <v>2024</v>
      </c>
      <c r="D2787">
        <v>2024</v>
      </c>
      <c r="E2787" s="7">
        <v>45480</v>
      </c>
      <c r="F2787" s="7">
        <v>45844</v>
      </c>
      <c r="G2787" t="s">
        <v>135</v>
      </c>
      <c r="H2787" t="s">
        <v>106</v>
      </c>
      <c r="I2787" t="s">
        <v>101</v>
      </c>
      <c r="J2787">
        <v>45907.38</v>
      </c>
      <c r="K2787">
        <v>5000000</v>
      </c>
    </row>
    <row r="2788" spans="1:11" ht="15" customHeight="1" x14ac:dyDescent="0.2">
      <c r="A2788" t="s">
        <v>4369</v>
      </c>
      <c r="B2788" t="s">
        <v>8717</v>
      </c>
      <c r="C2788">
        <v>2024</v>
      </c>
      <c r="D2788">
        <v>2024</v>
      </c>
      <c r="E2788" s="7">
        <v>45480</v>
      </c>
      <c r="F2788" s="7">
        <v>45844</v>
      </c>
      <c r="G2788" t="s">
        <v>135</v>
      </c>
      <c r="H2788" t="s">
        <v>6332</v>
      </c>
      <c r="I2788" t="s">
        <v>104</v>
      </c>
      <c r="J2788">
        <v>12345.99</v>
      </c>
      <c r="K2788">
        <v>2000000</v>
      </c>
    </row>
    <row r="2789" spans="1:11" ht="15" customHeight="1" x14ac:dyDescent="0.2">
      <c r="A2789" t="s">
        <v>4371</v>
      </c>
      <c r="B2789" t="s">
        <v>6851</v>
      </c>
      <c r="C2789">
        <v>2024</v>
      </c>
      <c r="D2789">
        <v>2024</v>
      </c>
      <c r="E2789" s="7">
        <v>45480</v>
      </c>
      <c r="F2789" s="7">
        <v>45844</v>
      </c>
      <c r="G2789" t="s">
        <v>135</v>
      </c>
      <c r="H2789" t="s">
        <v>113</v>
      </c>
      <c r="I2789" t="s">
        <v>101</v>
      </c>
      <c r="J2789">
        <v>3409.78</v>
      </c>
      <c r="K2789">
        <v>500000</v>
      </c>
    </row>
    <row r="2790" spans="1:11" ht="15" customHeight="1" x14ac:dyDescent="0.2">
      <c r="A2790" t="s">
        <v>4373</v>
      </c>
      <c r="B2790" t="s">
        <v>6795</v>
      </c>
      <c r="C2790">
        <v>2024</v>
      </c>
      <c r="D2790">
        <v>2024</v>
      </c>
      <c r="E2790" s="7">
        <v>45480</v>
      </c>
      <c r="F2790" s="7">
        <v>45844</v>
      </c>
      <c r="G2790" t="s">
        <v>135</v>
      </c>
      <c r="H2790" t="s">
        <v>107</v>
      </c>
      <c r="I2790" t="s">
        <v>104</v>
      </c>
      <c r="J2790">
        <v>29722.77</v>
      </c>
      <c r="K2790">
        <v>5000000</v>
      </c>
    </row>
    <row r="2791" spans="1:11" ht="15" customHeight="1" x14ac:dyDescent="0.2">
      <c r="A2791" t="s">
        <v>4374</v>
      </c>
      <c r="B2791" t="s">
        <v>563</v>
      </c>
      <c r="C2791">
        <v>2024</v>
      </c>
      <c r="D2791">
        <v>2024</v>
      </c>
      <c r="E2791" s="7">
        <v>45480</v>
      </c>
      <c r="F2791" s="7">
        <v>45844</v>
      </c>
      <c r="G2791" t="s">
        <v>135</v>
      </c>
      <c r="H2791" t="s">
        <v>108</v>
      </c>
      <c r="I2791" t="s">
        <v>101</v>
      </c>
      <c r="J2791">
        <v>4116.59</v>
      </c>
      <c r="K2791">
        <v>500000</v>
      </c>
    </row>
    <row r="2792" spans="1:11" ht="15" customHeight="1" x14ac:dyDescent="0.2">
      <c r="A2792" t="s">
        <v>4375</v>
      </c>
      <c r="B2792" t="s">
        <v>932</v>
      </c>
      <c r="C2792">
        <v>2024</v>
      </c>
      <c r="D2792">
        <v>2024</v>
      </c>
      <c r="E2792" s="7">
        <v>45480</v>
      </c>
      <c r="F2792" s="7">
        <v>45844</v>
      </c>
      <c r="G2792" t="s">
        <v>135</v>
      </c>
      <c r="H2792" t="s">
        <v>106</v>
      </c>
      <c r="I2792" t="s">
        <v>101</v>
      </c>
      <c r="J2792">
        <v>8970.7000000000007</v>
      </c>
      <c r="K2792">
        <v>1000000</v>
      </c>
    </row>
    <row r="2793" spans="1:11" ht="15" customHeight="1" x14ac:dyDescent="0.2">
      <c r="A2793" t="s">
        <v>4376</v>
      </c>
      <c r="B2793" t="s">
        <v>8718</v>
      </c>
      <c r="C2793">
        <v>2024</v>
      </c>
      <c r="D2793">
        <v>2024</v>
      </c>
      <c r="E2793" s="7">
        <v>45480</v>
      </c>
      <c r="F2793" s="7">
        <v>45844</v>
      </c>
      <c r="G2793" t="s">
        <v>135</v>
      </c>
      <c r="H2793" t="s">
        <v>102</v>
      </c>
      <c r="I2793" t="s">
        <v>104</v>
      </c>
      <c r="J2793">
        <v>5403.03</v>
      </c>
      <c r="K2793">
        <v>1000000</v>
      </c>
    </row>
    <row r="2794" spans="1:11" ht="15" customHeight="1" x14ac:dyDescent="0.2">
      <c r="A2794" t="s">
        <v>4377</v>
      </c>
      <c r="B2794" t="s">
        <v>6797</v>
      </c>
      <c r="C2794">
        <v>2024</v>
      </c>
      <c r="D2794">
        <v>2024</v>
      </c>
      <c r="E2794" s="7">
        <v>45480</v>
      </c>
      <c r="F2794" s="7">
        <v>45844</v>
      </c>
      <c r="G2794" t="s">
        <v>135</v>
      </c>
      <c r="H2794" t="s">
        <v>115</v>
      </c>
      <c r="I2794" t="s">
        <v>101</v>
      </c>
      <c r="J2794">
        <v>6831.24</v>
      </c>
      <c r="K2794">
        <v>1000000</v>
      </c>
    </row>
    <row r="2795" spans="1:11" ht="15" customHeight="1" x14ac:dyDescent="0.2">
      <c r="A2795" t="s">
        <v>4378</v>
      </c>
      <c r="B2795" t="s">
        <v>8719</v>
      </c>
      <c r="C2795">
        <v>2024</v>
      </c>
      <c r="D2795">
        <v>2024</v>
      </c>
      <c r="E2795" s="7">
        <v>45480</v>
      </c>
      <c r="F2795" s="7">
        <v>45844</v>
      </c>
      <c r="G2795" t="s">
        <v>135</v>
      </c>
      <c r="H2795" t="s">
        <v>100</v>
      </c>
      <c r="I2795" t="s">
        <v>104</v>
      </c>
      <c r="J2795">
        <v>5453.96</v>
      </c>
      <c r="K2795">
        <v>1000000</v>
      </c>
    </row>
    <row r="2796" spans="1:11" ht="15" customHeight="1" x14ac:dyDescent="0.2">
      <c r="A2796" t="s">
        <v>4379</v>
      </c>
      <c r="B2796" t="s">
        <v>6807</v>
      </c>
      <c r="C2796">
        <v>2024</v>
      </c>
      <c r="D2796">
        <v>2024</v>
      </c>
      <c r="E2796" s="7">
        <v>45480</v>
      </c>
      <c r="F2796" s="7">
        <v>45844</v>
      </c>
      <c r="G2796" t="s">
        <v>135</v>
      </c>
      <c r="H2796" t="s">
        <v>6337</v>
      </c>
      <c r="I2796" t="s">
        <v>104</v>
      </c>
      <c r="J2796">
        <v>30542.74</v>
      </c>
      <c r="K2796">
        <v>5000000</v>
      </c>
    </row>
    <row r="2797" spans="1:11" ht="15" customHeight="1" x14ac:dyDescent="0.2">
      <c r="A2797" t="s">
        <v>4381</v>
      </c>
      <c r="B2797" t="s">
        <v>7279</v>
      </c>
      <c r="C2797">
        <v>2024</v>
      </c>
      <c r="D2797">
        <v>2024</v>
      </c>
      <c r="E2797" s="7">
        <v>45480</v>
      </c>
      <c r="F2797" s="7">
        <v>45844</v>
      </c>
      <c r="G2797" t="s">
        <v>135</v>
      </c>
      <c r="H2797" t="s">
        <v>110</v>
      </c>
      <c r="I2797" t="s">
        <v>104</v>
      </c>
      <c r="J2797">
        <v>7207.13</v>
      </c>
      <c r="K2797">
        <v>1000000</v>
      </c>
    </row>
    <row r="2798" spans="1:11" ht="15" customHeight="1" x14ac:dyDescent="0.2">
      <c r="A2798" t="s">
        <v>4383</v>
      </c>
      <c r="B2798" t="s">
        <v>3318</v>
      </c>
      <c r="C2798">
        <v>2024</v>
      </c>
      <c r="D2798">
        <v>2024</v>
      </c>
      <c r="E2798" s="7">
        <v>45481</v>
      </c>
      <c r="F2798" s="7">
        <v>45845</v>
      </c>
      <c r="G2798" t="s">
        <v>99</v>
      </c>
      <c r="H2798" t="s">
        <v>106</v>
      </c>
      <c r="I2798" t="s">
        <v>104</v>
      </c>
      <c r="J2798">
        <v>12939.99</v>
      </c>
      <c r="K2798">
        <v>2000000</v>
      </c>
    </row>
    <row r="2799" spans="1:11" ht="15" customHeight="1" x14ac:dyDescent="0.2">
      <c r="A2799" t="s">
        <v>4385</v>
      </c>
      <c r="B2799" t="s">
        <v>3320</v>
      </c>
      <c r="C2799">
        <v>2024</v>
      </c>
      <c r="D2799">
        <v>2024</v>
      </c>
      <c r="E2799" s="7">
        <v>45481</v>
      </c>
      <c r="F2799" s="7">
        <v>45845</v>
      </c>
      <c r="G2799" t="s">
        <v>99</v>
      </c>
      <c r="H2799" t="s">
        <v>106</v>
      </c>
      <c r="I2799" t="s">
        <v>101</v>
      </c>
      <c r="J2799">
        <v>12690.54</v>
      </c>
      <c r="K2799">
        <v>1500000</v>
      </c>
    </row>
    <row r="2800" spans="1:11" ht="15" customHeight="1" x14ac:dyDescent="0.2">
      <c r="A2800" t="s">
        <v>4387</v>
      </c>
      <c r="B2800" t="s">
        <v>3322</v>
      </c>
      <c r="C2800">
        <v>2024</v>
      </c>
      <c r="D2800">
        <v>2024</v>
      </c>
      <c r="E2800" s="7">
        <v>45481</v>
      </c>
      <c r="F2800" s="7">
        <v>45845</v>
      </c>
      <c r="G2800" t="s">
        <v>99</v>
      </c>
      <c r="H2800" t="s">
        <v>102</v>
      </c>
      <c r="I2800" t="s">
        <v>101</v>
      </c>
      <c r="J2800">
        <v>14526.11</v>
      </c>
      <c r="K2800">
        <v>2000000</v>
      </c>
    </row>
    <row r="2801" spans="1:11" ht="15" customHeight="1" x14ac:dyDescent="0.2">
      <c r="A2801" t="s">
        <v>4389</v>
      </c>
      <c r="B2801" t="s">
        <v>6779</v>
      </c>
      <c r="C2801">
        <v>2024</v>
      </c>
      <c r="D2801">
        <v>2024</v>
      </c>
      <c r="E2801" s="7">
        <v>45481</v>
      </c>
      <c r="F2801" s="7">
        <v>45845</v>
      </c>
      <c r="G2801" t="s">
        <v>135</v>
      </c>
      <c r="H2801" t="s">
        <v>108</v>
      </c>
      <c r="I2801" t="s">
        <v>104</v>
      </c>
      <c r="J2801">
        <v>7104.5</v>
      </c>
      <c r="K2801">
        <v>1000000</v>
      </c>
    </row>
    <row r="2802" spans="1:11" ht="15" customHeight="1" x14ac:dyDescent="0.2">
      <c r="A2802" t="s">
        <v>4390</v>
      </c>
      <c r="B2802" t="s">
        <v>8720</v>
      </c>
      <c r="C2802">
        <v>2024</v>
      </c>
      <c r="D2802">
        <v>2024</v>
      </c>
      <c r="E2802" s="7">
        <v>45481</v>
      </c>
      <c r="F2802" s="7">
        <v>45845</v>
      </c>
      <c r="G2802" t="s">
        <v>135</v>
      </c>
      <c r="H2802" t="s">
        <v>6348</v>
      </c>
      <c r="I2802" t="s">
        <v>101</v>
      </c>
      <c r="J2802">
        <v>10177.01</v>
      </c>
      <c r="K2802">
        <v>1500000</v>
      </c>
    </row>
    <row r="2803" spans="1:11" ht="15" customHeight="1" x14ac:dyDescent="0.2">
      <c r="A2803" t="s">
        <v>4391</v>
      </c>
      <c r="B2803" t="s">
        <v>8721</v>
      </c>
      <c r="C2803">
        <v>2024</v>
      </c>
      <c r="D2803">
        <v>2024</v>
      </c>
      <c r="E2803" s="7">
        <v>45481</v>
      </c>
      <c r="F2803" s="7">
        <v>45845</v>
      </c>
      <c r="G2803" t="s">
        <v>135</v>
      </c>
      <c r="H2803" t="s">
        <v>6348</v>
      </c>
      <c r="I2803" t="s">
        <v>101</v>
      </c>
      <c r="J2803">
        <v>6575.84</v>
      </c>
      <c r="K2803">
        <v>1000000</v>
      </c>
    </row>
    <row r="2804" spans="1:11" ht="15" customHeight="1" x14ac:dyDescent="0.2">
      <c r="A2804" t="s">
        <v>4392</v>
      </c>
      <c r="B2804" t="s">
        <v>8722</v>
      </c>
      <c r="C2804">
        <v>2024</v>
      </c>
      <c r="D2804">
        <v>2024</v>
      </c>
      <c r="E2804" s="7">
        <v>45481</v>
      </c>
      <c r="F2804" s="7">
        <v>45845</v>
      </c>
      <c r="G2804" t="s">
        <v>135</v>
      </c>
      <c r="H2804" t="s">
        <v>113</v>
      </c>
      <c r="I2804" t="s">
        <v>101</v>
      </c>
      <c r="J2804">
        <v>6901.72</v>
      </c>
      <c r="K2804">
        <v>1000000</v>
      </c>
    </row>
    <row r="2805" spans="1:11" ht="15" customHeight="1" x14ac:dyDescent="0.2">
      <c r="A2805" t="s">
        <v>4393</v>
      </c>
      <c r="B2805" t="s">
        <v>6776</v>
      </c>
      <c r="C2805">
        <v>2024</v>
      </c>
      <c r="D2805">
        <v>2024</v>
      </c>
      <c r="E2805" s="7">
        <v>45481</v>
      </c>
      <c r="F2805" s="7">
        <v>45845</v>
      </c>
      <c r="G2805" t="s">
        <v>135</v>
      </c>
      <c r="H2805" t="s">
        <v>115</v>
      </c>
      <c r="I2805" t="s">
        <v>104</v>
      </c>
      <c r="J2805">
        <v>8179.81</v>
      </c>
      <c r="K2805">
        <v>1500000</v>
      </c>
    </row>
    <row r="2806" spans="1:11" ht="15" customHeight="1" x14ac:dyDescent="0.2">
      <c r="A2806" t="s">
        <v>4394</v>
      </c>
      <c r="B2806" t="s">
        <v>8723</v>
      </c>
      <c r="C2806">
        <v>2024</v>
      </c>
      <c r="D2806">
        <v>2024</v>
      </c>
      <c r="E2806" s="7">
        <v>45481</v>
      </c>
      <c r="F2806" s="7">
        <v>45845</v>
      </c>
      <c r="G2806" t="s">
        <v>135</v>
      </c>
      <c r="H2806" t="s">
        <v>114</v>
      </c>
      <c r="I2806" t="s">
        <v>104</v>
      </c>
      <c r="J2806">
        <v>8683.92</v>
      </c>
      <c r="K2806">
        <v>1500000</v>
      </c>
    </row>
    <row r="2807" spans="1:11" ht="15" customHeight="1" x14ac:dyDescent="0.2">
      <c r="A2807" t="s">
        <v>4395</v>
      </c>
      <c r="B2807" t="s">
        <v>564</v>
      </c>
      <c r="C2807">
        <v>2024</v>
      </c>
      <c r="D2807">
        <v>2024</v>
      </c>
      <c r="E2807" s="7">
        <v>45481</v>
      </c>
      <c r="F2807" s="7">
        <v>45845</v>
      </c>
      <c r="G2807" t="s">
        <v>135</v>
      </c>
      <c r="H2807" t="s">
        <v>109</v>
      </c>
      <c r="I2807" t="s">
        <v>104</v>
      </c>
      <c r="J2807">
        <v>5188.12</v>
      </c>
      <c r="K2807">
        <v>1000000</v>
      </c>
    </row>
    <row r="2808" spans="1:11" ht="15" customHeight="1" x14ac:dyDescent="0.2">
      <c r="A2808" t="s">
        <v>4396</v>
      </c>
      <c r="B2808" t="s">
        <v>8724</v>
      </c>
      <c r="C2808">
        <v>2024</v>
      </c>
      <c r="D2808">
        <v>2024</v>
      </c>
      <c r="E2808" s="7">
        <v>45481</v>
      </c>
      <c r="F2808" s="7">
        <v>45845</v>
      </c>
      <c r="G2808" t="s">
        <v>135</v>
      </c>
      <c r="H2808" t="s">
        <v>109</v>
      </c>
      <c r="I2808" t="s">
        <v>104</v>
      </c>
      <c r="J2808">
        <v>9138.74</v>
      </c>
      <c r="K2808">
        <v>1500000</v>
      </c>
    </row>
    <row r="2809" spans="1:11" ht="15" customHeight="1" x14ac:dyDescent="0.2">
      <c r="A2809" t="s">
        <v>4397</v>
      </c>
      <c r="B2809" t="s">
        <v>8725</v>
      </c>
      <c r="C2809">
        <v>2024</v>
      </c>
      <c r="D2809">
        <v>2024</v>
      </c>
      <c r="E2809" s="7">
        <v>45481</v>
      </c>
      <c r="F2809" s="7">
        <v>45845</v>
      </c>
      <c r="G2809" t="s">
        <v>135</v>
      </c>
      <c r="H2809" t="s">
        <v>103</v>
      </c>
      <c r="I2809" t="s">
        <v>101</v>
      </c>
      <c r="J2809">
        <v>69069.5</v>
      </c>
      <c r="K2809">
        <v>10000000</v>
      </c>
    </row>
    <row r="2810" spans="1:11" ht="15" customHeight="1" x14ac:dyDescent="0.2">
      <c r="A2810" t="s">
        <v>4398</v>
      </c>
      <c r="B2810" t="s">
        <v>8726</v>
      </c>
      <c r="C2810">
        <v>2024</v>
      </c>
      <c r="D2810">
        <v>2024</v>
      </c>
      <c r="E2810" s="7">
        <v>45481</v>
      </c>
      <c r="F2810" s="7">
        <v>45845</v>
      </c>
      <c r="G2810" t="s">
        <v>135</v>
      </c>
      <c r="H2810" t="s">
        <v>109</v>
      </c>
      <c r="I2810" t="s">
        <v>101</v>
      </c>
      <c r="J2810">
        <v>13227.39</v>
      </c>
      <c r="K2810">
        <v>2000000</v>
      </c>
    </row>
    <row r="2811" spans="1:11" ht="15" customHeight="1" x14ac:dyDescent="0.2">
      <c r="A2811" t="s">
        <v>4399</v>
      </c>
      <c r="B2811" t="s">
        <v>3324</v>
      </c>
      <c r="C2811">
        <v>2024</v>
      </c>
      <c r="D2811">
        <v>2024</v>
      </c>
      <c r="E2811" s="7">
        <v>45482</v>
      </c>
      <c r="F2811" s="7">
        <v>45846</v>
      </c>
      <c r="G2811" t="s">
        <v>99</v>
      </c>
      <c r="H2811" t="s">
        <v>100</v>
      </c>
      <c r="I2811" t="s">
        <v>101</v>
      </c>
      <c r="J2811">
        <v>11348.33</v>
      </c>
      <c r="K2811">
        <v>1500000</v>
      </c>
    </row>
    <row r="2812" spans="1:11" ht="15" customHeight="1" x14ac:dyDescent="0.2">
      <c r="A2812" t="s">
        <v>4400</v>
      </c>
      <c r="B2812" t="s">
        <v>3326</v>
      </c>
      <c r="C2812">
        <v>2024</v>
      </c>
      <c r="D2812">
        <v>2024</v>
      </c>
      <c r="E2812" s="7">
        <v>45482</v>
      </c>
      <c r="F2812" s="7">
        <v>45846</v>
      </c>
      <c r="G2812" t="s">
        <v>99</v>
      </c>
      <c r="H2812" t="s">
        <v>6334</v>
      </c>
      <c r="I2812" t="s">
        <v>101</v>
      </c>
      <c r="J2812">
        <v>11061.7</v>
      </c>
      <c r="K2812">
        <v>1500000</v>
      </c>
    </row>
    <row r="2813" spans="1:11" ht="15" customHeight="1" x14ac:dyDescent="0.2">
      <c r="A2813" t="s">
        <v>4401</v>
      </c>
      <c r="B2813" t="s">
        <v>3341</v>
      </c>
      <c r="C2813">
        <v>2024</v>
      </c>
      <c r="D2813">
        <v>2024</v>
      </c>
      <c r="E2813" s="7">
        <v>45482</v>
      </c>
      <c r="F2813" s="7">
        <v>45846</v>
      </c>
      <c r="G2813" t="s">
        <v>99</v>
      </c>
      <c r="H2813" t="s">
        <v>102</v>
      </c>
      <c r="I2813" t="s">
        <v>101</v>
      </c>
      <c r="J2813">
        <v>6634.06</v>
      </c>
      <c r="K2813">
        <v>1000000</v>
      </c>
    </row>
    <row r="2814" spans="1:11" ht="15" customHeight="1" x14ac:dyDescent="0.2">
      <c r="A2814" t="s">
        <v>4402</v>
      </c>
      <c r="B2814" t="s">
        <v>3352</v>
      </c>
      <c r="C2814">
        <v>2024</v>
      </c>
      <c r="D2814">
        <v>2024</v>
      </c>
      <c r="E2814" s="7">
        <v>45482</v>
      </c>
      <c r="F2814" s="7">
        <v>45846</v>
      </c>
      <c r="G2814" t="s">
        <v>99</v>
      </c>
      <c r="H2814" t="s">
        <v>107</v>
      </c>
      <c r="I2814" t="s">
        <v>101</v>
      </c>
      <c r="J2814">
        <v>13941.54</v>
      </c>
      <c r="K2814">
        <v>2000000</v>
      </c>
    </row>
    <row r="2815" spans="1:11" ht="15" customHeight="1" x14ac:dyDescent="0.2">
      <c r="A2815" t="s">
        <v>4404</v>
      </c>
      <c r="B2815" t="s">
        <v>3354</v>
      </c>
      <c r="C2815">
        <v>2024</v>
      </c>
      <c r="D2815">
        <v>2024</v>
      </c>
      <c r="E2815" s="7">
        <v>45482</v>
      </c>
      <c r="F2815" s="7">
        <v>45846</v>
      </c>
      <c r="G2815" t="s">
        <v>99</v>
      </c>
      <c r="H2815" t="s">
        <v>106</v>
      </c>
      <c r="I2815" t="s">
        <v>101</v>
      </c>
      <c r="J2815">
        <v>4305.91</v>
      </c>
      <c r="K2815">
        <v>500000</v>
      </c>
    </row>
    <row r="2816" spans="1:11" ht="15" customHeight="1" x14ac:dyDescent="0.2">
      <c r="A2816" t="s">
        <v>4406</v>
      </c>
      <c r="B2816" t="s">
        <v>3356</v>
      </c>
      <c r="C2816">
        <v>2024</v>
      </c>
      <c r="D2816">
        <v>2024</v>
      </c>
      <c r="E2816" s="7">
        <v>45482</v>
      </c>
      <c r="F2816" s="7">
        <v>45846</v>
      </c>
      <c r="G2816" t="s">
        <v>99</v>
      </c>
      <c r="H2816" t="s">
        <v>113</v>
      </c>
      <c r="I2816" t="s">
        <v>101</v>
      </c>
      <c r="J2816">
        <v>7785.7</v>
      </c>
      <c r="K2816">
        <v>1000000</v>
      </c>
    </row>
    <row r="2817" spans="1:11" ht="15" customHeight="1" x14ac:dyDescent="0.2">
      <c r="A2817" t="s">
        <v>4408</v>
      </c>
      <c r="B2817" t="s">
        <v>8727</v>
      </c>
      <c r="C2817">
        <v>2024</v>
      </c>
      <c r="D2817">
        <v>2024</v>
      </c>
      <c r="E2817" s="7">
        <v>45482</v>
      </c>
      <c r="F2817" s="7">
        <v>45846</v>
      </c>
      <c r="G2817" t="s">
        <v>135</v>
      </c>
      <c r="H2817" t="s">
        <v>106</v>
      </c>
      <c r="I2817" t="s">
        <v>104</v>
      </c>
      <c r="J2817">
        <v>10682.4</v>
      </c>
      <c r="K2817">
        <v>1500000</v>
      </c>
    </row>
    <row r="2818" spans="1:11" ht="15" customHeight="1" x14ac:dyDescent="0.2">
      <c r="A2818" t="s">
        <v>4410</v>
      </c>
      <c r="B2818" t="s">
        <v>8728</v>
      </c>
      <c r="C2818">
        <v>2024</v>
      </c>
      <c r="D2818">
        <v>2024</v>
      </c>
      <c r="E2818" s="7">
        <v>45482</v>
      </c>
      <c r="F2818" s="7">
        <v>45846</v>
      </c>
      <c r="G2818" t="s">
        <v>135</v>
      </c>
      <c r="H2818" t="s">
        <v>106</v>
      </c>
      <c r="I2818" t="s">
        <v>104</v>
      </c>
      <c r="J2818">
        <v>15468.1</v>
      </c>
      <c r="K2818">
        <v>2000000</v>
      </c>
    </row>
    <row r="2819" spans="1:11" ht="15" customHeight="1" x14ac:dyDescent="0.2">
      <c r="A2819" t="s">
        <v>4412</v>
      </c>
      <c r="B2819" t="s">
        <v>8729</v>
      </c>
      <c r="C2819">
        <v>2024</v>
      </c>
      <c r="D2819">
        <v>2024</v>
      </c>
      <c r="E2819" s="7">
        <v>45482</v>
      </c>
      <c r="F2819" s="7">
        <v>45846</v>
      </c>
      <c r="G2819" t="s">
        <v>135</v>
      </c>
      <c r="H2819" t="s">
        <v>106</v>
      </c>
      <c r="I2819" t="s">
        <v>101</v>
      </c>
      <c r="J2819">
        <v>16166.6</v>
      </c>
      <c r="K2819">
        <v>2000000</v>
      </c>
    </row>
    <row r="2820" spans="1:11" ht="15" customHeight="1" x14ac:dyDescent="0.2">
      <c r="A2820" t="s">
        <v>4414</v>
      </c>
      <c r="B2820" t="s">
        <v>6857</v>
      </c>
      <c r="C2820">
        <v>2024</v>
      </c>
      <c r="D2820">
        <v>2024</v>
      </c>
      <c r="E2820" s="7">
        <v>45482</v>
      </c>
      <c r="F2820" s="7">
        <v>45846</v>
      </c>
      <c r="G2820" t="s">
        <v>135</v>
      </c>
      <c r="H2820" t="s">
        <v>111</v>
      </c>
      <c r="I2820" t="s">
        <v>104</v>
      </c>
      <c r="J2820">
        <v>5816.24</v>
      </c>
      <c r="K2820">
        <v>1000000</v>
      </c>
    </row>
    <row r="2821" spans="1:11" ht="15" customHeight="1" x14ac:dyDescent="0.2">
      <c r="A2821" t="s">
        <v>4416</v>
      </c>
      <c r="B2821" t="s">
        <v>8730</v>
      </c>
      <c r="C2821">
        <v>2024</v>
      </c>
      <c r="D2821">
        <v>2024</v>
      </c>
      <c r="E2821" s="7">
        <v>45482</v>
      </c>
      <c r="F2821" s="7">
        <v>45846</v>
      </c>
      <c r="G2821" t="s">
        <v>135</v>
      </c>
      <c r="H2821" t="s">
        <v>109</v>
      </c>
      <c r="I2821" t="s">
        <v>101</v>
      </c>
      <c r="J2821">
        <v>7140.14</v>
      </c>
      <c r="K2821">
        <v>1000000</v>
      </c>
    </row>
    <row r="2822" spans="1:11" ht="15" customHeight="1" x14ac:dyDescent="0.2">
      <c r="A2822" t="s">
        <v>4418</v>
      </c>
      <c r="B2822" t="s">
        <v>8731</v>
      </c>
      <c r="C2822">
        <v>2024</v>
      </c>
      <c r="D2822">
        <v>2024</v>
      </c>
      <c r="E2822" s="7">
        <v>45482</v>
      </c>
      <c r="F2822" s="7">
        <v>45846</v>
      </c>
      <c r="G2822" t="s">
        <v>135</v>
      </c>
      <c r="H2822" t="s">
        <v>106</v>
      </c>
      <c r="I2822" t="s">
        <v>104</v>
      </c>
      <c r="J2822">
        <v>7598.29</v>
      </c>
      <c r="K2822">
        <v>1000000</v>
      </c>
    </row>
    <row r="2823" spans="1:11" ht="15" customHeight="1" x14ac:dyDescent="0.2">
      <c r="A2823" t="s">
        <v>4419</v>
      </c>
      <c r="B2823" t="s">
        <v>6798</v>
      </c>
      <c r="C2823">
        <v>2024</v>
      </c>
      <c r="D2823">
        <v>2024</v>
      </c>
      <c r="E2823" s="7">
        <v>45482</v>
      </c>
      <c r="F2823" s="7">
        <v>45846</v>
      </c>
      <c r="G2823" t="s">
        <v>135</v>
      </c>
      <c r="H2823" t="s">
        <v>108</v>
      </c>
      <c r="I2823" t="s">
        <v>104</v>
      </c>
      <c r="J2823">
        <v>38704.089999999997</v>
      </c>
      <c r="K2823">
        <v>5000000</v>
      </c>
    </row>
    <row r="2824" spans="1:11" ht="15" customHeight="1" x14ac:dyDescent="0.2">
      <c r="A2824" t="s">
        <v>4420</v>
      </c>
      <c r="B2824" t="s">
        <v>6818</v>
      </c>
      <c r="C2824">
        <v>2024</v>
      </c>
      <c r="D2824">
        <v>2024</v>
      </c>
      <c r="E2824" s="7">
        <v>45482</v>
      </c>
      <c r="F2824" s="7">
        <v>45846</v>
      </c>
      <c r="G2824" t="s">
        <v>135</v>
      </c>
      <c r="H2824" t="s">
        <v>102</v>
      </c>
      <c r="I2824" t="s">
        <v>104</v>
      </c>
      <c r="J2824">
        <v>61716</v>
      </c>
      <c r="K2824">
        <v>10000000</v>
      </c>
    </row>
    <row r="2825" spans="1:11" ht="15" customHeight="1" x14ac:dyDescent="0.2">
      <c r="A2825" t="s">
        <v>4421</v>
      </c>
      <c r="B2825" t="s">
        <v>8732</v>
      </c>
      <c r="C2825">
        <v>2024</v>
      </c>
      <c r="D2825">
        <v>2024</v>
      </c>
      <c r="E2825" s="7">
        <v>45482</v>
      </c>
      <c r="F2825" s="7">
        <v>45846</v>
      </c>
      <c r="G2825" t="s">
        <v>135</v>
      </c>
      <c r="H2825" t="s">
        <v>100</v>
      </c>
      <c r="I2825" t="s">
        <v>101</v>
      </c>
      <c r="J2825">
        <v>11659.89</v>
      </c>
      <c r="K2825">
        <v>1500000</v>
      </c>
    </row>
    <row r="2826" spans="1:11" ht="15" customHeight="1" x14ac:dyDescent="0.2">
      <c r="A2826" t="s">
        <v>4422</v>
      </c>
      <c r="B2826" t="s">
        <v>6801</v>
      </c>
      <c r="C2826">
        <v>2024</v>
      </c>
      <c r="D2826">
        <v>2024</v>
      </c>
      <c r="E2826" s="7">
        <v>45482</v>
      </c>
      <c r="F2826" s="7">
        <v>45846</v>
      </c>
      <c r="G2826" t="s">
        <v>135</v>
      </c>
      <c r="H2826" t="s">
        <v>102</v>
      </c>
      <c r="I2826" t="s">
        <v>101</v>
      </c>
      <c r="J2826">
        <v>3295.3</v>
      </c>
      <c r="K2826">
        <v>500000</v>
      </c>
    </row>
    <row r="2827" spans="1:11" ht="15" customHeight="1" x14ac:dyDescent="0.2">
      <c r="A2827" t="s">
        <v>4423</v>
      </c>
      <c r="B2827" t="s">
        <v>8733</v>
      </c>
      <c r="C2827">
        <v>2024</v>
      </c>
      <c r="D2827">
        <v>2024</v>
      </c>
      <c r="E2827" s="7">
        <v>45482</v>
      </c>
      <c r="F2827" s="7">
        <v>45846</v>
      </c>
      <c r="G2827" t="s">
        <v>135</v>
      </c>
      <c r="H2827" t="s">
        <v>106</v>
      </c>
      <c r="I2827" t="s">
        <v>104</v>
      </c>
      <c r="J2827">
        <v>11154.12</v>
      </c>
      <c r="K2827">
        <v>1500000</v>
      </c>
    </row>
    <row r="2828" spans="1:11" ht="15" customHeight="1" x14ac:dyDescent="0.2">
      <c r="A2828" t="s">
        <v>4424</v>
      </c>
      <c r="B2828" t="s">
        <v>8734</v>
      </c>
      <c r="C2828">
        <v>2024</v>
      </c>
      <c r="D2828">
        <v>2024</v>
      </c>
      <c r="E2828" s="7">
        <v>45482</v>
      </c>
      <c r="F2828" s="7">
        <v>45846</v>
      </c>
      <c r="G2828" t="s">
        <v>135</v>
      </c>
      <c r="H2828" t="s">
        <v>102</v>
      </c>
      <c r="I2828" t="s">
        <v>101</v>
      </c>
      <c r="J2828">
        <v>35747.83</v>
      </c>
      <c r="K2828">
        <v>5000000</v>
      </c>
    </row>
    <row r="2829" spans="1:11" ht="15" customHeight="1" x14ac:dyDescent="0.2">
      <c r="A2829" t="s">
        <v>4425</v>
      </c>
      <c r="B2829" t="s">
        <v>933</v>
      </c>
      <c r="C2829">
        <v>2024</v>
      </c>
      <c r="D2829">
        <v>2024</v>
      </c>
      <c r="E2829" s="7">
        <v>45482</v>
      </c>
      <c r="F2829" s="7">
        <v>45846</v>
      </c>
      <c r="G2829" t="s">
        <v>135</v>
      </c>
      <c r="H2829" t="s">
        <v>109</v>
      </c>
      <c r="I2829" t="s">
        <v>104</v>
      </c>
      <c r="J2829">
        <v>7897.94</v>
      </c>
      <c r="K2829">
        <v>1500000</v>
      </c>
    </row>
    <row r="2830" spans="1:11" ht="15" customHeight="1" x14ac:dyDescent="0.2">
      <c r="A2830" t="s">
        <v>4426</v>
      </c>
      <c r="B2830" t="s">
        <v>3358</v>
      </c>
      <c r="C2830">
        <v>2024</v>
      </c>
      <c r="D2830">
        <v>2024</v>
      </c>
      <c r="E2830" s="7">
        <v>45483</v>
      </c>
      <c r="F2830" s="7">
        <v>45847</v>
      </c>
      <c r="G2830" t="s">
        <v>99</v>
      </c>
      <c r="H2830" t="s">
        <v>109</v>
      </c>
      <c r="I2830" t="s">
        <v>101</v>
      </c>
      <c r="J2830">
        <v>14330.06</v>
      </c>
      <c r="K2830">
        <v>2000000</v>
      </c>
    </row>
    <row r="2831" spans="1:11" ht="15" customHeight="1" x14ac:dyDescent="0.2">
      <c r="A2831" t="s">
        <v>4427</v>
      </c>
      <c r="B2831" t="s">
        <v>3360</v>
      </c>
      <c r="C2831">
        <v>2024</v>
      </c>
      <c r="D2831">
        <v>2024</v>
      </c>
      <c r="E2831" s="7">
        <v>45483</v>
      </c>
      <c r="F2831" s="7">
        <v>45847</v>
      </c>
      <c r="G2831" t="s">
        <v>99</v>
      </c>
      <c r="H2831" t="s">
        <v>105</v>
      </c>
      <c r="I2831" t="s">
        <v>104</v>
      </c>
      <c r="J2831">
        <v>5363.37</v>
      </c>
      <c r="K2831">
        <v>1000000</v>
      </c>
    </row>
    <row r="2832" spans="1:11" ht="15" customHeight="1" x14ac:dyDescent="0.2">
      <c r="A2832" t="s">
        <v>4428</v>
      </c>
      <c r="B2832" t="s">
        <v>6863</v>
      </c>
      <c r="C2832">
        <v>2024</v>
      </c>
      <c r="D2832">
        <v>2024</v>
      </c>
      <c r="E2832" s="7">
        <v>45483</v>
      </c>
      <c r="F2832" s="7">
        <v>45847</v>
      </c>
      <c r="G2832" t="s">
        <v>135</v>
      </c>
      <c r="H2832" t="s">
        <v>106</v>
      </c>
      <c r="I2832" t="s">
        <v>104</v>
      </c>
      <c r="J2832">
        <v>35922.53</v>
      </c>
      <c r="K2832">
        <v>5000000</v>
      </c>
    </row>
    <row r="2833" spans="1:11" ht="15" customHeight="1" x14ac:dyDescent="0.2">
      <c r="A2833" t="s">
        <v>4430</v>
      </c>
      <c r="B2833" t="s">
        <v>6811</v>
      </c>
      <c r="C2833">
        <v>2024</v>
      </c>
      <c r="D2833">
        <v>2024</v>
      </c>
      <c r="E2833" s="7">
        <v>45483</v>
      </c>
      <c r="F2833" s="7">
        <v>45847</v>
      </c>
      <c r="G2833" t="s">
        <v>135</v>
      </c>
      <c r="H2833" t="s">
        <v>106</v>
      </c>
      <c r="I2833" t="s">
        <v>101</v>
      </c>
      <c r="J2833">
        <v>18213.52</v>
      </c>
      <c r="K2833">
        <v>2000000</v>
      </c>
    </row>
    <row r="2834" spans="1:11" ht="15" customHeight="1" x14ac:dyDescent="0.2">
      <c r="A2834" t="s">
        <v>4432</v>
      </c>
      <c r="B2834" t="s">
        <v>8735</v>
      </c>
      <c r="C2834">
        <v>2024</v>
      </c>
      <c r="D2834">
        <v>2024</v>
      </c>
      <c r="E2834" s="7">
        <v>45483</v>
      </c>
      <c r="F2834" s="7">
        <v>45847</v>
      </c>
      <c r="G2834" t="s">
        <v>135</v>
      </c>
      <c r="H2834" t="s">
        <v>6332</v>
      </c>
      <c r="I2834" t="s">
        <v>101</v>
      </c>
      <c r="J2834">
        <v>14005.78</v>
      </c>
      <c r="K2834">
        <v>2000000</v>
      </c>
    </row>
    <row r="2835" spans="1:11" ht="15" customHeight="1" x14ac:dyDescent="0.2">
      <c r="A2835" t="s">
        <v>4434</v>
      </c>
      <c r="B2835" t="s">
        <v>8736</v>
      </c>
      <c r="C2835">
        <v>2024</v>
      </c>
      <c r="D2835">
        <v>2024</v>
      </c>
      <c r="E2835" s="7">
        <v>45483</v>
      </c>
      <c r="F2835" s="7">
        <v>45847</v>
      </c>
      <c r="G2835" t="s">
        <v>135</v>
      </c>
      <c r="H2835" t="s">
        <v>6332</v>
      </c>
      <c r="I2835" t="s">
        <v>104</v>
      </c>
      <c r="J2835">
        <v>5909.78</v>
      </c>
      <c r="K2835">
        <v>1000000</v>
      </c>
    </row>
    <row r="2836" spans="1:11" ht="15" customHeight="1" x14ac:dyDescent="0.2">
      <c r="A2836" t="s">
        <v>4436</v>
      </c>
      <c r="B2836" t="s">
        <v>6821</v>
      </c>
      <c r="C2836">
        <v>2024</v>
      </c>
      <c r="D2836">
        <v>2024</v>
      </c>
      <c r="E2836" s="7">
        <v>45483</v>
      </c>
      <c r="F2836" s="7">
        <v>45847</v>
      </c>
      <c r="G2836" t="s">
        <v>135</v>
      </c>
      <c r="H2836" t="s">
        <v>100</v>
      </c>
      <c r="I2836" t="s">
        <v>101</v>
      </c>
      <c r="J2836">
        <v>11739.21</v>
      </c>
      <c r="K2836">
        <v>1500000</v>
      </c>
    </row>
    <row r="2837" spans="1:11" ht="15" customHeight="1" x14ac:dyDescent="0.2">
      <c r="A2837" t="s">
        <v>4438</v>
      </c>
      <c r="B2837" t="s">
        <v>6802</v>
      </c>
      <c r="C2837">
        <v>2024</v>
      </c>
      <c r="D2837">
        <v>2024</v>
      </c>
      <c r="E2837" s="7">
        <v>45484</v>
      </c>
      <c r="F2837" s="7">
        <v>45848</v>
      </c>
      <c r="G2837" t="s">
        <v>135</v>
      </c>
      <c r="H2837" t="s">
        <v>106</v>
      </c>
      <c r="I2837" t="s">
        <v>104</v>
      </c>
      <c r="J2837">
        <v>10369.06</v>
      </c>
      <c r="K2837">
        <v>1500000</v>
      </c>
    </row>
    <row r="2838" spans="1:11" ht="15" customHeight="1" x14ac:dyDescent="0.2">
      <c r="A2838" t="s">
        <v>4440</v>
      </c>
      <c r="B2838" t="s">
        <v>8737</v>
      </c>
      <c r="C2838">
        <v>2024</v>
      </c>
      <c r="D2838">
        <v>2024</v>
      </c>
      <c r="E2838" s="7">
        <v>45484</v>
      </c>
      <c r="F2838" s="7">
        <v>45848</v>
      </c>
      <c r="G2838" t="s">
        <v>135</v>
      </c>
      <c r="H2838" t="s">
        <v>102</v>
      </c>
      <c r="I2838" t="s">
        <v>101</v>
      </c>
      <c r="J2838">
        <v>15625.86</v>
      </c>
      <c r="K2838">
        <v>2000000</v>
      </c>
    </row>
    <row r="2839" spans="1:11" ht="15" customHeight="1" x14ac:dyDescent="0.2">
      <c r="A2839" t="s">
        <v>4441</v>
      </c>
      <c r="B2839" t="s">
        <v>353</v>
      </c>
      <c r="C2839">
        <v>2024</v>
      </c>
      <c r="D2839">
        <v>2024</v>
      </c>
      <c r="E2839" s="7">
        <v>45484</v>
      </c>
      <c r="F2839" s="7">
        <v>45848</v>
      </c>
      <c r="G2839" t="s">
        <v>135</v>
      </c>
      <c r="H2839" t="s">
        <v>115</v>
      </c>
      <c r="I2839" t="s">
        <v>101</v>
      </c>
      <c r="J2839">
        <v>3725.02</v>
      </c>
      <c r="K2839">
        <v>500000</v>
      </c>
    </row>
    <row r="2840" spans="1:11" ht="15" customHeight="1" x14ac:dyDescent="0.2">
      <c r="A2840" t="s">
        <v>4442</v>
      </c>
      <c r="B2840" t="s">
        <v>935</v>
      </c>
      <c r="C2840">
        <v>2024</v>
      </c>
      <c r="D2840">
        <v>2024</v>
      </c>
      <c r="E2840" s="7">
        <v>45484</v>
      </c>
      <c r="F2840" s="7">
        <v>45848</v>
      </c>
      <c r="G2840" t="s">
        <v>135</v>
      </c>
      <c r="H2840" t="s">
        <v>103</v>
      </c>
      <c r="I2840" t="s">
        <v>104</v>
      </c>
      <c r="J2840">
        <v>11171.4</v>
      </c>
      <c r="K2840">
        <v>2000000</v>
      </c>
    </row>
    <row r="2841" spans="1:11" ht="15" customHeight="1" x14ac:dyDescent="0.2">
      <c r="A2841" t="s">
        <v>4443</v>
      </c>
      <c r="B2841" t="s">
        <v>8738</v>
      </c>
      <c r="C2841">
        <v>2024</v>
      </c>
      <c r="D2841">
        <v>2024</v>
      </c>
      <c r="E2841" s="7">
        <v>45484</v>
      </c>
      <c r="F2841" s="7">
        <v>45848</v>
      </c>
      <c r="G2841" t="s">
        <v>135</v>
      </c>
      <c r="H2841" t="s">
        <v>102</v>
      </c>
      <c r="I2841" t="s">
        <v>104</v>
      </c>
      <c r="J2841">
        <v>5326.7</v>
      </c>
      <c r="K2841">
        <v>1000000</v>
      </c>
    </row>
    <row r="2842" spans="1:11" ht="15" customHeight="1" x14ac:dyDescent="0.2">
      <c r="A2842" t="s">
        <v>4444</v>
      </c>
      <c r="B2842" t="s">
        <v>6866</v>
      </c>
      <c r="C2842">
        <v>2024</v>
      </c>
      <c r="D2842">
        <v>2024</v>
      </c>
      <c r="E2842" s="7">
        <v>45484</v>
      </c>
      <c r="F2842" s="7">
        <v>45848</v>
      </c>
      <c r="G2842" t="s">
        <v>135</v>
      </c>
      <c r="H2842" t="s">
        <v>107</v>
      </c>
      <c r="I2842" t="s">
        <v>101</v>
      </c>
      <c r="J2842">
        <v>64629.88</v>
      </c>
      <c r="K2842">
        <v>10000000</v>
      </c>
    </row>
    <row r="2843" spans="1:11" ht="15" customHeight="1" x14ac:dyDescent="0.2">
      <c r="A2843" t="s">
        <v>4445</v>
      </c>
      <c r="B2843" t="s">
        <v>8739</v>
      </c>
      <c r="C2843">
        <v>2024</v>
      </c>
      <c r="D2843">
        <v>2024</v>
      </c>
      <c r="E2843" s="7">
        <v>45484</v>
      </c>
      <c r="F2843" s="7">
        <v>45848</v>
      </c>
      <c r="G2843" t="s">
        <v>135</v>
      </c>
      <c r="H2843" t="s">
        <v>102</v>
      </c>
      <c r="I2843" t="s">
        <v>104</v>
      </c>
      <c r="J2843">
        <v>61769.18</v>
      </c>
      <c r="K2843">
        <v>10000000</v>
      </c>
    </row>
    <row r="2844" spans="1:11" ht="15" customHeight="1" x14ac:dyDescent="0.2">
      <c r="A2844" t="s">
        <v>4446</v>
      </c>
      <c r="B2844" t="s">
        <v>8740</v>
      </c>
      <c r="C2844">
        <v>2024</v>
      </c>
      <c r="D2844">
        <v>2024</v>
      </c>
      <c r="E2844" s="7">
        <v>45484</v>
      </c>
      <c r="F2844" s="7">
        <v>45848</v>
      </c>
      <c r="G2844" t="s">
        <v>135</v>
      </c>
      <c r="H2844" t="s">
        <v>6334</v>
      </c>
      <c r="I2844" t="s">
        <v>104</v>
      </c>
      <c r="J2844">
        <v>8632.35</v>
      </c>
      <c r="K2844">
        <v>1500000</v>
      </c>
    </row>
    <row r="2845" spans="1:11" ht="15" customHeight="1" x14ac:dyDescent="0.2">
      <c r="A2845" t="s">
        <v>4447</v>
      </c>
      <c r="B2845" t="s">
        <v>934</v>
      </c>
      <c r="C2845">
        <v>2024</v>
      </c>
      <c r="D2845">
        <v>2024</v>
      </c>
      <c r="E2845" s="7">
        <v>45484</v>
      </c>
      <c r="F2845" s="7">
        <v>45848</v>
      </c>
      <c r="G2845" t="s">
        <v>135</v>
      </c>
      <c r="H2845" t="s">
        <v>6348</v>
      </c>
      <c r="I2845" t="s">
        <v>101</v>
      </c>
      <c r="J2845">
        <v>32378.65</v>
      </c>
      <c r="K2845">
        <v>5000000</v>
      </c>
    </row>
    <row r="2846" spans="1:11" ht="15" customHeight="1" x14ac:dyDescent="0.2">
      <c r="A2846" t="s">
        <v>4448</v>
      </c>
      <c r="B2846" t="s">
        <v>6784</v>
      </c>
      <c r="C2846">
        <v>2024</v>
      </c>
      <c r="D2846">
        <v>2024</v>
      </c>
      <c r="E2846" s="7">
        <v>45484</v>
      </c>
      <c r="F2846" s="7">
        <v>45848</v>
      </c>
      <c r="G2846" t="s">
        <v>135</v>
      </c>
      <c r="H2846" t="s">
        <v>103</v>
      </c>
      <c r="I2846" t="s">
        <v>101</v>
      </c>
      <c r="J2846">
        <v>7175.39</v>
      </c>
      <c r="K2846">
        <v>1000000</v>
      </c>
    </row>
    <row r="2847" spans="1:11" ht="15" customHeight="1" x14ac:dyDescent="0.2">
      <c r="A2847" t="s">
        <v>4450</v>
      </c>
      <c r="B2847" t="s">
        <v>352</v>
      </c>
      <c r="C2847">
        <v>2024</v>
      </c>
      <c r="D2847">
        <v>2024</v>
      </c>
      <c r="E2847" s="7">
        <v>45484</v>
      </c>
      <c r="F2847" s="7">
        <v>45848</v>
      </c>
      <c r="G2847" t="s">
        <v>135</v>
      </c>
      <c r="H2847" t="s">
        <v>102</v>
      </c>
      <c r="I2847" t="s">
        <v>101</v>
      </c>
      <c r="J2847">
        <v>7302.3</v>
      </c>
      <c r="K2847">
        <v>1000000</v>
      </c>
    </row>
    <row r="2848" spans="1:11" ht="15" customHeight="1" x14ac:dyDescent="0.2">
      <c r="A2848" t="s">
        <v>4452</v>
      </c>
      <c r="B2848" t="s">
        <v>6812</v>
      </c>
      <c r="C2848">
        <v>2024</v>
      </c>
      <c r="D2848">
        <v>2024</v>
      </c>
      <c r="E2848" s="7">
        <v>45484</v>
      </c>
      <c r="F2848" s="7">
        <v>45848</v>
      </c>
      <c r="G2848" t="s">
        <v>135</v>
      </c>
      <c r="H2848" t="s">
        <v>106</v>
      </c>
      <c r="I2848" t="s">
        <v>101</v>
      </c>
      <c r="J2848">
        <v>4224.08</v>
      </c>
      <c r="K2848">
        <v>500000</v>
      </c>
    </row>
    <row r="2849" spans="1:11" ht="15" customHeight="1" x14ac:dyDescent="0.2">
      <c r="A2849" t="s">
        <v>4453</v>
      </c>
      <c r="B2849" t="s">
        <v>3362</v>
      </c>
      <c r="C2849">
        <v>2024</v>
      </c>
      <c r="D2849">
        <v>2024</v>
      </c>
      <c r="E2849" s="7">
        <v>45485</v>
      </c>
      <c r="F2849" s="7">
        <v>45849</v>
      </c>
      <c r="G2849" t="s">
        <v>99</v>
      </c>
      <c r="H2849" t="s">
        <v>102</v>
      </c>
      <c r="I2849" t="s">
        <v>101</v>
      </c>
      <c r="J2849">
        <v>15418.64</v>
      </c>
      <c r="K2849">
        <v>2000000</v>
      </c>
    </row>
    <row r="2850" spans="1:11" ht="15" customHeight="1" x14ac:dyDescent="0.2">
      <c r="A2850" t="s">
        <v>4454</v>
      </c>
      <c r="B2850" t="s">
        <v>8741</v>
      </c>
      <c r="C2850">
        <v>2024</v>
      </c>
      <c r="D2850">
        <v>2024</v>
      </c>
      <c r="E2850" s="7">
        <v>45485</v>
      </c>
      <c r="F2850" s="7">
        <v>45849</v>
      </c>
      <c r="G2850" t="s">
        <v>135</v>
      </c>
      <c r="H2850" t="s">
        <v>108</v>
      </c>
      <c r="I2850" t="s">
        <v>104</v>
      </c>
      <c r="J2850">
        <v>77060.850000000006</v>
      </c>
      <c r="K2850">
        <v>10000000</v>
      </c>
    </row>
    <row r="2851" spans="1:11" ht="15" customHeight="1" x14ac:dyDescent="0.2">
      <c r="A2851" t="s">
        <v>4455</v>
      </c>
      <c r="B2851" t="s">
        <v>6822</v>
      </c>
      <c r="C2851">
        <v>2024</v>
      </c>
      <c r="D2851">
        <v>2024</v>
      </c>
      <c r="E2851" s="7">
        <v>45485</v>
      </c>
      <c r="F2851" s="7">
        <v>45849</v>
      </c>
      <c r="G2851" t="s">
        <v>135</v>
      </c>
      <c r="H2851" t="s">
        <v>106</v>
      </c>
      <c r="I2851" t="s">
        <v>104</v>
      </c>
      <c r="J2851">
        <v>10605.24</v>
      </c>
      <c r="K2851">
        <v>1500000</v>
      </c>
    </row>
    <row r="2852" spans="1:11" ht="15" customHeight="1" x14ac:dyDescent="0.2">
      <c r="A2852" t="s">
        <v>4456</v>
      </c>
      <c r="B2852" t="s">
        <v>8742</v>
      </c>
      <c r="C2852">
        <v>2024</v>
      </c>
      <c r="D2852">
        <v>2024</v>
      </c>
      <c r="E2852" s="7">
        <v>45485</v>
      </c>
      <c r="F2852" s="7">
        <v>45849</v>
      </c>
      <c r="G2852" t="s">
        <v>135</v>
      </c>
      <c r="H2852" t="s">
        <v>106</v>
      </c>
      <c r="I2852" t="s">
        <v>101</v>
      </c>
      <c r="J2852">
        <v>16792.669999999998</v>
      </c>
      <c r="K2852">
        <v>2000000</v>
      </c>
    </row>
    <row r="2853" spans="1:11" ht="15" customHeight="1" x14ac:dyDescent="0.2">
      <c r="A2853" t="s">
        <v>4457</v>
      </c>
      <c r="B2853" t="s">
        <v>6803</v>
      </c>
      <c r="C2853">
        <v>2024</v>
      </c>
      <c r="D2853">
        <v>2024</v>
      </c>
      <c r="E2853" s="7">
        <v>45485</v>
      </c>
      <c r="F2853" s="7">
        <v>45849</v>
      </c>
      <c r="G2853" t="s">
        <v>135</v>
      </c>
      <c r="H2853" t="s">
        <v>107</v>
      </c>
      <c r="I2853" t="s">
        <v>101</v>
      </c>
      <c r="J2853">
        <v>35670.74</v>
      </c>
      <c r="K2853">
        <v>5000000</v>
      </c>
    </row>
    <row r="2854" spans="1:11" ht="15" customHeight="1" x14ac:dyDescent="0.2">
      <c r="A2854" t="s">
        <v>4458</v>
      </c>
      <c r="B2854" t="s">
        <v>8743</v>
      </c>
      <c r="C2854">
        <v>2024</v>
      </c>
      <c r="D2854">
        <v>2024</v>
      </c>
      <c r="E2854" s="7">
        <v>45485</v>
      </c>
      <c r="F2854" s="7">
        <v>45849</v>
      </c>
      <c r="G2854" t="s">
        <v>135</v>
      </c>
      <c r="H2854" t="s">
        <v>103</v>
      </c>
      <c r="I2854" t="s">
        <v>104</v>
      </c>
      <c r="J2854">
        <v>5334.32</v>
      </c>
      <c r="K2854">
        <v>1000000</v>
      </c>
    </row>
    <row r="2855" spans="1:11" ht="15" customHeight="1" x14ac:dyDescent="0.2">
      <c r="A2855" t="s">
        <v>4459</v>
      </c>
      <c r="B2855" t="s">
        <v>6782</v>
      </c>
      <c r="C2855">
        <v>2024</v>
      </c>
      <c r="D2855">
        <v>2024</v>
      </c>
      <c r="E2855" s="7">
        <v>45485</v>
      </c>
      <c r="F2855" s="7">
        <v>45849</v>
      </c>
      <c r="G2855" t="s">
        <v>135</v>
      </c>
      <c r="H2855" t="s">
        <v>106</v>
      </c>
      <c r="I2855" t="s">
        <v>101</v>
      </c>
      <c r="J2855">
        <v>19291.64</v>
      </c>
      <c r="K2855">
        <v>2000000</v>
      </c>
    </row>
    <row r="2856" spans="1:11" ht="15" customHeight="1" x14ac:dyDescent="0.2">
      <c r="A2856" t="s">
        <v>4460</v>
      </c>
      <c r="B2856" t="s">
        <v>6804</v>
      </c>
      <c r="C2856">
        <v>2024</v>
      </c>
      <c r="D2856">
        <v>2024</v>
      </c>
      <c r="E2856" s="7">
        <v>45485</v>
      </c>
      <c r="F2856" s="7">
        <v>45849</v>
      </c>
      <c r="G2856" t="s">
        <v>135</v>
      </c>
      <c r="H2856" t="s">
        <v>115</v>
      </c>
      <c r="I2856" t="s">
        <v>101</v>
      </c>
      <c r="J2856">
        <v>67740.539999999994</v>
      </c>
      <c r="K2856">
        <v>10000000</v>
      </c>
    </row>
    <row r="2857" spans="1:11" ht="15" customHeight="1" x14ac:dyDescent="0.2">
      <c r="A2857" t="s">
        <v>4462</v>
      </c>
      <c r="B2857" t="s">
        <v>565</v>
      </c>
      <c r="C2857">
        <v>2024</v>
      </c>
      <c r="D2857">
        <v>2024</v>
      </c>
      <c r="E2857" s="7">
        <v>45485</v>
      </c>
      <c r="F2857" s="7">
        <v>45849</v>
      </c>
      <c r="G2857" t="s">
        <v>135</v>
      </c>
      <c r="H2857" t="s">
        <v>108</v>
      </c>
      <c r="I2857" t="s">
        <v>101</v>
      </c>
      <c r="J2857">
        <v>17514.740000000002</v>
      </c>
      <c r="K2857">
        <v>2000000</v>
      </c>
    </row>
    <row r="2858" spans="1:11" ht="15" customHeight="1" x14ac:dyDescent="0.2">
      <c r="A2858" t="s">
        <v>4464</v>
      </c>
      <c r="B2858" t="s">
        <v>8744</v>
      </c>
      <c r="C2858">
        <v>2024</v>
      </c>
      <c r="D2858">
        <v>2024</v>
      </c>
      <c r="E2858" s="7">
        <v>45485</v>
      </c>
      <c r="F2858" s="7">
        <v>45849</v>
      </c>
      <c r="G2858" t="s">
        <v>135</v>
      </c>
      <c r="H2858" t="s">
        <v>112</v>
      </c>
      <c r="I2858" t="s">
        <v>101</v>
      </c>
      <c r="J2858">
        <v>8436.2099999999991</v>
      </c>
      <c r="K2858">
        <v>1000000</v>
      </c>
    </row>
    <row r="2859" spans="1:11" ht="15" customHeight="1" x14ac:dyDescent="0.2">
      <c r="A2859" t="s">
        <v>4466</v>
      </c>
      <c r="B2859" t="s">
        <v>6813</v>
      </c>
      <c r="C2859">
        <v>2024</v>
      </c>
      <c r="D2859">
        <v>2024</v>
      </c>
      <c r="E2859" s="7">
        <v>45485</v>
      </c>
      <c r="F2859" s="7">
        <v>45849</v>
      </c>
      <c r="G2859" t="s">
        <v>135</v>
      </c>
      <c r="H2859" t="s">
        <v>100</v>
      </c>
      <c r="I2859" t="s">
        <v>101</v>
      </c>
      <c r="J2859">
        <v>7160.35</v>
      </c>
      <c r="K2859">
        <v>1000000</v>
      </c>
    </row>
    <row r="2860" spans="1:11" ht="15" customHeight="1" x14ac:dyDescent="0.2">
      <c r="A2860" t="s">
        <v>4468</v>
      </c>
      <c r="B2860" t="s">
        <v>936</v>
      </c>
      <c r="C2860">
        <v>2024</v>
      </c>
      <c r="D2860">
        <v>2024</v>
      </c>
      <c r="E2860" s="7">
        <v>45485</v>
      </c>
      <c r="F2860" s="7">
        <v>45849</v>
      </c>
      <c r="G2860" t="s">
        <v>135</v>
      </c>
      <c r="H2860" t="s">
        <v>106</v>
      </c>
      <c r="I2860" t="s">
        <v>101</v>
      </c>
      <c r="J2860">
        <v>95936.94</v>
      </c>
      <c r="K2860">
        <v>10000000</v>
      </c>
    </row>
    <row r="2861" spans="1:11" ht="15" customHeight="1" x14ac:dyDescent="0.2">
      <c r="A2861" t="s">
        <v>4470</v>
      </c>
      <c r="B2861" t="s">
        <v>8745</v>
      </c>
      <c r="C2861">
        <v>2024</v>
      </c>
      <c r="D2861">
        <v>2024</v>
      </c>
      <c r="E2861" s="7">
        <v>45485</v>
      </c>
      <c r="F2861" s="7">
        <v>45849</v>
      </c>
      <c r="G2861" t="s">
        <v>135</v>
      </c>
      <c r="H2861" t="s">
        <v>105</v>
      </c>
      <c r="I2861" t="s">
        <v>104</v>
      </c>
      <c r="J2861">
        <v>58962.7</v>
      </c>
      <c r="K2861">
        <v>10000000</v>
      </c>
    </row>
    <row r="2862" spans="1:11" ht="15" customHeight="1" x14ac:dyDescent="0.2">
      <c r="A2862" t="s">
        <v>4471</v>
      </c>
      <c r="B2862" t="s">
        <v>6852</v>
      </c>
      <c r="C2862">
        <v>2024</v>
      </c>
      <c r="D2862">
        <v>2024</v>
      </c>
      <c r="E2862" s="7">
        <v>45485</v>
      </c>
      <c r="F2862" s="7">
        <v>45849</v>
      </c>
      <c r="G2862" t="s">
        <v>135</v>
      </c>
      <c r="H2862" t="s">
        <v>105</v>
      </c>
      <c r="I2862" t="s">
        <v>104</v>
      </c>
      <c r="J2862">
        <v>6200.93</v>
      </c>
      <c r="K2862">
        <v>1000000</v>
      </c>
    </row>
    <row r="2863" spans="1:11" ht="15" customHeight="1" x14ac:dyDescent="0.2">
      <c r="A2863" t="s">
        <v>4472</v>
      </c>
      <c r="B2863" t="s">
        <v>3364</v>
      </c>
      <c r="C2863">
        <v>2024</v>
      </c>
      <c r="D2863">
        <v>2024</v>
      </c>
      <c r="E2863" s="7">
        <v>45486</v>
      </c>
      <c r="F2863" s="7">
        <v>45850</v>
      </c>
      <c r="G2863" t="s">
        <v>99</v>
      </c>
      <c r="H2863" t="s">
        <v>6337</v>
      </c>
      <c r="I2863" t="s">
        <v>104</v>
      </c>
      <c r="J2863">
        <v>10730.63</v>
      </c>
      <c r="K2863">
        <v>2000000</v>
      </c>
    </row>
    <row r="2864" spans="1:11" ht="15" customHeight="1" x14ac:dyDescent="0.2">
      <c r="A2864" t="s">
        <v>4473</v>
      </c>
      <c r="B2864" t="s">
        <v>3366</v>
      </c>
      <c r="C2864">
        <v>2024</v>
      </c>
      <c r="D2864">
        <v>2024</v>
      </c>
      <c r="E2864" s="7">
        <v>45486</v>
      </c>
      <c r="F2864" s="7">
        <v>45850</v>
      </c>
      <c r="G2864" t="s">
        <v>99</v>
      </c>
      <c r="H2864" t="s">
        <v>106</v>
      </c>
      <c r="I2864" t="s">
        <v>104</v>
      </c>
      <c r="J2864">
        <v>10380.209999999999</v>
      </c>
      <c r="K2864">
        <v>1500000</v>
      </c>
    </row>
    <row r="2865" spans="1:11" ht="15" customHeight="1" x14ac:dyDescent="0.2">
      <c r="A2865" t="s">
        <v>4474</v>
      </c>
      <c r="B2865" t="s">
        <v>3377</v>
      </c>
      <c r="C2865">
        <v>2024</v>
      </c>
      <c r="D2865">
        <v>2024</v>
      </c>
      <c r="E2865" s="7">
        <v>45486</v>
      </c>
      <c r="F2865" s="7">
        <v>45850</v>
      </c>
      <c r="G2865" t="s">
        <v>99</v>
      </c>
      <c r="H2865" t="s">
        <v>112</v>
      </c>
      <c r="I2865" t="s">
        <v>104</v>
      </c>
      <c r="J2865">
        <v>11396.42</v>
      </c>
      <c r="K2865">
        <v>1500000</v>
      </c>
    </row>
    <row r="2866" spans="1:11" ht="15" customHeight="1" x14ac:dyDescent="0.2">
      <c r="A2866" t="s">
        <v>4476</v>
      </c>
      <c r="B2866" t="s">
        <v>3379</v>
      </c>
      <c r="C2866">
        <v>2024</v>
      </c>
      <c r="D2866">
        <v>2024</v>
      </c>
      <c r="E2866" s="7">
        <v>45486</v>
      </c>
      <c r="F2866" s="7">
        <v>45850</v>
      </c>
      <c r="G2866" t="s">
        <v>99</v>
      </c>
      <c r="H2866" t="s">
        <v>115</v>
      </c>
      <c r="I2866" t="s">
        <v>104</v>
      </c>
      <c r="J2866">
        <v>11138.77</v>
      </c>
      <c r="K2866">
        <v>2000000</v>
      </c>
    </row>
    <row r="2867" spans="1:11" ht="15" customHeight="1" x14ac:dyDescent="0.2">
      <c r="A2867" t="s">
        <v>4478</v>
      </c>
      <c r="B2867" t="s">
        <v>937</v>
      </c>
      <c r="C2867">
        <v>2024</v>
      </c>
      <c r="D2867">
        <v>2024</v>
      </c>
      <c r="E2867" s="7">
        <v>45486</v>
      </c>
      <c r="F2867" s="7">
        <v>45850</v>
      </c>
      <c r="G2867" t="s">
        <v>135</v>
      </c>
      <c r="H2867" t="s">
        <v>102</v>
      </c>
      <c r="I2867" t="s">
        <v>101</v>
      </c>
      <c r="J2867">
        <v>3386.08</v>
      </c>
      <c r="K2867">
        <v>500000</v>
      </c>
    </row>
    <row r="2868" spans="1:11" ht="15" customHeight="1" x14ac:dyDescent="0.2">
      <c r="A2868" t="s">
        <v>4480</v>
      </c>
      <c r="B2868" t="s">
        <v>354</v>
      </c>
      <c r="C2868">
        <v>2024</v>
      </c>
      <c r="D2868">
        <v>2024</v>
      </c>
      <c r="E2868" s="7">
        <v>45486</v>
      </c>
      <c r="F2868" s="7">
        <v>45850</v>
      </c>
      <c r="G2868" t="s">
        <v>135</v>
      </c>
      <c r="H2868" t="s">
        <v>103</v>
      </c>
      <c r="I2868" t="s">
        <v>101</v>
      </c>
      <c r="J2868">
        <v>10175.549999999999</v>
      </c>
      <c r="K2868">
        <v>1500000</v>
      </c>
    </row>
    <row r="2869" spans="1:11" ht="15" customHeight="1" x14ac:dyDescent="0.2">
      <c r="A2869" t="s">
        <v>4481</v>
      </c>
      <c r="B2869" t="s">
        <v>6806</v>
      </c>
      <c r="C2869">
        <v>2024</v>
      </c>
      <c r="D2869">
        <v>2024</v>
      </c>
      <c r="E2869" s="7">
        <v>45486</v>
      </c>
      <c r="F2869" s="7">
        <v>45850</v>
      </c>
      <c r="G2869" t="s">
        <v>135</v>
      </c>
      <c r="H2869" t="s">
        <v>112</v>
      </c>
      <c r="I2869" t="s">
        <v>101</v>
      </c>
      <c r="J2869">
        <v>12406.33</v>
      </c>
      <c r="K2869">
        <v>1500000</v>
      </c>
    </row>
    <row r="2870" spans="1:11" ht="15" customHeight="1" x14ac:dyDescent="0.2">
      <c r="A2870" t="s">
        <v>4482</v>
      </c>
      <c r="B2870" t="s">
        <v>8746</v>
      </c>
      <c r="C2870">
        <v>2024</v>
      </c>
      <c r="D2870">
        <v>2024</v>
      </c>
      <c r="E2870" s="7">
        <v>45486</v>
      </c>
      <c r="F2870" s="7">
        <v>45850</v>
      </c>
      <c r="G2870" t="s">
        <v>135</v>
      </c>
      <c r="H2870" t="s">
        <v>109</v>
      </c>
      <c r="I2870" t="s">
        <v>104</v>
      </c>
      <c r="J2870">
        <v>6081.78</v>
      </c>
      <c r="K2870">
        <v>1000000</v>
      </c>
    </row>
    <row r="2871" spans="1:11" ht="15" customHeight="1" x14ac:dyDescent="0.2">
      <c r="A2871" t="s">
        <v>4483</v>
      </c>
      <c r="B2871" t="s">
        <v>8747</v>
      </c>
      <c r="C2871">
        <v>2024</v>
      </c>
      <c r="D2871">
        <v>2024</v>
      </c>
      <c r="E2871" s="7">
        <v>45486</v>
      </c>
      <c r="F2871" s="7">
        <v>45850</v>
      </c>
      <c r="G2871" t="s">
        <v>135</v>
      </c>
      <c r="H2871" t="s">
        <v>111</v>
      </c>
      <c r="I2871" t="s">
        <v>104</v>
      </c>
      <c r="J2871">
        <v>10594.12</v>
      </c>
      <c r="K2871">
        <v>2000000</v>
      </c>
    </row>
    <row r="2872" spans="1:11" ht="15" customHeight="1" x14ac:dyDescent="0.2">
      <c r="A2872" t="s">
        <v>4484</v>
      </c>
      <c r="B2872" t="s">
        <v>6824</v>
      </c>
      <c r="C2872">
        <v>2024</v>
      </c>
      <c r="D2872">
        <v>2024</v>
      </c>
      <c r="E2872" s="7">
        <v>45486</v>
      </c>
      <c r="F2872" s="7">
        <v>45850</v>
      </c>
      <c r="G2872" t="s">
        <v>135</v>
      </c>
      <c r="H2872" t="s">
        <v>106</v>
      </c>
      <c r="I2872" t="s">
        <v>101</v>
      </c>
      <c r="J2872">
        <v>9036.83</v>
      </c>
      <c r="K2872">
        <v>1000000</v>
      </c>
    </row>
    <row r="2873" spans="1:11" ht="15" customHeight="1" x14ac:dyDescent="0.2">
      <c r="A2873" t="s">
        <v>4485</v>
      </c>
      <c r="B2873" t="s">
        <v>8748</v>
      </c>
      <c r="C2873">
        <v>2024</v>
      </c>
      <c r="D2873">
        <v>2024</v>
      </c>
      <c r="E2873" s="7">
        <v>45486</v>
      </c>
      <c r="F2873" s="7">
        <v>45850</v>
      </c>
      <c r="G2873" t="s">
        <v>135</v>
      </c>
      <c r="H2873" t="s">
        <v>115</v>
      </c>
      <c r="I2873" t="s">
        <v>101</v>
      </c>
      <c r="J2873">
        <v>38747.18</v>
      </c>
      <c r="K2873">
        <v>5000000</v>
      </c>
    </row>
    <row r="2874" spans="1:11" ht="15" customHeight="1" x14ac:dyDescent="0.2">
      <c r="A2874" t="s">
        <v>4486</v>
      </c>
      <c r="B2874" t="s">
        <v>8749</v>
      </c>
      <c r="C2874">
        <v>2024</v>
      </c>
      <c r="D2874">
        <v>2024</v>
      </c>
      <c r="E2874" s="7">
        <v>45486</v>
      </c>
      <c r="F2874" s="7">
        <v>45850</v>
      </c>
      <c r="G2874" t="s">
        <v>135</v>
      </c>
      <c r="H2874" t="s">
        <v>107</v>
      </c>
      <c r="I2874" t="s">
        <v>104</v>
      </c>
      <c r="J2874">
        <v>5564.92</v>
      </c>
      <c r="K2874">
        <v>1000000</v>
      </c>
    </row>
    <row r="2875" spans="1:11" ht="15" customHeight="1" x14ac:dyDescent="0.2">
      <c r="A2875" t="s">
        <v>4487</v>
      </c>
      <c r="B2875" t="s">
        <v>8750</v>
      </c>
      <c r="C2875">
        <v>2024</v>
      </c>
      <c r="D2875">
        <v>2024</v>
      </c>
      <c r="E2875" s="7">
        <v>45486</v>
      </c>
      <c r="F2875" s="7">
        <v>45850</v>
      </c>
      <c r="G2875" t="s">
        <v>135</v>
      </c>
      <c r="H2875" t="s">
        <v>114</v>
      </c>
      <c r="I2875" t="s">
        <v>101</v>
      </c>
      <c r="J2875">
        <v>3668.55</v>
      </c>
      <c r="K2875">
        <v>500000</v>
      </c>
    </row>
    <row r="2876" spans="1:11" ht="15" customHeight="1" x14ac:dyDescent="0.2">
      <c r="A2876" t="s">
        <v>4488</v>
      </c>
      <c r="B2876" t="s">
        <v>3381</v>
      </c>
      <c r="C2876">
        <v>2024</v>
      </c>
      <c r="D2876">
        <v>2024</v>
      </c>
      <c r="E2876" s="7">
        <v>45487</v>
      </c>
      <c r="F2876" s="7">
        <v>45851</v>
      </c>
      <c r="G2876" t="s">
        <v>99</v>
      </c>
      <c r="H2876" t="s">
        <v>110</v>
      </c>
      <c r="I2876" t="s">
        <v>101</v>
      </c>
      <c r="J2876">
        <v>14102.07</v>
      </c>
      <c r="K2876">
        <v>1500000</v>
      </c>
    </row>
    <row r="2877" spans="1:11" ht="15" customHeight="1" x14ac:dyDescent="0.2">
      <c r="A2877" t="s">
        <v>4489</v>
      </c>
      <c r="B2877" t="s">
        <v>3383</v>
      </c>
      <c r="C2877">
        <v>2024</v>
      </c>
      <c r="D2877">
        <v>2024</v>
      </c>
      <c r="E2877" s="7">
        <v>45487</v>
      </c>
      <c r="F2877" s="7">
        <v>45851</v>
      </c>
      <c r="G2877" t="s">
        <v>99</v>
      </c>
      <c r="H2877" t="s">
        <v>110</v>
      </c>
      <c r="I2877" t="s">
        <v>104</v>
      </c>
      <c r="J2877">
        <v>10834.74</v>
      </c>
      <c r="K2877">
        <v>1500000</v>
      </c>
    </row>
    <row r="2878" spans="1:11" ht="15" customHeight="1" x14ac:dyDescent="0.2">
      <c r="A2878" t="s">
        <v>4490</v>
      </c>
      <c r="B2878" t="s">
        <v>3393</v>
      </c>
      <c r="C2878">
        <v>2024</v>
      </c>
      <c r="D2878">
        <v>2024</v>
      </c>
      <c r="E2878" s="7">
        <v>45487</v>
      </c>
      <c r="F2878" s="7">
        <v>45851</v>
      </c>
      <c r="G2878" t="s">
        <v>99</v>
      </c>
      <c r="H2878" t="s">
        <v>102</v>
      </c>
      <c r="I2878" t="s">
        <v>101</v>
      </c>
      <c r="J2878">
        <v>10391.66</v>
      </c>
      <c r="K2878">
        <v>1500000</v>
      </c>
    </row>
    <row r="2879" spans="1:11" ht="15" customHeight="1" x14ac:dyDescent="0.2">
      <c r="A2879" t="s">
        <v>4491</v>
      </c>
      <c r="B2879" t="s">
        <v>8751</v>
      </c>
      <c r="C2879">
        <v>2024</v>
      </c>
      <c r="D2879">
        <v>2024</v>
      </c>
      <c r="E2879" s="7">
        <v>45487</v>
      </c>
      <c r="F2879" s="7">
        <v>45851</v>
      </c>
      <c r="G2879" t="s">
        <v>135</v>
      </c>
      <c r="H2879" t="s">
        <v>107</v>
      </c>
      <c r="I2879" t="s">
        <v>101</v>
      </c>
      <c r="J2879">
        <v>75272.91</v>
      </c>
      <c r="K2879">
        <v>10000000</v>
      </c>
    </row>
    <row r="2880" spans="1:11" ht="15" customHeight="1" x14ac:dyDescent="0.2">
      <c r="A2880" t="s">
        <v>4492</v>
      </c>
      <c r="B2880" t="s">
        <v>8752</v>
      </c>
      <c r="C2880">
        <v>2024</v>
      </c>
      <c r="D2880">
        <v>2024</v>
      </c>
      <c r="E2880" s="7">
        <v>45487</v>
      </c>
      <c r="F2880" s="7">
        <v>45851</v>
      </c>
      <c r="G2880" t="s">
        <v>135</v>
      </c>
      <c r="H2880" t="s">
        <v>106</v>
      </c>
      <c r="I2880" t="s">
        <v>101</v>
      </c>
      <c r="J2880">
        <v>9592.4699999999993</v>
      </c>
      <c r="K2880">
        <v>1000000</v>
      </c>
    </row>
    <row r="2881" spans="1:11" ht="15" customHeight="1" x14ac:dyDescent="0.2">
      <c r="A2881" t="s">
        <v>4493</v>
      </c>
      <c r="B2881" t="s">
        <v>8753</v>
      </c>
      <c r="C2881">
        <v>2024</v>
      </c>
      <c r="D2881">
        <v>2024</v>
      </c>
      <c r="E2881" s="7">
        <v>45487</v>
      </c>
      <c r="F2881" s="7">
        <v>45851</v>
      </c>
      <c r="G2881" t="s">
        <v>135</v>
      </c>
      <c r="H2881" t="s">
        <v>107</v>
      </c>
      <c r="I2881" t="s">
        <v>104</v>
      </c>
      <c r="J2881">
        <v>26216.87</v>
      </c>
      <c r="K2881">
        <v>5000000</v>
      </c>
    </row>
    <row r="2882" spans="1:11" ht="15" customHeight="1" x14ac:dyDescent="0.2">
      <c r="A2882" t="s">
        <v>4495</v>
      </c>
      <c r="B2882" t="s">
        <v>8754</v>
      </c>
      <c r="C2882">
        <v>2024</v>
      </c>
      <c r="D2882">
        <v>2024</v>
      </c>
      <c r="E2882" s="7">
        <v>45487</v>
      </c>
      <c r="F2882" s="7">
        <v>45851</v>
      </c>
      <c r="G2882" t="s">
        <v>135</v>
      </c>
      <c r="H2882" t="s">
        <v>103</v>
      </c>
      <c r="I2882" t="s">
        <v>104</v>
      </c>
      <c r="J2882">
        <v>59349.09</v>
      </c>
      <c r="K2882">
        <v>10000000</v>
      </c>
    </row>
    <row r="2883" spans="1:11" ht="15" customHeight="1" x14ac:dyDescent="0.2">
      <c r="A2883" t="s">
        <v>4497</v>
      </c>
      <c r="B2883" t="s">
        <v>8755</v>
      </c>
      <c r="C2883">
        <v>2024</v>
      </c>
      <c r="D2883">
        <v>2024</v>
      </c>
      <c r="E2883" s="7">
        <v>45487</v>
      </c>
      <c r="F2883" s="7">
        <v>45851</v>
      </c>
      <c r="G2883" t="s">
        <v>135</v>
      </c>
      <c r="H2883" t="s">
        <v>113</v>
      </c>
      <c r="I2883" t="s">
        <v>101</v>
      </c>
      <c r="J2883">
        <v>7700.76</v>
      </c>
      <c r="K2883">
        <v>1000000</v>
      </c>
    </row>
    <row r="2884" spans="1:11" ht="15" customHeight="1" x14ac:dyDescent="0.2">
      <c r="A2884" t="s">
        <v>4499</v>
      </c>
      <c r="B2884" t="s">
        <v>8756</v>
      </c>
      <c r="C2884">
        <v>2024</v>
      </c>
      <c r="D2884">
        <v>2024</v>
      </c>
      <c r="E2884" s="7">
        <v>45487</v>
      </c>
      <c r="F2884" s="7">
        <v>45851</v>
      </c>
      <c r="G2884" t="s">
        <v>135</v>
      </c>
      <c r="H2884" t="s">
        <v>107</v>
      </c>
      <c r="I2884" t="s">
        <v>101</v>
      </c>
      <c r="J2884">
        <v>6776.71</v>
      </c>
      <c r="K2884">
        <v>1000000</v>
      </c>
    </row>
    <row r="2885" spans="1:11" ht="15" customHeight="1" x14ac:dyDescent="0.2">
      <c r="A2885" t="s">
        <v>4501</v>
      </c>
      <c r="B2885" t="s">
        <v>938</v>
      </c>
      <c r="C2885">
        <v>2024</v>
      </c>
      <c r="D2885">
        <v>2024</v>
      </c>
      <c r="E2885" s="7">
        <v>45487</v>
      </c>
      <c r="F2885" s="7">
        <v>45851</v>
      </c>
      <c r="G2885" t="s">
        <v>135</v>
      </c>
      <c r="H2885" t="s">
        <v>103</v>
      </c>
      <c r="I2885" t="s">
        <v>101</v>
      </c>
      <c r="J2885">
        <v>33781.21</v>
      </c>
      <c r="K2885">
        <v>5000000</v>
      </c>
    </row>
    <row r="2886" spans="1:11" ht="15" customHeight="1" x14ac:dyDescent="0.2">
      <c r="A2886" t="s">
        <v>4502</v>
      </c>
      <c r="B2886" t="s">
        <v>6889</v>
      </c>
      <c r="C2886">
        <v>2024</v>
      </c>
      <c r="D2886">
        <v>2024</v>
      </c>
      <c r="E2886" s="7">
        <v>45487</v>
      </c>
      <c r="F2886" s="7">
        <v>45851</v>
      </c>
      <c r="G2886" t="s">
        <v>135</v>
      </c>
      <c r="H2886" t="s">
        <v>112</v>
      </c>
      <c r="I2886" t="s">
        <v>104</v>
      </c>
      <c r="J2886">
        <v>69549.509999999995</v>
      </c>
      <c r="K2886">
        <v>10000000</v>
      </c>
    </row>
    <row r="2887" spans="1:11" ht="15" customHeight="1" x14ac:dyDescent="0.2">
      <c r="A2887" t="s">
        <v>4503</v>
      </c>
      <c r="B2887" t="s">
        <v>8757</v>
      </c>
      <c r="C2887">
        <v>2024</v>
      </c>
      <c r="D2887">
        <v>2024</v>
      </c>
      <c r="E2887" s="7">
        <v>45487</v>
      </c>
      <c r="F2887" s="7">
        <v>45851</v>
      </c>
      <c r="G2887" t="s">
        <v>135</v>
      </c>
      <c r="H2887" t="s">
        <v>114</v>
      </c>
      <c r="I2887" t="s">
        <v>104</v>
      </c>
      <c r="J2887">
        <v>6264.41</v>
      </c>
      <c r="K2887">
        <v>1000000</v>
      </c>
    </row>
    <row r="2888" spans="1:11" ht="15" customHeight="1" x14ac:dyDescent="0.2">
      <c r="A2888" t="s">
        <v>4504</v>
      </c>
      <c r="B2888" t="s">
        <v>6809</v>
      </c>
      <c r="C2888">
        <v>2024</v>
      </c>
      <c r="D2888">
        <v>2024</v>
      </c>
      <c r="E2888" s="7">
        <v>45487</v>
      </c>
      <c r="F2888" s="7">
        <v>45851</v>
      </c>
      <c r="G2888" t="s">
        <v>135</v>
      </c>
      <c r="H2888" t="s">
        <v>106</v>
      </c>
      <c r="I2888" t="s">
        <v>101</v>
      </c>
      <c r="J2888">
        <v>8937.0499999999993</v>
      </c>
      <c r="K2888">
        <v>1000000</v>
      </c>
    </row>
    <row r="2889" spans="1:11" ht="15" customHeight="1" x14ac:dyDescent="0.2">
      <c r="A2889" t="s">
        <v>4505</v>
      </c>
      <c r="B2889" t="s">
        <v>8758</v>
      </c>
      <c r="C2889">
        <v>2024</v>
      </c>
      <c r="D2889">
        <v>2024</v>
      </c>
      <c r="E2889" s="7">
        <v>45487</v>
      </c>
      <c r="F2889" s="7">
        <v>45851</v>
      </c>
      <c r="G2889" t="s">
        <v>135</v>
      </c>
      <c r="H2889" t="s">
        <v>113</v>
      </c>
      <c r="I2889" t="s">
        <v>104</v>
      </c>
      <c r="J2889">
        <v>8856.0300000000007</v>
      </c>
      <c r="K2889">
        <v>1500000</v>
      </c>
    </row>
    <row r="2890" spans="1:11" ht="15" customHeight="1" x14ac:dyDescent="0.2">
      <c r="A2890" t="s">
        <v>4506</v>
      </c>
      <c r="B2890" t="s">
        <v>8759</v>
      </c>
      <c r="C2890">
        <v>2024</v>
      </c>
      <c r="D2890">
        <v>2024</v>
      </c>
      <c r="E2890" s="7">
        <v>45487</v>
      </c>
      <c r="F2890" s="7">
        <v>45851</v>
      </c>
      <c r="G2890" t="s">
        <v>135</v>
      </c>
      <c r="H2890" t="s">
        <v>108</v>
      </c>
      <c r="I2890" t="s">
        <v>101</v>
      </c>
      <c r="J2890">
        <v>92443.37</v>
      </c>
      <c r="K2890">
        <v>10000000</v>
      </c>
    </row>
    <row r="2891" spans="1:11" ht="15" customHeight="1" x14ac:dyDescent="0.2">
      <c r="A2891" t="s">
        <v>4507</v>
      </c>
      <c r="B2891" t="s">
        <v>3395</v>
      </c>
      <c r="C2891">
        <v>2024</v>
      </c>
      <c r="D2891">
        <v>2024</v>
      </c>
      <c r="E2891" s="7">
        <v>45488</v>
      </c>
      <c r="F2891" s="7">
        <v>45852</v>
      </c>
      <c r="G2891" t="s">
        <v>99</v>
      </c>
      <c r="H2891" t="s">
        <v>106</v>
      </c>
      <c r="I2891" t="s">
        <v>101</v>
      </c>
      <c r="J2891">
        <v>9460.65</v>
      </c>
      <c r="K2891">
        <v>1000000</v>
      </c>
    </row>
    <row r="2892" spans="1:11" ht="15" customHeight="1" x14ac:dyDescent="0.2">
      <c r="A2892" t="s">
        <v>4508</v>
      </c>
      <c r="B2892" t="s">
        <v>3397</v>
      </c>
      <c r="C2892">
        <v>2024</v>
      </c>
      <c r="D2892">
        <v>2024</v>
      </c>
      <c r="E2892" s="7">
        <v>45488</v>
      </c>
      <c r="F2892" s="7">
        <v>45852</v>
      </c>
      <c r="G2892" t="s">
        <v>99</v>
      </c>
      <c r="H2892" t="s">
        <v>102</v>
      </c>
      <c r="I2892" t="s">
        <v>101</v>
      </c>
      <c r="J2892">
        <v>6851.81</v>
      </c>
      <c r="K2892">
        <v>1000000</v>
      </c>
    </row>
    <row r="2893" spans="1:11" ht="15" customHeight="1" x14ac:dyDescent="0.2">
      <c r="A2893" t="s">
        <v>4509</v>
      </c>
      <c r="B2893" t="s">
        <v>3399</v>
      </c>
      <c r="C2893">
        <v>2024</v>
      </c>
      <c r="D2893">
        <v>2024</v>
      </c>
      <c r="E2893" s="7">
        <v>45488</v>
      </c>
      <c r="F2893" s="7">
        <v>45852</v>
      </c>
      <c r="G2893" t="s">
        <v>99</v>
      </c>
      <c r="H2893" t="s">
        <v>102</v>
      </c>
      <c r="I2893" t="s">
        <v>104</v>
      </c>
      <c r="J2893">
        <v>3008.47</v>
      </c>
      <c r="K2893">
        <v>500000</v>
      </c>
    </row>
    <row r="2894" spans="1:11" ht="15" customHeight="1" x14ac:dyDescent="0.2">
      <c r="A2894" t="s">
        <v>4510</v>
      </c>
      <c r="B2894" t="s">
        <v>8760</v>
      </c>
      <c r="C2894">
        <v>2024</v>
      </c>
      <c r="D2894">
        <v>2024</v>
      </c>
      <c r="E2894" s="7">
        <v>45488</v>
      </c>
      <c r="F2894" s="7">
        <v>45852</v>
      </c>
      <c r="G2894" t="s">
        <v>135</v>
      </c>
      <c r="H2894" t="s">
        <v>108</v>
      </c>
      <c r="I2894" t="s">
        <v>101</v>
      </c>
      <c r="J2894">
        <v>8935.6</v>
      </c>
      <c r="K2894">
        <v>1000000</v>
      </c>
    </row>
    <row r="2895" spans="1:11" ht="15" customHeight="1" x14ac:dyDescent="0.2">
      <c r="A2895" t="s">
        <v>4511</v>
      </c>
      <c r="B2895" t="s">
        <v>566</v>
      </c>
      <c r="C2895">
        <v>2024</v>
      </c>
      <c r="D2895">
        <v>2024</v>
      </c>
      <c r="E2895" s="7">
        <v>45488</v>
      </c>
      <c r="F2895" s="7">
        <v>45852</v>
      </c>
      <c r="G2895" t="s">
        <v>135</v>
      </c>
      <c r="H2895" t="s">
        <v>107</v>
      </c>
      <c r="I2895" t="s">
        <v>104</v>
      </c>
      <c r="J2895">
        <v>11464.08</v>
      </c>
      <c r="K2895">
        <v>2000000</v>
      </c>
    </row>
    <row r="2896" spans="1:11" ht="15" customHeight="1" x14ac:dyDescent="0.2">
      <c r="A2896" t="s">
        <v>4512</v>
      </c>
      <c r="B2896" t="s">
        <v>8761</v>
      </c>
      <c r="C2896">
        <v>2024</v>
      </c>
      <c r="D2896">
        <v>2024</v>
      </c>
      <c r="E2896" s="7">
        <v>45488</v>
      </c>
      <c r="F2896" s="7">
        <v>45852</v>
      </c>
      <c r="G2896" t="s">
        <v>135</v>
      </c>
      <c r="H2896" t="s">
        <v>108</v>
      </c>
      <c r="I2896" t="s">
        <v>101</v>
      </c>
      <c r="J2896">
        <v>12427.27</v>
      </c>
      <c r="K2896">
        <v>1500000</v>
      </c>
    </row>
    <row r="2897" spans="1:11" ht="15" customHeight="1" x14ac:dyDescent="0.2">
      <c r="A2897" t="s">
        <v>4513</v>
      </c>
      <c r="B2897" t="s">
        <v>939</v>
      </c>
      <c r="C2897">
        <v>2024</v>
      </c>
      <c r="D2897">
        <v>2024</v>
      </c>
      <c r="E2897" s="7">
        <v>45488</v>
      </c>
      <c r="F2897" s="7">
        <v>45852</v>
      </c>
      <c r="G2897" t="s">
        <v>135</v>
      </c>
      <c r="H2897" t="s">
        <v>102</v>
      </c>
      <c r="I2897" t="s">
        <v>101</v>
      </c>
      <c r="J2897">
        <v>9924.68</v>
      </c>
      <c r="K2897">
        <v>1500000</v>
      </c>
    </row>
    <row r="2898" spans="1:11" ht="15" customHeight="1" x14ac:dyDescent="0.2">
      <c r="A2898" t="s">
        <v>4515</v>
      </c>
      <c r="B2898" t="s">
        <v>6826</v>
      </c>
      <c r="C2898">
        <v>2024</v>
      </c>
      <c r="D2898">
        <v>2024</v>
      </c>
      <c r="E2898" s="7">
        <v>45488</v>
      </c>
      <c r="F2898" s="7">
        <v>45852</v>
      </c>
      <c r="G2898" t="s">
        <v>135</v>
      </c>
      <c r="H2898" t="s">
        <v>102</v>
      </c>
      <c r="I2898" t="s">
        <v>101</v>
      </c>
      <c r="J2898">
        <v>6927.58</v>
      </c>
      <c r="K2898">
        <v>1000000</v>
      </c>
    </row>
    <row r="2899" spans="1:11" ht="15" customHeight="1" x14ac:dyDescent="0.2">
      <c r="A2899" t="s">
        <v>4517</v>
      </c>
      <c r="B2899" t="s">
        <v>3401</v>
      </c>
      <c r="C2899">
        <v>2024</v>
      </c>
      <c r="D2899">
        <v>2024</v>
      </c>
      <c r="E2899" s="7">
        <v>45489</v>
      </c>
      <c r="F2899" s="7">
        <v>45853</v>
      </c>
      <c r="G2899" t="s">
        <v>99</v>
      </c>
      <c r="H2899" t="s">
        <v>106</v>
      </c>
      <c r="I2899" t="s">
        <v>101</v>
      </c>
      <c r="J2899">
        <v>4677.57</v>
      </c>
      <c r="K2899">
        <v>500000</v>
      </c>
    </row>
    <row r="2900" spans="1:11" ht="15" customHeight="1" x14ac:dyDescent="0.2">
      <c r="A2900" t="s">
        <v>4519</v>
      </c>
      <c r="B2900" t="s">
        <v>3409</v>
      </c>
      <c r="C2900">
        <v>2024</v>
      </c>
      <c r="D2900">
        <v>2024</v>
      </c>
      <c r="E2900" s="7">
        <v>45489</v>
      </c>
      <c r="F2900" s="7">
        <v>45853</v>
      </c>
      <c r="G2900" t="s">
        <v>99</v>
      </c>
      <c r="H2900" t="s">
        <v>110</v>
      </c>
      <c r="I2900" t="s">
        <v>101</v>
      </c>
      <c r="J2900">
        <v>44631.68</v>
      </c>
      <c r="K2900">
        <v>5000000</v>
      </c>
    </row>
    <row r="2901" spans="1:11" ht="15" customHeight="1" x14ac:dyDescent="0.2">
      <c r="A2901" t="s">
        <v>4521</v>
      </c>
      <c r="B2901" t="s">
        <v>3411</v>
      </c>
      <c r="C2901">
        <v>2024</v>
      </c>
      <c r="D2901">
        <v>2024</v>
      </c>
      <c r="E2901" s="7">
        <v>45489</v>
      </c>
      <c r="F2901" s="7">
        <v>45853</v>
      </c>
      <c r="G2901" t="s">
        <v>99</v>
      </c>
      <c r="H2901" t="s">
        <v>102</v>
      </c>
      <c r="I2901" t="s">
        <v>101</v>
      </c>
      <c r="J2901">
        <v>38564.53</v>
      </c>
      <c r="K2901">
        <v>5000000</v>
      </c>
    </row>
    <row r="2902" spans="1:11" ht="15" customHeight="1" x14ac:dyDescent="0.2">
      <c r="A2902" t="s">
        <v>4523</v>
      </c>
      <c r="B2902" t="s">
        <v>6828</v>
      </c>
      <c r="C2902">
        <v>2024</v>
      </c>
      <c r="D2902">
        <v>2024</v>
      </c>
      <c r="E2902" s="7">
        <v>45489</v>
      </c>
      <c r="F2902" s="7">
        <v>45853</v>
      </c>
      <c r="G2902" t="s">
        <v>135</v>
      </c>
      <c r="H2902" t="s">
        <v>107</v>
      </c>
      <c r="I2902" t="s">
        <v>101</v>
      </c>
      <c r="J2902">
        <v>7454.66</v>
      </c>
      <c r="K2902">
        <v>1000000</v>
      </c>
    </row>
    <row r="2903" spans="1:11" ht="15" customHeight="1" x14ac:dyDescent="0.2">
      <c r="A2903" t="s">
        <v>4525</v>
      </c>
      <c r="B2903" t="s">
        <v>8762</v>
      </c>
      <c r="C2903">
        <v>2024</v>
      </c>
      <c r="D2903">
        <v>2024</v>
      </c>
      <c r="E2903" s="7">
        <v>45489</v>
      </c>
      <c r="F2903" s="7">
        <v>45853</v>
      </c>
      <c r="G2903" t="s">
        <v>135</v>
      </c>
      <c r="H2903" t="s">
        <v>6337</v>
      </c>
      <c r="I2903" t="s">
        <v>104</v>
      </c>
      <c r="J2903">
        <v>6241.15</v>
      </c>
      <c r="K2903">
        <v>1000000</v>
      </c>
    </row>
    <row r="2904" spans="1:11" ht="15" customHeight="1" x14ac:dyDescent="0.2">
      <c r="A2904" t="s">
        <v>4527</v>
      </c>
      <c r="B2904" t="s">
        <v>8763</v>
      </c>
      <c r="C2904">
        <v>2024</v>
      </c>
      <c r="D2904">
        <v>2024</v>
      </c>
      <c r="E2904" s="7">
        <v>45489</v>
      </c>
      <c r="F2904" s="7">
        <v>45853</v>
      </c>
      <c r="G2904" t="s">
        <v>135</v>
      </c>
      <c r="H2904" t="s">
        <v>102</v>
      </c>
      <c r="I2904" t="s">
        <v>104</v>
      </c>
      <c r="J2904">
        <v>5933.09</v>
      </c>
      <c r="K2904">
        <v>1000000</v>
      </c>
    </row>
    <row r="2905" spans="1:11" ht="15" customHeight="1" x14ac:dyDescent="0.2">
      <c r="A2905" t="s">
        <v>4528</v>
      </c>
      <c r="B2905" t="s">
        <v>6814</v>
      </c>
      <c r="C2905">
        <v>2024</v>
      </c>
      <c r="D2905">
        <v>2024</v>
      </c>
      <c r="E2905" s="7">
        <v>45489</v>
      </c>
      <c r="F2905" s="7">
        <v>45853</v>
      </c>
      <c r="G2905" t="s">
        <v>135</v>
      </c>
      <c r="H2905" t="s">
        <v>6332</v>
      </c>
      <c r="I2905" t="s">
        <v>101</v>
      </c>
      <c r="J2905">
        <v>13373.3</v>
      </c>
      <c r="K2905">
        <v>2000000</v>
      </c>
    </row>
    <row r="2906" spans="1:11" ht="15" customHeight="1" x14ac:dyDescent="0.2">
      <c r="A2906" t="s">
        <v>4529</v>
      </c>
      <c r="B2906" t="s">
        <v>8764</v>
      </c>
      <c r="C2906">
        <v>2024</v>
      </c>
      <c r="D2906">
        <v>2024</v>
      </c>
      <c r="E2906" s="7">
        <v>45489</v>
      </c>
      <c r="F2906" s="7">
        <v>45853</v>
      </c>
      <c r="G2906" t="s">
        <v>135</v>
      </c>
      <c r="H2906" t="s">
        <v>102</v>
      </c>
      <c r="I2906" t="s">
        <v>104</v>
      </c>
      <c r="J2906">
        <v>12488</v>
      </c>
      <c r="K2906">
        <v>2000000</v>
      </c>
    </row>
    <row r="2907" spans="1:11" ht="15" customHeight="1" x14ac:dyDescent="0.2">
      <c r="A2907" t="s">
        <v>4530</v>
      </c>
      <c r="B2907" t="s">
        <v>568</v>
      </c>
      <c r="C2907">
        <v>2024</v>
      </c>
      <c r="D2907">
        <v>2024</v>
      </c>
      <c r="E2907" s="7">
        <v>45489</v>
      </c>
      <c r="F2907" s="7">
        <v>45853</v>
      </c>
      <c r="G2907" t="s">
        <v>135</v>
      </c>
      <c r="H2907" t="s">
        <v>102</v>
      </c>
      <c r="I2907" t="s">
        <v>101</v>
      </c>
      <c r="J2907">
        <v>70723.399999999994</v>
      </c>
      <c r="K2907">
        <v>10000000</v>
      </c>
    </row>
    <row r="2908" spans="1:11" ht="15" customHeight="1" x14ac:dyDescent="0.2">
      <c r="A2908" t="s">
        <v>4531</v>
      </c>
      <c r="B2908" t="s">
        <v>355</v>
      </c>
      <c r="C2908">
        <v>2024</v>
      </c>
      <c r="D2908">
        <v>2024</v>
      </c>
      <c r="E2908" s="7">
        <v>45489</v>
      </c>
      <c r="F2908" s="7">
        <v>45853</v>
      </c>
      <c r="G2908" t="s">
        <v>135</v>
      </c>
      <c r="H2908" t="s">
        <v>106</v>
      </c>
      <c r="I2908" t="s">
        <v>101</v>
      </c>
      <c r="J2908">
        <v>13097.94</v>
      </c>
      <c r="K2908">
        <v>1500000</v>
      </c>
    </row>
    <row r="2909" spans="1:11" ht="15" customHeight="1" x14ac:dyDescent="0.2">
      <c r="A2909" t="s">
        <v>4532</v>
      </c>
      <c r="B2909" t="s">
        <v>356</v>
      </c>
      <c r="C2909">
        <v>2024</v>
      </c>
      <c r="D2909">
        <v>2024</v>
      </c>
      <c r="E2909" s="7">
        <v>45489</v>
      </c>
      <c r="F2909" s="7">
        <v>45853</v>
      </c>
      <c r="G2909" t="s">
        <v>135</v>
      </c>
      <c r="H2909" t="s">
        <v>107</v>
      </c>
      <c r="I2909" t="s">
        <v>104</v>
      </c>
      <c r="J2909">
        <v>2872.53</v>
      </c>
      <c r="K2909">
        <v>500000</v>
      </c>
    </row>
    <row r="2910" spans="1:11" ht="15" customHeight="1" x14ac:dyDescent="0.2">
      <c r="A2910" t="s">
        <v>4533</v>
      </c>
      <c r="B2910" t="s">
        <v>8765</v>
      </c>
      <c r="C2910">
        <v>2024</v>
      </c>
      <c r="D2910">
        <v>2024</v>
      </c>
      <c r="E2910" s="7">
        <v>45489</v>
      </c>
      <c r="F2910" s="7">
        <v>45853</v>
      </c>
      <c r="G2910" t="s">
        <v>135</v>
      </c>
      <c r="H2910" t="s">
        <v>102</v>
      </c>
      <c r="I2910" t="s">
        <v>104</v>
      </c>
      <c r="J2910">
        <v>55299.519999999997</v>
      </c>
      <c r="K2910">
        <v>10000000</v>
      </c>
    </row>
    <row r="2911" spans="1:11" ht="15" customHeight="1" x14ac:dyDescent="0.2">
      <c r="A2911" t="s">
        <v>4534</v>
      </c>
      <c r="B2911" t="s">
        <v>8766</v>
      </c>
      <c r="C2911">
        <v>2024</v>
      </c>
      <c r="D2911">
        <v>2024</v>
      </c>
      <c r="E2911" s="7">
        <v>45489</v>
      </c>
      <c r="F2911" s="7">
        <v>45853</v>
      </c>
      <c r="G2911" t="s">
        <v>135</v>
      </c>
      <c r="H2911" t="s">
        <v>116</v>
      </c>
      <c r="I2911" t="s">
        <v>104</v>
      </c>
      <c r="J2911">
        <v>8318.08</v>
      </c>
      <c r="K2911">
        <v>1500000</v>
      </c>
    </row>
    <row r="2912" spans="1:11" ht="15" customHeight="1" x14ac:dyDescent="0.2">
      <c r="A2912" t="s">
        <v>4535</v>
      </c>
      <c r="B2912" t="s">
        <v>3413</v>
      </c>
      <c r="C2912">
        <v>2024</v>
      </c>
      <c r="D2912">
        <v>2024</v>
      </c>
      <c r="E2912" s="7">
        <v>45490</v>
      </c>
      <c r="F2912" s="7">
        <v>45854</v>
      </c>
      <c r="G2912" t="s">
        <v>99</v>
      </c>
      <c r="H2912" t="s">
        <v>102</v>
      </c>
      <c r="I2912" t="s">
        <v>104</v>
      </c>
      <c r="J2912">
        <v>7804.12</v>
      </c>
      <c r="K2912">
        <v>1500000</v>
      </c>
    </row>
    <row r="2913" spans="1:11" ht="15" customHeight="1" x14ac:dyDescent="0.2">
      <c r="A2913" t="s">
        <v>4536</v>
      </c>
      <c r="B2913" t="s">
        <v>8767</v>
      </c>
      <c r="C2913">
        <v>2024</v>
      </c>
      <c r="D2913">
        <v>2024</v>
      </c>
      <c r="E2913" s="7">
        <v>45490</v>
      </c>
      <c r="F2913" s="7">
        <v>45854</v>
      </c>
      <c r="G2913" t="s">
        <v>135</v>
      </c>
      <c r="H2913" t="s">
        <v>109</v>
      </c>
      <c r="I2913" t="s">
        <v>101</v>
      </c>
      <c r="J2913">
        <v>6988.72</v>
      </c>
      <c r="K2913">
        <v>1000000</v>
      </c>
    </row>
    <row r="2914" spans="1:11" ht="15" customHeight="1" x14ac:dyDescent="0.2">
      <c r="A2914" t="s">
        <v>4537</v>
      </c>
      <c r="B2914" t="s">
        <v>6817</v>
      </c>
      <c r="C2914">
        <v>2024</v>
      </c>
      <c r="D2914">
        <v>2024</v>
      </c>
      <c r="E2914" s="7">
        <v>45490</v>
      </c>
      <c r="F2914" s="7">
        <v>45854</v>
      </c>
      <c r="G2914" t="s">
        <v>135</v>
      </c>
      <c r="H2914" t="s">
        <v>6337</v>
      </c>
      <c r="I2914" t="s">
        <v>101</v>
      </c>
      <c r="J2914">
        <v>6927.62</v>
      </c>
      <c r="K2914">
        <v>1000000</v>
      </c>
    </row>
    <row r="2915" spans="1:11" ht="15" customHeight="1" x14ac:dyDescent="0.2">
      <c r="A2915" t="s">
        <v>4539</v>
      </c>
      <c r="B2915" t="s">
        <v>6829</v>
      </c>
      <c r="C2915">
        <v>2024</v>
      </c>
      <c r="D2915">
        <v>2024</v>
      </c>
      <c r="E2915" s="7">
        <v>45490</v>
      </c>
      <c r="F2915" s="7">
        <v>45854</v>
      </c>
      <c r="G2915" t="s">
        <v>135</v>
      </c>
      <c r="H2915" t="s">
        <v>102</v>
      </c>
      <c r="I2915" t="s">
        <v>104</v>
      </c>
      <c r="J2915">
        <v>30884.16</v>
      </c>
      <c r="K2915">
        <v>5000000</v>
      </c>
    </row>
    <row r="2916" spans="1:11" ht="15" customHeight="1" x14ac:dyDescent="0.2">
      <c r="A2916" t="s">
        <v>4541</v>
      </c>
      <c r="B2916" t="s">
        <v>8768</v>
      </c>
      <c r="C2916">
        <v>2024</v>
      </c>
      <c r="D2916">
        <v>2024</v>
      </c>
      <c r="E2916" s="7">
        <v>45490</v>
      </c>
      <c r="F2916" s="7">
        <v>45854</v>
      </c>
      <c r="G2916" t="s">
        <v>135</v>
      </c>
      <c r="H2916" t="s">
        <v>106</v>
      </c>
      <c r="I2916" t="s">
        <v>101</v>
      </c>
      <c r="J2916">
        <v>14037.35</v>
      </c>
      <c r="K2916">
        <v>1500000</v>
      </c>
    </row>
    <row r="2917" spans="1:11" ht="15" customHeight="1" x14ac:dyDescent="0.2">
      <c r="A2917" t="s">
        <v>4543</v>
      </c>
      <c r="B2917" t="s">
        <v>569</v>
      </c>
      <c r="C2917">
        <v>2024</v>
      </c>
      <c r="D2917">
        <v>2024</v>
      </c>
      <c r="E2917" s="7">
        <v>45490</v>
      </c>
      <c r="F2917" s="7">
        <v>45854</v>
      </c>
      <c r="G2917" t="s">
        <v>135</v>
      </c>
      <c r="H2917" t="s">
        <v>109</v>
      </c>
      <c r="I2917" t="s">
        <v>104</v>
      </c>
      <c r="J2917">
        <v>27776.36</v>
      </c>
      <c r="K2917">
        <v>5000000</v>
      </c>
    </row>
    <row r="2918" spans="1:11" ht="15" customHeight="1" x14ac:dyDescent="0.2">
      <c r="A2918" t="s">
        <v>4544</v>
      </c>
      <c r="B2918" t="s">
        <v>8769</v>
      </c>
      <c r="C2918">
        <v>2024</v>
      </c>
      <c r="D2918">
        <v>2024</v>
      </c>
      <c r="E2918" s="7">
        <v>45490</v>
      </c>
      <c r="F2918" s="7">
        <v>45854</v>
      </c>
      <c r="G2918" t="s">
        <v>135</v>
      </c>
      <c r="H2918" t="s">
        <v>111</v>
      </c>
      <c r="I2918" t="s">
        <v>101</v>
      </c>
      <c r="J2918">
        <v>7175.21</v>
      </c>
      <c r="K2918">
        <v>1000000</v>
      </c>
    </row>
    <row r="2919" spans="1:11" ht="15" customHeight="1" x14ac:dyDescent="0.2">
      <c r="A2919" t="s">
        <v>4545</v>
      </c>
      <c r="B2919" t="s">
        <v>8770</v>
      </c>
      <c r="C2919">
        <v>2024</v>
      </c>
      <c r="D2919">
        <v>2024</v>
      </c>
      <c r="E2919" s="7">
        <v>45490</v>
      </c>
      <c r="F2919" s="7">
        <v>45854</v>
      </c>
      <c r="G2919" t="s">
        <v>135</v>
      </c>
      <c r="H2919" t="s">
        <v>113</v>
      </c>
      <c r="I2919" t="s">
        <v>101</v>
      </c>
      <c r="J2919">
        <v>10118.33</v>
      </c>
      <c r="K2919">
        <v>1500000</v>
      </c>
    </row>
    <row r="2920" spans="1:11" ht="15" customHeight="1" x14ac:dyDescent="0.2">
      <c r="A2920" t="s">
        <v>4546</v>
      </c>
      <c r="B2920" t="s">
        <v>3414</v>
      </c>
      <c r="C2920">
        <v>2024</v>
      </c>
      <c r="D2920">
        <v>2024</v>
      </c>
      <c r="E2920" s="7">
        <v>45491</v>
      </c>
      <c r="F2920" s="7">
        <v>45855</v>
      </c>
      <c r="G2920" t="s">
        <v>99</v>
      </c>
      <c r="H2920" t="s">
        <v>102</v>
      </c>
      <c r="I2920" t="s">
        <v>101</v>
      </c>
      <c r="J2920">
        <v>3691.25</v>
      </c>
      <c r="K2920">
        <v>500000</v>
      </c>
    </row>
    <row r="2921" spans="1:11" ht="15" customHeight="1" x14ac:dyDescent="0.2">
      <c r="A2921" t="s">
        <v>4547</v>
      </c>
      <c r="B2921" t="s">
        <v>3424</v>
      </c>
      <c r="C2921">
        <v>2024</v>
      </c>
      <c r="D2921">
        <v>2024</v>
      </c>
      <c r="E2921" s="7">
        <v>45491</v>
      </c>
      <c r="F2921" s="7">
        <v>45855</v>
      </c>
      <c r="G2921" t="s">
        <v>99</v>
      </c>
      <c r="H2921" t="s">
        <v>6337</v>
      </c>
      <c r="I2921" t="s">
        <v>101</v>
      </c>
      <c r="J2921">
        <v>75364.92</v>
      </c>
      <c r="K2921">
        <v>10000000</v>
      </c>
    </row>
    <row r="2922" spans="1:11" ht="15" customHeight="1" x14ac:dyDescent="0.2">
      <c r="A2922" t="s">
        <v>4548</v>
      </c>
      <c r="B2922" t="s">
        <v>7262</v>
      </c>
      <c r="C2922">
        <v>2024</v>
      </c>
      <c r="D2922">
        <v>2024</v>
      </c>
      <c r="E2922" s="7">
        <v>45491</v>
      </c>
      <c r="F2922" s="7">
        <v>45855</v>
      </c>
      <c r="G2922" t="s">
        <v>135</v>
      </c>
      <c r="H2922" t="s">
        <v>103</v>
      </c>
      <c r="I2922" t="s">
        <v>101</v>
      </c>
      <c r="J2922">
        <v>6496.12</v>
      </c>
      <c r="K2922">
        <v>1000000</v>
      </c>
    </row>
    <row r="2923" spans="1:11" ht="15" customHeight="1" x14ac:dyDescent="0.2">
      <c r="A2923" t="s">
        <v>4549</v>
      </c>
      <c r="B2923" t="s">
        <v>8771</v>
      </c>
      <c r="C2923">
        <v>2024</v>
      </c>
      <c r="D2923">
        <v>2024</v>
      </c>
      <c r="E2923" s="7">
        <v>45491</v>
      </c>
      <c r="F2923" s="7">
        <v>45855</v>
      </c>
      <c r="G2923" t="s">
        <v>135</v>
      </c>
      <c r="H2923" t="s">
        <v>110</v>
      </c>
      <c r="I2923" t="s">
        <v>101</v>
      </c>
      <c r="J2923">
        <v>88332.18</v>
      </c>
      <c r="K2923">
        <v>10000000</v>
      </c>
    </row>
    <row r="2924" spans="1:11" ht="15" customHeight="1" x14ac:dyDescent="0.2">
      <c r="A2924" t="s">
        <v>4551</v>
      </c>
      <c r="B2924" t="s">
        <v>8772</v>
      </c>
      <c r="C2924">
        <v>2024</v>
      </c>
      <c r="D2924">
        <v>2024</v>
      </c>
      <c r="E2924" s="7">
        <v>45491</v>
      </c>
      <c r="F2924" s="7">
        <v>45855</v>
      </c>
      <c r="G2924" t="s">
        <v>135</v>
      </c>
      <c r="H2924" t="s">
        <v>100</v>
      </c>
      <c r="I2924" t="s">
        <v>104</v>
      </c>
      <c r="J2924">
        <v>5853.75</v>
      </c>
      <c r="K2924">
        <v>1000000</v>
      </c>
    </row>
    <row r="2925" spans="1:11" ht="15" customHeight="1" x14ac:dyDescent="0.2">
      <c r="A2925" t="s">
        <v>4553</v>
      </c>
      <c r="B2925" t="s">
        <v>8773</v>
      </c>
      <c r="C2925">
        <v>2024</v>
      </c>
      <c r="D2925">
        <v>2024</v>
      </c>
      <c r="E2925" s="7">
        <v>45491</v>
      </c>
      <c r="F2925" s="7">
        <v>45855</v>
      </c>
      <c r="G2925" t="s">
        <v>135</v>
      </c>
      <c r="H2925" t="s">
        <v>103</v>
      </c>
      <c r="I2925" t="s">
        <v>101</v>
      </c>
      <c r="J2925">
        <v>73582.320000000007</v>
      </c>
      <c r="K2925">
        <v>10000000</v>
      </c>
    </row>
    <row r="2926" spans="1:11" ht="15" customHeight="1" x14ac:dyDescent="0.2">
      <c r="A2926" t="s">
        <v>4555</v>
      </c>
      <c r="B2926" t="s">
        <v>8774</v>
      </c>
      <c r="C2926">
        <v>2024</v>
      </c>
      <c r="D2926">
        <v>2024</v>
      </c>
      <c r="E2926" s="7">
        <v>45491</v>
      </c>
      <c r="F2926" s="7">
        <v>45855</v>
      </c>
      <c r="G2926" t="s">
        <v>135</v>
      </c>
      <c r="H2926" t="s">
        <v>106</v>
      </c>
      <c r="I2926" t="s">
        <v>104</v>
      </c>
      <c r="J2926">
        <v>7100.63</v>
      </c>
      <c r="K2926">
        <v>1000000</v>
      </c>
    </row>
    <row r="2927" spans="1:11" ht="15" customHeight="1" x14ac:dyDescent="0.2">
      <c r="A2927" t="s">
        <v>4558</v>
      </c>
      <c r="B2927" t="s">
        <v>6820</v>
      </c>
      <c r="C2927">
        <v>2024</v>
      </c>
      <c r="D2927">
        <v>2024</v>
      </c>
      <c r="E2927" s="7">
        <v>45491</v>
      </c>
      <c r="F2927" s="7">
        <v>45855</v>
      </c>
      <c r="G2927" t="s">
        <v>135</v>
      </c>
      <c r="H2927" t="s">
        <v>108</v>
      </c>
      <c r="I2927" t="s">
        <v>101</v>
      </c>
      <c r="J2927">
        <v>13639.96</v>
      </c>
      <c r="K2927">
        <v>1500000</v>
      </c>
    </row>
    <row r="2928" spans="1:11" ht="15" customHeight="1" x14ac:dyDescent="0.2">
      <c r="A2928" t="s">
        <v>4560</v>
      </c>
      <c r="B2928" t="s">
        <v>8775</v>
      </c>
      <c r="C2928">
        <v>2024</v>
      </c>
      <c r="D2928">
        <v>2024</v>
      </c>
      <c r="E2928" s="7">
        <v>45491</v>
      </c>
      <c r="F2928" s="7">
        <v>45855</v>
      </c>
      <c r="G2928" t="s">
        <v>135</v>
      </c>
      <c r="H2928" t="s">
        <v>102</v>
      </c>
      <c r="I2928" t="s">
        <v>104</v>
      </c>
      <c r="J2928">
        <v>12016.6</v>
      </c>
      <c r="K2928">
        <v>2000000</v>
      </c>
    </row>
    <row r="2929" spans="1:11" ht="15" customHeight="1" x14ac:dyDescent="0.2">
      <c r="A2929" t="s">
        <v>4562</v>
      </c>
      <c r="B2929" t="s">
        <v>3426</v>
      </c>
      <c r="C2929">
        <v>2024</v>
      </c>
      <c r="D2929">
        <v>2024</v>
      </c>
      <c r="E2929" s="7">
        <v>45492</v>
      </c>
      <c r="F2929" s="7">
        <v>45856</v>
      </c>
      <c r="G2929" t="s">
        <v>99</v>
      </c>
      <c r="H2929" t="s">
        <v>113</v>
      </c>
      <c r="I2929" t="s">
        <v>101</v>
      </c>
      <c r="J2929">
        <v>71048.61</v>
      </c>
      <c r="K2929">
        <v>10000000</v>
      </c>
    </row>
    <row r="2930" spans="1:11" ht="15" customHeight="1" x14ac:dyDescent="0.2">
      <c r="A2930" t="s">
        <v>4563</v>
      </c>
      <c r="B2930" t="s">
        <v>3428</v>
      </c>
      <c r="C2930">
        <v>2024</v>
      </c>
      <c r="D2930">
        <v>2024</v>
      </c>
      <c r="E2930" s="7">
        <v>45492</v>
      </c>
      <c r="F2930" s="7">
        <v>45856</v>
      </c>
      <c r="G2930" t="s">
        <v>99</v>
      </c>
      <c r="H2930" t="s">
        <v>6334</v>
      </c>
      <c r="I2930" t="s">
        <v>101</v>
      </c>
      <c r="J2930">
        <v>14760.5</v>
      </c>
      <c r="K2930">
        <v>2000000</v>
      </c>
    </row>
    <row r="2931" spans="1:11" ht="15" customHeight="1" x14ac:dyDescent="0.2">
      <c r="A2931" t="s">
        <v>4564</v>
      </c>
      <c r="B2931" t="s">
        <v>3430</v>
      </c>
      <c r="C2931">
        <v>2024</v>
      </c>
      <c r="D2931">
        <v>2024</v>
      </c>
      <c r="E2931" s="7">
        <v>45492</v>
      </c>
      <c r="F2931" s="7">
        <v>45856</v>
      </c>
      <c r="G2931" t="s">
        <v>99</v>
      </c>
      <c r="H2931" t="s">
        <v>107</v>
      </c>
      <c r="I2931" t="s">
        <v>104</v>
      </c>
      <c r="J2931">
        <v>9157.0400000000009</v>
      </c>
      <c r="K2931">
        <v>1500000</v>
      </c>
    </row>
    <row r="2932" spans="1:11" ht="15" customHeight="1" x14ac:dyDescent="0.2">
      <c r="A2932" t="s">
        <v>4565</v>
      </c>
      <c r="B2932" t="s">
        <v>3432</v>
      </c>
      <c r="C2932">
        <v>2024</v>
      </c>
      <c r="D2932">
        <v>2024</v>
      </c>
      <c r="E2932" s="7">
        <v>45492</v>
      </c>
      <c r="F2932" s="7">
        <v>45856</v>
      </c>
      <c r="G2932" t="s">
        <v>99</v>
      </c>
      <c r="H2932" t="s">
        <v>110</v>
      </c>
      <c r="I2932" t="s">
        <v>101</v>
      </c>
      <c r="J2932">
        <v>8964.57</v>
      </c>
      <c r="K2932">
        <v>1000000</v>
      </c>
    </row>
    <row r="2933" spans="1:11" ht="15" customHeight="1" x14ac:dyDescent="0.2">
      <c r="A2933" t="s">
        <v>4566</v>
      </c>
      <c r="B2933" t="s">
        <v>3434</v>
      </c>
      <c r="C2933">
        <v>2024</v>
      </c>
      <c r="D2933">
        <v>2024</v>
      </c>
      <c r="E2933" s="7">
        <v>45492</v>
      </c>
      <c r="F2933" s="7">
        <v>45856</v>
      </c>
      <c r="G2933" t="s">
        <v>99</v>
      </c>
      <c r="H2933" t="s">
        <v>107</v>
      </c>
      <c r="I2933" t="s">
        <v>104</v>
      </c>
      <c r="J2933">
        <v>12474.39</v>
      </c>
      <c r="K2933">
        <v>2000000</v>
      </c>
    </row>
    <row r="2934" spans="1:11" ht="15" customHeight="1" x14ac:dyDescent="0.2">
      <c r="A2934" t="s">
        <v>4567</v>
      </c>
      <c r="B2934" t="s">
        <v>3436</v>
      </c>
      <c r="C2934">
        <v>2024</v>
      </c>
      <c r="D2934">
        <v>2024</v>
      </c>
      <c r="E2934" s="7">
        <v>45492</v>
      </c>
      <c r="F2934" s="7">
        <v>45856</v>
      </c>
      <c r="G2934" t="s">
        <v>99</v>
      </c>
      <c r="H2934" t="s">
        <v>109</v>
      </c>
      <c r="I2934" t="s">
        <v>101</v>
      </c>
      <c r="J2934">
        <v>6640.59</v>
      </c>
      <c r="K2934">
        <v>1000000</v>
      </c>
    </row>
    <row r="2935" spans="1:11" ht="15" customHeight="1" x14ac:dyDescent="0.2">
      <c r="A2935" t="s">
        <v>4568</v>
      </c>
      <c r="B2935" t="s">
        <v>941</v>
      </c>
      <c r="C2935">
        <v>2024</v>
      </c>
      <c r="D2935">
        <v>2024</v>
      </c>
      <c r="E2935" s="7">
        <v>45492</v>
      </c>
      <c r="F2935" s="7">
        <v>45856</v>
      </c>
      <c r="G2935" t="s">
        <v>135</v>
      </c>
      <c r="H2935" t="s">
        <v>112</v>
      </c>
      <c r="I2935" t="s">
        <v>104</v>
      </c>
      <c r="J2935">
        <v>14964.49</v>
      </c>
      <c r="K2935">
        <v>2000000</v>
      </c>
    </row>
    <row r="2936" spans="1:11" ht="15" customHeight="1" x14ac:dyDescent="0.2">
      <c r="A2936" t="s">
        <v>4569</v>
      </c>
      <c r="B2936" t="s">
        <v>8776</v>
      </c>
      <c r="C2936">
        <v>2024</v>
      </c>
      <c r="D2936">
        <v>2024</v>
      </c>
      <c r="E2936" s="7">
        <v>45492</v>
      </c>
      <c r="F2936" s="7">
        <v>45856</v>
      </c>
      <c r="G2936" t="s">
        <v>135</v>
      </c>
      <c r="H2936" t="s">
        <v>109</v>
      </c>
      <c r="I2936" t="s">
        <v>101</v>
      </c>
      <c r="J2936">
        <v>7776.54</v>
      </c>
      <c r="K2936">
        <v>1000000</v>
      </c>
    </row>
    <row r="2937" spans="1:11" ht="15" customHeight="1" x14ac:dyDescent="0.2">
      <c r="A2937" t="s">
        <v>4570</v>
      </c>
      <c r="B2937" t="s">
        <v>8777</v>
      </c>
      <c r="C2937">
        <v>2024</v>
      </c>
      <c r="D2937">
        <v>2024</v>
      </c>
      <c r="E2937" s="7">
        <v>45492</v>
      </c>
      <c r="F2937" s="7">
        <v>45856</v>
      </c>
      <c r="G2937" t="s">
        <v>135</v>
      </c>
      <c r="H2937" t="s">
        <v>102</v>
      </c>
      <c r="I2937" t="s">
        <v>101</v>
      </c>
      <c r="J2937">
        <v>6896.08</v>
      </c>
      <c r="K2937">
        <v>1000000</v>
      </c>
    </row>
    <row r="2938" spans="1:11" ht="15" customHeight="1" x14ac:dyDescent="0.2">
      <c r="A2938" t="s">
        <v>4571</v>
      </c>
      <c r="B2938" t="s">
        <v>570</v>
      </c>
      <c r="C2938">
        <v>2024</v>
      </c>
      <c r="D2938">
        <v>2024</v>
      </c>
      <c r="E2938" s="7">
        <v>45492</v>
      </c>
      <c r="F2938" s="7">
        <v>45856</v>
      </c>
      <c r="G2938" t="s">
        <v>135</v>
      </c>
      <c r="H2938" t="s">
        <v>106</v>
      </c>
      <c r="I2938" t="s">
        <v>101</v>
      </c>
      <c r="J2938">
        <v>91379.26</v>
      </c>
      <c r="K2938">
        <v>10000000</v>
      </c>
    </row>
    <row r="2939" spans="1:11" ht="15" customHeight="1" x14ac:dyDescent="0.2">
      <c r="A2939" t="s">
        <v>4572</v>
      </c>
      <c r="B2939" t="s">
        <v>6793</v>
      </c>
      <c r="C2939">
        <v>2024</v>
      </c>
      <c r="D2939">
        <v>2024</v>
      </c>
      <c r="E2939" s="7">
        <v>45492</v>
      </c>
      <c r="F2939" s="7">
        <v>45856</v>
      </c>
      <c r="G2939" t="s">
        <v>135</v>
      </c>
      <c r="H2939" t="s">
        <v>106</v>
      </c>
      <c r="I2939" t="s">
        <v>101</v>
      </c>
      <c r="J2939">
        <v>12496.75</v>
      </c>
      <c r="K2939">
        <v>1500000</v>
      </c>
    </row>
    <row r="2940" spans="1:11" ht="15" customHeight="1" x14ac:dyDescent="0.2">
      <c r="A2940" t="s">
        <v>4573</v>
      </c>
      <c r="B2940" t="s">
        <v>8778</v>
      </c>
      <c r="C2940">
        <v>2024</v>
      </c>
      <c r="D2940">
        <v>2024</v>
      </c>
      <c r="E2940" s="7">
        <v>45492</v>
      </c>
      <c r="F2940" s="7">
        <v>45856</v>
      </c>
      <c r="G2940" t="s">
        <v>135</v>
      </c>
      <c r="H2940" t="s">
        <v>106</v>
      </c>
      <c r="I2940" t="s">
        <v>101</v>
      </c>
      <c r="J2940">
        <v>43909.9</v>
      </c>
      <c r="K2940">
        <v>5000000</v>
      </c>
    </row>
    <row r="2941" spans="1:11" ht="15" customHeight="1" x14ac:dyDescent="0.2">
      <c r="A2941" t="s">
        <v>4574</v>
      </c>
      <c r="B2941" t="s">
        <v>940</v>
      </c>
      <c r="C2941">
        <v>2024</v>
      </c>
      <c r="D2941">
        <v>2024</v>
      </c>
      <c r="E2941" s="7">
        <v>45492</v>
      </c>
      <c r="F2941" s="7">
        <v>45856</v>
      </c>
      <c r="G2941" t="s">
        <v>135</v>
      </c>
      <c r="H2941" t="s">
        <v>107</v>
      </c>
      <c r="I2941" t="s">
        <v>104</v>
      </c>
      <c r="J2941">
        <v>7909.88</v>
      </c>
      <c r="K2941">
        <v>1500000</v>
      </c>
    </row>
    <row r="2942" spans="1:11" ht="15" customHeight="1" x14ac:dyDescent="0.2">
      <c r="A2942" t="s">
        <v>4575</v>
      </c>
      <c r="B2942" t="s">
        <v>8779</v>
      </c>
      <c r="C2942">
        <v>2024</v>
      </c>
      <c r="D2942">
        <v>2024</v>
      </c>
      <c r="E2942" s="7">
        <v>45492</v>
      </c>
      <c r="F2942" s="7">
        <v>45856</v>
      </c>
      <c r="G2942" t="s">
        <v>135</v>
      </c>
      <c r="H2942" t="s">
        <v>110</v>
      </c>
      <c r="I2942" t="s">
        <v>101</v>
      </c>
      <c r="J2942">
        <v>8661.49</v>
      </c>
      <c r="K2942">
        <v>1000000</v>
      </c>
    </row>
    <row r="2943" spans="1:11" ht="15" customHeight="1" x14ac:dyDescent="0.2">
      <c r="A2943" t="s">
        <v>4577</v>
      </c>
      <c r="B2943" t="s">
        <v>8780</v>
      </c>
      <c r="C2943">
        <v>2024</v>
      </c>
      <c r="D2943">
        <v>2024</v>
      </c>
      <c r="E2943" s="7">
        <v>45492</v>
      </c>
      <c r="F2943" s="7">
        <v>45856</v>
      </c>
      <c r="G2943" t="s">
        <v>135</v>
      </c>
      <c r="H2943" t="s">
        <v>114</v>
      </c>
      <c r="I2943" t="s">
        <v>104</v>
      </c>
      <c r="J2943">
        <v>57262.03</v>
      </c>
      <c r="K2943">
        <v>10000000</v>
      </c>
    </row>
    <row r="2944" spans="1:11" ht="15" customHeight="1" x14ac:dyDescent="0.2">
      <c r="A2944" t="s">
        <v>4578</v>
      </c>
      <c r="B2944" t="s">
        <v>7287</v>
      </c>
      <c r="C2944">
        <v>2024</v>
      </c>
      <c r="D2944">
        <v>2024</v>
      </c>
      <c r="E2944" s="7">
        <v>45492</v>
      </c>
      <c r="F2944" s="7">
        <v>45856</v>
      </c>
      <c r="G2944" t="s">
        <v>135</v>
      </c>
      <c r="H2944" t="s">
        <v>102</v>
      </c>
      <c r="I2944" t="s">
        <v>101</v>
      </c>
      <c r="J2944">
        <v>3591.43</v>
      </c>
      <c r="K2944">
        <v>500000</v>
      </c>
    </row>
    <row r="2945" spans="1:11" ht="15" customHeight="1" x14ac:dyDescent="0.2">
      <c r="A2945" t="s">
        <v>4579</v>
      </c>
      <c r="B2945" t="s">
        <v>8781</v>
      </c>
      <c r="C2945">
        <v>2024</v>
      </c>
      <c r="D2945">
        <v>2024</v>
      </c>
      <c r="E2945" s="7">
        <v>45492</v>
      </c>
      <c r="F2945" s="7">
        <v>45856</v>
      </c>
      <c r="G2945" t="s">
        <v>135</v>
      </c>
      <c r="H2945" t="s">
        <v>107</v>
      </c>
      <c r="I2945" t="s">
        <v>101</v>
      </c>
      <c r="J2945">
        <v>7720.2</v>
      </c>
      <c r="K2945">
        <v>1000000</v>
      </c>
    </row>
    <row r="2946" spans="1:11" ht="15" customHeight="1" x14ac:dyDescent="0.2">
      <c r="A2946" t="s">
        <v>4580</v>
      </c>
      <c r="B2946" t="s">
        <v>6864</v>
      </c>
      <c r="C2946">
        <v>2024</v>
      </c>
      <c r="D2946">
        <v>2024</v>
      </c>
      <c r="E2946" s="7">
        <v>45492</v>
      </c>
      <c r="F2946" s="7">
        <v>45856</v>
      </c>
      <c r="G2946" t="s">
        <v>135</v>
      </c>
      <c r="H2946" t="s">
        <v>102</v>
      </c>
      <c r="I2946" t="s">
        <v>104</v>
      </c>
      <c r="J2946">
        <v>5354.42</v>
      </c>
      <c r="K2946">
        <v>1000000</v>
      </c>
    </row>
    <row r="2947" spans="1:11" ht="15" customHeight="1" x14ac:dyDescent="0.2">
      <c r="A2947" t="s">
        <v>4581</v>
      </c>
      <c r="B2947" t="s">
        <v>8782</v>
      </c>
      <c r="C2947">
        <v>2024</v>
      </c>
      <c r="D2947">
        <v>2024</v>
      </c>
      <c r="E2947" s="7">
        <v>45492</v>
      </c>
      <c r="F2947" s="7">
        <v>45856</v>
      </c>
      <c r="G2947" t="s">
        <v>135</v>
      </c>
      <c r="H2947" t="s">
        <v>107</v>
      </c>
      <c r="I2947" t="s">
        <v>104</v>
      </c>
      <c r="J2947">
        <v>5776.22</v>
      </c>
      <c r="K2947">
        <v>1000000</v>
      </c>
    </row>
    <row r="2948" spans="1:11" ht="15" customHeight="1" x14ac:dyDescent="0.2">
      <c r="A2948" t="s">
        <v>4582</v>
      </c>
      <c r="B2948" t="s">
        <v>3438</v>
      </c>
      <c r="C2948">
        <v>2024</v>
      </c>
      <c r="D2948">
        <v>2024</v>
      </c>
      <c r="E2948" s="7">
        <v>45493</v>
      </c>
      <c r="F2948" s="7">
        <v>45857</v>
      </c>
      <c r="G2948" t="s">
        <v>99</v>
      </c>
      <c r="H2948" t="s">
        <v>105</v>
      </c>
      <c r="I2948" t="s">
        <v>101</v>
      </c>
      <c r="J2948">
        <v>38870.46</v>
      </c>
      <c r="K2948">
        <v>5000000</v>
      </c>
    </row>
    <row r="2949" spans="1:11" ht="15" customHeight="1" x14ac:dyDescent="0.2">
      <c r="A2949" t="s">
        <v>4583</v>
      </c>
      <c r="B2949" t="s">
        <v>3445</v>
      </c>
      <c r="C2949">
        <v>2024</v>
      </c>
      <c r="D2949">
        <v>2024</v>
      </c>
      <c r="E2949" s="7">
        <v>45493</v>
      </c>
      <c r="F2949" s="7">
        <v>45857</v>
      </c>
      <c r="G2949" t="s">
        <v>99</v>
      </c>
      <c r="H2949" t="s">
        <v>6332</v>
      </c>
      <c r="I2949" t="s">
        <v>104</v>
      </c>
      <c r="J2949">
        <v>5598.39</v>
      </c>
      <c r="K2949">
        <v>1000000</v>
      </c>
    </row>
    <row r="2950" spans="1:11" ht="15" customHeight="1" x14ac:dyDescent="0.2">
      <c r="A2950" t="s">
        <v>4585</v>
      </c>
      <c r="B2950" t="s">
        <v>3447</v>
      </c>
      <c r="C2950">
        <v>2024</v>
      </c>
      <c r="D2950">
        <v>2024</v>
      </c>
      <c r="E2950" s="7">
        <v>45493</v>
      </c>
      <c r="F2950" s="7">
        <v>45857</v>
      </c>
      <c r="G2950" t="s">
        <v>99</v>
      </c>
      <c r="H2950" t="s">
        <v>113</v>
      </c>
      <c r="I2950" t="s">
        <v>101</v>
      </c>
      <c r="J2950">
        <v>11509.34</v>
      </c>
      <c r="K2950">
        <v>1500000</v>
      </c>
    </row>
    <row r="2951" spans="1:11" ht="15" customHeight="1" x14ac:dyDescent="0.2">
      <c r="A2951" t="s">
        <v>4587</v>
      </c>
      <c r="B2951" t="s">
        <v>3449</v>
      </c>
      <c r="C2951">
        <v>2024</v>
      </c>
      <c r="D2951">
        <v>2024</v>
      </c>
      <c r="E2951" s="7">
        <v>45493</v>
      </c>
      <c r="F2951" s="7">
        <v>45857</v>
      </c>
      <c r="G2951" t="s">
        <v>99</v>
      </c>
      <c r="H2951" t="s">
        <v>116</v>
      </c>
      <c r="I2951" t="s">
        <v>101</v>
      </c>
      <c r="J2951">
        <v>6736</v>
      </c>
      <c r="K2951">
        <v>1000000</v>
      </c>
    </row>
    <row r="2952" spans="1:11" ht="15" customHeight="1" x14ac:dyDescent="0.2">
      <c r="A2952" t="s">
        <v>4589</v>
      </c>
      <c r="B2952" t="s">
        <v>3451</v>
      </c>
      <c r="C2952">
        <v>2024</v>
      </c>
      <c r="D2952">
        <v>2024</v>
      </c>
      <c r="E2952" s="7">
        <v>45493</v>
      </c>
      <c r="F2952" s="7">
        <v>45857</v>
      </c>
      <c r="G2952" t="s">
        <v>99</v>
      </c>
      <c r="H2952" t="s">
        <v>106</v>
      </c>
      <c r="I2952" t="s">
        <v>101</v>
      </c>
      <c r="J2952">
        <v>4297.9799999999996</v>
      </c>
      <c r="K2952">
        <v>500000</v>
      </c>
    </row>
    <row r="2953" spans="1:11" ht="15" customHeight="1" x14ac:dyDescent="0.2">
      <c r="A2953" t="s">
        <v>4591</v>
      </c>
      <c r="B2953" t="s">
        <v>3453</v>
      </c>
      <c r="C2953">
        <v>2024</v>
      </c>
      <c r="D2953">
        <v>2024</v>
      </c>
      <c r="E2953" s="7">
        <v>45493</v>
      </c>
      <c r="F2953" s="7">
        <v>45857</v>
      </c>
      <c r="G2953" t="s">
        <v>99</v>
      </c>
      <c r="H2953" t="s">
        <v>106</v>
      </c>
      <c r="I2953" t="s">
        <v>101</v>
      </c>
      <c r="J2953">
        <v>17254.64</v>
      </c>
      <c r="K2953">
        <v>2000000</v>
      </c>
    </row>
    <row r="2954" spans="1:11" ht="15" customHeight="1" x14ac:dyDescent="0.2">
      <c r="A2954" t="s">
        <v>4593</v>
      </c>
      <c r="B2954" t="s">
        <v>8783</v>
      </c>
      <c r="C2954">
        <v>2024</v>
      </c>
      <c r="D2954">
        <v>2024</v>
      </c>
      <c r="E2954" s="7">
        <v>45493</v>
      </c>
      <c r="F2954" s="7">
        <v>45857</v>
      </c>
      <c r="G2954" t="s">
        <v>135</v>
      </c>
      <c r="H2954" t="s">
        <v>113</v>
      </c>
      <c r="I2954" t="s">
        <v>101</v>
      </c>
      <c r="J2954">
        <v>3455.87</v>
      </c>
      <c r="K2954">
        <v>500000</v>
      </c>
    </row>
    <row r="2955" spans="1:11" ht="15" customHeight="1" x14ac:dyDescent="0.2">
      <c r="A2955" t="s">
        <v>4594</v>
      </c>
      <c r="B2955" t="s">
        <v>8784</v>
      </c>
      <c r="C2955">
        <v>2024</v>
      </c>
      <c r="D2955">
        <v>2024</v>
      </c>
      <c r="E2955" s="7">
        <v>45493</v>
      </c>
      <c r="F2955" s="7">
        <v>45857</v>
      </c>
      <c r="G2955" t="s">
        <v>135</v>
      </c>
      <c r="H2955" t="s">
        <v>6334</v>
      </c>
      <c r="I2955" t="s">
        <v>104</v>
      </c>
      <c r="J2955">
        <v>11587.97</v>
      </c>
      <c r="K2955">
        <v>2000000</v>
      </c>
    </row>
    <row r="2956" spans="1:11" ht="15" customHeight="1" x14ac:dyDescent="0.2">
      <c r="A2956" t="s">
        <v>4595</v>
      </c>
      <c r="B2956" t="s">
        <v>6839</v>
      </c>
      <c r="C2956">
        <v>2024</v>
      </c>
      <c r="D2956">
        <v>2024</v>
      </c>
      <c r="E2956" s="7">
        <v>45493</v>
      </c>
      <c r="F2956" s="7">
        <v>45857</v>
      </c>
      <c r="G2956" t="s">
        <v>135</v>
      </c>
      <c r="H2956" t="s">
        <v>6332</v>
      </c>
      <c r="I2956" t="s">
        <v>101</v>
      </c>
      <c r="J2956">
        <v>7452.77</v>
      </c>
      <c r="K2956">
        <v>1000000</v>
      </c>
    </row>
    <row r="2957" spans="1:11" ht="15" customHeight="1" x14ac:dyDescent="0.2">
      <c r="A2957" t="s">
        <v>4596</v>
      </c>
      <c r="B2957" t="s">
        <v>942</v>
      </c>
      <c r="C2957">
        <v>2024</v>
      </c>
      <c r="D2957">
        <v>2024</v>
      </c>
      <c r="E2957" s="7">
        <v>45493</v>
      </c>
      <c r="F2957" s="7">
        <v>45857</v>
      </c>
      <c r="G2957" t="s">
        <v>135</v>
      </c>
      <c r="H2957" t="s">
        <v>106</v>
      </c>
      <c r="I2957" t="s">
        <v>104</v>
      </c>
      <c r="J2957">
        <v>10818.66</v>
      </c>
      <c r="K2957">
        <v>1500000</v>
      </c>
    </row>
    <row r="2958" spans="1:11" ht="15" customHeight="1" x14ac:dyDescent="0.2">
      <c r="A2958" t="s">
        <v>4597</v>
      </c>
      <c r="B2958" t="s">
        <v>6827</v>
      </c>
      <c r="C2958">
        <v>2024</v>
      </c>
      <c r="D2958">
        <v>2024</v>
      </c>
      <c r="E2958" s="7">
        <v>45493</v>
      </c>
      <c r="F2958" s="7">
        <v>45857</v>
      </c>
      <c r="G2958" t="s">
        <v>135</v>
      </c>
      <c r="H2958" t="s">
        <v>107</v>
      </c>
      <c r="I2958" t="s">
        <v>104</v>
      </c>
      <c r="J2958">
        <v>61055.17</v>
      </c>
      <c r="K2958">
        <v>10000000</v>
      </c>
    </row>
    <row r="2959" spans="1:11" ht="15" customHeight="1" x14ac:dyDescent="0.2">
      <c r="A2959" t="s">
        <v>4598</v>
      </c>
      <c r="B2959" t="s">
        <v>208</v>
      </c>
      <c r="C2959">
        <v>2024</v>
      </c>
      <c r="D2959">
        <v>2024</v>
      </c>
      <c r="E2959" s="7">
        <v>45493</v>
      </c>
      <c r="F2959" s="7">
        <v>45857</v>
      </c>
      <c r="G2959" t="s">
        <v>135</v>
      </c>
      <c r="H2959" t="s">
        <v>6334</v>
      </c>
      <c r="I2959" t="s">
        <v>104</v>
      </c>
      <c r="J2959">
        <v>2696.45</v>
      </c>
      <c r="K2959">
        <v>500000</v>
      </c>
    </row>
    <row r="2960" spans="1:11" ht="15" customHeight="1" x14ac:dyDescent="0.2">
      <c r="A2960" t="s">
        <v>4599</v>
      </c>
      <c r="B2960" t="s">
        <v>8785</v>
      </c>
      <c r="C2960">
        <v>2024</v>
      </c>
      <c r="D2960">
        <v>2024</v>
      </c>
      <c r="E2960" s="7">
        <v>45493</v>
      </c>
      <c r="F2960" s="7">
        <v>45857</v>
      </c>
      <c r="G2960" t="s">
        <v>135</v>
      </c>
      <c r="H2960" t="s">
        <v>108</v>
      </c>
      <c r="I2960" t="s">
        <v>104</v>
      </c>
      <c r="J2960">
        <v>76317.649999999994</v>
      </c>
      <c r="K2960">
        <v>10000000</v>
      </c>
    </row>
    <row r="2961" spans="1:11" ht="15" customHeight="1" x14ac:dyDescent="0.2">
      <c r="A2961" t="s">
        <v>4600</v>
      </c>
      <c r="B2961" t="s">
        <v>8786</v>
      </c>
      <c r="C2961">
        <v>2024</v>
      </c>
      <c r="D2961">
        <v>2024</v>
      </c>
      <c r="E2961" s="7">
        <v>45493</v>
      </c>
      <c r="F2961" s="7">
        <v>45857</v>
      </c>
      <c r="G2961" t="s">
        <v>135</v>
      </c>
      <c r="H2961" t="s">
        <v>110</v>
      </c>
      <c r="I2961" t="s">
        <v>104</v>
      </c>
      <c r="J2961">
        <v>71824.72</v>
      </c>
      <c r="K2961">
        <v>10000000</v>
      </c>
    </row>
    <row r="2962" spans="1:11" ht="15" customHeight="1" x14ac:dyDescent="0.2">
      <c r="A2962" t="s">
        <v>4602</v>
      </c>
      <c r="B2962" t="s">
        <v>943</v>
      </c>
      <c r="C2962">
        <v>2024</v>
      </c>
      <c r="D2962">
        <v>2024</v>
      </c>
      <c r="E2962" s="7">
        <v>45493</v>
      </c>
      <c r="F2962" s="7">
        <v>45857</v>
      </c>
      <c r="G2962" t="s">
        <v>135</v>
      </c>
      <c r="H2962" t="s">
        <v>100</v>
      </c>
      <c r="I2962" t="s">
        <v>101</v>
      </c>
      <c r="J2962">
        <v>37125.47</v>
      </c>
      <c r="K2962">
        <v>5000000</v>
      </c>
    </row>
    <row r="2963" spans="1:11" ht="15" customHeight="1" x14ac:dyDescent="0.2">
      <c r="A2963" t="s">
        <v>4604</v>
      </c>
      <c r="B2963" t="s">
        <v>6825</v>
      </c>
      <c r="C2963">
        <v>2024</v>
      </c>
      <c r="D2963">
        <v>2024</v>
      </c>
      <c r="E2963" s="7">
        <v>45493</v>
      </c>
      <c r="F2963" s="7">
        <v>45857</v>
      </c>
      <c r="G2963" t="s">
        <v>135</v>
      </c>
      <c r="H2963" t="s">
        <v>102</v>
      </c>
      <c r="I2963" t="s">
        <v>104</v>
      </c>
      <c r="J2963">
        <v>26694.82</v>
      </c>
      <c r="K2963">
        <v>5000000</v>
      </c>
    </row>
    <row r="2964" spans="1:11" ht="15" customHeight="1" x14ac:dyDescent="0.2">
      <c r="A2964" t="s">
        <v>4605</v>
      </c>
      <c r="B2964" t="s">
        <v>8787</v>
      </c>
      <c r="C2964">
        <v>2024</v>
      </c>
      <c r="D2964">
        <v>2024</v>
      </c>
      <c r="E2964" s="7">
        <v>45493</v>
      </c>
      <c r="F2964" s="7">
        <v>45857</v>
      </c>
      <c r="G2964" t="s">
        <v>135</v>
      </c>
      <c r="H2964" t="s">
        <v>105</v>
      </c>
      <c r="I2964" t="s">
        <v>101</v>
      </c>
      <c r="J2964">
        <v>72580.960000000006</v>
      </c>
      <c r="K2964">
        <v>10000000</v>
      </c>
    </row>
    <row r="2965" spans="1:11" ht="15" customHeight="1" x14ac:dyDescent="0.2">
      <c r="A2965" t="s">
        <v>4606</v>
      </c>
      <c r="B2965" t="s">
        <v>8788</v>
      </c>
      <c r="C2965">
        <v>2024</v>
      </c>
      <c r="D2965">
        <v>2024</v>
      </c>
      <c r="E2965" s="7">
        <v>45493</v>
      </c>
      <c r="F2965" s="7">
        <v>45857</v>
      </c>
      <c r="G2965" t="s">
        <v>135</v>
      </c>
      <c r="H2965" t="s">
        <v>102</v>
      </c>
      <c r="I2965" t="s">
        <v>101</v>
      </c>
      <c r="J2965">
        <v>65905.05</v>
      </c>
      <c r="K2965">
        <v>10000000</v>
      </c>
    </row>
    <row r="2966" spans="1:11" ht="15" customHeight="1" x14ac:dyDescent="0.2">
      <c r="A2966" t="s">
        <v>4607</v>
      </c>
      <c r="B2966" t="s">
        <v>3455</v>
      </c>
      <c r="C2966">
        <v>2024</v>
      </c>
      <c r="D2966">
        <v>2024</v>
      </c>
      <c r="E2966" s="7">
        <v>45494</v>
      </c>
      <c r="F2966" s="7">
        <v>45858</v>
      </c>
      <c r="G2966" t="s">
        <v>99</v>
      </c>
      <c r="H2966" t="s">
        <v>108</v>
      </c>
      <c r="I2966" t="s">
        <v>104</v>
      </c>
      <c r="J2966">
        <v>3895.47</v>
      </c>
      <c r="K2966">
        <v>500000</v>
      </c>
    </row>
    <row r="2967" spans="1:11" ht="15" customHeight="1" x14ac:dyDescent="0.2">
      <c r="A2967" t="s">
        <v>4608</v>
      </c>
      <c r="B2967" t="s">
        <v>8789</v>
      </c>
      <c r="C2967">
        <v>2024</v>
      </c>
      <c r="D2967">
        <v>2024</v>
      </c>
      <c r="E2967" s="7">
        <v>45494</v>
      </c>
      <c r="F2967" s="7">
        <v>45858</v>
      </c>
      <c r="G2967" t="s">
        <v>135</v>
      </c>
      <c r="H2967" t="s">
        <v>108</v>
      </c>
      <c r="I2967" t="s">
        <v>104</v>
      </c>
      <c r="J2967">
        <v>11511.24</v>
      </c>
      <c r="K2967">
        <v>1500000</v>
      </c>
    </row>
    <row r="2968" spans="1:11" ht="15" customHeight="1" x14ac:dyDescent="0.2">
      <c r="A2968" t="s">
        <v>4609</v>
      </c>
      <c r="B2968" t="s">
        <v>571</v>
      </c>
      <c r="C2968">
        <v>2024</v>
      </c>
      <c r="D2968">
        <v>2024</v>
      </c>
      <c r="E2968" s="7">
        <v>45494</v>
      </c>
      <c r="F2968" s="7">
        <v>45858</v>
      </c>
      <c r="G2968" t="s">
        <v>135</v>
      </c>
      <c r="H2968" t="s">
        <v>106</v>
      </c>
      <c r="I2968" t="s">
        <v>101</v>
      </c>
      <c r="J2968">
        <v>43094.23</v>
      </c>
      <c r="K2968">
        <v>5000000</v>
      </c>
    </row>
    <row r="2969" spans="1:11" ht="15" customHeight="1" x14ac:dyDescent="0.2">
      <c r="A2969" t="s">
        <v>4610</v>
      </c>
      <c r="B2969" t="s">
        <v>8790</v>
      </c>
      <c r="C2969">
        <v>2024</v>
      </c>
      <c r="D2969">
        <v>2024</v>
      </c>
      <c r="E2969" s="7">
        <v>45494</v>
      </c>
      <c r="F2969" s="7">
        <v>45858</v>
      </c>
      <c r="G2969" t="s">
        <v>135</v>
      </c>
      <c r="H2969" t="s">
        <v>103</v>
      </c>
      <c r="I2969" t="s">
        <v>101</v>
      </c>
      <c r="J2969">
        <v>10536.51</v>
      </c>
      <c r="K2969">
        <v>1500000</v>
      </c>
    </row>
    <row r="2970" spans="1:11" ht="15" customHeight="1" x14ac:dyDescent="0.2">
      <c r="A2970" t="s">
        <v>4611</v>
      </c>
      <c r="B2970" t="s">
        <v>8791</v>
      </c>
      <c r="C2970">
        <v>2024</v>
      </c>
      <c r="D2970">
        <v>2024</v>
      </c>
      <c r="E2970" s="7">
        <v>45494</v>
      </c>
      <c r="F2970" s="7">
        <v>45858</v>
      </c>
      <c r="G2970" t="s">
        <v>135</v>
      </c>
      <c r="H2970" t="s">
        <v>112</v>
      </c>
      <c r="I2970" t="s">
        <v>101</v>
      </c>
      <c r="J2970">
        <v>88127.14</v>
      </c>
      <c r="K2970">
        <v>10000000</v>
      </c>
    </row>
    <row r="2971" spans="1:11" ht="15" customHeight="1" x14ac:dyDescent="0.2">
      <c r="A2971" t="s">
        <v>4612</v>
      </c>
      <c r="B2971" t="s">
        <v>8792</v>
      </c>
      <c r="C2971">
        <v>2024</v>
      </c>
      <c r="D2971">
        <v>2024</v>
      </c>
      <c r="E2971" s="7">
        <v>45494</v>
      </c>
      <c r="F2971" s="7">
        <v>45858</v>
      </c>
      <c r="G2971" t="s">
        <v>135</v>
      </c>
      <c r="H2971" t="s">
        <v>6348</v>
      </c>
      <c r="I2971" t="s">
        <v>104</v>
      </c>
      <c r="J2971">
        <v>2894.5</v>
      </c>
      <c r="K2971">
        <v>500000</v>
      </c>
    </row>
    <row r="2972" spans="1:11" ht="15" customHeight="1" x14ac:dyDescent="0.2">
      <c r="A2972" t="s">
        <v>4613</v>
      </c>
      <c r="B2972" t="s">
        <v>8793</v>
      </c>
      <c r="C2972">
        <v>2024</v>
      </c>
      <c r="D2972">
        <v>2024</v>
      </c>
      <c r="E2972" s="7">
        <v>45494</v>
      </c>
      <c r="F2972" s="7">
        <v>45858</v>
      </c>
      <c r="G2972" t="s">
        <v>135</v>
      </c>
      <c r="H2972" t="s">
        <v>112</v>
      </c>
      <c r="I2972" t="s">
        <v>101</v>
      </c>
      <c r="J2972">
        <v>9046.36</v>
      </c>
      <c r="K2972">
        <v>1000000</v>
      </c>
    </row>
    <row r="2973" spans="1:11" ht="15" customHeight="1" x14ac:dyDescent="0.2">
      <c r="A2973" t="s">
        <v>4614</v>
      </c>
      <c r="B2973" t="s">
        <v>6838</v>
      </c>
      <c r="C2973">
        <v>2024</v>
      </c>
      <c r="D2973">
        <v>2024</v>
      </c>
      <c r="E2973" s="7">
        <v>45494</v>
      </c>
      <c r="F2973" s="7">
        <v>45858</v>
      </c>
      <c r="G2973" t="s">
        <v>135</v>
      </c>
      <c r="H2973" t="s">
        <v>103</v>
      </c>
      <c r="I2973" t="s">
        <v>104</v>
      </c>
      <c r="J2973">
        <v>2593.91</v>
      </c>
      <c r="K2973">
        <v>500000</v>
      </c>
    </row>
    <row r="2974" spans="1:11" ht="15" customHeight="1" x14ac:dyDescent="0.2">
      <c r="A2974" t="s">
        <v>4616</v>
      </c>
      <c r="B2974" t="s">
        <v>6865</v>
      </c>
      <c r="C2974">
        <v>2024</v>
      </c>
      <c r="D2974">
        <v>2024</v>
      </c>
      <c r="E2974" s="7">
        <v>45494</v>
      </c>
      <c r="F2974" s="7">
        <v>45858</v>
      </c>
      <c r="G2974" t="s">
        <v>135</v>
      </c>
      <c r="H2974" t="s">
        <v>109</v>
      </c>
      <c r="I2974" t="s">
        <v>101</v>
      </c>
      <c r="J2974">
        <v>9954.9599999999991</v>
      </c>
      <c r="K2974">
        <v>1500000</v>
      </c>
    </row>
    <row r="2975" spans="1:11" ht="15" customHeight="1" x14ac:dyDescent="0.2">
      <c r="A2975" t="s">
        <v>4618</v>
      </c>
      <c r="B2975" t="s">
        <v>8794</v>
      </c>
      <c r="C2975">
        <v>2024</v>
      </c>
      <c r="D2975">
        <v>2024</v>
      </c>
      <c r="E2975" s="7">
        <v>45494</v>
      </c>
      <c r="F2975" s="7">
        <v>45858</v>
      </c>
      <c r="G2975" t="s">
        <v>135</v>
      </c>
      <c r="H2975" t="s">
        <v>105</v>
      </c>
      <c r="I2975" t="s">
        <v>101</v>
      </c>
      <c r="J2975">
        <v>7125.95</v>
      </c>
      <c r="K2975">
        <v>1000000</v>
      </c>
    </row>
    <row r="2976" spans="1:11" ht="15" customHeight="1" x14ac:dyDescent="0.2">
      <c r="A2976" t="s">
        <v>4620</v>
      </c>
      <c r="B2976" t="s">
        <v>8795</v>
      </c>
      <c r="C2976">
        <v>2024</v>
      </c>
      <c r="D2976">
        <v>2024</v>
      </c>
      <c r="E2976" s="7">
        <v>45494</v>
      </c>
      <c r="F2976" s="7">
        <v>45858</v>
      </c>
      <c r="G2976" t="s">
        <v>135</v>
      </c>
      <c r="H2976" t="s">
        <v>106</v>
      </c>
      <c r="I2976" t="s">
        <v>101</v>
      </c>
      <c r="J2976">
        <v>4199.0600000000004</v>
      </c>
      <c r="K2976">
        <v>500000</v>
      </c>
    </row>
    <row r="2977" spans="1:11" ht="15" customHeight="1" x14ac:dyDescent="0.2">
      <c r="A2977" t="s">
        <v>4621</v>
      </c>
      <c r="B2977" t="s">
        <v>8796</v>
      </c>
      <c r="C2977">
        <v>2024</v>
      </c>
      <c r="D2977">
        <v>2024</v>
      </c>
      <c r="E2977" s="7">
        <v>45494</v>
      </c>
      <c r="F2977" s="7">
        <v>45858</v>
      </c>
      <c r="G2977" t="s">
        <v>135</v>
      </c>
      <c r="H2977" t="s">
        <v>107</v>
      </c>
      <c r="I2977" t="s">
        <v>104</v>
      </c>
      <c r="J2977">
        <v>9051.9</v>
      </c>
      <c r="K2977">
        <v>1500000</v>
      </c>
    </row>
    <row r="2978" spans="1:11" ht="15" customHeight="1" x14ac:dyDescent="0.2">
      <c r="A2978" t="s">
        <v>4622</v>
      </c>
      <c r="B2978" t="s">
        <v>8797</v>
      </c>
      <c r="C2978">
        <v>2024</v>
      </c>
      <c r="D2978">
        <v>2024</v>
      </c>
      <c r="E2978" s="7">
        <v>45494</v>
      </c>
      <c r="F2978" s="7">
        <v>45858</v>
      </c>
      <c r="G2978" t="s">
        <v>135</v>
      </c>
      <c r="H2978" t="s">
        <v>102</v>
      </c>
      <c r="I2978" t="s">
        <v>101</v>
      </c>
      <c r="J2978">
        <v>6803.27</v>
      </c>
      <c r="K2978">
        <v>1000000</v>
      </c>
    </row>
    <row r="2979" spans="1:11" ht="15" customHeight="1" x14ac:dyDescent="0.2">
      <c r="A2979" t="s">
        <v>4623</v>
      </c>
      <c r="B2979" t="s">
        <v>3468</v>
      </c>
      <c r="C2979">
        <v>2024</v>
      </c>
      <c r="D2979">
        <v>2024</v>
      </c>
      <c r="E2979" s="7">
        <v>45495</v>
      </c>
      <c r="F2979" s="7">
        <v>45859</v>
      </c>
      <c r="G2979" t="s">
        <v>99</v>
      </c>
      <c r="H2979" t="s">
        <v>113</v>
      </c>
      <c r="I2979" t="s">
        <v>104</v>
      </c>
      <c r="J2979">
        <v>5843.85</v>
      </c>
      <c r="K2979">
        <v>1000000</v>
      </c>
    </row>
    <row r="2980" spans="1:11" ht="15" customHeight="1" x14ac:dyDescent="0.2">
      <c r="A2980" t="s">
        <v>4624</v>
      </c>
      <c r="B2980" t="s">
        <v>8798</v>
      </c>
      <c r="C2980">
        <v>2024</v>
      </c>
      <c r="D2980">
        <v>2024</v>
      </c>
      <c r="E2980" s="7">
        <v>45495</v>
      </c>
      <c r="F2980" s="7">
        <v>45859</v>
      </c>
      <c r="G2980" t="s">
        <v>135</v>
      </c>
      <c r="H2980" t="s">
        <v>106</v>
      </c>
      <c r="I2980" t="s">
        <v>104</v>
      </c>
      <c r="J2980">
        <v>7273.55</v>
      </c>
      <c r="K2980">
        <v>1000000</v>
      </c>
    </row>
    <row r="2981" spans="1:11" ht="15" customHeight="1" x14ac:dyDescent="0.2">
      <c r="A2981" t="s">
        <v>4625</v>
      </c>
      <c r="B2981" t="s">
        <v>572</v>
      </c>
      <c r="C2981">
        <v>2024</v>
      </c>
      <c r="D2981">
        <v>2024</v>
      </c>
      <c r="E2981" s="7">
        <v>45495</v>
      </c>
      <c r="F2981" s="7">
        <v>45859</v>
      </c>
      <c r="G2981" t="s">
        <v>135</v>
      </c>
      <c r="H2981" t="s">
        <v>100</v>
      </c>
      <c r="I2981" t="s">
        <v>101</v>
      </c>
      <c r="J2981">
        <v>33344.83</v>
      </c>
      <c r="K2981">
        <v>5000000</v>
      </c>
    </row>
    <row r="2982" spans="1:11" ht="15" customHeight="1" x14ac:dyDescent="0.2">
      <c r="A2982" t="s">
        <v>4626</v>
      </c>
      <c r="B2982" t="s">
        <v>6843</v>
      </c>
      <c r="C2982">
        <v>2024</v>
      </c>
      <c r="D2982">
        <v>2024</v>
      </c>
      <c r="E2982" s="7">
        <v>45495</v>
      </c>
      <c r="F2982" s="7">
        <v>45859</v>
      </c>
      <c r="G2982" t="s">
        <v>135</v>
      </c>
      <c r="H2982" t="s">
        <v>106</v>
      </c>
      <c r="I2982" t="s">
        <v>101</v>
      </c>
      <c r="J2982">
        <v>4933.58</v>
      </c>
      <c r="K2982">
        <v>500000</v>
      </c>
    </row>
    <row r="2983" spans="1:11" ht="15" customHeight="1" x14ac:dyDescent="0.2">
      <c r="A2983" t="s">
        <v>4627</v>
      </c>
      <c r="B2983" t="s">
        <v>8799</v>
      </c>
      <c r="C2983">
        <v>2024</v>
      </c>
      <c r="D2983">
        <v>2024</v>
      </c>
      <c r="E2983" s="7">
        <v>45495</v>
      </c>
      <c r="F2983" s="7">
        <v>45859</v>
      </c>
      <c r="G2983" t="s">
        <v>135</v>
      </c>
      <c r="H2983" t="s">
        <v>110</v>
      </c>
      <c r="I2983" t="s">
        <v>101</v>
      </c>
      <c r="J2983">
        <v>18461.63</v>
      </c>
      <c r="K2983">
        <v>2000000</v>
      </c>
    </row>
    <row r="2984" spans="1:11" ht="15" customHeight="1" x14ac:dyDescent="0.2">
      <c r="A2984" t="s">
        <v>4629</v>
      </c>
      <c r="B2984" t="s">
        <v>357</v>
      </c>
      <c r="C2984">
        <v>2024</v>
      </c>
      <c r="D2984">
        <v>2024</v>
      </c>
      <c r="E2984" s="7">
        <v>45495</v>
      </c>
      <c r="F2984" s="7">
        <v>45859</v>
      </c>
      <c r="G2984" t="s">
        <v>135</v>
      </c>
      <c r="H2984" t="s">
        <v>106</v>
      </c>
      <c r="I2984" t="s">
        <v>104</v>
      </c>
      <c r="J2984">
        <v>7017.1</v>
      </c>
      <c r="K2984">
        <v>1000000</v>
      </c>
    </row>
    <row r="2985" spans="1:11" ht="15" customHeight="1" x14ac:dyDescent="0.2">
      <c r="A2985" t="s">
        <v>4631</v>
      </c>
      <c r="B2985" t="s">
        <v>6833</v>
      </c>
      <c r="C2985">
        <v>2024</v>
      </c>
      <c r="D2985">
        <v>2024</v>
      </c>
      <c r="E2985" s="7">
        <v>45495</v>
      </c>
      <c r="F2985" s="7">
        <v>45859</v>
      </c>
      <c r="G2985" t="s">
        <v>135</v>
      </c>
      <c r="H2985" t="s">
        <v>115</v>
      </c>
      <c r="I2985" t="s">
        <v>104</v>
      </c>
      <c r="J2985">
        <v>11429.31</v>
      </c>
      <c r="K2985">
        <v>2000000</v>
      </c>
    </row>
    <row r="2986" spans="1:11" ht="15" customHeight="1" x14ac:dyDescent="0.2">
      <c r="A2986" t="s">
        <v>4633</v>
      </c>
      <c r="B2986" t="s">
        <v>6840</v>
      </c>
      <c r="C2986">
        <v>2024</v>
      </c>
      <c r="D2986">
        <v>2024</v>
      </c>
      <c r="E2986" s="7">
        <v>45495</v>
      </c>
      <c r="F2986" s="7">
        <v>45859</v>
      </c>
      <c r="G2986" t="s">
        <v>135</v>
      </c>
      <c r="H2986" t="s">
        <v>103</v>
      </c>
      <c r="I2986" t="s">
        <v>101</v>
      </c>
      <c r="J2986">
        <v>7462.83</v>
      </c>
      <c r="K2986">
        <v>1000000</v>
      </c>
    </row>
    <row r="2987" spans="1:11" ht="15" customHeight="1" x14ac:dyDescent="0.2">
      <c r="A2987" t="s">
        <v>4635</v>
      </c>
      <c r="B2987" t="s">
        <v>944</v>
      </c>
      <c r="C2987">
        <v>2024</v>
      </c>
      <c r="D2987">
        <v>2024</v>
      </c>
      <c r="E2987" s="7">
        <v>45495</v>
      </c>
      <c r="F2987" s="7">
        <v>45859</v>
      </c>
      <c r="G2987" t="s">
        <v>135</v>
      </c>
      <c r="H2987" t="s">
        <v>6334</v>
      </c>
      <c r="I2987" t="s">
        <v>101</v>
      </c>
      <c r="J2987">
        <v>11028.16</v>
      </c>
      <c r="K2987">
        <v>1500000</v>
      </c>
    </row>
    <row r="2988" spans="1:11" ht="15" customHeight="1" x14ac:dyDescent="0.2">
      <c r="A2988" t="s">
        <v>4637</v>
      </c>
      <c r="B2988" t="s">
        <v>8800</v>
      </c>
      <c r="C2988">
        <v>2024</v>
      </c>
      <c r="D2988">
        <v>2024</v>
      </c>
      <c r="E2988" s="7">
        <v>45495</v>
      </c>
      <c r="F2988" s="7">
        <v>45859</v>
      </c>
      <c r="G2988" t="s">
        <v>135</v>
      </c>
      <c r="H2988" t="s">
        <v>102</v>
      </c>
      <c r="I2988" t="s">
        <v>104</v>
      </c>
      <c r="J2988">
        <v>5662.45</v>
      </c>
      <c r="K2988">
        <v>1000000</v>
      </c>
    </row>
    <row r="2989" spans="1:11" ht="15" customHeight="1" x14ac:dyDescent="0.2">
      <c r="A2989" t="s">
        <v>4639</v>
      </c>
      <c r="B2989" t="s">
        <v>8801</v>
      </c>
      <c r="C2989">
        <v>2024</v>
      </c>
      <c r="D2989">
        <v>2024</v>
      </c>
      <c r="E2989" s="7">
        <v>45495</v>
      </c>
      <c r="F2989" s="7">
        <v>45859</v>
      </c>
      <c r="G2989" t="s">
        <v>135</v>
      </c>
      <c r="H2989" t="s">
        <v>107</v>
      </c>
      <c r="I2989" t="s">
        <v>101</v>
      </c>
      <c r="J2989">
        <v>33483.120000000003</v>
      </c>
      <c r="K2989">
        <v>5000000</v>
      </c>
    </row>
    <row r="2990" spans="1:11" ht="15" customHeight="1" x14ac:dyDescent="0.2">
      <c r="A2990" t="s">
        <v>4640</v>
      </c>
      <c r="B2990" t="s">
        <v>3470</v>
      </c>
      <c r="C2990">
        <v>2024</v>
      </c>
      <c r="D2990">
        <v>2024</v>
      </c>
      <c r="E2990" s="7">
        <v>45496</v>
      </c>
      <c r="F2990" s="7">
        <v>45860</v>
      </c>
      <c r="G2990" t="s">
        <v>99</v>
      </c>
      <c r="H2990" t="s">
        <v>113</v>
      </c>
      <c r="I2990" t="s">
        <v>104</v>
      </c>
      <c r="J2990">
        <v>28538.26</v>
      </c>
      <c r="K2990">
        <v>5000000</v>
      </c>
    </row>
    <row r="2991" spans="1:11" ht="15" customHeight="1" x14ac:dyDescent="0.2">
      <c r="A2991" t="s">
        <v>4641</v>
      </c>
      <c r="B2991" t="s">
        <v>3472</v>
      </c>
      <c r="C2991">
        <v>2024</v>
      </c>
      <c r="D2991">
        <v>2024</v>
      </c>
      <c r="E2991" s="7">
        <v>45496</v>
      </c>
      <c r="F2991" s="7">
        <v>45860</v>
      </c>
      <c r="G2991" t="s">
        <v>99</v>
      </c>
      <c r="H2991" t="s">
        <v>106</v>
      </c>
      <c r="I2991" t="s">
        <v>104</v>
      </c>
      <c r="J2991">
        <v>75126.34</v>
      </c>
      <c r="K2991">
        <v>10000000</v>
      </c>
    </row>
    <row r="2992" spans="1:11" ht="15" customHeight="1" x14ac:dyDescent="0.2">
      <c r="A2992" t="s">
        <v>4642</v>
      </c>
      <c r="B2992" t="s">
        <v>3484</v>
      </c>
      <c r="C2992">
        <v>2024</v>
      </c>
      <c r="D2992">
        <v>2024</v>
      </c>
      <c r="E2992" s="7">
        <v>45496</v>
      </c>
      <c r="F2992" s="7">
        <v>45860</v>
      </c>
      <c r="G2992" t="s">
        <v>99</v>
      </c>
      <c r="H2992" t="s">
        <v>103</v>
      </c>
      <c r="I2992" t="s">
        <v>104</v>
      </c>
      <c r="J2992">
        <v>5973.26</v>
      </c>
      <c r="K2992">
        <v>1000000</v>
      </c>
    </row>
    <row r="2993" spans="1:11" ht="15" customHeight="1" x14ac:dyDescent="0.2">
      <c r="A2993" t="s">
        <v>4643</v>
      </c>
      <c r="B2993" t="s">
        <v>8802</v>
      </c>
      <c r="C2993">
        <v>2024</v>
      </c>
      <c r="D2993">
        <v>2024</v>
      </c>
      <c r="E2993" s="7">
        <v>45496</v>
      </c>
      <c r="F2993" s="7">
        <v>45860</v>
      </c>
      <c r="G2993" t="s">
        <v>135</v>
      </c>
      <c r="H2993" t="s">
        <v>102</v>
      </c>
      <c r="I2993" t="s">
        <v>104</v>
      </c>
      <c r="J2993">
        <v>12469.92</v>
      </c>
      <c r="K2993">
        <v>2000000</v>
      </c>
    </row>
    <row r="2994" spans="1:11" ht="15" customHeight="1" x14ac:dyDescent="0.2">
      <c r="A2994" t="s">
        <v>4644</v>
      </c>
      <c r="B2994" t="s">
        <v>945</v>
      </c>
      <c r="C2994">
        <v>2024</v>
      </c>
      <c r="D2994">
        <v>2024</v>
      </c>
      <c r="E2994" s="7">
        <v>45496</v>
      </c>
      <c r="F2994" s="7">
        <v>45860</v>
      </c>
      <c r="G2994" t="s">
        <v>135</v>
      </c>
      <c r="H2994" t="s">
        <v>115</v>
      </c>
      <c r="I2994" t="s">
        <v>101</v>
      </c>
      <c r="J2994">
        <v>7674.88</v>
      </c>
      <c r="K2994">
        <v>1000000</v>
      </c>
    </row>
    <row r="2995" spans="1:11" ht="15" customHeight="1" x14ac:dyDescent="0.2">
      <c r="A2995" t="s">
        <v>4645</v>
      </c>
      <c r="B2995" t="s">
        <v>6832</v>
      </c>
      <c r="C2995">
        <v>2024</v>
      </c>
      <c r="D2995">
        <v>2024</v>
      </c>
      <c r="E2995" s="7">
        <v>45496</v>
      </c>
      <c r="F2995" s="7">
        <v>45860</v>
      </c>
      <c r="G2995" t="s">
        <v>135</v>
      </c>
      <c r="H2995" t="s">
        <v>102</v>
      </c>
      <c r="I2995" t="s">
        <v>101</v>
      </c>
      <c r="J2995">
        <v>7082.84</v>
      </c>
      <c r="K2995">
        <v>1000000</v>
      </c>
    </row>
    <row r="2996" spans="1:11" ht="15" customHeight="1" x14ac:dyDescent="0.2">
      <c r="A2996" t="s">
        <v>4646</v>
      </c>
      <c r="B2996" t="s">
        <v>8803</v>
      </c>
      <c r="C2996">
        <v>2024</v>
      </c>
      <c r="D2996">
        <v>2024</v>
      </c>
      <c r="E2996" s="7">
        <v>45496</v>
      </c>
      <c r="F2996" s="7">
        <v>45860</v>
      </c>
      <c r="G2996" t="s">
        <v>135</v>
      </c>
      <c r="H2996" t="s">
        <v>102</v>
      </c>
      <c r="I2996" t="s">
        <v>101</v>
      </c>
      <c r="J2996">
        <v>11690.7</v>
      </c>
      <c r="K2996">
        <v>1500000</v>
      </c>
    </row>
    <row r="2997" spans="1:11" ht="15" customHeight="1" x14ac:dyDescent="0.2">
      <c r="A2997" t="s">
        <v>4649</v>
      </c>
      <c r="B2997" t="s">
        <v>6830</v>
      </c>
      <c r="C2997">
        <v>2024</v>
      </c>
      <c r="D2997">
        <v>2024</v>
      </c>
      <c r="E2997" s="7">
        <v>45496</v>
      </c>
      <c r="F2997" s="7">
        <v>45860</v>
      </c>
      <c r="G2997" t="s">
        <v>135</v>
      </c>
      <c r="H2997" t="s">
        <v>6332</v>
      </c>
      <c r="I2997" t="s">
        <v>104</v>
      </c>
      <c r="J2997">
        <v>5418.55</v>
      </c>
      <c r="K2997">
        <v>1000000</v>
      </c>
    </row>
    <row r="2998" spans="1:11" ht="15" customHeight="1" x14ac:dyDescent="0.2">
      <c r="A2998" t="s">
        <v>4651</v>
      </c>
      <c r="B2998" t="s">
        <v>8804</v>
      </c>
      <c r="C2998">
        <v>2024</v>
      </c>
      <c r="D2998">
        <v>2024</v>
      </c>
      <c r="E2998" s="7">
        <v>45496</v>
      </c>
      <c r="F2998" s="7">
        <v>45860</v>
      </c>
      <c r="G2998" t="s">
        <v>135</v>
      </c>
      <c r="H2998" t="s">
        <v>108</v>
      </c>
      <c r="I2998" t="s">
        <v>101</v>
      </c>
      <c r="J2998">
        <v>8544.2900000000009</v>
      </c>
      <c r="K2998">
        <v>1000000</v>
      </c>
    </row>
    <row r="2999" spans="1:11" ht="15" customHeight="1" x14ac:dyDescent="0.2">
      <c r="A2999" t="s">
        <v>4653</v>
      </c>
      <c r="B2999" t="s">
        <v>946</v>
      </c>
      <c r="C2999">
        <v>2024</v>
      </c>
      <c r="D2999">
        <v>2024</v>
      </c>
      <c r="E2999" s="7">
        <v>45496</v>
      </c>
      <c r="F2999" s="7">
        <v>45860</v>
      </c>
      <c r="G2999" t="s">
        <v>135</v>
      </c>
      <c r="H2999" t="s">
        <v>106</v>
      </c>
      <c r="I2999" t="s">
        <v>104</v>
      </c>
      <c r="J2999">
        <v>7371.57</v>
      </c>
      <c r="K2999">
        <v>1000000</v>
      </c>
    </row>
    <row r="3000" spans="1:11" ht="15" customHeight="1" x14ac:dyDescent="0.2">
      <c r="A3000" t="s">
        <v>4655</v>
      </c>
      <c r="B3000" t="s">
        <v>3486</v>
      </c>
      <c r="C3000">
        <v>2024</v>
      </c>
      <c r="D3000">
        <v>2024</v>
      </c>
      <c r="E3000" s="7">
        <v>45497</v>
      </c>
      <c r="F3000" s="7">
        <v>45861</v>
      </c>
      <c r="G3000" t="s">
        <v>99</v>
      </c>
      <c r="H3000" t="s">
        <v>113</v>
      </c>
      <c r="I3000" t="s">
        <v>101</v>
      </c>
      <c r="J3000">
        <v>7765.92</v>
      </c>
      <c r="K3000">
        <v>1000000</v>
      </c>
    </row>
    <row r="3001" spans="1:11" ht="15" customHeight="1" x14ac:dyDescent="0.2">
      <c r="A3001" t="s">
        <v>4657</v>
      </c>
      <c r="B3001" t="s">
        <v>3488</v>
      </c>
      <c r="C3001">
        <v>2024</v>
      </c>
      <c r="D3001">
        <v>2024</v>
      </c>
      <c r="E3001" s="7">
        <v>45497</v>
      </c>
      <c r="F3001" s="7">
        <v>45861</v>
      </c>
      <c r="G3001" t="s">
        <v>99</v>
      </c>
      <c r="H3001" t="s">
        <v>106</v>
      </c>
      <c r="I3001" t="s">
        <v>104</v>
      </c>
      <c r="J3001">
        <v>10884.16</v>
      </c>
      <c r="K3001">
        <v>1500000</v>
      </c>
    </row>
    <row r="3002" spans="1:11" ht="15" customHeight="1" x14ac:dyDescent="0.2">
      <c r="A3002" t="s">
        <v>4658</v>
      </c>
      <c r="B3002" t="s">
        <v>3501</v>
      </c>
      <c r="C3002">
        <v>2024</v>
      </c>
      <c r="D3002">
        <v>2024</v>
      </c>
      <c r="E3002" s="7">
        <v>45497</v>
      </c>
      <c r="F3002" s="7">
        <v>45861</v>
      </c>
      <c r="G3002" t="s">
        <v>99</v>
      </c>
      <c r="H3002" t="s">
        <v>107</v>
      </c>
      <c r="I3002" t="s">
        <v>101</v>
      </c>
      <c r="J3002">
        <v>3293.17</v>
      </c>
      <c r="K3002">
        <v>500000</v>
      </c>
    </row>
    <row r="3003" spans="1:11" ht="15" customHeight="1" x14ac:dyDescent="0.2">
      <c r="A3003" t="s">
        <v>4659</v>
      </c>
      <c r="B3003" t="s">
        <v>3508</v>
      </c>
      <c r="C3003">
        <v>2024</v>
      </c>
      <c r="D3003">
        <v>2024</v>
      </c>
      <c r="E3003" s="7">
        <v>45497</v>
      </c>
      <c r="F3003" s="7">
        <v>45861</v>
      </c>
      <c r="G3003" t="s">
        <v>99</v>
      </c>
      <c r="H3003" t="s">
        <v>106</v>
      </c>
      <c r="I3003" t="s">
        <v>101</v>
      </c>
      <c r="J3003">
        <v>46491.34</v>
      </c>
      <c r="K3003">
        <v>5000000</v>
      </c>
    </row>
    <row r="3004" spans="1:11" ht="15" customHeight="1" x14ac:dyDescent="0.2">
      <c r="A3004" t="s">
        <v>4660</v>
      </c>
      <c r="B3004" t="s">
        <v>8805</v>
      </c>
      <c r="C3004">
        <v>2024</v>
      </c>
      <c r="D3004">
        <v>2024</v>
      </c>
      <c r="E3004" s="7">
        <v>45497</v>
      </c>
      <c r="F3004" s="7">
        <v>45861</v>
      </c>
      <c r="G3004" t="s">
        <v>135</v>
      </c>
      <c r="H3004" t="s">
        <v>108</v>
      </c>
      <c r="I3004" t="s">
        <v>101</v>
      </c>
      <c r="J3004">
        <v>82435.460000000006</v>
      </c>
      <c r="K3004">
        <v>10000000</v>
      </c>
    </row>
    <row r="3005" spans="1:11" ht="15" customHeight="1" x14ac:dyDescent="0.2">
      <c r="A3005" t="s">
        <v>4661</v>
      </c>
      <c r="B3005" t="s">
        <v>8806</v>
      </c>
      <c r="C3005">
        <v>2024</v>
      </c>
      <c r="D3005">
        <v>2024</v>
      </c>
      <c r="E3005" s="7">
        <v>45497</v>
      </c>
      <c r="F3005" s="7">
        <v>45861</v>
      </c>
      <c r="G3005" t="s">
        <v>135</v>
      </c>
      <c r="H3005" t="s">
        <v>108</v>
      </c>
      <c r="I3005" t="s">
        <v>101</v>
      </c>
      <c r="J3005">
        <v>16608.330000000002</v>
      </c>
      <c r="K3005">
        <v>2000000</v>
      </c>
    </row>
    <row r="3006" spans="1:11" ht="15" customHeight="1" x14ac:dyDescent="0.2">
      <c r="A3006" t="s">
        <v>4662</v>
      </c>
      <c r="B3006" t="s">
        <v>6831</v>
      </c>
      <c r="C3006">
        <v>2024</v>
      </c>
      <c r="D3006">
        <v>2024</v>
      </c>
      <c r="E3006" s="7">
        <v>45497</v>
      </c>
      <c r="F3006" s="7">
        <v>45861</v>
      </c>
      <c r="G3006" t="s">
        <v>135</v>
      </c>
      <c r="H3006" t="s">
        <v>102</v>
      </c>
      <c r="I3006" t="s">
        <v>104</v>
      </c>
      <c r="J3006">
        <v>10371.950000000001</v>
      </c>
      <c r="K3006">
        <v>2000000</v>
      </c>
    </row>
    <row r="3007" spans="1:11" ht="15" customHeight="1" x14ac:dyDescent="0.2">
      <c r="A3007" t="s">
        <v>4663</v>
      </c>
      <c r="B3007" t="s">
        <v>8807</v>
      </c>
      <c r="C3007">
        <v>2024</v>
      </c>
      <c r="D3007">
        <v>2024</v>
      </c>
      <c r="E3007" s="7">
        <v>45497</v>
      </c>
      <c r="F3007" s="7">
        <v>45861</v>
      </c>
      <c r="G3007" t="s">
        <v>135</v>
      </c>
      <c r="H3007" t="s">
        <v>106</v>
      </c>
      <c r="I3007" t="s">
        <v>101</v>
      </c>
      <c r="J3007">
        <v>16822.28</v>
      </c>
      <c r="K3007">
        <v>2000000</v>
      </c>
    </row>
    <row r="3008" spans="1:11" ht="15" customHeight="1" x14ac:dyDescent="0.2">
      <c r="A3008" t="s">
        <v>4664</v>
      </c>
      <c r="B3008" t="s">
        <v>8808</v>
      </c>
      <c r="C3008">
        <v>2024</v>
      </c>
      <c r="D3008">
        <v>2024</v>
      </c>
      <c r="E3008" s="7">
        <v>45497</v>
      </c>
      <c r="F3008" s="7">
        <v>45861</v>
      </c>
      <c r="G3008" t="s">
        <v>135</v>
      </c>
      <c r="H3008" t="s">
        <v>107</v>
      </c>
      <c r="I3008" t="s">
        <v>101</v>
      </c>
      <c r="J3008">
        <v>7420.07</v>
      </c>
      <c r="K3008">
        <v>1000000</v>
      </c>
    </row>
    <row r="3009" spans="1:11" ht="15" customHeight="1" x14ac:dyDescent="0.2">
      <c r="A3009" t="s">
        <v>4666</v>
      </c>
      <c r="B3009" t="s">
        <v>948</v>
      </c>
      <c r="C3009">
        <v>2024</v>
      </c>
      <c r="D3009">
        <v>2024</v>
      </c>
      <c r="E3009" s="7">
        <v>45497</v>
      </c>
      <c r="F3009" s="7">
        <v>45861</v>
      </c>
      <c r="G3009" t="s">
        <v>135</v>
      </c>
      <c r="H3009" t="s">
        <v>114</v>
      </c>
      <c r="I3009" t="s">
        <v>101</v>
      </c>
      <c r="J3009">
        <v>13521.46</v>
      </c>
      <c r="K3009">
        <v>2000000</v>
      </c>
    </row>
    <row r="3010" spans="1:11" ht="15" customHeight="1" x14ac:dyDescent="0.2">
      <c r="A3010" t="s">
        <v>4668</v>
      </c>
      <c r="B3010" t="s">
        <v>947</v>
      </c>
      <c r="C3010">
        <v>2024</v>
      </c>
      <c r="D3010">
        <v>2024</v>
      </c>
      <c r="E3010" s="7">
        <v>45497</v>
      </c>
      <c r="F3010" s="7">
        <v>45861</v>
      </c>
      <c r="G3010" t="s">
        <v>135</v>
      </c>
      <c r="H3010" t="s">
        <v>106</v>
      </c>
      <c r="I3010" t="s">
        <v>101</v>
      </c>
      <c r="J3010">
        <v>8287.9500000000007</v>
      </c>
      <c r="K3010">
        <v>1000000</v>
      </c>
    </row>
    <row r="3011" spans="1:11" ht="15" customHeight="1" x14ac:dyDescent="0.2">
      <c r="A3011" t="s">
        <v>4670</v>
      </c>
      <c r="B3011" t="s">
        <v>8809</v>
      </c>
      <c r="C3011">
        <v>2024</v>
      </c>
      <c r="D3011">
        <v>2024</v>
      </c>
      <c r="E3011" s="7">
        <v>45497</v>
      </c>
      <c r="F3011" s="7">
        <v>45861</v>
      </c>
      <c r="G3011" t="s">
        <v>135</v>
      </c>
      <c r="H3011" t="s">
        <v>108</v>
      </c>
      <c r="I3011" t="s">
        <v>104</v>
      </c>
      <c r="J3011">
        <v>14058.27</v>
      </c>
      <c r="K3011">
        <v>2000000</v>
      </c>
    </row>
    <row r="3012" spans="1:11" ht="15" customHeight="1" x14ac:dyDescent="0.2">
      <c r="A3012" t="s">
        <v>4671</v>
      </c>
      <c r="B3012" t="s">
        <v>8810</v>
      </c>
      <c r="C3012">
        <v>2024</v>
      </c>
      <c r="D3012">
        <v>2024</v>
      </c>
      <c r="E3012" s="7">
        <v>45497</v>
      </c>
      <c r="F3012" s="7">
        <v>45861</v>
      </c>
      <c r="G3012" t="s">
        <v>135</v>
      </c>
      <c r="H3012" t="s">
        <v>102</v>
      </c>
      <c r="I3012" t="s">
        <v>101</v>
      </c>
      <c r="J3012">
        <v>33225.24</v>
      </c>
      <c r="K3012">
        <v>5000000</v>
      </c>
    </row>
    <row r="3013" spans="1:11" ht="15" customHeight="1" x14ac:dyDescent="0.2">
      <c r="A3013" t="s">
        <v>4672</v>
      </c>
      <c r="B3013" t="s">
        <v>6872</v>
      </c>
      <c r="C3013">
        <v>2024</v>
      </c>
      <c r="D3013">
        <v>2024</v>
      </c>
      <c r="E3013" s="7">
        <v>45497</v>
      </c>
      <c r="F3013" s="7">
        <v>45861</v>
      </c>
      <c r="G3013" t="s">
        <v>135</v>
      </c>
      <c r="H3013" t="s">
        <v>109</v>
      </c>
      <c r="I3013" t="s">
        <v>101</v>
      </c>
      <c r="J3013">
        <v>76907.12</v>
      </c>
      <c r="K3013">
        <v>10000000</v>
      </c>
    </row>
    <row r="3014" spans="1:11" ht="15" customHeight="1" x14ac:dyDescent="0.2">
      <c r="A3014" t="s">
        <v>4673</v>
      </c>
      <c r="B3014" t="s">
        <v>8811</v>
      </c>
      <c r="C3014">
        <v>2024</v>
      </c>
      <c r="D3014">
        <v>2024</v>
      </c>
      <c r="E3014" s="7">
        <v>45497</v>
      </c>
      <c r="F3014" s="7">
        <v>45861</v>
      </c>
      <c r="G3014" t="s">
        <v>135</v>
      </c>
      <c r="H3014" t="s">
        <v>106</v>
      </c>
      <c r="I3014" t="s">
        <v>101</v>
      </c>
      <c r="J3014">
        <v>8697.7000000000007</v>
      </c>
      <c r="K3014">
        <v>1000000</v>
      </c>
    </row>
    <row r="3015" spans="1:11" ht="15" customHeight="1" x14ac:dyDescent="0.2">
      <c r="A3015" t="s">
        <v>4674</v>
      </c>
      <c r="B3015" t="s">
        <v>6834</v>
      </c>
      <c r="C3015">
        <v>2024</v>
      </c>
      <c r="D3015">
        <v>2024</v>
      </c>
      <c r="E3015" s="7">
        <v>45497</v>
      </c>
      <c r="F3015" s="7">
        <v>45861</v>
      </c>
      <c r="G3015" t="s">
        <v>135</v>
      </c>
      <c r="H3015" t="s">
        <v>110</v>
      </c>
      <c r="I3015" t="s">
        <v>101</v>
      </c>
      <c r="J3015">
        <v>82645.429999999993</v>
      </c>
      <c r="K3015">
        <v>10000000</v>
      </c>
    </row>
    <row r="3016" spans="1:11" ht="15" customHeight="1" x14ac:dyDescent="0.2">
      <c r="A3016" t="s">
        <v>4675</v>
      </c>
      <c r="B3016" t="s">
        <v>7282</v>
      </c>
      <c r="C3016">
        <v>2024</v>
      </c>
      <c r="D3016">
        <v>2024</v>
      </c>
      <c r="E3016" s="7">
        <v>45497</v>
      </c>
      <c r="F3016" s="7">
        <v>45861</v>
      </c>
      <c r="G3016" t="s">
        <v>135</v>
      </c>
      <c r="H3016" t="s">
        <v>113</v>
      </c>
      <c r="I3016" t="s">
        <v>101</v>
      </c>
      <c r="J3016">
        <v>6731.11</v>
      </c>
      <c r="K3016">
        <v>1000000</v>
      </c>
    </row>
    <row r="3017" spans="1:11" ht="15" customHeight="1" x14ac:dyDescent="0.2">
      <c r="A3017" t="s">
        <v>4676</v>
      </c>
      <c r="B3017" t="s">
        <v>358</v>
      </c>
      <c r="C3017">
        <v>2024</v>
      </c>
      <c r="D3017">
        <v>2024</v>
      </c>
      <c r="E3017" s="7">
        <v>45497</v>
      </c>
      <c r="F3017" s="7">
        <v>45861</v>
      </c>
      <c r="G3017" t="s">
        <v>135</v>
      </c>
      <c r="H3017" t="s">
        <v>106</v>
      </c>
      <c r="I3017" t="s">
        <v>104</v>
      </c>
      <c r="J3017">
        <v>75058.179999999993</v>
      </c>
      <c r="K3017">
        <v>10000000</v>
      </c>
    </row>
    <row r="3018" spans="1:11" ht="15" customHeight="1" x14ac:dyDescent="0.2">
      <c r="A3018" t="s">
        <v>4677</v>
      </c>
      <c r="B3018" t="s">
        <v>8812</v>
      </c>
      <c r="C3018">
        <v>2024</v>
      </c>
      <c r="D3018">
        <v>2024</v>
      </c>
      <c r="E3018" s="7">
        <v>45497</v>
      </c>
      <c r="F3018" s="7">
        <v>45861</v>
      </c>
      <c r="G3018" t="s">
        <v>135</v>
      </c>
      <c r="H3018" t="s">
        <v>106</v>
      </c>
      <c r="I3018" t="s">
        <v>104</v>
      </c>
      <c r="J3018">
        <v>3579.2</v>
      </c>
      <c r="K3018">
        <v>500000</v>
      </c>
    </row>
    <row r="3019" spans="1:11" ht="15" customHeight="1" x14ac:dyDescent="0.2">
      <c r="A3019" t="s">
        <v>4678</v>
      </c>
      <c r="B3019" t="s">
        <v>573</v>
      </c>
      <c r="C3019">
        <v>2024</v>
      </c>
      <c r="D3019">
        <v>2024</v>
      </c>
      <c r="E3019" s="7">
        <v>45497</v>
      </c>
      <c r="F3019" s="7">
        <v>45861</v>
      </c>
      <c r="G3019" t="s">
        <v>135</v>
      </c>
      <c r="H3019" t="s">
        <v>110</v>
      </c>
      <c r="I3019" t="s">
        <v>104</v>
      </c>
      <c r="J3019">
        <v>6590.42</v>
      </c>
      <c r="K3019">
        <v>1000000</v>
      </c>
    </row>
    <row r="3020" spans="1:11" ht="15" customHeight="1" x14ac:dyDescent="0.2">
      <c r="A3020" t="s">
        <v>4679</v>
      </c>
      <c r="B3020" t="s">
        <v>209</v>
      </c>
      <c r="C3020">
        <v>2024</v>
      </c>
      <c r="D3020">
        <v>2024</v>
      </c>
      <c r="E3020" s="7">
        <v>45497</v>
      </c>
      <c r="F3020" s="7">
        <v>45861</v>
      </c>
      <c r="G3020" t="s">
        <v>135</v>
      </c>
      <c r="H3020" t="s">
        <v>107</v>
      </c>
      <c r="I3020" t="s">
        <v>101</v>
      </c>
      <c r="J3020">
        <v>6585.6</v>
      </c>
      <c r="K3020">
        <v>1000000</v>
      </c>
    </row>
    <row r="3021" spans="1:11" ht="15" customHeight="1" x14ac:dyDescent="0.2">
      <c r="A3021" t="s">
        <v>4680</v>
      </c>
      <c r="B3021" t="s">
        <v>3510</v>
      </c>
      <c r="C3021">
        <v>2024</v>
      </c>
      <c r="D3021">
        <v>2024</v>
      </c>
      <c r="E3021" s="7">
        <v>45498</v>
      </c>
      <c r="F3021" s="7">
        <v>45862</v>
      </c>
      <c r="G3021" t="s">
        <v>99</v>
      </c>
      <c r="H3021" t="s">
        <v>102</v>
      </c>
      <c r="I3021" t="s">
        <v>104</v>
      </c>
      <c r="J3021">
        <v>9277.6299999999992</v>
      </c>
      <c r="K3021">
        <v>1500000</v>
      </c>
    </row>
    <row r="3022" spans="1:11" ht="15" customHeight="1" x14ac:dyDescent="0.2">
      <c r="A3022" t="s">
        <v>4682</v>
      </c>
      <c r="B3022" t="s">
        <v>3512</v>
      </c>
      <c r="C3022">
        <v>2024</v>
      </c>
      <c r="D3022">
        <v>2024</v>
      </c>
      <c r="E3022" s="7">
        <v>45498</v>
      </c>
      <c r="F3022" s="7">
        <v>45862</v>
      </c>
      <c r="G3022" t="s">
        <v>99</v>
      </c>
      <c r="H3022" t="s">
        <v>114</v>
      </c>
      <c r="I3022" t="s">
        <v>104</v>
      </c>
      <c r="J3022">
        <v>8714.6299999999992</v>
      </c>
      <c r="K3022">
        <v>1500000</v>
      </c>
    </row>
    <row r="3023" spans="1:11" ht="15" customHeight="1" x14ac:dyDescent="0.2">
      <c r="A3023" t="s">
        <v>4684</v>
      </c>
      <c r="B3023" t="s">
        <v>8813</v>
      </c>
      <c r="C3023">
        <v>2024</v>
      </c>
      <c r="D3023">
        <v>2024</v>
      </c>
      <c r="E3023" s="7">
        <v>45498</v>
      </c>
      <c r="F3023" s="7">
        <v>45862</v>
      </c>
      <c r="G3023" t="s">
        <v>135</v>
      </c>
      <c r="H3023" t="s">
        <v>106</v>
      </c>
      <c r="I3023" t="s">
        <v>101</v>
      </c>
      <c r="J3023">
        <v>19347.95</v>
      </c>
      <c r="K3023">
        <v>2000000</v>
      </c>
    </row>
    <row r="3024" spans="1:11" ht="15" customHeight="1" x14ac:dyDescent="0.2">
      <c r="A3024" t="s">
        <v>4686</v>
      </c>
      <c r="B3024" t="s">
        <v>8814</v>
      </c>
      <c r="C3024">
        <v>2024</v>
      </c>
      <c r="D3024">
        <v>2024</v>
      </c>
      <c r="E3024" s="7">
        <v>45498</v>
      </c>
      <c r="F3024" s="7">
        <v>45862</v>
      </c>
      <c r="G3024" t="s">
        <v>135</v>
      </c>
      <c r="H3024" t="s">
        <v>102</v>
      </c>
      <c r="I3024" t="s">
        <v>104</v>
      </c>
      <c r="J3024">
        <v>12108.19</v>
      </c>
      <c r="K3024">
        <v>2000000</v>
      </c>
    </row>
    <row r="3025" spans="1:11" ht="15" customHeight="1" x14ac:dyDescent="0.2">
      <c r="A3025" t="s">
        <v>4688</v>
      </c>
      <c r="B3025" t="s">
        <v>575</v>
      </c>
      <c r="C3025">
        <v>2024</v>
      </c>
      <c r="D3025">
        <v>2024</v>
      </c>
      <c r="E3025" s="7">
        <v>45498</v>
      </c>
      <c r="F3025" s="7">
        <v>45862</v>
      </c>
      <c r="G3025" t="s">
        <v>135</v>
      </c>
      <c r="H3025" t="s">
        <v>109</v>
      </c>
      <c r="I3025" t="s">
        <v>101</v>
      </c>
      <c r="J3025">
        <v>14244.67</v>
      </c>
      <c r="K3025">
        <v>2000000</v>
      </c>
    </row>
    <row r="3026" spans="1:11" ht="15" customHeight="1" x14ac:dyDescent="0.2">
      <c r="A3026" t="s">
        <v>4690</v>
      </c>
      <c r="B3026" t="s">
        <v>6882</v>
      </c>
      <c r="C3026">
        <v>2024</v>
      </c>
      <c r="D3026">
        <v>2024</v>
      </c>
      <c r="E3026" s="7">
        <v>45498</v>
      </c>
      <c r="F3026" s="7">
        <v>45862</v>
      </c>
      <c r="G3026" t="s">
        <v>135</v>
      </c>
      <c r="H3026" t="s">
        <v>113</v>
      </c>
      <c r="I3026" t="s">
        <v>101</v>
      </c>
      <c r="J3026">
        <v>13989.1</v>
      </c>
      <c r="K3026">
        <v>2000000</v>
      </c>
    </row>
    <row r="3027" spans="1:11" ht="15" customHeight="1" x14ac:dyDescent="0.2">
      <c r="A3027" t="s">
        <v>4692</v>
      </c>
      <c r="B3027" t="s">
        <v>8815</v>
      </c>
      <c r="C3027">
        <v>2024</v>
      </c>
      <c r="D3027">
        <v>2024</v>
      </c>
      <c r="E3027" s="7">
        <v>45498</v>
      </c>
      <c r="F3027" s="7">
        <v>45862</v>
      </c>
      <c r="G3027" t="s">
        <v>135</v>
      </c>
      <c r="H3027" t="s">
        <v>102</v>
      </c>
      <c r="I3027" t="s">
        <v>101</v>
      </c>
      <c r="J3027">
        <v>7787.84</v>
      </c>
      <c r="K3027">
        <v>1000000</v>
      </c>
    </row>
    <row r="3028" spans="1:11" ht="15" customHeight="1" x14ac:dyDescent="0.2">
      <c r="A3028" t="s">
        <v>4694</v>
      </c>
      <c r="B3028" t="s">
        <v>7311</v>
      </c>
      <c r="C3028">
        <v>2024</v>
      </c>
      <c r="D3028">
        <v>2024</v>
      </c>
      <c r="E3028" s="7">
        <v>45498</v>
      </c>
      <c r="F3028" s="7">
        <v>45862</v>
      </c>
      <c r="G3028" t="s">
        <v>135</v>
      </c>
      <c r="H3028" t="s">
        <v>106</v>
      </c>
      <c r="I3028" t="s">
        <v>101</v>
      </c>
      <c r="J3028">
        <v>8976.65</v>
      </c>
      <c r="K3028">
        <v>1000000</v>
      </c>
    </row>
    <row r="3029" spans="1:11" ht="15" customHeight="1" x14ac:dyDescent="0.2">
      <c r="A3029" t="s">
        <v>4696</v>
      </c>
      <c r="B3029" t="s">
        <v>359</v>
      </c>
      <c r="C3029">
        <v>2024</v>
      </c>
      <c r="D3029">
        <v>2024</v>
      </c>
      <c r="E3029" s="7">
        <v>45498</v>
      </c>
      <c r="F3029" s="7">
        <v>45862</v>
      </c>
      <c r="G3029" t="s">
        <v>135</v>
      </c>
      <c r="H3029" t="s">
        <v>109</v>
      </c>
      <c r="I3029" t="s">
        <v>101</v>
      </c>
      <c r="J3029">
        <v>7155.6</v>
      </c>
      <c r="K3029">
        <v>1000000</v>
      </c>
    </row>
    <row r="3030" spans="1:11" ht="15" customHeight="1" x14ac:dyDescent="0.2">
      <c r="A3030" t="s">
        <v>4698</v>
      </c>
      <c r="B3030" t="s">
        <v>6938</v>
      </c>
      <c r="C3030">
        <v>2024</v>
      </c>
      <c r="D3030">
        <v>2024</v>
      </c>
      <c r="E3030" s="7">
        <v>45498</v>
      </c>
      <c r="F3030" s="7">
        <v>45862</v>
      </c>
      <c r="G3030" t="s">
        <v>135</v>
      </c>
      <c r="H3030" t="s">
        <v>107</v>
      </c>
      <c r="I3030" t="s">
        <v>104</v>
      </c>
      <c r="J3030">
        <v>31167.35</v>
      </c>
      <c r="K3030">
        <v>5000000</v>
      </c>
    </row>
    <row r="3031" spans="1:11" ht="15" customHeight="1" x14ac:dyDescent="0.2">
      <c r="A3031" t="s">
        <v>4700</v>
      </c>
      <c r="B3031" t="s">
        <v>8816</v>
      </c>
      <c r="C3031">
        <v>2024</v>
      </c>
      <c r="D3031">
        <v>2024</v>
      </c>
      <c r="E3031" s="7">
        <v>45498</v>
      </c>
      <c r="F3031" s="7">
        <v>45862</v>
      </c>
      <c r="G3031" t="s">
        <v>135</v>
      </c>
      <c r="H3031" t="s">
        <v>106</v>
      </c>
      <c r="I3031" t="s">
        <v>101</v>
      </c>
      <c r="J3031">
        <v>16366.53</v>
      </c>
      <c r="K3031">
        <v>2000000</v>
      </c>
    </row>
    <row r="3032" spans="1:11" ht="15" customHeight="1" x14ac:dyDescent="0.2">
      <c r="A3032" t="s">
        <v>4701</v>
      </c>
      <c r="B3032" t="s">
        <v>8817</v>
      </c>
      <c r="C3032">
        <v>2024</v>
      </c>
      <c r="D3032">
        <v>2024</v>
      </c>
      <c r="E3032" s="7">
        <v>45498</v>
      </c>
      <c r="F3032" s="7">
        <v>45862</v>
      </c>
      <c r="G3032" t="s">
        <v>135</v>
      </c>
      <c r="H3032" t="s">
        <v>116</v>
      </c>
      <c r="I3032" t="s">
        <v>104</v>
      </c>
      <c r="J3032">
        <v>5626.44</v>
      </c>
      <c r="K3032">
        <v>1000000</v>
      </c>
    </row>
    <row r="3033" spans="1:11" ht="15" customHeight="1" x14ac:dyDescent="0.2">
      <c r="A3033" t="s">
        <v>4702</v>
      </c>
      <c r="B3033" t="s">
        <v>8818</v>
      </c>
      <c r="C3033">
        <v>2024</v>
      </c>
      <c r="D3033">
        <v>2024</v>
      </c>
      <c r="E3033" s="7">
        <v>45498</v>
      </c>
      <c r="F3033" s="7">
        <v>45862</v>
      </c>
      <c r="G3033" t="s">
        <v>135</v>
      </c>
      <c r="H3033" t="s">
        <v>6332</v>
      </c>
      <c r="I3033" t="s">
        <v>101</v>
      </c>
      <c r="J3033">
        <v>6762.99</v>
      </c>
      <c r="K3033">
        <v>1000000</v>
      </c>
    </row>
    <row r="3034" spans="1:11" ht="15" customHeight="1" x14ac:dyDescent="0.2">
      <c r="A3034" t="s">
        <v>4703</v>
      </c>
      <c r="B3034" t="s">
        <v>574</v>
      </c>
      <c r="C3034">
        <v>2024</v>
      </c>
      <c r="D3034">
        <v>2024</v>
      </c>
      <c r="E3034" s="7">
        <v>45498</v>
      </c>
      <c r="F3034" s="7">
        <v>45862</v>
      </c>
      <c r="G3034" t="s">
        <v>135</v>
      </c>
      <c r="H3034" t="s">
        <v>102</v>
      </c>
      <c r="I3034" t="s">
        <v>101</v>
      </c>
      <c r="J3034">
        <v>3715.14</v>
      </c>
      <c r="K3034">
        <v>500000</v>
      </c>
    </row>
    <row r="3035" spans="1:11" ht="15" customHeight="1" x14ac:dyDescent="0.2">
      <c r="A3035" t="s">
        <v>4704</v>
      </c>
      <c r="B3035" t="s">
        <v>6800</v>
      </c>
      <c r="C3035">
        <v>2024</v>
      </c>
      <c r="D3035">
        <v>2024</v>
      </c>
      <c r="E3035" s="7">
        <v>45498</v>
      </c>
      <c r="F3035" s="7">
        <v>45862</v>
      </c>
      <c r="G3035" t="s">
        <v>135</v>
      </c>
      <c r="H3035" t="s">
        <v>106</v>
      </c>
      <c r="I3035" t="s">
        <v>101</v>
      </c>
      <c r="J3035">
        <v>9817.15</v>
      </c>
      <c r="K3035">
        <v>1000000</v>
      </c>
    </row>
    <row r="3036" spans="1:11" ht="15" customHeight="1" x14ac:dyDescent="0.2">
      <c r="A3036" t="s">
        <v>4705</v>
      </c>
      <c r="B3036" t="s">
        <v>3519</v>
      </c>
      <c r="C3036">
        <v>2024</v>
      </c>
      <c r="D3036">
        <v>2024</v>
      </c>
      <c r="E3036" s="7">
        <v>45499</v>
      </c>
      <c r="F3036" s="7">
        <v>45863</v>
      </c>
      <c r="G3036" t="s">
        <v>99</v>
      </c>
      <c r="H3036" t="s">
        <v>102</v>
      </c>
      <c r="I3036" t="s">
        <v>104</v>
      </c>
      <c r="J3036">
        <v>8861.3799999999992</v>
      </c>
      <c r="K3036">
        <v>1500000</v>
      </c>
    </row>
    <row r="3037" spans="1:11" ht="15" customHeight="1" x14ac:dyDescent="0.2">
      <c r="A3037" t="s">
        <v>4706</v>
      </c>
      <c r="B3037" t="s">
        <v>3521</v>
      </c>
      <c r="C3037">
        <v>2024</v>
      </c>
      <c r="D3037">
        <v>2024</v>
      </c>
      <c r="E3037" s="7">
        <v>45499</v>
      </c>
      <c r="F3037" s="7">
        <v>45863</v>
      </c>
      <c r="G3037" t="s">
        <v>99</v>
      </c>
      <c r="H3037" t="s">
        <v>6334</v>
      </c>
      <c r="I3037" t="s">
        <v>104</v>
      </c>
      <c r="J3037">
        <v>5782.71</v>
      </c>
      <c r="K3037">
        <v>1000000</v>
      </c>
    </row>
    <row r="3038" spans="1:11" ht="15" customHeight="1" x14ac:dyDescent="0.2">
      <c r="A3038" t="s">
        <v>4707</v>
      </c>
      <c r="B3038" t="s">
        <v>8819</v>
      </c>
      <c r="C3038">
        <v>2024</v>
      </c>
      <c r="D3038">
        <v>2024</v>
      </c>
      <c r="E3038" s="7">
        <v>45499</v>
      </c>
      <c r="F3038" s="7">
        <v>45863</v>
      </c>
      <c r="G3038" t="s">
        <v>135</v>
      </c>
      <c r="H3038" t="s">
        <v>102</v>
      </c>
      <c r="I3038" t="s">
        <v>101</v>
      </c>
      <c r="J3038">
        <v>11482.66</v>
      </c>
      <c r="K3038">
        <v>1500000</v>
      </c>
    </row>
    <row r="3039" spans="1:11" ht="15" customHeight="1" x14ac:dyDescent="0.2">
      <c r="A3039" t="s">
        <v>4708</v>
      </c>
      <c r="B3039" t="s">
        <v>8820</v>
      </c>
      <c r="C3039">
        <v>2024</v>
      </c>
      <c r="D3039">
        <v>2024</v>
      </c>
      <c r="E3039" s="7">
        <v>45499</v>
      </c>
      <c r="F3039" s="7">
        <v>45863</v>
      </c>
      <c r="G3039" t="s">
        <v>135</v>
      </c>
      <c r="H3039" t="s">
        <v>110</v>
      </c>
      <c r="I3039" t="s">
        <v>101</v>
      </c>
      <c r="J3039">
        <v>44956.05</v>
      </c>
      <c r="K3039">
        <v>5000000</v>
      </c>
    </row>
    <row r="3040" spans="1:11" ht="15" customHeight="1" x14ac:dyDescent="0.2">
      <c r="A3040" t="s">
        <v>4709</v>
      </c>
      <c r="B3040" t="s">
        <v>8821</v>
      </c>
      <c r="C3040">
        <v>2024</v>
      </c>
      <c r="D3040">
        <v>2024</v>
      </c>
      <c r="E3040" s="7">
        <v>45499</v>
      </c>
      <c r="F3040" s="7">
        <v>45863</v>
      </c>
      <c r="G3040" t="s">
        <v>135</v>
      </c>
      <c r="H3040" t="s">
        <v>102</v>
      </c>
      <c r="I3040" t="s">
        <v>101</v>
      </c>
      <c r="J3040">
        <v>3441.08</v>
      </c>
      <c r="K3040">
        <v>500000</v>
      </c>
    </row>
    <row r="3041" spans="1:11" ht="15" customHeight="1" x14ac:dyDescent="0.2">
      <c r="A3041" t="s">
        <v>4711</v>
      </c>
      <c r="B3041" t="s">
        <v>576</v>
      </c>
      <c r="C3041">
        <v>2024</v>
      </c>
      <c r="D3041">
        <v>2024</v>
      </c>
      <c r="E3041" s="7">
        <v>45499</v>
      </c>
      <c r="F3041" s="7">
        <v>45863</v>
      </c>
      <c r="G3041" t="s">
        <v>135</v>
      </c>
      <c r="H3041" t="s">
        <v>6334</v>
      </c>
      <c r="I3041" t="s">
        <v>104</v>
      </c>
      <c r="J3041">
        <v>9388.6200000000008</v>
      </c>
      <c r="K3041">
        <v>1500000</v>
      </c>
    </row>
    <row r="3042" spans="1:11" ht="15" customHeight="1" x14ac:dyDescent="0.2">
      <c r="A3042" t="s">
        <v>4713</v>
      </c>
      <c r="B3042" t="s">
        <v>6836</v>
      </c>
      <c r="C3042">
        <v>2024</v>
      </c>
      <c r="D3042">
        <v>2024</v>
      </c>
      <c r="E3042" s="7">
        <v>45499</v>
      </c>
      <c r="F3042" s="7">
        <v>45863</v>
      </c>
      <c r="G3042" t="s">
        <v>135</v>
      </c>
      <c r="H3042" t="s">
        <v>115</v>
      </c>
      <c r="I3042" t="s">
        <v>101</v>
      </c>
      <c r="J3042">
        <v>3563.27</v>
      </c>
      <c r="K3042">
        <v>500000</v>
      </c>
    </row>
    <row r="3043" spans="1:11" ht="15" customHeight="1" x14ac:dyDescent="0.2">
      <c r="A3043" t="s">
        <v>4715</v>
      </c>
      <c r="B3043" t="s">
        <v>8822</v>
      </c>
      <c r="C3043">
        <v>2024</v>
      </c>
      <c r="D3043">
        <v>2024</v>
      </c>
      <c r="E3043" s="7">
        <v>45499</v>
      </c>
      <c r="F3043" s="7">
        <v>45863</v>
      </c>
      <c r="G3043" t="s">
        <v>135</v>
      </c>
      <c r="H3043" t="s">
        <v>113</v>
      </c>
      <c r="I3043" t="s">
        <v>101</v>
      </c>
      <c r="J3043">
        <v>10998.11</v>
      </c>
      <c r="K3043">
        <v>1500000</v>
      </c>
    </row>
    <row r="3044" spans="1:11" ht="15" customHeight="1" x14ac:dyDescent="0.2">
      <c r="A3044" t="s">
        <v>4717</v>
      </c>
      <c r="B3044" t="s">
        <v>6855</v>
      </c>
      <c r="C3044">
        <v>2024</v>
      </c>
      <c r="D3044">
        <v>2024</v>
      </c>
      <c r="E3044" s="7">
        <v>45499</v>
      </c>
      <c r="F3044" s="7">
        <v>45863</v>
      </c>
      <c r="G3044" t="s">
        <v>135</v>
      </c>
      <c r="H3044" t="s">
        <v>102</v>
      </c>
      <c r="I3044" t="s">
        <v>101</v>
      </c>
      <c r="J3044">
        <v>78683.360000000001</v>
      </c>
      <c r="K3044">
        <v>10000000</v>
      </c>
    </row>
    <row r="3045" spans="1:11" ht="15" customHeight="1" x14ac:dyDescent="0.2">
      <c r="A3045" t="s">
        <v>4719</v>
      </c>
      <c r="B3045" t="s">
        <v>3523</v>
      </c>
      <c r="C3045">
        <v>2024</v>
      </c>
      <c r="D3045">
        <v>2024</v>
      </c>
      <c r="E3045" s="7">
        <v>45500</v>
      </c>
      <c r="F3045" s="7">
        <v>45864</v>
      </c>
      <c r="G3045" t="s">
        <v>99</v>
      </c>
      <c r="H3045" t="s">
        <v>110</v>
      </c>
      <c r="I3045" t="s">
        <v>101</v>
      </c>
      <c r="J3045">
        <v>8991.1</v>
      </c>
      <c r="K3045">
        <v>1000000</v>
      </c>
    </row>
    <row r="3046" spans="1:11" ht="15" customHeight="1" x14ac:dyDescent="0.2">
      <c r="A3046" t="s">
        <v>4721</v>
      </c>
      <c r="B3046" t="s">
        <v>3525</v>
      </c>
      <c r="C3046">
        <v>2024</v>
      </c>
      <c r="D3046">
        <v>2024</v>
      </c>
      <c r="E3046" s="7">
        <v>45500</v>
      </c>
      <c r="F3046" s="7">
        <v>45864</v>
      </c>
      <c r="G3046" t="s">
        <v>99</v>
      </c>
      <c r="H3046" t="s">
        <v>102</v>
      </c>
      <c r="I3046" t="s">
        <v>101</v>
      </c>
      <c r="J3046">
        <v>71469.63</v>
      </c>
      <c r="K3046">
        <v>10000000</v>
      </c>
    </row>
    <row r="3047" spans="1:11" ht="15" customHeight="1" x14ac:dyDescent="0.2">
      <c r="A3047" t="s">
        <v>4722</v>
      </c>
      <c r="B3047" t="s">
        <v>3531</v>
      </c>
      <c r="C3047">
        <v>2024</v>
      </c>
      <c r="D3047">
        <v>2024</v>
      </c>
      <c r="E3047" s="7">
        <v>45500</v>
      </c>
      <c r="F3047" s="7">
        <v>45864</v>
      </c>
      <c r="G3047" t="s">
        <v>99</v>
      </c>
      <c r="H3047" t="s">
        <v>102</v>
      </c>
      <c r="I3047" t="s">
        <v>104</v>
      </c>
      <c r="J3047">
        <v>57754.11</v>
      </c>
      <c r="K3047">
        <v>10000000</v>
      </c>
    </row>
    <row r="3048" spans="1:11" ht="15" customHeight="1" x14ac:dyDescent="0.2">
      <c r="A3048" t="s">
        <v>4723</v>
      </c>
      <c r="B3048" t="s">
        <v>6842</v>
      </c>
      <c r="C3048">
        <v>2024</v>
      </c>
      <c r="D3048">
        <v>2024</v>
      </c>
      <c r="E3048" s="7">
        <v>45500</v>
      </c>
      <c r="F3048" s="7">
        <v>45864</v>
      </c>
      <c r="G3048" t="s">
        <v>135</v>
      </c>
      <c r="H3048" t="s">
        <v>105</v>
      </c>
      <c r="I3048" t="s">
        <v>104</v>
      </c>
      <c r="J3048">
        <v>9066.15</v>
      </c>
      <c r="K3048">
        <v>1500000</v>
      </c>
    </row>
    <row r="3049" spans="1:11" ht="15" customHeight="1" x14ac:dyDescent="0.2">
      <c r="A3049" t="s">
        <v>4724</v>
      </c>
      <c r="B3049" t="s">
        <v>8823</v>
      </c>
      <c r="C3049">
        <v>2024</v>
      </c>
      <c r="D3049">
        <v>2024</v>
      </c>
      <c r="E3049" s="7">
        <v>45500</v>
      </c>
      <c r="F3049" s="7">
        <v>45864</v>
      </c>
      <c r="G3049" t="s">
        <v>135</v>
      </c>
      <c r="H3049" t="s">
        <v>108</v>
      </c>
      <c r="I3049" t="s">
        <v>104</v>
      </c>
      <c r="J3049">
        <v>3713.83</v>
      </c>
      <c r="K3049">
        <v>500000</v>
      </c>
    </row>
    <row r="3050" spans="1:11" ht="15" customHeight="1" x14ac:dyDescent="0.2">
      <c r="A3050" t="s">
        <v>4725</v>
      </c>
      <c r="B3050" t="s">
        <v>8824</v>
      </c>
      <c r="C3050">
        <v>2024</v>
      </c>
      <c r="D3050">
        <v>2024</v>
      </c>
      <c r="E3050" s="7">
        <v>45500</v>
      </c>
      <c r="F3050" s="7">
        <v>45864</v>
      </c>
      <c r="G3050" t="s">
        <v>135</v>
      </c>
      <c r="H3050" t="s">
        <v>108</v>
      </c>
      <c r="I3050" t="s">
        <v>101</v>
      </c>
      <c r="J3050">
        <v>14483.57</v>
      </c>
      <c r="K3050">
        <v>1500000</v>
      </c>
    </row>
    <row r="3051" spans="1:11" ht="15" customHeight="1" x14ac:dyDescent="0.2">
      <c r="A3051" t="s">
        <v>4726</v>
      </c>
      <c r="B3051" t="s">
        <v>8825</v>
      </c>
      <c r="C3051">
        <v>2024</v>
      </c>
      <c r="D3051">
        <v>2024</v>
      </c>
      <c r="E3051" s="7">
        <v>45500</v>
      </c>
      <c r="F3051" s="7">
        <v>45864</v>
      </c>
      <c r="G3051" t="s">
        <v>135</v>
      </c>
      <c r="H3051" t="s">
        <v>116</v>
      </c>
      <c r="I3051" t="s">
        <v>104</v>
      </c>
      <c r="J3051">
        <v>9287.6299999999992</v>
      </c>
      <c r="K3051">
        <v>1500000</v>
      </c>
    </row>
    <row r="3052" spans="1:11" ht="15" customHeight="1" x14ac:dyDescent="0.2">
      <c r="A3052" t="s">
        <v>4727</v>
      </c>
      <c r="B3052" t="s">
        <v>949</v>
      </c>
      <c r="C3052">
        <v>2024</v>
      </c>
      <c r="D3052">
        <v>2024</v>
      </c>
      <c r="E3052" s="7">
        <v>45500</v>
      </c>
      <c r="F3052" s="7">
        <v>45864</v>
      </c>
      <c r="G3052" t="s">
        <v>135</v>
      </c>
      <c r="H3052" t="s">
        <v>106</v>
      </c>
      <c r="I3052" t="s">
        <v>104</v>
      </c>
      <c r="J3052">
        <v>6564.35</v>
      </c>
      <c r="K3052">
        <v>1000000</v>
      </c>
    </row>
    <row r="3053" spans="1:11" ht="15" customHeight="1" x14ac:dyDescent="0.2">
      <c r="A3053" t="s">
        <v>4728</v>
      </c>
      <c r="B3053" t="s">
        <v>3533</v>
      </c>
      <c r="C3053">
        <v>2024</v>
      </c>
      <c r="D3053">
        <v>2024</v>
      </c>
      <c r="E3053" s="7">
        <v>45501</v>
      </c>
      <c r="F3053" s="7">
        <v>45865</v>
      </c>
      <c r="G3053" t="s">
        <v>99</v>
      </c>
      <c r="H3053" t="s">
        <v>106</v>
      </c>
      <c r="I3053" t="s">
        <v>101</v>
      </c>
      <c r="J3053">
        <v>81640.84</v>
      </c>
      <c r="K3053">
        <v>10000000</v>
      </c>
    </row>
    <row r="3054" spans="1:11" ht="15" customHeight="1" x14ac:dyDescent="0.2">
      <c r="A3054" t="s">
        <v>4729</v>
      </c>
      <c r="B3054" t="s">
        <v>3544</v>
      </c>
      <c r="C3054">
        <v>2024</v>
      </c>
      <c r="D3054">
        <v>2024</v>
      </c>
      <c r="E3054" s="7">
        <v>45501</v>
      </c>
      <c r="F3054" s="7">
        <v>45865</v>
      </c>
      <c r="G3054" t="s">
        <v>99</v>
      </c>
      <c r="H3054" t="s">
        <v>105</v>
      </c>
      <c r="I3054" t="s">
        <v>101</v>
      </c>
      <c r="J3054">
        <v>6936.99</v>
      </c>
      <c r="K3054">
        <v>1000000</v>
      </c>
    </row>
    <row r="3055" spans="1:11" ht="15" customHeight="1" x14ac:dyDescent="0.2">
      <c r="A3055" t="s">
        <v>4730</v>
      </c>
      <c r="B3055" t="s">
        <v>8826</v>
      </c>
      <c r="C3055">
        <v>2024</v>
      </c>
      <c r="D3055">
        <v>2024</v>
      </c>
      <c r="E3055" s="7">
        <v>45501</v>
      </c>
      <c r="F3055" s="7">
        <v>45865</v>
      </c>
      <c r="G3055" t="s">
        <v>135</v>
      </c>
      <c r="H3055" t="s">
        <v>108</v>
      </c>
      <c r="I3055" t="s">
        <v>101</v>
      </c>
      <c r="J3055">
        <v>18254.419999999998</v>
      </c>
      <c r="K3055">
        <v>2000000</v>
      </c>
    </row>
    <row r="3056" spans="1:11" ht="15" customHeight="1" x14ac:dyDescent="0.2">
      <c r="A3056" t="s">
        <v>4732</v>
      </c>
      <c r="B3056" t="s">
        <v>6845</v>
      </c>
      <c r="C3056">
        <v>2024</v>
      </c>
      <c r="D3056">
        <v>2024</v>
      </c>
      <c r="E3056" s="7">
        <v>45501</v>
      </c>
      <c r="F3056" s="7">
        <v>45865</v>
      </c>
      <c r="G3056" t="s">
        <v>135</v>
      </c>
      <c r="H3056" t="s">
        <v>114</v>
      </c>
      <c r="I3056" t="s">
        <v>101</v>
      </c>
      <c r="J3056">
        <v>6702.94</v>
      </c>
      <c r="K3056">
        <v>1000000</v>
      </c>
    </row>
    <row r="3057" spans="1:11" ht="15" customHeight="1" x14ac:dyDescent="0.2">
      <c r="A3057" t="s">
        <v>4733</v>
      </c>
      <c r="B3057" t="s">
        <v>8827</v>
      </c>
      <c r="C3057">
        <v>2024</v>
      </c>
      <c r="D3057">
        <v>2024</v>
      </c>
      <c r="E3057" s="7">
        <v>45501</v>
      </c>
      <c r="F3057" s="7">
        <v>45865</v>
      </c>
      <c r="G3057" t="s">
        <v>135</v>
      </c>
      <c r="H3057" t="s">
        <v>105</v>
      </c>
      <c r="I3057" t="s">
        <v>101</v>
      </c>
      <c r="J3057">
        <v>10109.65</v>
      </c>
      <c r="K3057">
        <v>1500000</v>
      </c>
    </row>
    <row r="3058" spans="1:11" ht="15" customHeight="1" x14ac:dyDescent="0.2">
      <c r="A3058" t="s">
        <v>4734</v>
      </c>
      <c r="B3058" t="s">
        <v>577</v>
      </c>
      <c r="C3058">
        <v>2024</v>
      </c>
      <c r="D3058">
        <v>2024</v>
      </c>
      <c r="E3058" s="7">
        <v>45501</v>
      </c>
      <c r="F3058" s="7">
        <v>45865</v>
      </c>
      <c r="G3058" t="s">
        <v>135</v>
      </c>
      <c r="H3058" t="s">
        <v>6332</v>
      </c>
      <c r="I3058" t="s">
        <v>104</v>
      </c>
      <c r="J3058">
        <v>5673.41</v>
      </c>
      <c r="K3058">
        <v>1000000</v>
      </c>
    </row>
    <row r="3059" spans="1:11" ht="15" customHeight="1" x14ac:dyDescent="0.2">
      <c r="A3059" t="s">
        <v>4735</v>
      </c>
      <c r="B3059" t="s">
        <v>8828</v>
      </c>
      <c r="C3059">
        <v>2024</v>
      </c>
      <c r="D3059">
        <v>2024</v>
      </c>
      <c r="E3059" s="7">
        <v>45501</v>
      </c>
      <c r="F3059" s="7">
        <v>45865</v>
      </c>
      <c r="G3059" t="s">
        <v>135</v>
      </c>
      <c r="H3059" t="s">
        <v>108</v>
      </c>
      <c r="I3059" t="s">
        <v>101</v>
      </c>
      <c r="J3059">
        <v>9333.65</v>
      </c>
      <c r="K3059">
        <v>1000000</v>
      </c>
    </row>
    <row r="3060" spans="1:11" ht="15" customHeight="1" x14ac:dyDescent="0.2">
      <c r="A3060" t="s">
        <v>4736</v>
      </c>
      <c r="B3060" t="s">
        <v>8829</v>
      </c>
      <c r="C3060">
        <v>2024</v>
      </c>
      <c r="D3060">
        <v>2024</v>
      </c>
      <c r="E3060" s="7">
        <v>45501</v>
      </c>
      <c r="F3060" s="7">
        <v>45865</v>
      </c>
      <c r="G3060" t="s">
        <v>135</v>
      </c>
      <c r="H3060" t="s">
        <v>108</v>
      </c>
      <c r="I3060" t="s">
        <v>101</v>
      </c>
      <c r="J3060">
        <v>4485.1899999999996</v>
      </c>
      <c r="K3060">
        <v>500000</v>
      </c>
    </row>
    <row r="3061" spans="1:11" ht="15" customHeight="1" x14ac:dyDescent="0.2">
      <c r="A3061" t="s">
        <v>4737</v>
      </c>
      <c r="B3061" t="s">
        <v>8830</v>
      </c>
      <c r="C3061">
        <v>2024</v>
      </c>
      <c r="D3061">
        <v>2024</v>
      </c>
      <c r="E3061" s="7">
        <v>45501</v>
      </c>
      <c r="F3061" s="7">
        <v>45865</v>
      </c>
      <c r="G3061" t="s">
        <v>135</v>
      </c>
      <c r="H3061" t="s">
        <v>113</v>
      </c>
      <c r="I3061" t="s">
        <v>101</v>
      </c>
      <c r="J3061">
        <v>10381.15</v>
      </c>
      <c r="K3061">
        <v>1500000</v>
      </c>
    </row>
    <row r="3062" spans="1:11" ht="15" customHeight="1" x14ac:dyDescent="0.2">
      <c r="A3062" t="s">
        <v>4738</v>
      </c>
      <c r="B3062" t="s">
        <v>8831</v>
      </c>
      <c r="C3062">
        <v>2024</v>
      </c>
      <c r="D3062">
        <v>2024</v>
      </c>
      <c r="E3062" s="7">
        <v>45501</v>
      </c>
      <c r="F3062" s="7">
        <v>45865</v>
      </c>
      <c r="G3062" t="s">
        <v>135</v>
      </c>
      <c r="H3062" t="s">
        <v>102</v>
      </c>
      <c r="I3062" t="s">
        <v>104</v>
      </c>
      <c r="J3062">
        <v>2773.82</v>
      </c>
      <c r="K3062">
        <v>500000</v>
      </c>
    </row>
    <row r="3063" spans="1:11" ht="15" customHeight="1" x14ac:dyDescent="0.2">
      <c r="A3063" t="s">
        <v>4739</v>
      </c>
      <c r="B3063" t="s">
        <v>3546</v>
      </c>
      <c r="C3063">
        <v>2024</v>
      </c>
      <c r="D3063">
        <v>2024</v>
      </c>
      <c r="E3063" s="7">
        <v>45502</v>
      </c>
      <c r="F3063" s="7">
        <v>45866</v>
      </c>
      <c r="G3063" t="s">
        <v>99</v>
      </c>
      <c r="H3063" t="s">
        <v>113</v>
      </c>
      <c r="I3063" t="s">
        <v>101</v>
      </c>
      <c r="J3063">
        <v>36993.17</v>
      </c>
      <c r="K3063">
        <v>5000000</v>
      </c>
    </row>
    <row r="3064" spans="1:11" ht="15" customHeight="1" x14ac:dyDescent="0.2">
      <c r="A3064" t="s">
        <v>4740</v>
      </c>
      <c r="B3064" t="s">
        <v>3548</v>
      </c>
      <c r="C3064">
        <v>2024</v>
      </c>
      <c r="D3064">
        <v>2024</v>
      </c>
      <c r="E3064" s="7">
        <v>45502</v>
      </c>
      <c r="F3064" s="7">
        <v>45866</v>
      </c>
      <c r="G3064" t="s">
        <v>99</v>
      </c>
      <c r="H3064" t="s">
        <v>6337</v>
      </c>
      <c r="I3064" t="s">
        <v>104</v>
      </c>
      <c r="J3064">
        <v>2619.5100000000002</v>
      </c>
      <c r="K3064">
        <v>500000</v>
      </c>
    </row>
    <row r="3065" spans="1:11" ht="15" customHeight="1" x14ac:dyDescent="0.2">
      <c r="A3065" t="s">
        <v>4741</v>
      </c>
      <c r="B3065" t="s">
        <v>6844</v>
      </c>
      <c r="C3065">
        <v>2024</v>
      </c>
      <c r="D3065">
        <v>2024</v>
      </c>
      <c r="E3065" s="7">
        <v>45502</v>
      </c>
      <c r="F3065" s="7">
        <v>45866</v>
      </c>
      <c r="G3065" t="s">
        <v>135</v>
      </c>
      <c r="H3065" t="s">
        <v>100</v>
      </c>
      <c r="I3065" t="s">
        <v>101</v>
      </c>
      <c r="J3065">
        <v>69395.460000000006</v>
      </c>
      <c r="K3065">
        <v>10000000</v>
      </c>
    </row>
    <row r="3066" spans="1:11" ht="15" customHeight="1" x14ac:dyDescent="0.2">
      <c r="A3066" t="s">
        <v>4743</v>
      </c>
      <c r="B3066" t="s">
        <v>8832</v>
      </c>
      <c r="C3066">
        <v>2024</v>
      </c>
      <c r="D3066">
        <v>2024</v>
      </c>
      <c r="E3066" s="7">
        <v>45502</v>
      </c>
      <c r="F3066" s="7">
        <v>45866</v>
      </c>
      <c r="G3066" t="s">
        <v>135</v>
      </c>
      <c r="H3066" t="s">
        <v>102</v>
      </c>
      <c r="I3066" t="s">
        <v>101</v>
      </c>
      <c r="J3066">
        <v>15777.89</v>
      </c>
      <c r="K3066">
        <v>2000000</v>
      </c>
    </row>
    <row r="3067" spans="1:11" ht="15" customHeight="1" x14ac:dyDescent="0.2">
      <c r="A3067" t="s">
        <v>4745</v>
      </c>
      <c r="B3067" t="s">
        <v>950</v>
      </c>
      <c r="C3067">
        <v>2024</v>
      </c>
      <c r="D3067">
        <v>2024</v>
      </c>
      <c r="E3067" s="7">
        <v>45502</v>
      </c>
      <c r="F3067" s="7">
        <v>45866</v>
      </c>
      <c r="G3067" t="s">
        <v>135</v>
      </c>
      <c r="H3067" t="s">
        <v>108</v>
      </c>
      <c r="I3067" t="s">
        <v>101</v>
      </c>
      <c r="J3067">
        <v>17496.89</v>
      </c>
      <c r="K3067">
        <v>2000000</v>
      </c>
    </row>
    <row r="3068" spans="1:11" ht="15" customHeight="1" x14ac:dyDescent="0.2">
      <c r="A3068" t="s">
        <v>4747</v>
      </c>
      <c r="B3068" t="s">
        <v>210</v>
      </c>
      <c r="C3068">
        <v>2024</v>
      </c>
      <c r="D3068">
        <v>2024</v>
      </c>
      <c r="E3068" s="7">
        <v>45502</v>
      </c>
      <c r="F3068" s="7">
        <v>45866</v>
      </c>
      <c r="G3068" t="s">
        <v>135</v>
      </c>
      <c r="H3068" t="s">
        <v>109</v>
      </c>
      <c r="I3068" t="s">
        <v>101</v>
      </c>
      <c r="J3068">
        <v>14015.6</v>
      </c>
      <c r="K3068">
        <v>2000000</v>
      </c>
    </row>
    <row r="3069" spans="1:11" ht="15" customHeight="1" x14ac:dyDescent="0.2">
      <c r="A3069" t="s">
        <v>4749</v>
      </c>
      <c r="B3069" t="s">
        <v>8833</v>
      </c>
      <c r="C3069">
        <v>2024</v>
      </c>
      <c r="D3069">
        <v>2024</v>
      </c>
      <c r="E3069" s="7">
        <v>45502</v>
      </c>
      <c r="F3069" s="7">
        <v>45866</v>
      </c>
      <c r="G3069" t="s">
        <v>135</v>
      </c>
      <c r="H3069" t="s">
        <v>106</v>
      </c>
      <c r="I3069" t="s">
        <v>104</v>
      </c>
      <c r="J3069">
        <v>11151.64</v>
      </c>
      <c r="K3069">
        <v>1500000</v>
      </c>
    </row>
    <row r="3070" spans="1:11" ht="15" customHeight="1" x14ac:dyDescent="0.2">
      <c r="A3070" t="s">
        <v>4751</v>
      </c>
      <c r="B3070" t="s">
        <v>8834</v>
      </c>
      <c r="C3070">
        <v>2024</v>
      </c>
      <c r="D3070">
        <v>2024</v>
      </c>
      <c r="E3070" s="7">
        <v>45502</v>
      </c>
      <c r="F3070" s="7">
        <v>45866</v>
      </c>
      <c r="G3070" t="s">
        <v>135</v>
      </c>
      <c r="H3070" t="s">
        <v>113</v>
      </c>
      <c r="I3070" t="s">
        <v>104</v>
      </c>
      <c r="J3070">
        <v>29446.85</v>
      </c>
      <c r="K3070">
        <v>5000000</v>
      </c>
    </row>
    <row r="3071" spans="1:11" ht="15" customHeight="1" x14ac:dyDescent="0.2">
      <c r="A3071" t="s">
        <v>4753</v>
      </c>
      <c r="B3071" t="s">
        <v>360</v>
      </c>
      <c r="C3071">
        <v>2024</v>
      </c>
      <c r="D3071">
        <v>2024</v>
      </c>
      <c r="E3071" s="7">
        <v>45502</v>
      </c>
      <c r="F3071" s="7">
        <v>45866</v>
      </c>
      <c r="G3071" t="s">
        <v>135</v>
      </c>
      <c r="H3071" t="s">
        <v>106</v>
      </c>
      <c r="I3071" t="s">
        <v>101</v>
      </c>
      <c r="J3071">
        <v>4391.82</v>
      </c>
      <c r="K3071">
        <v>500000</v>
      </c>
    </row>
    <row r="3072" spans="1:11" ht="15" customHeight="1" x14ac:dyDescent="0.2">
      <c r="A3072" t="s">
        <v>4754</v>
      </c>
      <c r="B3072" t="s">
        <v>8835</v>
      </c>
      <c r="C3072">
        <v>2024</v>
      </c>
      <c r="D3072">
        <v>2024</v>
      </c>
      <c r="E3072" s="7">
        <v>45502</v>
      </c>
      <c r="F3072" s="7">
        <v>45866</v>
      </c>
      <c r="G3072" t="s">
        <v>135</v>
      </c>
      <c r="H3072" t="s">
        <v>116</v>
      </c>
      <c r="I3072" t="s">
        <v>101</v>
      </c>
      <c r="J3072">
        <v>6848.7</v>
      </c>
      <c r="K3072">
        <v>1000000</v>
      </c>
    </row>
    <row r="3073" spans="1:11" ht="15" customHeight="1" x14ac:dyDescent="0.2">
      <c r="A3073" t="s">
        <v>4755</v>
      </c>
      <c r="B3073" t="s">
        <v>6946</v>
      </c>
      <c r="C3073">
        <v>2024</v>
      </c>
      <c r="D3073">
        <v>2024</v>
      </c>
      <c r="E3073" s="7">
        <v>45502</v>
      </c>
      <c r="F3073" s="7">
        <v>45866</v>
      </c>
      <c r="G3073" t="s">
        <v>135</v>
      </c>
      <c r="H3073" t="s">
        <v>107</v>
      </c>
      <c r="I3073" t="s">
        <v>104</v>
      </c>
      <c r="J3073">
        <v>3054.02</v>
      </c>
      <c r="K3073">
        <v>500000</v>
      </c>
    </row>
    <row r="3074" spans="1:11" ht="15" customHeight="1" x14ac:dyDescent="0.2">
      <c r="A3074" t="s">
        <v>4756</v>
      </c>
      <c r="B3074" t="s">
        <v>8836</v>
      </c>
      <c r="C3074">
        <v>2024</v>
      </c>
      <c r="D3074">
        <v>2024</v>
      </c>
      <c r="E3074" s="7">
        <v>45502</v>
      </c>
      <c r="F3074" s="7">
        <v>45866</v>
      </c>
      <c r="G3074" t="s">
        <v>135</v>
      </c>
      <c r="H3074" t="s">
        <v>107</v>
      </c>
      <c r="I3074" t="s">
        <v>101</v>
      </c>
      <c r="J3074">
        <v>7056.78</v>
      </c>
      <c r="K3074">
        <v>1000000</v>
      </c>
    </row>
    <row r="3075" spans="1:11" ht="15" customHeight="1" x14ac:dyDescent="0.2">
      <c r="A3075" t="s">
        <v>4757</v>
      </c>
      <c r="B3075" t="s">
        <v>8837</v>
      </c>
      <c r="C3075">
        <v>2024</v>
      </c>
      <c r="D3075">
        <v>2024</v>
      </c>
      <c r="E3075" s="7">
        <v>45502</v>
      </c>
      <c r="F3075" s="7">
        <v>45866</v>
      </c>
      <c r="G3075" t="s">
        <v>135</v>
      </c>
      <c r="H3075" t="s">
        <v>102</v>
      </c>
      <c r="I3075" t="s">
        <v>101</v>
      </c>
      <c r="J3075">
        <v>70159.38</v>
      </c>
      <c r="K3075">
        <v>10000000</v>
      </c>
    </row>
    <row r="3076" spans="1:11" ht="15" customHeight="1" x14ac:dyDescent="0.2">
      <c r="A3076" t="s">
        <v>4758</v>
      </c>
      <c r="B3076" t="s">
        <v>8838</v>
      </c>
      <c r="C3076">
        <v>2024</v>
      </c>
      <c r="D3076">
        <v>2024</v>
      </c>
      <c r="E3076" s="7">
        <v>45503</v>
      </c>
      <c r="F3076" s="7">
        <v>45867</v>
      </c>
      <c r="G3076" t="s">
        <v>135</v>
      </c>
      <c r="H3076" t="s">
        <v>108</v>
      </c>
      <c r="I3076" t="s">
        <v>101</v>
      </c>
      <c r="J3076">
        <v>4640.74</v>
      </c>
      <c r="K3076">
        <v>500000</v>
      </c>
    </row>
    <row r="3077" spans="1:11" ht="15" customHeight="1" x14ac:dyDescent="0.2">
      <c r="A3077" t="s">
        <v>4759</v>
      </c>
      <c r="B3077" t="s">
        <v>8839</v>
      </c>
      <c r="C3077">
        <v>2024</v>
      </c>
      <c r="D3077">
        <v>2024</v>
      </c>
      <c r="E3077" s="7">
        <v>45503</v>
      </c>
      <c r="F3077" s="7">
        <v>45867</v>
      </c>
      <c r="G3077" t="s">
        <v>135</v>
      </c>
      <c r="H3077" t="s">
        <v>106</v>
      </c>
      <c r="I3077" t="s">
        <v>104</v>
      </c>
      <c r="J3077">
        <v>11407.74</v>
      </c>
      <c r="K3077">
        <v>1500000</v>
      </c>
    </row>
    <row r="3078" spans="1:11" ht="15" customHeight="1" x14ac:dyDescent="0.2">
      <c r="A3078" t="s">
        <v>4761</v>
      </c>
      <c r="B3078" t="s">
        <v>8840</v>
      </c>
      <c r="C3078">
        <v>2024</v>
      </c>
      <c r="D3078">
        <v>2024</v>
      </c>
      <c r="E3078" s="7">
        <v>45503</v>
      </c>
      <c r="F3078" s="7">
        <v>45867</v>
      </c>
      <c r="G3078" t="s">
        <v>135</v>
      </c>
      <c r="H3078" t="s">
        <v>102</v>
      </c>
      <c r="I3078" t="s">
        <v>101</v>
      </c>
      <c r="J3078">
        <v>14560.39</v>
      </c>
      <c r="K3078">
        <v>2000000</v>
      </c>
    </row>
    <row r="3079" spans="1:11" ht="15" customHeight="1" x14ac:dyDescent="0.2">
      <c r="A3079" t="s">
        <v>4763</v>
      </c>
      <c r="B3079" t="s">
        <v>162</v>
      </c>
      <c r="C3079">
        <v>2024</v>
      </c>
      <c r="D3079">
        <v>2024</v>
      </c>
      <c r="E3079" s="7">
        <v>45503</v>
      </c>
      <c r="F3079" s="7">
        <v>45867</v>
      </c>
      <c r="G3079" t="s">
        <v>135</v>
      </c>
      <c r="H3079" t="s">
        <v>115</v>
      </c>
      <c r="I3079" t="s">
        <v>104</v>
      </c>
      <c r="J3079">
        <v>8997.64</v>
      </c>
      <c r="K3079">
        <v>1500000</v>
      </c>
    </row>
    <row r="3080" spans="1:11" ht="15" customHeight="1" x14ac:dyDescent="0.2">
      <c r="A3080" t="s">
        <v>4764</v>
      </c>
      <c r="B3080" t="s">
        <v>8841</v>
      </c>
      <c r="C3080">
        <v>2024</v>
      </c>
      <c r="D3080">
        <v>2024</v>
      </c>
      <c r="E3080" s="7">
        <v>45503</v>
      </c>
      <c r="F3080" s="7">
        <v>45867</v>
      </c>
      <c r="G3080" t="s">
        <v>135</v>
      </c>
      <c r="H3080" t="s">
        <v>102</v>
      </c>
      <c r="I3080" t="s">
        <v>104</v>
      </c>
      <c r="J3080">
        <v>10655.68</v>
      </c>
      <c r="K3080">
        <v>2000000</v>
      </c>
    </row>
    <row r="3081" spans="1:11" ht="15" customHeight="1" x14ac:dyDescent="0.2">
      <c r="A3081" t="s">
        <v>4765</v>
      </c>
      <c r="B3081" t="s">
        <v>361</v>
      </c>
      <c r="C3081">
        <v>2024</v>
      </c>
      <c r="D3081">
        <v>2024</v>
      </c>
      <c r="E3081" s="7">
        <v>45503</v>
      </c>
      <c r="F3081" s="7">
        <v>45867</v>
      </c>
      <c r="G3081" t="s">
        <v>135</v>
      </c>
      <c r="H3081" t="s">
        <v>110</v>
      </c>
      <c r="I3081" t="s">
        <v>101</v>
      </c>
      <c r="J3081">
        <v>4287.1099999999997</v>
      </c>
      <c r="K3081">
        <v>500000</v>
      </c>
    </row>
    <row r="3082" spans="1:11" ht="15" customHeight="1" x14ac:dyDescent="0.2">
      <c r="A3082" t="s">
        <v>4766</v>
      </c>
      <c r="B3082" t="s">
        <v>8842</v>
      </c>
      <c r="C3082">
        <v>2024</v>
      </c>
      <c r="D3082">
        <v>2024</v>
      </c>
      <c r="E3082" s="7">
        <v>45503</v>
      </c>
      <c r="F3082" s="7">
        <v>45867</v>
      </c>
      <c r="G3082" t="s">
        <v>135</v>
      </c>
      <c r="H3082" t="s">
        <v>106</v>
      </c>
      <c r="I3082" t="s">
        <v>101</v>
      </c>
      <c r="J3082">
        <v>12416.93</v>
      </c>
      <c r="K3082">
        <v>1500000</v>
      </c>
    </row>
    <row r="3083" spans="1:11" ht="15" customHeight="1" x14ac:dyDescent="0.2">
      <c r="A3083" t="s">
        <v>4767</v>
      </c>
      <c r="B3083" t="s">
        <v>952</v>
      </c>
      <c r="C3083">
        <v>2024</v>
      </c>
      <c r="D3083">
        <v>2024</v>
      </c>
      <c r="E3083" s="7">
        <v>45503</v>
      </c>
      <c r="F3083" s="7">
        <v>45867</v>
      </c>
      <c r="G3083" t="s">
        <v>135</v>
      </c>
      <c r="H3083" t="s">
        <v>111</v>
      </c>
      <c r="I3083" t="s">
        <v>104</v>
      </c>
      <c r="J3083">
        <v>3047.77</v>
      </c>
      <c r="K3083">
        <v>500000</v>
      </c>
    </row>
    <row r="3084" spans="1:11" ht="15" customHeight="1" x14ac:dyDescent="0.2">
      <c r="A3084" t="s">
        <v>4768</v>
      </c>
      <c r="B3084" t="s">
        <v>951</v>
      </c>
      <c r="C3084">
        <v>2024</v>
      </c>
      <c r="D3084">
        <v>2024</v>
      </c>
      <c r="E3084" s="7">
        <v>45503</v>
      </c>
      <c r="F3084" s="7">
        <v>45867</v>
      </c>
      <c r="G3084" t="s">
        <v>135</v>
      </c>
      <c r="H3084" t="s">
        <v>115</v>
      </c>
      <c r="I3084" t="s">
        <v>104</v>
      </c>
      <c r="J3084">
        <v>8563.07</v>
      </c>
      <c r="K3084">
        <v>1500000</v>
      </c>
    </row>
    <row r="3085" spans="1:11" ht="15" customHeight="1" x14ac:dyDescent="0.2">
      <c r="A3085" t="s">
        <v>4769</v>
      </c>
      <c r="B3085" t="s">
        <v>6936</v>
      </c>
      <c r="C3085">
        <v>2024</v>
      </c>
      <c r="D3085">
        <v>2024</v>
      </c>
      <c r="E3085" s="7">
        <v>45503</v>
      </c>
      <c r="F3085" s="7">
        <v>45867</v>
      </c>
      <c r="G3085" t="s">
        <v>135</v>
      </c>
      <c r="H3085" t="s">
        <v>110</v>
      </c>
      <c r="I3085" t="s">
        <v>101</v>
      </c>
      <c r="J3085">
        <v>19187.169999999998</v>
      </c>
      <c r="K3085">
        <v>2000000</v>
      </c>
    </row>
    <row r="3086" spans="1:11" ht="15" customHeight="1" x14ac:dyDescent="0.2">
      <c r="A3086" t="s">
        <v>4770</v>
      </c>
      <c r="B3086" t="s">
        <v>6888</v>
      </c>
      <c r="C3086">
        <v>2024</v>
      </c>
      <c r="D3086">
        <v>2024</v>
      </c>
      <c r="E3086" s="7">
        <v>45503</v>
      </c>
      <c r="F3086" s="7">
        <v>45867</v>
      </c>
      <c r="G3086" t="s">
        <v>135</v>
      </c>
      <c r="H3086" t="s">
        <v>105</v>
      </c>
      <c r="I3086" t="s">
        <v>104</v>
      </c>
      <c r="J3086">
        <v>62191.55</v>
      </c>
      <c r="K3086">
        <v>10000000</v>
      </c>
    </row>
    <row r="3087" spans="1:11" ht="15" customHeight="1" x14ac:dyDescent="0.2">
      <c r="A3087" t="s">
        <v>4771</v>
      </c>
      <c r="B3087" t="s">
        <v>6849</v>
      </c>
      <c r="C3087">
        <v>2024</v>
      </c>
      <c r="D3087">
        <v>2024</v>
      </c>
      <c r="E3087" s="7">
        <v>45503</v>
      </c>
      <c r="F3087" s="7">
        <v>45867</v>
      </c>
      <c r="G3087" t="s">
        <v>135</v>
      </c>
      <c r="H3087" t="s">
        <v>107</v>
      </c>
      <c r="I3087" t="s">
        <v>101</v>
      </c>
      <c r="J3087">
        <v>13959.05</v>
      </c>
      <c r="K3087">
        <v>2000000</v>
      </c>
    </row>
    <row r="3088" spans="1:11" ht="15" customHeight="1" x14ac:dyDescent="0.2">
      <c r="A3088" t="s">
        <v>4772</v>
      </c>
      <c r="B3088" t="s">
        <v>8843</v>
      </c>
      <c r="C3088">
        <v>2024</v>
      </c>
      <c r="D3088">
        <v>2024</v>
      </c>
      <c r="E3088" s="7">
        <v>45503</v>
      </c>
      <c r="F3088" s="7">
        <v>45867</v>
      </c>
      <c r="G3088" t="s">
        <v>135</v>
      </c>
      <c r="H3088" t="s">
        <v>102</v>
      </c>
      <c r="I3088" t="s">
        <v>101</v>
      </c>
      <c r="J3088">
        <v>33800.300000000003</v>
      </c>
      <c r="K3088">
        <v>5000000</v>
      </c>
    </row>
    <row r="3089" spans="1:11" ht="15" customHeight="1" x14ac:dyDescent="0.2">
      <c r="A3089" t="s">
        <v>4774</v>
      </c>
      <c r="B3089" t="s">
        <v>3560</v>
      </c>
      <c r="C3089">
        <v>2024</v>
      </c>
      <c r="D3089">
        <v>2024</v>
      </c>
      <c r="E3089" s="7">
        <v>45504</v>
      </c>
      <c r="F3089" s="7">
        <v>45868</v>
      </c>
      <c r="G3089" t="s">
        <v>99</v>
      </c>
      <c r="H3089" t="s">
        <v>102</v>
      </c>
      <c r="I3089" t="s">
        <v>101</v>
      </c>
      <c r="J3089">
        <v>14372.01</v>
      </c>
      <c r="K3089">
        <v>2000000</v>
      </c>
    </row>
    <row r="3090" spans="1:11" ht="15" customHeight="1" x14ac:dyDescent="0.2">
      <c r="A3090" t="s">
        <v>4776</v>
      </c>
      <c r="B3090" t="s">
        <v>3562</v>
      </c>
      <c r="C3090">
        <v>2024</v>
      </c>
      <c r="D3090">
        <v>2024</v>
      </c>
      <c r="E3090" s="7">
        <v>45504</v>
      </c>
      <c r="F3090" s="7">
        <v>45868</v>
      </c>
      <c r="G3090" t="s">
        <v>99</v>
      </c>
      <c r="H3090" t="s">
        <v>106</v>
      </c>
      <c r="I3090" t="s">
        <v>101</v>
      </c>
      <c r="J3090">
        <v>40747.980000000003</v>
      </c>
      <c r="K3090">
        <v>5000000</v>
      </c>
    </row>
    <row r="3091" spans="1:11" ht="15" customHeight="1" x14ac:dyDescent="0.2">
      <c r="A3091" t="s">
        <v>4778</v>
      </c>
      <c r="B3091" t="s">
        <v>953</v>
      </c>
      <c r="C3091">
        <v>2024</v>
      </c>
      <c r="D3091">
        <v>2024</v>
      </c>
      <c r="E3091" s="7">
        <v>45504</v>
      </c>
      <c r="F3091" s="7">
        <v>45868</v>
      </c>
      <c r="G3091" t="s">
        <v>135</v>
      </c>
      <c r="H3091" t="s">
        <v>102</v>
      </c>
      <c r="I3091" t="s">
        <v>101</v>
      </c>
      <c r="J3091">
        <v>3480.62</v>
      </c>
      <c r="K3091">
        <v>500000</v>
      </c>
    </row>
    <row r="3092" spans="1:11" ht="15" customHeight="1" x14ac:dyDescent="0.2">
      <c r="A3092" t="s">
        <v>4780</v>
      </c>
      <c r="B3092" t="s">
        <v>8844</v>
      </c>
      <c r="C3092">
        <v>2024</v>
      </c>
      <c r="D3092">
        <v>2024</v>
      </c>
      <c r="E3092" s="7">
        <v>45504</v>
      </c>
      <c r="F3092" s="7">
        <v>45868</v>
      </c>
      <c r="G3092" t="s">
        <v>135</v>
      </c>
      <c r="H3092" t="s">
        <v>109</v>
      </c>
      <c r="I3092" t="s">
        <v>101</v>
      </c>
      <c r="J3092">
        <v>77101.66</v>
      </c>
      <c r="K3092">
        <v>10000000</v>
      </c>
    </row>
    <row r="3093" spans="1:11" ht="15" customHeight="1" x14ac:dyDescent="0.2">
      <c r="A3093" t="s">
        <v>4782</v>
      </c>
      <c r="B3093" t="s">
        <v>8845</v>
      </c>
      <c r="C3093">
        <v>2024</v>
      </c>
      <c r="D3093">
        <v>2024</v>
      </c>
      <c r="E3093" s="7">
        <v>45504</v>
      </c>
      <c r="F3093" s="7">
        <v>45868</v>
      </c>
      <c r="G3093" t="s">
        <v>135</v>
      </c>
      <c r="H3093" t="s">
        <v>106</v>
      </c>
      <c r="I3093" t="s">
        <v>101</v>
      </c>
      <c r="J3093">
        <v>12649.2</v>
      </c>
      <c r="K3093">
        <v>1500000</v>
      </c>
    </row>
    <row r="3094" spans="1:11" ht="15" customHeight="1" x14ac:dyDescent="0.2">
      <c r="A3094" t="s">
        <v>4783</v>
      </c>
      <c r="B3094" t="s">
        <v>362</v>
      </c>
      <c r="C3094">
        <v>2024</v>
      </c>
      <c r="D3094">
        <v>2024</v>
      </c>
      <c r="E3094" s="7">
        <v>45504</v>
      </c>
      <c r="F3094" s="7">
        <v>45868</v>
      </c>
      <c r="G3094" t="s">
        <v>135</v>
      </c>
      <c r="H3094" t="s">
        <v>109</v>
      </c>
      <c r="I3094" t="s">
        <v>101</v>
      </c>
      <c r="J3094">
        <v>68983.78</v>
      </c>
      <c r="K3094">
        <v>10000000</v>
      </c>
    </row>
    <row r="3095" spans="1:11" ht="15" customHeight="1" x14ac:dyDescent="0.2">
      <c r="A3095" t="s">
        <v>4785</v>
      </c>
      <c r="B3095" t="s">
        <v>6847</v>
      </c>
      <c r="C3095">
        <v>2024</v>
      </c>
      <c r="D3095">
        <v>2024</v>
      </c>
      <c r="E3095" s="7">
        <v>45504</v>
      </c>
      <c r="F3095" s="7">
        <v>45868</v>
      </c>
      <c r="G3095" t="s">
        <v>135</v>
      </c>
      <c r="H3095" t="s">
        <v>106</v>
      </c>
      <c r="I3095" t="s">
        <v>104</v>
      </c>
      <c r="J3095">
        <v>10015.98</v>
      </c>
      <c r="K3095">
        <v>1500000</v>
      </c>
    </row>
    <row r="3096" spans="1:11" ht="15" customHeight="1" x14ac:dyDescent="0.2">
      <c r="A3096" t="s">
        <v>4787</v>
      </c>
      <c r="B3096" t="s">
        <v>8846</v>
      </c>
      <c r="C3096">
        <v>2024</v>
      </c>
      <c r="D3096">
        <v>2024</v>
      </c>
      <c r="E3096" s="7">
        <v>45504</v>
      </c>
      <c r="F3096" s="7">
        <v>45868</v>
      </c>
      <c r="G3096" t="s">
        <v>135</v>
      </c>
      <c r="H3096" t="s">
        <v>102</v>
      </c>
      <c r="I3096" t="s">
        <v>104</v>
      </c>
      <c r="J3096">
        <v>3136.09</v>
      </c>
      <c r="K3096">
        <v>500000</v>
      </c>
    </row>
    <row r="3097" spans="1:11" ht="15" customHeight="1" x14ac:dyDescent="0.2">
      <c r="A3097" t="s">
        <v>4789</v>
      </c>
      <c r="B3097" t="s">
        <v>8847</v>
      </c>
      <c r="C3097">
        <v>2024</v>
      </c>
      <c r="D3097">
        <v>2024</v>
      </c>
      <c r="E3097" s="7">
        <v>45504</v>
      </c>
      <c r="F3097" s="7">
        <v>45868</v>
      </c>
      <c r="G3097" t="s">
        <v>135</v>
      </c>
      <c r="H3097" t="s">
        <v>108</v>
      </c>
      <c r="I3097" t="s">
        <v>104</v>
      </c>
      <c r="J3097">
        <v>6915.14</v>
      </c>
      <c r="K3097">
        <v>1000000</v>
      </c>
    </row>
    <row r="3098" spans="1:11" ht="15" customHeight="1" x14ac:dyDescent="0.2">
      <c r="A3098" t="s">
        <v>4790</v>
      </c>
      <c r="B3098" t="s">
        <v>6816</v>
      </c>
      <c r="C3098">
        <v>2024</v>
      </c>
      <c r="D3098">
        <v>2024</v>
      </c>
      <c r="E3098" s="7">
        <v>45504</v>
      </c>
      <c r="F3098" s="7">
        <v>45868</v>
      </c>
      <c r="G3098" t="s">
        <v>135</v>
      </c>
      <c r="H3098" t="s">
        <v>106</v>
      </c>
      <c r="I3098" t="s">
        <v>101</v>
      </c>
      <c r="J3098">
        <v>17319.71</v>
      </c>
      <c r="K3098">
        <v>2000000</v>
      </c>
    </row>
    <row r="3099" spans="1:11" ht="15" customHeight="1" x14ac:dyDescent="0.2">
      <c r="A3099" t="s">
        <v>4791</v>
      </c>
      <c r="B3099" t="s">
        <v>6846</v>
      </c>
      <c r="C3099">
        <v>2024</v>
      </c>
      <c r="D3099">
        <v>2024</v>
      </c>
      <c r="E3099" s="7">
        <v>45504</v>
      </c>
      <c r="F3099" s="7">
        <v>45868</v>
      </c>
      <c r="G3099" t="s">
        <v>135</v>
      </c>
      <c r="H3099" t="s">
        <v>107</v>
      </c>
      <c r="I3099" t="s">
        <v>101</v>
      </c>
      <c r="J3099">
        <v>65843.88</v>
      </c>
      <c r="K3099">
        <v>10000000</v>
      </c>
    </row>
    <row r="3100" spans="1:11" ht="15" customHeight="1" x14ac:dyDescent="0.2">
      <c r="A3100" t="s">
        <v>4792</v>
      </c>
      <c r="B3100" t="s">
        <v>8848</v>
      </c>
      <c r="C3100">
        <v>2024</v>
      </c>
      <c r="D3100">
        <v>2024</v>
      </c>
      <c r="E3100" s="7">
        <v>45504</v>
      </c>
      <c r="F3100" s="7">
        <v>45868</v>
      </c>
      <c r="G3100" t="s">
        <v>135</v>
      </c>
      <c r="H3100" t="s">
        <v>102</v>
      </c>
      <c r="I3100" t="s">
        <v>104</v>
      </c>
      <c r="J3100">
        <v>11156.18</v>
      </c>
      <c r="K3100">
        <v>2000000</v>
      </c>
    </row>
    <row r="3101" spans="1:11" ht="15" customHeight="1" x14ac:dyDescent="0.2">
      <c r="A3101" t="s">
        <v>4793</v>
      </c>
      <c r="B3101" t="s">
        <v>3564</v>
      </c>
      <c r="C3101">
        <v>2024</v>
      </c>
      <c r="D3101">
        <v>2024</v>
      </c>
      <c r="E3101" s="7">
        <v>45505</v>
      </c>
      <c r="F3101" s="7">
        <v>45869</v>
      </c>
      <c r="G3101" t="s">
        <v>99</v>
      </c>
      <c r="H3101" t="s">
        <v>107</v>
      </c>
      <c r="I3101" t="s">
        <v>104</v>
      </c>
      <c r="J3101">
        <v>5945.65</v>
      </c>
      <c r="K3101">
        <v>1000000</v>
      </c>
    </row>
    <row r="3102" spans="1:11" ht="15" customHeight="1" x14ac:dyDescent="0.2">
      <c r="A3102" t="s">
        <v>4794</v>
      </c>
      <c r="B3102" t="s">
        <v>3566</v>
      </c>
      <c r="C3102">
        <v>2024</v>
      </c>
      <c r="D3102">
        <v>2024</v>
      </c>
      <c r="E3102" s="7">
        <v>45505</v>
      </c>
      <c r="F3102" s="7">
        <v>45869</v>
      </c>
      <c r="G3102" t="s">
        <v>99</v>
      </c>
      <c r="H3102" t="s">
        <v>108</v>
      </c>
      <c r="I3102" t="s">
        <v>104</v>
      </c>
      <c r="J3102">
        <v>10514.25</v>
      </c>
      <c r="K3102">
        <v>1500000</v>
      </c>
    </row>
    <row r="3103" spans="1:11" ht="15" customHeight="1" x14ac:dyDescent="0.2">
      <c r="A3103" t="s">
        <v>4795</v>
      </c>
      <c r="B3103" t="s">
        <v>3568</v>
      </c>
      <c r="C3103">
        <v>2024</v>
      </c>
      <c r="D3103">
        <v>2024</v>
      </c>
      <c r="E3103" s="7">
        <v>45505</v>
      </c>
      <c r="F3103" s="7">
        <v>45869</v>
      </c>
      <c r="G3103" t="s">
        <v>99</v>
      </c>
      <c r="H3103" t="s">
        <v>102</v>
      </c>
      <c r="I3103" t="s">
        <v>101</v>
      </c>
      <c r="J3103">
        <v>32427.279999999999</v>
      </c>
      <c r="K3103">
        <v>5000000</v>
      </c>
    </row>
    <row r="3104" spans="1:11" ht="15" customHeight="1" x14ac:dyDescent="0.2">
      <c r="A3104" t="s">
        <v>4797</v>
      </c>
      <c r="B3104" t="s">
        <v>3579</v>
      </c>
      <c r="C3104">
        <v>2024</v>
      </c>
      <c r="D3104">
        <v>2024</v>
      </c>
      <c r="E3104" s="7">
        <v>45505</v>
      </c>
      <c r="F3104" s="7">
        <v>45869</v>
      </c>
      <c r="G3104" t="s">
        <v>99</v>
      </c>
      <c r="H3104" t="s">
        <v>113</v>
      </c>
      <c r="I3104" t="s">
        <v>101</v>
      </c>
      <c r="J3104">
        <v>15187.61</v>
      </c>
      <c r="K3104">
        <v>2000000</v>
      </c>
    </row>
    <row r="3105" spans="1:11" ht="15" customHeight="1" x14ac:dyDescent="0.2">
      <c r="A3105" t="s">
        <v>4799</v>
      </c>
      <c r="B3105" t="s">
        <v>3581</v>
      </c>
      <c r="C3105">
        <v>2024</v>
      </c>
      <c r="D3105">
        <v>2024</v>
      </c>
      <c r="E3105" s="7">
        <v>45505</v>
      </c>
      <c r="F3105" s="7">
        <v>45869</v>
      </c>
      <c r="G3105" t="s">
        <v>99</v>
      </c>
      <c r="H3105" t="s">
        <v>102</v>
      </c>
      <c r="I3105" t="s">
        <v>104</v>
      </c>
      <c r="J3105">
        <v>31346.34</v>
      </c>
      <c r="K3105">
        <v>5000000</v>
      </c>
    </row>
    <row r="3106" spans="1:11" ht="15" customHeight="1" x14ac:dyDescent="0.2">
      <c r="A3106" t="s">
        <v>4802</v>
      </c>
      <c r="B3106" t="s">
        <v>955</v>
      </c>
      <c r="C3106">
        <v>2024</v>
      </c>
      <c r="D3106">
        <v>2024</v>
      </c>
      <c r="E3106" s="7">
        <v>45505</v>
      </c>
      <c r="F3106" s="7">
        <v>45869</v>
      </c>
      <c r="G3106" t="s">
        <v>135</v>
      </c>
      <c r="H3106" t="s">
        <v>106</v>
      </c>
      <c r="I3106" t="s">
        <v>101</v>
      </c>
      <c r="J3106">
        <v>18970.14</v>
      </c>
      <c r="K3106">
        <v>2000000</v>
      </c>
    </row>
    <row r="3107" spans="1:11" ht="15" customHeight="1" x14ac:dyDescent="0.2">
      <c r="A3107" t="s">
        <v>4804</v>
      </c>
      <c r="B3107" t="s">
        <v>954</v>
      </c>
      <c r="C3107">
        <v>2024</v>
      </c>
      <c r="D3107">
        <v>2024</v>
      </c>
      <c r="E3107" s="7">
        <v>45505</v>
      </c>
      <c r="F3107" s="7">
        <v>45869</v>
      </c>
      <c r="G3107" t="s">
        <v>135</v>
      </c>
      <c r="H3107" t="s">
        <v>107</v>
      </c>
      <c r="I3107" t="s">
        <v>104</v>
      </c>
      <c r="J3107">
        <v>5714.08</v>
      </c>
      <c r="K3107">
        <v>1000000</v>
      </c>
    </row>
    <row r="3108" spans="1:11" ht="15" customHeight="1" x14ac:dyDescent="0.2">
      <c r="A3108" t="s">
        <v>4806</v>
      </c>
      <c r="B3108" t="s">
        <v>8849</v>
      </c>
      <c r="C3108">
        <v>2024</v>
      </c>
      <c r="D3108">
        <v>2024</v>
      </c>
      <c r="E3108" s="7">
        <v>45505</v>
      </c>
      <c r="F3108" s="7">
        <v>45869</v>
      </c>
      <c r="G3108" t="s">
        <v>135</v>
      </c>
      <c r="H3108" t="s">
        <v>115</v>
      </c>
      <c r="I3108" t="s">
        <v>101</v>
      </c>
      <c r="J3108">
        <v>36951.47</v>
      </c>
      <c r="K3108">
        <v>5000000</v>
      </c>
    </row>
    <row r="3109" spans="1:11" ht="15" customHeight="1" x14ac:dyDescent="0.2">
      <c r="A3109" t="s">
        <v>4807</v>
      </c>
      <c r="B3109" t="s">
        <v>8850</v>
      </c>
      <c r="C3109">
        <v>2024</v>
      </c>
      <c r="D3109">
        <v>2024</v>
      </c>
      <c r="E3109" s="7">
        <v>45505</v>
      </c>
      <c r="F3109" s="7">
        <v>45869</v>
      </c>
      <c r="G3109" t="s">
        <v>135</v>
      </c>
      <c r="H3109" t="s">
        <v>102</v>
      </c>
      <c r="I3109" t="s">
        <v>101</v>
      </c>
      <c r="J3109">
        <v>3324.36</v>
      </c>
      <c r="K3109">
        <v>500000</v>
      </c>
    </row>
    <row r="3110" spans="1:11" ht="15" customHeight="1" x14ac:dyDescent="0.2">
      <c r="A3110" t="s">
        <v>4808</v>
      </c>
      <c r="B3110" t="s">
        <v>6858</v>
      </c>
      <c r="C3110">
        <v>2024</v>
      </c>
      <c r="D3110">
        <v>2024</v>
      </c>
      <c r="E3110" s="7">
        <v>45505</v>
      </c>
      <c r="F3110" s="7">
        <v>45869</v>
      </c>
      <c r="G3110" t="s">
        <v>135</v>
      </c>
      <c r="H3110" t="s">
        <v>102</v>
      </c>
      <c r="I3110" t="s">
        <v>104</v>
      </c>
      <c r="J3110">
        <v>11122.2</v>
      </c>
      <c r="K3110">
        <v>2000000</v>
      </c>
    </row>
    <row r="3111" spans="1:11" ht="15" customHeight="1" x14ac:dyDescent="0.2">
      <c r="A3111" t="s">
        <v>4809</v>
      </c>
      <c r="B3111" t="s">
        <v>8851</v>
      </c>
      <c r="C3111">
        <v>2024</v>
      </c>
      <c r="D3111">
        <v>2024</v>
      </c>
      <c r="E3111" s="7">
        <v>45505</v>
      </c>
      <c r="F3111" s="7">
        <v>45869</v>
      </c>
      <c r="G3111" t="s">
        <v>135</v>
      </c>
      <c r="H3111" t="s">
        <v>103</v>
      </c>
      <c r="I3111" t="s">
        <v>101</v>
      </c>
      <c r="J3111">
        <v>37922.68</v>
      </c>
      <c r="K3111">
        <v>5000000</v>
      </c>
    </row>
    <row r="3112" spans="1:11" ht="15" customHeight="1" x14ac:dyDescent="0.2">
      <c r="A3112" t="s">
        <v>4810</v>
      </c>
      <c r="B3112" t="s">
        <v>8852</v>
      </c>
      <c r="C3112">
        <v>2024</v>
      </c>
      <c r="D3112">
        <v>2024</v>
      </c>
      <c r="E3112" s="7">
        <v>45505</v>
      </c>
      <c r="F3112" s="7">
        <v>45869</v>
      </c>
      <c r="G3112" t="s">
        <v>135</v>
      </c>
      <c r="H3112" t="s">
        <v>113</v>
      </c>
      <c r="I3112" t="s">
        <v>101</v>
      </c>
      <c r="J3112">
        <v>10372.57</v>
      </c>
      <c r="K3112">
        <v>1500000</v>
      </c>
    </row>
    <row r="3113" spans="1:11" ht="15" customHeight="1" x14ac:dyDescent="0.2">
      <c r="A3113" t="s">
        <v>4811</v>
      </c>
      <c r="B3113" t="s">
        <v>3583</v>
      </c>
      <c r="C3113">
        <v>2024</v>
      </c>
      <c r="D3113">
        <v>2024</v>
      </c>
      <c r="E3113" s="7">
        <v>45506</v>
      </c>
      <c r="F3113" s="7">
        <v>45870</v>
      </c>
      <c r="G3113" t="s">
        <v>99</v>
      </c>
      <c r="H3113" t="s">
        <v>107</v>
      </c>
      <c r="I3113" t="s">
        <v>104</v>
      </c>
      <c r="J3113">
        <v>5319.39</v>
      </c>
      <c r="K3113">
        <v>1000000</v>
      </c>
    </row>
    <row r="3114" spans="1:11" ht="15" customHeight="1" x14ac:dyDescent="0.2">
      <c r="A3114" t="s">
        <v>4812</v>
      </c>
      <c r="B3114" t="s">
        <v>3595</v>
      </c>
      <c r="C3114">
        <v>2024</v>
      </c>
      <c r="D3114">
        <v>2024</v>
      </c>
      <c r="E3114" s="7">
        <v>45506</v>
      </c>
      <c r="F3114" s="7">
        <v>45870</v>
      </c>
      <c r="G3114" t="s">
        <v>99</v>
      </c>
      <c r="H3114" t="s">
        <v>6334</v>
      </c>
      <c r="I3114" t="s">
        <v>101</v>
      </c>
      <c r="J3114">
        <v>6604.27</v>
      </c>
      <c r="K3114">
        <v>1000000</v>
      </c>
    </row>
    <row r="3115" spans="1:11" ht="15" customHeight="1" x14ac:dyDescent="0.2">
      <c r="A3115" t="s">
        <v>4813</v>
      </c>
      <c r="B3115" t="s">
        <v>956</v>
      </c>
      <c r="C3115">
        <v>2024</v>
      </c>
      <c r="D3115">
        <v>2024</v>
      </c>
      <c r="E3115" s="7">
        <v>45506</v>
      </c>
      <c r="F3115" s="7">
        <v>45870</v>
      </c>
      <c r="G3115" t="s">
        <v>135</v>
      </c>
      <c r="H3115" t="s">
        <v>112</v>
      </c>
      <c r="I3115" t="s">
        <v>101</v>
      </c>
      <c r="J3115">
        <v>95055.77</v>
      </c>
      <c r="K3115">
        <v>10000000</v>
      </c>
    </row>
    <row r="3116" spans="1:11" ht="15" customHeight="1" x14ac:dyDescent="0.2">
      <c r="A3116" t="s">
        <v>4814</v>
      </c>
      <c r="B3116" t="s">
        <v>8853</v>
      </c>
      <c r="C3116">
        <v>2024</v>
      </c>
      <c r="D3116">
        <v>2024</v>
      </c>
      <c r="E3116" s="7">
        <v>45506</v>
      </c>
      <c r="F3116" s="7">
        <v>45870</v>
      </c>
      <c r="G3116" t="s">
        <v>135</v>
      </c>
      <c r="H3116" t="s">
        <v>108</v>
      </c>
      <c r="I3116" t="s">
        <v>101</v>
      </c>
      <c r="J3116">
        <v>8902.61</v>
      </c>
      <c r="K3116">
        <v>1000000</v>
      </c>
    </row>
    <row r="3117" spans="1:11" ht="15" customHeight="1" x14ac:dyDescent="0.2">
      <c r="A3117" t="s">
        <v>4815</v>
      </c>
      <c r="B3117" t="s">
        <v>8854</v>
      </c>
      <c r="C3117">
        <v>2024</v>
      </c>
      <c r="D3117">
        <v>2024</v>
      </c>
      <c r="E3117" s="7">
        <v>45506</v>
      </c>
      <c r="F3117" s="7">
        <v>45870</v>
      </c>
      <c r="G3117" t="s">
        <v>135</v>
      </c>
      <c r="H3117" t="s">
        <v>102</v>
      </c>
      <c r="I3117" t="s">
        <v>101</v>
      </c>
      <c r="J3117">
        <v>35826.400000000001</v>
      </c>
      <c r="K3117">
        <v>5000000</v>
      </c>
    </row>
    <row r="3118" spans="1:11" ht="15" customHeight="1" x14ac:dyDescent="0.2">
      <c r="A3118" t="s">
        <v>4816</v>
      </c>
      <c r="B3118" t="s">
        <v>8855</v>
      </c>
      <c r="C3118">
        <v>2024</v>
      </c>
      <c r="D3118">
        <v>2024</v>
      </c>
      <c r="E3118" s="7">
        <v>45506</v>
      </c>
      <c r="F3118" s="7">
        <v>45870</v>
      </c>
      <c r="G3118" t="s">
        <v>135</v>
      </c>
      <c r="H3118" t="s">
        <v>106</v>
      </c>
      <c r="I3118" t="s">
        <v>104</v>
      </c>
      <c r="J3118">
        <v>10343.52</v>
      </c>
      <c r="K3118">
        <v>1500000</v>
      </c>
    </row>
    <row r="3119" spans="1:11" ht="15" customHeight="1" x14ac:dyDescent="0.2">
      <c r="A3119" t="s">
        <v>4817</v>
      </c>
      <c r="B3119" t="s">
        <v>3597</v>
      </c>
      <c r="C3119">
        <v>2024</v>
      </c>
      <c r="D3119">
        <v>2024</v>
      </c>
      <c r="E3119" s="7">
        <v>45507</v>
      </c>
      <c r="F3119" s="7">
        <v>45871</v>
      </c>
      <c r="G3119" t="s">
        <v>99</v>
      </c>
      <c r="H3119" t="s">
        <v>106</v>
      </c>
      <c r="I3119" t="s">
        <v>101</v>
      </c>
      <c r="J3119">
        <v>81124.160000000003</v>
      </c>
      <c r="K3119">
        <v>10000000</v>
      </c>
    </row>
    <row r="3120" spans="1:11" ht="15" customHeight="1" x14ac:dyDescent="0.2">
      <c r="A3120" t="s">
        <v>4818</v>
      </c>
      <c r="B3120" t="s">
        <v>3599</v>
      </c>
      <c r="C3120">
        <v>2024</v>
      </c>
      <c r="D3120">
        <v>2024</v>
      </c>
      <c r="E3120" s="7">
        <v>45507</v>
      </c>
      <c r="F3120" s="7">
        <v>45871</v>
      </c>
      <c r="G3120" t="s">
        <v>99</v>
      </c>
      <c r="H3120" t="s">
        <v>105</v>
      </c>
      <c r="I3120" t="s">
        <v>104</v>
      </c>
      <c r="J3120">
        <v>10513.3</v>
      </c>
      <c r="K3120">
        <v>2000000</v>
      </c>
    </row>
    <row r="3121" spans="1:11" ht="15" customHeight="1" x14ac:dyDescent="0.2">
      <c r="A3121" t="s">
        <v>4819</v>
      </c>
      <c r="B3121" t="s">
        <v>3601</v>
      </c>
      <c r="C3121">
        <v>2024</v>
      </c>
      <c r="D3121">
        <v>2024</v>
      </c>
      <c r="E3121" s="7">
        <v>45507</v>
      </c>
      <c r="F3121" s="7">
        <v>45871</v>
      </c>
      <c r="G3121" t="s">
        <v>99</v>
      </c>
      <c r="H3121" t="s">
        <v>106</v>
      </c>
      <c r="I3121" t="s">
        <v>101</v>
      </c>
      <c r="J3121">
        <v>46633.67</v>
      </c>
      <c r="K3121">
        <v>5000000</v>
      </c>
    </row>
    <row r="3122" spans="1:11" ht="15" customHeight="1" x14ac:dyDescent="0.2">
      <c r="A3122" t="s">
        <v>4821</v>
      </c>
      <c r="B3122" t="s">
        <v>3613</v>
      </c>
      <c r="C3122">
        <v>2024</v>
      </c>
      <c r="D3122">
        <v>2024</v>
      </c>
      <c r="E3122" s="7">
        <v>45507</v>
      </c>
      <c r="F3122" s="7">
        <v>45871</v>
      </c>
      <c r="G3122" t="s">
        <v>99</v>
      </c>
      <c r="H3122" t="s">
        <v>106</v>
      </c>
      <c r="I3122" t="s">
        <v>104</v>
      </c>
      <c r="J3122">
        <v>14952.1</v>
      </c>
      <c r="K3122">
        <v>2000000</v>
      </c>
    </row>
    <row r="3123" spans="1:11" ht="15" customHeight="1" x14ac:dyDescent="0.2">
      <c r="A3123" t="s">
        <v>4823</v>
      </c>
      <c r="B3123" t="s">
        <v>3615</v>
      </c>
      <c r="C3123">
        <v>2024</v>
      </c>
      <c r="D3123">
        <v>2024</v>
      </c>
      <c r="E3123" s="7">
        <v>45507</v>
      </c>
      <c r="F3123" s="7">
        <v>45871</v>
      </c>
      <c r="G3123" t="s">
        <v>99</v>
      </c>
      <c r="H3123" t="s">
        <v>108</v>
      </c>
      <c r="I3123" t="s">
        <v>101</v>
      </c>
      <c r="J3123">
        <v>12225.97</v>
      </c>
      <c r="K3123">
        <v>1500000</v>
      </c>
    </row>
    <row r="3124" spans="1:11" ht="15" customHeight="1" x14ac:dyDescent="0.2">
      <c r="A3124" t="s">
        <v>4825</v>
      </c>
      <c r="B3124" t="s">
        <v>6937</v>
      </c>
      <c r="C3124">
        <v>2024</v>
      </c>
      <c r="D3124">
        <v>2024</v>
      </c>
      <c r="E3124" s="7">
        <v>45507</v>
      </c>
      <c r="F3124" s="7">
        <v>45871</v>
      </c>
      <c r="G3124" t="s">
        <v>135</v>
      </c>
      <c r="H3124" t="s">
        <v>106</v>
      </c>
      <c r="I3124" t="s">
        <v>104</v>
      </c>
      <c r="J3124">
        <v>37273.47</v>
      </c>
      <c r="K3124">
        <v>5000000</v>
      </c>
    </row>
    <row r="3125" spans="1:11" ht="15" customHeight="1" x14ac:dyDescent="0.2">
      <c r="A3125" t="s">
        <v>4827</v>
      </c>
      <c r="B3125" t="s">
        <v>8856</v>
      </c>
      <c r="C3125">
        <v>2024</v>
      </c>
      <c r="D3125">
        <v>2024</v>
      </c>
      <c r="E3125" s="7">
        <v>45507</v>
      </c>
      <c r="F3125" s="7">
        <v>45871</v>
      </c>
      <c r="G3125" t="s">
        <v>135</v>
      </c>
      <c r="H3125" t="s">
        <v>102</v>
      </c>
      <c r="I3125" t="s">
        <v>101</v>
      </c>
      <c r="J3125">
        <v>11661.62</v>
      </c>
      <c r="K3125">
        <v>1500000</v>
      </c>
    </row>
    <row r="3126" spans="1:11" ht="15" customHeight="1" x14ac:dyDescent="0.2">
      <c r="A3126" t="s">
        <v>4829</v>
      </c>
      <c r="B3126" t="s">
        <v>8857</v>
      </c>
      <c r="C3126">
        <v>2024</v>
      </c>
      <c r="D3126">
        <v>2024</v>
      </c>
      <c r="E3126" s="7">
        <v>45507</v>
      </c>
      <c r="F3126" s="7">
        <v>45871</v>
      </c>
      <c r="G3126" t="s">
        <v>135</v>
      </c>
      <c r="H3126" t="s">
        <v>110</v>
      </c>
      <c r="I3126" t="s">
        <v>104</v>
      </c>
      <c r="J3126">
        <v>10631.37</v>
      </c>
      <c r="K3126">
        <v>1500000</v>
      </c>
    </row>
    <row r="3127" spans="1:11" ht="15" customHeight="1" x14ac:dyDescent="0.2">
      <c r="A3127" t="s">
        <v>4830</v>
      </c>
      <c r="B3127" t="s">
        <v>578</v>
      </c>
      <c r="C3127">
        <v>2024</v>
      </c>
      <c r="D3127">
        <v>2024</v>
      </c>
      <c r="E3127" s="7">
        <v>45507</v>
      </c>
      <c r="F3127" s="7">
        <v>45871</v>
      </c>
      <c r="G3127" t="s">
        <v>135</v>
      </c>
      <c r="H3127" t="s">
        <v>103</v>
      </c>
      <c r="I3127" t="s">
        <v>104</v>
      </c>
      <c r="J3127">
        <v>5556.06</v>
      </c>
      <c r="K3127">
        <v>1000000</v>
      </c>
    </row>
    <row r="3128" spans="1:11" ht="15" customHeight="1" x14ac:dyDescent="0.2">
      <c r="A3128" t="s">
        <v>4831</v>
      </c>
      <c r="B3128" t="s">
        <v>8858</v>
      </c>
      <c r="C3128">
        <v>2024</v>
      </c>
      <c r="D3128">
        <v>2024</v>
      </c>
      <c r="E3128" s="7">
        <v>45507</v>
      </c>
      <c r="F3128" s="7">
        <v>45871</v>
      </c>
      <c r="G3128" t="s">
        <v>135</v>
      </c>
      <c r="H3128" t="s">
        <v>109</v>
      </c>
      <c r="I3128" t="s">
        <v>101</v>
      </c>
      <c r="J3128">
        <v>11603.35</v>
      </c>
      <c r="K3128">
        <v>1500000</v>
      </c>
    </row>
    <row r="3129" spans="1:11" ht="15" customHeight="1" x14ac:dyDescent="0.2">
      <c r="A3129" t="s">
        <v>4832</v>
      </c>
      <c r="B3129" t="s">
        <v>579</v>
      </c>
      <c r="C3129">
        <v>2024</v>
      </c>
      <c r="D3129">
        <v>2024</v>
      </c>
      <c r="E3129" s="7">
        <v>45507</v>
      </c>
      <c r="F3129" s="7">
        <v>45871</v>
      </c>
      <c r="G3129" t="s">
        <v>135</v>
      </c>
      <c r="H3129" t="s">
        <v>6337</v>
      </c>
      <c r="I3129" t="s">
        <v>101</v>
      </c>
      <c r="J3129">
        <v>39327.68</v>
      </c>
      <c r="K3129">
        <v>5000000</v>
      </c>
    </row>
    <row r="3130" spans="1:11" ht="15" customHeight="1" x14ac:dyDescent="0.2">
      <c r="A3130" t="s">
        <v>4833</v>
      </c>
      <c r="B3130" t="s">
        <v>957</v>
      </c>
      <c r="C3130">
        <v>2024</v>
      </c>
      <c r="D3130">
        <v>2024</v>
      </c>
      <c r="E3130" s="7">
        <v>45507</v>
      </c>
      <c r="F3130" s="7">
        <v>45871</v>
      </c>
      <c r="G3130" t="s">
        <v>135</v>
      </c>
      <c r="H3130" t="s">
        <v>110</v>
      </c>
      <c r="I3130" t="s">
        <v>104</v>
      </c>
      <c r="J3130">
        <v>7015.41</v>
      </c>
      <c r="K3130">
        <v>1000000</v>
      </c>
    </row>
    <row r="3131" spans="1:11" ht="15" customHeight="1" x14ac:dyDescent="0.2">
      <c r="A3131" t="s">
        <v>4834</v>
      </c>
      <c r="B3131" t="s">
        <v>8859</v>
      </c>
      <c r="C3131">
        <v>2024</v>
      </c>
      <c r="D3131">
        <v>2024</v>
      </c>
      <c r="E3131" s="7">
        <v>45507</v>
      </c>
      <c r="F3131" s="7">
        <v>45871</v>
      </c>
      <c r="G3131" t="s">
        <v>135</v>
      </c>
      <c r="H3131" t="s">
        <v>106</v>
      </c>
      <c r="I3131" t="s">
        <v>101</v>
      </c>
      <c r="J3131">
        <v>17428.939999999999</v>
      </c>
      <c r="K3131">
        <v>2000000</v>
      </c>
    </row>
    <row r="3132" spans="1:11" ht="15" customHeight="1" x14ac:dyDescent="0.2">
      <c r="A3132" t="s">
        <v>4835</v>
      </c>
      <c r="B3132" t="s">
        <v>6862</v>
      </c>
      <c r="C3132">
        <v>2024</v>
      </c>
      <c r="D3132">
        <v>2024</v>
      </c>
      <c r="E3132" s="7">
        <v>45507</v>
      </c>
      <c r="F3132" s="7">
        <v>45871</v>
      </c>
      <c r="G3132" t="s">
        <v>135</v>
      </c>
      <c r="H3132" t="s">
        <v>100</v>
      </c>
      <c r="I3132" t="s">
        <v>104</v>
      </c>
      <c r="J3132">
        <v>60307.11</v>
      </c>
      <c r="K3132">
        <v>10000000</v>
      </c>
    </row>
    <row r="3133" spans="1:11" ht="15" customHeight="1" x14ac:dyDescent="0.2">
      <c r="A3133" t="s">
        <v>4837</v>
      </c>
      <c r="B3133" t="s">
        <v>6819</v>
      </c>
      <c r="C3133">
        <v>2024</v>
      </c>
      <c r="D3133">
        <v>2024</v>
      </c>
      <c r="E3133" s="7">
        <v>45507</v>
      </c>
      <c r="F3133" s="7">
        <v>45871</v>
      </c>
      <c r="G3133" t="s">
        <v>135</v>
      </c>
      <c r="H3133" t="s">
        <v>108</v>
      </c>
      <c r="I3133" t="s">
        <v>101</v>
      </c>
      <c r="J3133">
        <v>17964.490000000002</v>
      </c>
      <c r="K3133">
        <v>2000000</v>
      </c>
    </row>
    <row r="3134" spans="1:11" ht="15" customHeight="1" x14ac:dyDescent="0.2">
      <c r="A3134" t="s">
        <v>4839</v>
      </c>
      <c r="B3134" t="s">
        <v>164</v>
      </c>
      <c r="C3134">
        <v>2024</v>
      </c>
      <c r="D3134">
        <v>2024</v>
      </c>
      <c r="E3134" s="7">
        <v>45507</v>
      </c>
      <c r="F3134" s="7">
        <v>45871</v>
      </c>
      <c r="G3134" t="s">
        <v>135</v>
      </c>
      <c r="H3134" t="s">
        <v>106</v>
      </c>
      <c r="I3134" t="s">
        <v>101</v>
      </c>
      <c r="J3134">
        <v>12267.23</v>
      </c>
      <c r="K3134">
        <v>1500000</v>
      </c>
    </row>
    <row r="3135" spans="1:11" ht="15" customHeight="1" x14ac:dyDescent="0.2">
      <c r="A3135" t="s">
        <v>4840</v>
      </c>
      <c r="B3135" t="s">
        <v>163</v>
      </c>
      <c r="C3135">
        <v>2024</v>
      </c>
      <c r="D3135">
        <v>2024</v>
      </c>
      <c r="E3135" s="7">
        <v>45507</v>
      </c>
      <c r="F3135" s="7">
        <v>45871</v>
      </c>
      <c r="G3135" t="s">
        <v>135</v>
      </c>
      <c r="H3135" t="s">
        <v>106</v>
      </c>
      <c r="I3135" t="s">
        <v>101</v>
      </c>
      <c r="J3135">
        <v>47130.39</v>
      </c>
      <c r="K3135">
        <v>5000000</v>
      </c>
    </row>
    <row r="3136" spans="1:11" ht="15" customHeight="1" x14ac:dyDescent="0.2">
      <c r="A3136" t="s">
        <v>4841</v>
      </c>
      <c r="B3136" t="s">
        <v>3617</v>
      </c>
      <c r="C3136">
        <v>2024</v>
      </c>
      <c r="D3136">
        <v>2024</v>
      </c>
      <c r="E3136" s="7">
        <v>45508</v>
      </c>
      <c r="F3136" s="7">
        <v>45872</v>
      </c>
      <c r="G3136" t="s">
        <v>99</v>
      </c>
      <c r="H3136" t="s">
        <v>114</v>
      </c>
      <c r="I3136" t="s">
        <v>104</v>
      </c>
      <c r="J3136">
        <v>11247.14</v>
      </c>
      <c r="K3136">
        <v>2000000</v>
      </c>
    </row>
    <row r="3137" spans="1:11" ht="15" customHeight="1" x14ac:dyDescent="0.2">
      <c r="A3137" t="s">
        <v>4842</v>
      </c>
      <c r="B3137" t="s">
        <v>8860</v>
      </c>
      <c r="C3137">
        <v>2024</v>
      </c>
      <c r="D3137">
        <v>2024</v>
      </c>
      <c r="E3137" s="7">
        <v>45508</v>
      </c>
      <c r="F3137" s="7">
        <v>45872</v>
      </c>
      <c r="G3137" t="s">
        <v>135</v>
      </c>
      <c r="H3137" t="s">
        <v>107</v>
      </c>
      <c r="I3137" t="s">
        <v>104</v>
      </c>
      <c r="J3137">
        <v>10477.83</v>
      </c>
      <c r="K3137">
        <v>2000000</v>
      </c>
    </row>
    <row r="3138" spans="1:11" ht="15" customHeight="1" x14ac:dyDescent="0.2">
      <c r="A3138" t="s">
        <v>4843</v>
      </c>
      <c r="B3138" t="s">
        <v>581</v>
      </c>
      <c r="C3138">
        <v>2024</v>
      </c>
      <c r="D3138">
        <v>2024</v>
      </c>
      <c r="E3138" s="7">
        <v>45508</v>
      </c>
      <c r="F3138" s="7">
        <v>45872</v>
      </c>
      <c r="G3138" t="s">
        <v>135</v>
      </c>
      <c r="H3138" t="s">
        <v>107</v>
      </c>
      <c r="I3138" t="s">
        <v>101</v>
      </c>
      <c r="J3138">
        <v>32687.68</v>
      </c>
      <c r="K3138">
        <v>5000000</v>
      </c>
    </row>
    <row r="3139" spans="1:11" ht="15" customHeight="1" x14ac:dyDescent="0.2">
      <c r="A3139" t="s">
        <v>4844</v>
      </c>
      <c r="B3139" t="s">
        <v>8861</v>
      </c>
      <c r="C3139">
        <v>2024</v>
      </c>
      <c r="D3139">
        <v>2024</v>
      </c>
      <c r="E3139" s="7">
        <v>45508</v>
      </c>
      <c r="F3139" s="7">
        <v>45872</v>
      </c>
      <c r="G3139" t="s">
        <v>135</v>
      </c>
      <c r="H3139" t="s">
        <v>103</v>
      </c>
      <c r="I3139" t="s">
        <v>104</v>
      </c>
      <c r="J3139">
        <v>6071.52</v>
      </c>
      <c r="K3139">
        <v>1000000</v>
      </c>
    </row>
    <row r="3140" spans="1:11" ht="15" customHeight="1" x14ac:dyDescent="0.2">
      <c r="A3140" t="s">
        <v>4845</v>
      </c>
      <c r="B3140" t="s">
        <v>8862</v>
      </c>
      <c r="C3140">
        <v>2024</v>
      </c>
      <c r="D3140">
        <v>2024</v>
      </c>
      <c r="E3140" s="7">
        <v>45508</v>
      </c>
      <c r="F3140" s="7">
        <v>45872</v>
      </c>
      <c r="G3140" t="s">
        <v>135</v>
      </c>
      <c r="H3140" t="s">
        <v>102</v>
      </c>
      <c r="I3140" t="s">
        <v>101</v>
      </c>
      <c r="J3140">
        <v>37151.760000000002</v>
      </c>
      <c r="K3140">
        <v>5000000</v>
      </c>
    </row>
    <row r="3141" spans="1:11" ht="15" customHeight="1" x14ac:dyDescent="0.2">
      <c r="A3141" t="s">
        <v>4846</v>
      </c>
      <c r="B3141" t="s">
        <v>8863</v>
      </c>
      <c r="C3141">
        <v>2024</v>
      </c>
      <c r="D3141">
        <v>2024</v>
      </c>
      <c r="E3141" s="7">
        <v>45508</v>
      </c>
      <c r="F3141" s="7">
        <v>45872</v>
      </c>
      <c r="G3141" t="s">
        <v>135</v>
      </c>
      <c r="H3141" t="s">
        <v>115</v>
      </c>
      <c r="I3141" t="s">
        <v>101</v>
      </c>
      <c r="J3141">
        <v>6981.62</v>
      </c>
      <c r="K3141">
        <v>1000000</v>
      </c>
    </row>
    <row r="3142" spans="1:11" ht="15" customHeight="1" x14ac:dyDescent="0.2">
      <c r="A3142" t="s">
        <v>4848</v>
      </c>
      <c r="B3142" t="s">
        <v>958</v>
      </c>
      <c r="C3142">
        <v>2024</v>
      </c>
      <c r="D3142">
        <v>2024</v>
      </c>
      <c r="E3142" s="7">
        <v>45508</v>
      </c>
      <c r="F3142" s="7">
        <v>45872</v>
      </c>
      <c r="G3142" t="s">
        <v>135</v>
      </c>
      <c r="H3142" t="s">
        <v>100</v>
      </c>
      <c r="I3142" t="s">
        <v>104</v>
      </c>
      <c r="J3142">
        <v>5572.99</v>
      </c>
      <c r="K3142">
        <v>1000000</v>
      </c>
    </row>
    <row r="3143" spans="1:11" ht="15" customHeight="1" x14ac:dyDescent="0.2">
      <c r="A3143" t="s">
        <v>4850</v>
      </c>
      <c r="B3143" t="s">
        <v>8864</v>
      </c>
      <c r="C3143">
        <v>2024</v>
      </c>
      <c r="D3143">
        <v>2024</v>
      </c>
      <c r="E3143" s="7">
        <v>45508</v>
      </c>
      <c r="F3143" s="7">
        <v>45872</v>
      </c>
      <c r="G3143" t="s">
        <v>135</v>
      </c>
      <c r="H3143" t="s">
        <v>108</v>
      </c>
      <c r="I3143" t="s">
        <v>104</v>
      </c>
      <c r="J3143">
        <v>7561.38</v>
      </c>
      <c r="K3143">
        <v>1000000</v>
      </c>
    </row>
    <row r="3144" spans="1:11" ht="15" customHeight="1" x14ac:dyDescent="0.2">
      <c r="A3144" t="s">
        <v>4852</v>
      </c>
      <c r="B3144" t="s">
        <v>6854</v>
      </c>
      <c r="C3144">
        <v>2024</v>
      </c>
      <c r="D3144">
        <v>2024</v>
      </c>
      <c r="E3144" s="7">
        <v>45508</v>
      </c>
      <c r="F3144" s="7">
        <v>45872</v>
      </c>
      <c r="G3144" t="s">
        <v>135</v>
      </c>
      <c r="H3144" t="s">
        <v>6348</v>
      </c>
      <c r="I3144" t="s">
        <v>104</v>
      </c>
      <c r="J3144">
        <v>12406.87</v>
      </c>
      <c r="K3144">
        <v>2000000</v>
      </c>
    </row>
    <row r="3145" spans="1:11" ht="15" customHeight="1" x14ac:dyDescent="0.2">
      <c r="A3145" t="s">
        <v>4854</v>
      </c>
      <c r="B3145" t="s">
        <v>580</v>
      </c>
      <c r="C3145">
        <v>2024</v>
      </c>
      <c r="D3145">
        <v>2024</v>
      </c>
      <c r="E3145" s="7">
        <v>45508</v>
      </c>
      <c r="F3145" s="7">
        <v>45872</v>
      </c>
      <c r="G3145" t="s">
        <v>135</v>
      </c>
      <c r="H3145" t="s">
        <v>102</v>
      </c>
      <c r="I3145" t="s">
        <v>104</v>
      </c>
      <c r="J3145">
        <v>3076.46</v>
      </c>
      <c r="K3145">
        <v>500000</v>
      </c>
    </row>
    <row r="3146" spans="1:11" ht="15" customHeight="1" x14ac:dyDescent="0.2">
      <c r="A3146" t="s">
        <v>4855</v>
      </c>
      <c r="B3146" t="s">
        <v>3619</v>
      </c>
      <c r="C3146">
        <v>2024</v>
      </c>
      <c r="D3146">
        <v>2024</v>
      </c>
      <c r="E3146" s="7">
        <v>45509</v>
      </c>
      <c r="F3146" s="7">
        <v>45873</v>
      </c>
      <c r="G3146" t="s">
        <v>99</v>
      </c>
      <c r="H3146" t="s">
        <v>102</v>
      </c>
      <c r="I3146" t="s">
        <v>104</v>
      </c>
      <c r="J3146">
        <v>11902.13</v>
      </c>
      <c r="K3146">
        <v>2000000</v>
      </c>
    </row>
    <row r="3147" spans="1:11" ht="15" customHeight="1" x14ac:dyDescent="0.2">
      <c r="A3147" t="s">
        <v>4856</v>
      </c>
      <c r="B3147" t="s">
        <v>3621</v>
      </c>
      <c r="C3147">
        <v>2024</v>
      </c>
      <c r="D3147">
        <v>2024</v>
      </c>
      <c r="E3147" s="7">
        <v>45509</v>
      </c>
      <c r="F3147" s="7">
        <v>45873</v>
      </c>
      <c r="G3147" t="s">
        <v>99</v>
      </c>
      <c r="H3147" t="s">
        <v>116</v>
      </c>
      <c r="I3147" t="s">
        <v>104</v>
      </c>
      <c r="J3147">
        <v>11213.42</v>
      </c>
      <c r="K3147">
        <v>2000000</v>
      </c>
    </row>
    <row r="3148" spans="1:11" ht="15" customHeight="1" x14ac:dyDescent="0.2">
      <c r="A3148" t="s">
        <v>4857</v>
      </c>
      <c r="B3148" t="s">
        <v>3630</v>
      </c>
      <c r="C3148">
        <v>2024</v>
      </c>
      <c r="D3148">
        <v>2024</v>
      </c>
      <c r="E3148" s="7">
        <v>45509</v>
      </c>
      <c r="F3148" s="7">
        <v>45873</v>
      </c>
      <c r="G3148" t="s">
        <v>99</v>
      </c>
      <c r="H3148" t="s">
        <v>102</v>
      </c>
      <c r="I3148" t="s">
        <v>104</v>
      </c>
      <c r="J3148">
        <v>28859</v>
      </c>
      <c r="K3148">
        <v>5000000</v>
      </c>
    </row>
    <row r="3149" spans="1:11" ht="15" customHeight="1" x14ac:dyDescent="0.2">
      <c r="A3149" t="s">
        <v>4858</v>
      </c>
      <c r="B3149" t="s">
        <v>8865</v>
      </c>
      <c r="C3149">
        <v>2024</v>
      </c>
      <c r="D3149">
        <v>2024</v>
      </c>
      <c r="E3149" s="7">
        <v>45509</v>
      </c>
      <c r="F3149" s="7">
        <v>45873</v>
      </c>
      <c r="G3149" t="s">
        <v>135</v>
      </c>
      <c r="H3149" t="s">
        <v>109</v>
      </c>
      <c r="I3149" t="s">
        <v>101</v>
      </c>
      <c r="J3149">
        <v>3515.07</v>
      </c>
      <c r="K3149">
        <v>500000</v>
      </c>
    </row>
    <row r="3150" spans="1:11" ht="15" customHeight="1" x14ac:dyDescent="0.2">
      <c r="A3150" t="s">
        <v>4859</v>
      </c>
      <c r="B3150" t="s">
        <v>6939</v>
      </c>
      <c r="C3150">
        <v>2024</v>
      </c>
      <c r="D3150">
        <v>2024</v>
      </c>
      <c r="E3150" s="7">
        <v>45509</v>
      </c>
      <c r="F3150" s="7">
        <v>45873</v>
      </c>
      <c r="G3150" t="s">
        <v>135</v>
      </c>
      <c r="H3150" t="s">
        <v>106</v>
      </c>
      <c r="I3150" t="s">
        <v>104</v>
      </c>
      <c r="J3150">
        <v>7738.65</v>
      </c>
      <c r="K3150">
        <v>1000000</v>
      </c>
    </row>
    <row r="3151" spans="1:11" ht="15" customHeight="1" x14ac:dyDescent="0.2">
      <c r="A3151" t="s">
        <v>4860</v>
      </c>
      <c r="B3151" t="s">
        <v>959</v>
      </c>
      <c r="C3151">
        <v>2024</v>
      </c>
      <c r="D3151">
        <v>2024</v>
      </c>
      <c r="E3151" s="7">
        <v>45509</v>
      </c>
      <c r="F3151" s="7">
        <v>45873</v>
      </c>
      <c r="G3151" t="s">
        <v>135</v>
      </c>
      <c r="H3151" t="s">
        <v>113</v>
      </c>
      <c r="I3151" t="s">
        <v>101</v>
      </c>
      <c r="J3151">
        <v>73021.38</v>
      </c>
      <c r="K3151">
        <v>10000000</v>
      </c>
    </row>
    <row r="3152" spans="1:11" ht="15" customHeight="1" x14ac:dyDescent="0.2">
      <c r="A3152" t="s">
        <v>4862</v>
      </c>
      <c r="B3152" t="s">
        <v>6902</v>
      </c>
      <c r="C3152">
        <v>2024</v>
      </c>
      <c r="D3152">
        <v>2024</v>
      </c>
      <c r="E3152" s="7">
        <v>45509</v>
      </c>
      <c r="F3152" s="7">
        <v>45873</v>
      </c>
      <c r="G3152" t="s">
        <v>135</v>
      </c>
      <c r="H3152" t="s">
        <v>106</v>
      </c>
      <c r="I3152" t="s">
        <v>104</v>
      </c>
      <c r="J3152">
        <v>7537.81</v>
      </c>
      <c r="K3152">
        <v>1000000</v>
      </c>
    </row>
    <row r="3153" spans="1:11" ht="15" customHeight="1" x14ac:dyDescent="0.2">
      <c r="A3153" t="s">
        <v>4864</v>
      </c>
      <c r="B3153" t="s">
        <v>960</v>
      </c>
      <c r="C3153">
        <v>2024</v>
      </c>
      <c r="D3153">
        <v>2024</v>
      </c>
      <c r="E3153" s="7">
        <v>45509</v>
      </c>
      <c r="F3153" s="7">
        <v>45873</v>
      </c>
      <c r="G3153" t="s">
        <v>135</v>
      </c>
      <c r="H3153" t="s">
        <v>108</v>
      </c>
      <c r="I3153" t="s">
        <v>101</v>
      </c>
      <c r="J3153">
        <v>13436.02</v>
      </c>
      <c r="K3153">
        <v>1500000</v>
      </c>
    </row>
    <row r="3154" spans="1:11" ht="15" customHeight="1" x14ac:dyDescent="0.2">
      <c r="A3154" t="s">
        <v>4866</v>
      </c>
      <c r="B3154" t="s">
        <v>6860</v>
      </c>
      <c r="C3154">
        <v>2024</v>
      </c>
      <c r="D3154">
        <v>2024</v>
      </c>
      <c r="E3154" s="7">
        <v>45509</v>
      </c>
      <c r="F3154" s="7">
        <v>45873</v>
      </c>
      <c r="G3154" t="s">
        <v>135</v>
      </c>
      <c r="H3154" t="s">
        <v>6332</v>
      </c>
      <c r="I3154" t="s">
        <v>101</v>
      </c>
      <c r="J3154">
        <v>6670</v>
      </c>
      <c r="K3154">
        <v>1000000</v>
      </c>
    </row>
    <row r="3155" spans="1:11" ht="15" customHeight="1" x14ac:dyDescent="0.2">
      <c r="A3155" t="s">
        <v>4868</v>
      </c>
      <c r="B3155" t="s">
        <v>8866</v>
      </c>
      <c r="C3155">
        <v>2024</v>
      </c>
      <c r="D3155">
        <v>2024</v>
      </c>
      <c r="E3155" s="7">
        <v>45509</v>
      </c>
      <c r="F3155" s="7">
        <v>45873</v>
      </c>
      <c r="G3155" t="s">
        <v>135</v>
      </c>
      <c r="H3155" t="s">
        <v>108</v>
      </c>
      <c r="I3155" t="s">
        <v>101</v>
      </c>
      <c r="J3155">
        <v>12723.86</v>
      </c>
      <c r="K3155">
        <v>1500000</v>
      </c>
    </row>
    <row r="3156" spans="1:11" ht="15" customHeight="1" x14ac:dyDescent="0.2">
      <c r="A3156" t="s">
        <v>4869</v>
      </c>
      <c r="B3156" t="s">
        <v>3632</v>
      </c>
      <c r="C3156">
        <v>2024</v>
      </c>
      <c r="D3156">
        <v>2024</v>
      </c>
      <c r="E3156" s="7">
        <v>45510</v>
      </c>
      <c r="F3156" s="7">
        <v>45874</v>
      </c>
      <c r="G3156" t="s">
        <v>99</v>
      </c>
      <c r="H3156" t="s">
        <v>115</v>
      </c>
      <c r="I3156" t="s">
        <v>101</v>
      </c>
      <c r="J3156">
        <v>7217.45</v>
      </c>
      <c r="K3156">
        <v>1000000</v>
      </c>
    </row>
    <row r="3157" spans="1:11" ht="15" customHeight="1" x14ac:dyDescent="0.2">
      <c r="A3157" t="s">
        <v>4870</v>
      </c>
      <c r="B3157" t="s">
        <v>3634</v>
      </c>
      <c r="C3157">
        <v>2024</v>
      </c>
      <c r="D3157">
        <v>2024</v>
      </c>
      <c r="E3157" s="7">
        <v>45510</v>
      </c>
      <c r="F3157" s="7">
        <v>45874</v>
      </c>
      <c r="G3157" t="s">
        <v>99</v>
      </c>
      <c r="H3157" t="s">
        <v>107</v>
      </c>
      <c r="I3157" t="s">
        <v>104</v>
      </c>
      <c r="J3157">
        <v>5783.55</v>
      </c>
      <c r="K3157">
        <v>1000000</v>
      </c>
    </row>
    <row r="3158" spans="1:11" ht="15" customHeight="1" x14ac:dyDescent="0.2">
      <c r="A3158" t="s">
        <v>4871</v>
      </c>
      <c r="B3158" t="s">
        <v>8867</v>
      </c>
      <c r="C3158">
        <v>2024</v>
      </c>
      <c r="D3158">
        <v>2024</v>
      </c>
      <c r="E3158" s="7">
        <v>45510</v>
      </c>
      <c r="F3158" s="7">
        <v>45874</v>
      </c>
      <c r="G3158" t="s">
        <v>135</v>
      </c>
      <c r="H3158" t="s">
        <v>107</v>
      </c>
      <c r="I3158" t="s">
        <v>101</v>
      </c>
      <c r="J3158">
        <v>6467.22</v>
      </c>
      <c r="K3158">
        <v>1000000</v>
      </c>
    </row>
    <row r="3159" spans="1:11" ht="15" customHeight="1" x14ac:dyDescent="0.2">
      <c r="A3159" t="s">
        <v>4872</v>
      </c>
      <c r="B3159" t="s">
        <v>6870</v>
      </c>
      <c r="C3159">
        <v>2024</v>
      </c>
      <c r="D3159">
        <v>2024</v>
      </c>
      <c r="E3159" s="7">
        <v>45510</v>
      </c>
      <c r="F3159" s="7">
        <v>45874</v>
      </c>
      <c r="G3159" t="s">
        <v>135</v>
      </c>
      <c r="H3159" t="s">
        <v>102</v>
      </c>
      <c r="I3159" t="s">
        <v>101</v>
      </c>
      <c r="J3159">
        <v>33314.639999999999</v>
      </c>
      <c r="K3159">
        <v>5000000</v>
      </c>
    </row>
    <row r="3160" spans="1:11" ht="15" customHeight="1" x14ac:dyDescent="0.2">
      <c r="A3160" t="s">
        <v>4873</v>
      </c>
      <c r="B3160" t="s">
        <v>8868</v>
      </c>
      <c r="C3160">
        <v>2024</v>
      </c>
      <c r="D3160">
        <v>2024</v>
      </c>
      <c r="E3160" s="7">
        <v>45510</v>
      </c>
      <c r="F3160" s="7">
        <v>45874</v>
      </c>
      <c r="G3160" t="s">
        <v>135</v>
      </c>
      <c r="H3160" t="s">
        <v>102</v>
      </c>
      <c r="I3160" t="s">
        <v>101</v>
      </c>
      <c r="J3160">
        <v>11743.77</v>
      </c>
      <c r="K3160">
        <v>1500000</v>
      </c>
    </row>
    <row r="3161" spans="1:11" ht="15" customHeight="1" x14ac:dyDescent="0.2">
      <c r="A3161" t="s">
        <v>4874</v>
      </c>
      <c r="B3161" t="s">
        <v>6869</v>
      </c>
      <c r="C3161">
        <v>2024</v>
      </c>
      <c r="D3161">
        <v>2024</v>
      </c>
      <c r="E3161" s="7">
        <v>45510</v>
      </c>
      <c r="F3161" s="7">
        <v>45874</v>
      </c>
      <c r="G3161" t="s">
        <v>135</v>
      </c>
      <c r="H3161" t="s">
        <v>102</v>
      </c>
      <c r="I3161" t="s">
        <v>101</v>
      </c>
      <c r="J3161">
        <v>3846.58</v>
      </c>
      <c r="K3161">
        <v>500000</v>
      </c>
    </row>
    <row r="3162" spans="1:11" ht="15" customHeight="1" x14ac:dyDescent="0.2">
      <c r="A3162" t="s">
        <v>4875</v>
      </c>
      <c r="B3162" t="s">
        <v>8869</v>
      </c>
      <c r="C3162">
        <v>2024</v>
      </c>
      <c r="D3162">
        <v>2024</v>
      </c>
      <c r="E3162" s="7">
        <v>45510</v>
      </c>
      <c r="F3162" s="7">
        <v>45874</v>
      </c>
      <c r="G3162" t="s">
        <v>135</v>
      </c>
      <c r="H3162" t="s">
        <v>102</v>
      </c>
      <c r="I3162" t="s">
        <v>104</v>
      </c>
      <c r="J3162">
        <v>11013.25</v>
      </c>
      <c r="K3162">
        <v>2000000</v>
      </c>
    </row>
    <row r="3163" spans="1:11" ht="15" customHeight="1" x14ac:dyDescent="0.2">
      <c r="A3163" t="s">
        <v>4876</v>
      </c>
      <c r="B3163" t="s">
        <v>8870</v>
      </c>
      <c r="C3163">
        <v>2024</v>
      </c>
      <c r="D3163">
        <v>2024</v>
      </c>
      <c r="E3163" s="7">
        <v>45510</v>
      </c>
      <c r="F3163" s="7">
        <v>45874</v>
      </c>
      <c r="G3163" t="s">
        <v>135</v>
      </c>
      <c r="H3163" t="s">
        <v>106</v>
      </c>
      <c r="I3163" t="s">
        <v>101</v>
      </c>
      <c r="J3163">
        <v>83567.59</v>
      </c>
      <c r="K3163">
        <v>10000000</v>
      </c>
    </row>
    <row r="3164" spans="1:11" ht="15" customHeight="1" x14ac:dyDescent="0.2">
      <c r="A3164" t="s">
        <v>4877</v>
      </c>
      <c r="B3164" t="s">
        <v>6926</v>
      </c>
      <c r="C3164">
        <v>2024</v>
      </c>
      <c r="D3164">
        <v>2024</v>
      </c>
      <c r="E3164" s="7">
        <v>45510</v>
      </c>
      <c r="F3164" s="7">
        <v>45874</v>
      </c>
      <c r="G3164" t="s">
        <v>135</v>
      </c>
      <c r="H3164" t="s">
        <v>102</v>
      </c>
      <c r="I3164" t="s">
        <v>104</v>
      </c>
      <c r="J3164">
        <v>29699.02</v>
      </c>
      <c r="K3164">
        <v>5000000</v>
      </c>
    </row>
    <row r="3165" spans="1:11" ht="15" customHeight="1" x14ac:dyDescent="0.2">
      <c r="A3165" t="s">
        <v>4878</v>
      </c>
      <c r="B3165" t="s">
        <v>961</v>
      </c>
      <c r="C3165">
        <v>2024</v>
      </c>
      <c r="D3165">
        <v>2024</v>
      </c>
      <c r="E3165" s="7">
        <v>45510</v>
      </c>
      <c r="F3165" s="7">
        <v>45874</v>
      </c>
      <c r="G3165" t="s">
        <v>135</v>
      </c>
      <c r="H3165" t="s">
        <v>6337</v>
      </c>
      <c r="I3165" t="s">
        <v>101</v>
      </c>
      <c r="J3165">
        <v>13385.76</v>
      </c>
      <c r="K3165">
        <v>2000000</v>
      </c>
    </row>
    <row r="3166" spans="1:11" ht="15" customHeight="1" x14ac:dyDescent="0.2">
      <c r="A3166" t="s">
        <v>4879</v>
      </c>
      <c r="B3166" t="s">
        <v>582</v>
      </c>
      <c r="C3166">
        <v>2024</v>
      </c>
      <c r="D3166">
        <v>2024</v>
      </c>
      <c r="E3166" s="7">
        <v>45510</v>
      </c>
      <c r="F3166" s="7">
        <v>45874</v>
      </c>
      <c r="G3166" t="s">
        <v>135</v>
      </c>
      <c r="H3166" t="s">
        <v>6348</v>
      </c>
      <c r="I3166" t="s">
        <v>104</v>
      </c>
      <c r="J3166">
        <v>6079.51</v>
      </c>
      <c r="K3166">
        <v>1000000</v>
      </c>
    </row>
    <row r="3167" spans="1:11" ht="15" customHeight="1" x14ac:dyDescent="0.2">
      <c r="A3167" t="s">
        <v>4880</v>
      </c>
      <c r="B3167" t="s">
        <v>6923</v>
      </c>
      <c r="C3167">
        <v>2024</v>
      </c>
      <c r="D3167">
        <v>2024</v>
      </c>
      <c r="E3167" s="7">
        <v>45510</v>
      </c>
      <c r="F3167" s="7">
        <v>45874</v>
      </c>
      <c r="G3167" t="s">
        <v>135</v>
      </c>
      <c r="H3167" t="s">
        <v>111</v>
      </c>
      <c r="I3167" t="s">
        <v>101</v>
      </c>
      <c r="J3167">
        <v>14776.48</v>
      </c>
      <c r="K3167">
        <v>2000000</v>
      </c>
    </row>
    <row r="3168" spans="1:11" ht="15" customHeight="1" x14ac:dyDescent="0.2">
      <c r="A3168" t="s">
        <v>4881</v>
      </c>
      <c r="B3168" t="s">
        <v>8871</v>
      </c>
      <c r="C3168">
        <v>2024</v>
      </c>
      <c r="D3168">
        <v>2024</v>
      </c>
      <c r="E3168" s="7">
        <v>45510</v>
      </c>
      <c r="F3168" s="7">
        <v>45874</v>
      </c>
      <c r="G3168" t="s">
        <v>135</v>
      </c>
      <c r="H3168" t="s">
        <v>103</v>
      </c>
      <c r="I3168" t="s">
        <v>104</v>
      </c>
      <c r="J3168">
        <v>8961.7999999999993</v>
      </c>
      <c r="K3168">
        <v>1500000</v>
      </c>
    </row>
    <row r="3169" spans="1:11" ht="15" customHeight="1" x14ac:dyDescent="0.2">
      <c r="A3169" t="s">
        <v>4882</v>
      </c>
      <c r="B3169" t="s">
        <v>3636</v>
      </c>
      <c r="C3169">
        <v>2024</v>
      </c>
      <c r="D3169">
        <v>2024</v>
      </c>
      <c r="E3169" s="7">
        <v>45511</v>
      </c>
      <c r="F3169" s="7">
        <v>45875</v>
      </c>
      <c r="G3169" t="s">
        <v>99</v>
      </c>
      <c r="H3169" t="s">
        <v>107</v>
      </c>
      <c r="I3169" t="s">
        <v>101</v>
      </c>
      <c r="J3169">
        <v>11818.72</v>
      </c>
      <c r="K3169">
        <v>1500000</v>
      </c>
    </row>
    <row r="3170" spans="1:11" ht="15" customHeight="1" x14ac:dyDescent="0.2">
      <c r="A3170" t="s">
        <v>4883</v>
      </c>
      <c r="B3170" t="s">
        <v>3638</v>
      </c>
      <c r="C3170">
        <v>2024</v>
      </c>
      <c r="D3170">
        <v>2024</v>
      </c>
      <c r="E3170" s="7">
        <v>45511</v>
      </c>
      <c r="F3170" s="7">
        <v>45875</v>
      </c>
      <c r="G3170" t="s">
        <v>99</v>
      </c>
      <c r="H3170" t="s">
        <v>110</v>
      </c>
      <c r="I3170" t="s">
        <v>104</v>
      </c>
      <c r="J3170">
        <v>11681.98</v>
      </c>
      <c r="K3170">
        <v>1500000</v>
      </c>
    </row>
    <row r="3171" spans="1:11" ht="15" customHeight="1" x14ac:dyDescent="0.2">
      <c r="A3171" t="s">
        <v>4884</v>
      </c>
      <c r="B3171" t="s">
        <v>3647</v>
      </c>
      <c r="C3171">
        <v>2024</v>
      </c>
      <c r="D3171">
        <v>2024</v>
      </c>
      <c r="E3171" s="7">
        <v>45511</v>
      </c>
      <c r="F3171" s="7">
        <v>45875</v>
      </c>
      <c r="G3171" t="s">
        <v>99</v>
      </c>
      <c r="H3171" t="s">
        <v>107</v>
      </c>
      <c r="I3171" t="s">
        <v>101</v>
      </c>
      <c r="J3171">
        <v>7435.27</v>
      </c>
      <c r="K3171">
        <v>1000000</v>
      </c>
    </row>
    <row r="3172" spans="1:11" ht="15" customHeight="1" x14ac:dyDescent="0.2">
      <c r="A3172" t="s">
        <v>4885</v>
      </c>
      <c r="B3172" t="s">
        <v>8872</v>
      </c>
      <c r="C3172">
        <v>2024</v>
      </c>
      <c r="D3172">
        <v>2024</v>
      </c>
      <c r="E3172" s="7">
        <v>45511</v>
      </c>
      <c r="F3172" s="7">
        <v>45875</v>
      </c>
      <c r="G3172" t="s">
        <v>135</v>
      </c>
      <c r="H3172" t="s">
        <v>114</v>
      </c>
      <c r="I3172" t="s">
        <v>101</v>
      </c>
      <c r="J3172">
        <v>7336.43</v>
      </c>
      <c r="K3172">
        <v>1000000</v>
      </c>
    </row>
    <row r="3173" spans="1:11" ht="15" customHeight="1" x14ac:dyDescent="0.2">
      <c r="A3173" t="s">
        <v>4886</v>
      </c>
      <c r="B3173" t="s">
        <v>962</v>
      </c>
      <c r="C3173">
        <v>2024</v>
      </c>
      <c r="D3173">
        <v>2024</v>
      </c>
      <c r="E3173" s="7">
        <v>45511</v>
      </c>
      <c r="F3173" s="7">
        <v>45875</v>
      </c>
      <c r="G3173" t="s">
        <v>135</v>
      </c>
      <c r="H3173" t="s">
        <v>112</v>
      </c>
      <c r="I3173" t="s">
        <v>101</v>
      </c>
      <c r="J3173">
        <v>9317.65</v>
      </c>
      <c r="K3173">
        <v>1000000</v>
      </c>
    </row>
    <row r="3174" spans="1:11" ht="15" customHeight="1" x14ac:dyDescent="0.2">
      <c r="A3174" t="s">
        <v>4887</v>
      </c>
      <c r="B3174" t="s">
        <v>583</v>
      </c>
      <c r="C3174">
        <v>2024</v>
      </c>
      <c r="D3174">
        <v>2024</v>
      </c>
      <c r="E3174" s="7">
        <v>45511</v>
      </c>
      <c r="F3174" s="7">
        <v>45875</v>
      </c>
      <c r="G3174" t="s">
        <v>135</v>
      </c>
      <c r="H3174" t="s">
        <v>106</v>
      </c>
      <c r="I3174" t="s">
        <v>104</v>
      </c>
      <c r="J3174">
        <v>10991.25</v>
      </c>
      <c r="K3174">
        <v>1500000</v>
      </c>
    </row>
    <row r="3175" spans="1:11" ht="15" customHeight="1" x14ac:dyDescent="0.2">
      <c r="A3175" t="s">
        <v>4888</v>
      </c>
      <c r="B3175" t="s">
        <v>8873</v>
      </c>
      <c r="C3175">
        <v>2024</v>
      </c>
      <c r="D3175">
        <v>2024</v>
      </c>
      <c r="E3175" s="7">
        <v>45511</v>
      </c>
      <c r="F3175" s="7">
        <v>45875</v>
      </c>
      <c r="G3175" t="s">
        <v>135</v>
      </c>
      <c r="H3175" t="s">
        <v>108</v>
      </c>
      <c r="I3175" t="s">
        <v>104</v>
      </c>
      <c r="J3175">
        <v>10348.18</v>
      </c>
      <c r="K3175">
        <v>1500000</v>
      </c>
    </row>
    <row r="3176" spans="1:11" ht="15" customHeight="1" x14ac:dyDescent="0.2">
      <c r="A3176" t="s">
        <v>4889</v>
      </c>
      <c r="B3176" t="s">
        <v>8874</v>
      </c>
      <c r="C3176">
        <v>2024</v>
      </c>
      <c r="D3176">
        <v>2024</v>
      </c>
      <c r="E3176" s="7">
        <v>45511</v>
      </c>
      <c r="F3176" s="7">
        <v>45875</v>
      </c>
      <c r="G3176" t="s">
        <v>135</v>
      </c>
      <c r="H3176" t="s">
        <v>107</v>
      </c>
      <c r="I3176" t="s">
        <v>104</v>
      </c>
      <c r="J3176">
        <v>8904.27</v>
      </c>
      <c r="K3176">
        <v>1500000</v>
      </c>
    </row>
    <row r="3177" spans="1:11" ht="15" customHeight="1" x14ac:dyDescent="0.2">
      <c r="A3177" t="s">
        <v>4890</v>
      </c>
      <c r="B3177" t="s">
        <v>6868</v>
      </c>
      <c r="C3177">
        <v>2024</v>
      </c>
      <c r="D3177">
        <v>2024</v>
      </c>
      <c r="E3177" s="7">
        <v>45511</v>
      </c>
      <c r="F3177" s="7">
        <v>45875</v>
      </c>
      <c r="G3177" t="s">
        <v>135</v>
      </c>
      <c r="H3177" t="s">
        <v>114</v>
      </c>
      <c r="I3177" t="s">
        <v>101</v>
      </c>
      <c r="J3177">
        <v>14847.32</v>
      </c>
      <c r="K3177">
        <v>2000000</v>
      </c>
    </row>
    <row r="3178" spans="1:11" ht="15" customHeight="1" x14ac:dyDescent="0.2">
      <c r="A3178" t="s">
        <v>4891</v>
      </c>
      <c r="B3178" t="s">
        <v>8875</v>
      </c>
      <c r="C3178">
        <v>2024</v>
      </c>
      <c r="D3178">
        <v>2024</v>
      </c>
      <c r="E3178" s="7">
        <v>45511</v>
      </c>
      <c r="F3178" s="7">
        <v>45875</v>
      </c>
      <c r="G3178" t="s">
        <v>135</v>
      </c>
      <c r="H3178" t="s">
        <v>106</v>
      </c>
      <c r="I3178" t="s">
        <v>101</v>
      </c>
      <c r="J3178">
        <v>8885.6299999999992</v>
      </c>
      <c r="K3178">
        <v>1000000</v>
      </c>
    </row>
    <row r="3179" spans="1:11" ht="15" customHeight="1" x14ac:dyDescent="0.2">
      <c r="A3179" t="s">
        <v>4892</v>
      </c>
      <c r="B3179" t="s">
        <v>963</v>
      </c>
      <c r="C3179">
        <v>2024</v>
      </c>
      <c r="D3179">
        <v>2024</v>
      </c>
      <c r="E3179" s="7">
        <v>45511</v>
      </c>
      <c r="F3179" s="7">
        <v>45875</v>
      </c>
      <c r="G3179" t="s">
        <v>135</v>
      </c>
      <c r="H3179" t="s">
        <v>102</v>
      </c>
      <c r="I3179" t="s">
        <v>104</v>
      </c>
      <c r="J3179">
        <v>30156.98</v>
      </c>
      <c r="K3179">
        <v>5000000</v>
      </c>
    </row>
    <row r="3180" spans="1:11" ht="15" customHeight="1" x14ac:dyDescent="0.2">
      <c r="A3180" t="s">
        <v>4893</v>
      </c>
      <c r="B3180" t="s">
        <v>3649</v>
      </c>
      <c r="C3180">
        <v>2024</v>
      </c>
      <c r="D3180">
        <v>2024</v>
      </c>
      <c r="E3180" s="7">
        <v>45512</v>
      </c>
      <c r="F3180" s="7">
        <v>45876</v>
      </c>
      <c r="G3180" t="s">
        <v>99</v>
      </c>
      <c r="H3180" t="s">
        <v>106</v>
      </c>
      <c r="I3180" t="s">
        <v>104</v>
      </c>
      <c r="J3180">
        <v>14459.56</v>
      </c>
      <c r="K3180">
        <v>2000000</v>
      </c>
    </row>
    <row r="3181" spans="1:11" ht="15" customHeight="1" x14ac:dyDescent="0.2">
      <c r="A3181" t="s">
        <v>4894</v>
      </c>
      <c r="B3181" t="s">
        <v>3655</v>
      </c>
      <c r="C3181">
        <v>2024</v>
      </c>
      <c r="D3181">
        <v>2024</v>
      </c>
      <c r="E3181" s="7">
        <v>45512</v>
      </c>
      <c r="F3181" s="7">
        <v>45876</v>
      </c>
      <c r="G3181" t="s">
        <v>99</v>
      </c>
      <c r="H3181" t="s">
        <v>100</v>
      </c>
      <c r="I3181" t="s">
        <v>101</v>
      </c>
      <c r="J3181">
        <v>10843.71</v>
      </c>
      <c r="K3181">
        <v>1500000</v>
      </c>
    </row>
    <row r="3182" spans="1:11" ht="15" customHeight="1" x14ac:dyDescent="0.2">
      <c r="A3182" t="s">
        <v>4895</v>
      </c>
      <c r="B3182" t="s">
        <v>3657</v>
      </c>
      <c r="C3182">
        <v>2024</v>
      </c>
      <c r="D3182">
        <v>2024</v>
      </c>
      <c r="E3182" s="7">
        <v>45512</v>
      </c>
      <c r="F3182" s="7">
        <v>45876</v>
      </c>
      <c r="G3182" t="s">
        <v>99</v>
      </c>
      <c r="H3182" t="s">
        <v>109</v>
      </c>
      <c r="I3182" t="s">
        <v>104</v>
      </c>
      <c r="J3182">
        <v>10521.98</v>
      </c>
      <c r="K3182">
        <v>2000000</v>
      </c>
    </row>
    <row r="3183" spans="1:11" ht="15" customHeight="1" x14ac:dyDescent="0.2">
      <c r="A3183" t="s">
        <v>4896</v>
      </c>
      <c r="B3183" t="s">
        <v>3659</v>
      </c>
      <c r="C3183">
        <v>2024</v>
      </c>
      <c r="D3183">
        <v>2024</v>
      </c>
      <c r="E3183" s="7">
        <v>45512</v>
      </c>
      <c r="F3183" s="7">
        <v>45876</v>
      </c>
      <c r="G3183" t="s">
        <v>99</v>
      </c>
      <c r="H3183" t="s">
        <v>102</v>
      </c>
      <c r="I3183" t="s">
        <v>104</v>
      </c>
      <c r="J3183">
        <v>2968.19</v>
      </c>
      <c r="K3183">
        <v>500000</v>
      </c>
    </row>
    <row r="3184" spans="1:11" ht="15" customHeight="1" x14ac:dyDescent="0.2">
      <c r="A3184" t="s">
        <v>4897</v>
      </c>
      <c r="B3184" t="s">
        <v>6876</v>
      </c>
      <c r="C3184">
        <v>2024</v>
      </c>
      <c r="D3184">
        <v>2024</v>
      </c>
      <c r="E3184" s="7">
        <v>45512</v>
      </c>
      <c r="F3184" s="7">
        <v>45876</v>
      </c>
      <c r="G3184" t="s">
        <v>135</v>
      </c>
      <c r="H3184" t="s">
        <v>108</v>
      </c>
      <c r="I3184" t="s">
        <v>101</v>
      </c>
      <c r="J3184">
        <v>12441.13</v>
      </c>
      <c r="K3184">
        <v>1500000</v>
      </c>
    </row>
    <row r="3185" spans="1:11" ht="15" customHeight="1" x14ac:dyDescent="0.2">
      <c r="A3185" t="s">
        <v>4898</v>
      </c>
      <c r="B3185" t="s">
        <v>8876</v>
      </c>
      <c r="C3185">
        <v>2024</v>
      </c>
      <c r="D3185">
        <v>2024</v>
      </c>
      <c r="E3185" s="7">
        <v>45512</v>
      </c>
      <c r="F3185" s="7">
        <v>45876</v>
      </c>
      <c r="G3185" t="s">
        <v>135</v>
      </c>
      <c r="H3185" t="s">
        <v>108</v>
      </c>
      <c r="I3185" t="s">
        <v>101</v>
      </c>
      <c r="J3185">
        <v>514350.25</v>
      </c>
      <c r="K3185">
        <v>500000</v>
      </c>
    </row>
    <row r="3186" spans="1:11" ht="15" customHeight="1" x14ac:dyDescent="0.2">
      <c r="A3186" t="s">
        <v>4899</v>
      </c>
      <c r="B3186" t="s">
        <v>6880</v>
      </c>
      <c r="C3186">
        <v>2024</v>
      </c>
      <c r="D3186">
        <v>2024</v>
      </c>
      <c r="E3186" s="7">
        <v>45512</v>
      </c>
      <c r="F3186" s="7">
        <v>45876</v>
      </c>
      <c r="G3186" t="s">
        <v>135</v>
      </c>
      <c r="H3186" t="s">
        <v>100</v>
      </c>
      <c r="I3186" t="s">
        <v>104</v>
      </c>
      <c r="J3186">
        <v>11181.72</v>
      </c>
      <c r="K3186">
        <v>2000000</v>
      </c>
    </row>
    <row r="3187" spans="1:11" ht="15" customHeight="1" x14ac:dyDescent="0.2">
      <c r="A3187" t="s">
        <v>4900</v>
      </c>
      <c r="B3187" t="s">
        <v>8877</v>
      </c>
      <c r="C3187">
        <v>2024</v>
      </c>
      <c r="D3187">
        <v>2024</v>
      </c>
      <c r="E3187" s="7">
        <v>45512</v>
      </c>
      <c r="F3187" s="7">
        <v>45876</v>
      </c>
      <c r="G3187" t="s">
        <v>135</v>
      </c>
      <c r="H3187" t="s">
        <v>102</v>
      </c>
      <c r="I3187" t="s">
        <v>104</v>
      </c>
      <c r="J3187">
        <v>8595.73</v>
      </c>
      <c r="K3187">
        <v>1500000</v>
      </c>
    </row>
    <row r="3188" spans="1:11" ht="15" customHeight="1" x14ac:dyDescent="0.2">
      <c r="A3188" t="s">
        <v>4901</v>
      </c>
      <c r="B3188" t="s">
        <v>8878</v>
      </c>
      <c r="C3188">
        <v>2024</v>
      </c>
      <c r="D3188">
        <v>2024</v>
      </c>
      <c r="E3188" s="7">
        <v>45512</v>
      </c>
      <c r="F3188" s="7">
        <v>45876</v>
      </c>
      <c r="G3188" t="s">
        <v>135</v>
      </c>
      <c r="H3188" t="s">
        <v>106</v>
      </c>
      <c r="I3188" t="s">
        <v>101</v>
      </c>
      <c r="J3188">
        <v>4298.78</v>
      </c>
      <c r="K3188">
        <v>500000</v>
      </c>
    </row>
    <row r="3189" spans="1:11" ht="15" customHeight="1" x14ac:dyDescent="0.2">
      <c r="A3189" t="s">
        <v>4902</v>
      </c>
      <c r="B3189" t="s">
        <v>964</v>
      </c>
      <c r="C3189">
        <v>2024</v>
      </c>
      <c r="D3189">
        <v>2024</v>
      </c>
      <c r="E3189" s="7">
        <v>45512</v>
      </c>
      <c r="F3189" s="7">
        <v>45876</v>
      </c>
      <c r="G3189" t="s">
        <v>135</v>
      </c>
      <c r="H3189" t="s">
        <v>102</v>
      </c>
      <c r="I3189" t="s">
        <v>101</v>
      </c>
      <c r="J3189">
        <v>36699.33</v>
      </c>
      <c r="K3189">
        <v>5000000</v>
      </c>
    </row>
    <row r="3190" spans="1:11" ht="15" customHeight="1" x14ac:dyDescent="0.2">
      <c r="A3190" t="s">
        <v>4903</v>
      </c>
      <c r="B3190" t="s">
        <v>6896</v>
      </c>
      <c r="C3190">
        <v>2024</v>
      </c>
      <c r="D3190">
        <v>2024</v>
      </c>
      <c r="E3190" s="7">
        <v>45512</v>
      </c>
      <c r="F3190" s="7">
        <v>45876</v>
      </c>
      <c r="G3190" t="s">
        <v>135</v>
      </c>
      <c r="H3190" t="s">
        <v>102</v>
      </c>
      <c r="I3190" t="s">
        <v>101</v>
      </c>
      <c r="J3190">
        <v>3538.97</v>
      </c>
      <c r="K3190">
        <v>500000</v>
      </c>
    </row>
    <row r="3191" spans="1:11" ht="15" customHeight="1" x14ac:dyDescent="0.2">
      <c r="A3191" t="s">
        <v>4904</v>
      </c>
      <c r="B3191" t="s">
        <v>8879</v>
      </c>
      <c r="C3191">
        <v>2024</v>
      </c>
      <c r="D3191">
        <v>2024</v>
      </c>
      <c r="E3191" s="7">
        <v>45512</v>
      </c>
      <c r="F3191" s="7">
        <v>45876</v>
      </c>
      <c r="G3191" t="s">
        <v>135</v>
      </c>
      <c r="H3191" t="s">
        <v>105</v>
      </c>
      <c r="I3191" t="s">
        <v>101</v>
      </c>
      <c r="J3191">
        <v>7465.72</v>
      </c>
      <c r="K3191">
        <v>1000000</v>
      </c>
    </row>
    <row r="3192" spans="1:11" ht="15" customHeight="1" x14ac:dyDescent="0.2">
      <c r="A3192" t="s">
        <v>4905</v>
      </c>
      <c r="B3192" t="s">
        <v>584</v>
      </c>
      <c r="C3192">
        <v>2024</v>
      </c>
      <c r="D3192">
        <v>2024</v>
      </c>
      <c r="E3192" s="7">
        <v>45512</v>
      </c>
      <c r="F3192" s="7">
        <v>45876</v>
      </c>
      <c r="G3192" t="s">
        <v>135</v>
      </c>
      <c r="H3192" t="s">
        <v>100</v>
      </c>
      <c r="I3192" t="s">
        <v>101</v>
      </c>
      <c r="J3192">
        <v>14034.23</v>
      </c>
      <c r="K3192">
        <v>2000000</v>
      </c>
    </row>
    <row r="3193" spans="1:11" ht="15" customHeight="1" x14ac:dyDescent="0.2">
      <c r="A3193" t="s">
        <v>4906</v>
      </c>
      <c r="B3193" t="s">
        <v>6835</v>
      </c>
      <c r="C3193">
        <v>2024</v>
      </c>
      <c r="D3193">
        <v>2024</v>
      </c>
      <c r="E3193" s="7">
        <v>45512</v>
      </c>
      <c r="F3193" s="7">
        <v>45876</v>
      </c>
      <c r="G3193" t="s">
        <v>135</v>
      </c>
      <c r="H3193" t="s">
        <v>102</v>
      </c>
      <c r="I3193" t="s">
        <v>101</v>
      </c>
      <c r="J3193">
        <v>6533.53</v>
      </c>
      <c r="K3193">
        <v>1000000</v>
      </c>
    </row>
    <row r="3194" spans="1:11" ht="15" customHeight="1" x14ac:dyDescent="0.2">
      <c r="A3194" t="s">
        <v>4907</v>
      </c>
      <c r="B3194" t="s">
        <v>8880</v>
      </c>
      <c r="C3194">
        <v>2024</v>
      </c>
      <c r="D3194">
        <v>2024</v>
      </c>
      <c r="E3194" s="7">
        <v>45513</v>
      </c>
      <c r="F3194" s="7">
        <v>45877</v>
      </c>
      <c r="G3194" t="s">
        <v>135</v>
      </c>
      <c r="H3194" t="s">
        <v>105</v>
      </c>
      <c r="I3194" t="s">
        <v>101</v>
      </c>
      <c r="J3194">
        <v>13844.97</v>
      </c>
      <c r="K3194">
        <v>2000000</v>
      </c>
    </row>
    <row r="3195" spans="1:11" ht="15" customHeight="1" x14ac:dyDescent="0.2">
      <c r="A3195" t="s">
        <v>4908</v>
      </c>
      <c r="B3195" t="s">
        <v>6906</v>
      </c>
      <c r="C3195">
        <v>2024</v>
      </c>
      <c r="D3195">
        <v>2024</v>
      </c>
      <c r="E3195" s="7">
        <v>45513</v>
      </c>
      <c r="F3195" s="7">
        <v>45877</v>
      </c>
      <c r="G3195" t="s">
        <v>135</v>
      </c>
      <c r="H3195" t="s">
        <v>107</v>
      </c>
      <c r="I3195" t="s">
        <v>104</v>
      </c>
      <c r="J3195">
        <v>61616.69</v>
      </c>
      <c r="K3195">
        <v>10000000</v>
      </c>
    </row>
    <row r="3196" spans="1:11" ht="15" customHeight="1" x14ac:dyDescent="0.2">
      <c r="A3196" t="s">
        <v>4909</v>
      </c>
      <c r="B3196" t="s">
        <v>6884</v>
      </c>
      <c r="C3196">
        <v>2024</v>
      </c>
      <c r="D3196">
        <v>2024</v>
      </c>
      <c r="E3196" s="7">
        <v>45513</v>
      </c>
      <c r="F3196" s="7">
        <v>45877</v>
      </c>
      <c r="G3196" t="s">
        <v>135</v>
      </c>
      <c r="H3196" t="s">
        <v>6332</v>
      </c>
      <c r="I3196" t="s">
        <v>104</v>
      </c>
      <c r="J3196">
        <v>5404.11</v>
      </c>
      <c r="K3196">
        <v>1000000</v>
      </c>
    </row>
    <row r="3197" spans="1:11" ht="15" customHeight="1" x14ac:dyDescent="0.2">
      <c r="A3197" t="s">
        <v>4910</v>
      </c>
      <c r="B3197" t="s">
        <v>585</v>
      </c>
      <c r="C3197">
        <v>2024</v>
      </c>
      <c r="D3197">
        <v>2024</v>
      </c>
      <c r="E3197" s="7">
        <v>45513</v>
      </c>
      <c r="F3197" s="7">
        <v>45877</v>
      </c>
      <c r="G3197" t="s">
        <v>135</v>
      </c>
      <c r="H3197" t="s">
        <v>110</v>
      </c>
      <c r="I3197" t="s">
        <v>104</v>
      </c>
      <c r="J3197">
        <v>7030.03</v>
      </c>
      <c r="K3197">
        <v>1000000</v>
      </c>
    </row>
    <row r="3198" spans="1:11" ht="15" customHeight="1" x14ac:dyDescent="0.2">
      <c r="A3198" t="s">
        <v>4911</v>
      </c>
      <c r="B3198" t="s">
        <v>965</v>
      </c>
      <c r="C3198">
        <v>2024</v>
      </c>
      <c r="D3198">
        <v>2024</v>
      </c>
      <c r="E3198" s="7">
        <v>45513</v>
      </c>
      <c r="F3198" s="7">
        <v>45877</v>
      </c>
      <c r="G3198" t="s">
        <v>135</v>
      </c>
      <c r="H3198" t="s">
        <v>111</v>
      </c>
      <c r="I3198" t="s">
        <v>101</v>
      </c>
      <c r="J3198">
        <v>7783.03</v>
      </c>
      <c r="K3198">
        <v>1000000</v>
      </c>
    </row>
    <row r="3199" spans="1:11" ht="15" customHeight="1" x14ac:dyDescent="0.2">
      <c r="A3199" t="s">
        <v>4912</v>
      </c>
      <c r="B3199" t="s">
        <v>966</v>
      </c>
      <c r="C3199">
        <v>2024</v>
      </c>
      <c r="D3199">
        <v>2024</v>
      </c>
      <c r="E3199" s="7">
        <v>45513</v>
      </c>
      <c r="F3199" s="7">
        <v>45877</v>
      </c>
      <c r="G3199" t="s">
        <v>135</v>
      </c>
      <c r="H3199" t="s">
        <v>102</v>
      </c>
      <c r="I3199" t="s">
        <v>104</v>
      </c>
      <c r="J3199">
        <v>30239.86</v>
      </c>
      <c r="K3199">
        <v>5000000</v>
      </c>
    </row>
    <row r="3200" spans="1:11" ht="15" customHeight="1" x14ac:dyDescent="0.2">
      <c r="A3200" t="s">
        <v>4913</v>
      </c>
      <c r="B3200" t="s">
        <v>6873</v>
      </c>
      <c r="C3200">
        <v>2024</v>
      </c>
      <c r="D3200">
        <v>2024</v>
      </c>
      <c r="E3200" s="7">
        <v>45513</v>
      </c>
      <c r="F3200" s="7">
        <v>45877</v>
      </c>
      <c r="G3200" t="s">
        <v>135</v>
      </c>
      <c r="H3200" t="s">
        <v>107</v>
      </c>
      <c r="I3200" t="s">
        <v>104</v>
      </c>
      <c r="J3200">
        <v>30457.26</v>
      </c>
      <c r="K3200">
        <v>5000000</v>
      </c>
    </row>
    <row r="3201" spans="1:11" ht="15" customHeight="1" x14ac:dyDescent="0.2">
      <c r="A3201" t="s">
        <v>4914</v>
      </c>
      <c r="B3201" t="s">
        <v>6871</v>
      </c>
      <c r="C3201">
        <v>2024</v>
      </c>
      <c r="D3201">
        <v>2024</v>
      </c>
      <c r="E3201" s="7">
        <v>45513</v>
      </c>
      <c r="F3201" s="7">
        <v>45877</v>
      </c>
      <c r="G3201" t="s">
        <v>135</v>
      </c>
      <c r="H3201" t="s">
        <v>107</v>
      </c>
      <c r="I3201" t="s">
        <v>101</v>
      </c>
      <c r="J3201">
        <v>38727.199999999997</v>
      </c>
      <c r="K3201">
        <v>5000000</v>
      </c>
    </row>
    <row r="3202" spans="1:11" ht="15" customHeight="1" x14ac:dyDescent="0.2">
      <c r="A3202" t="s">
        <v>4915</v>
      </c>
      <c r="B3202" t="s">
        <v>8881</v>
      </c>
      <c r="C3202">
        <v>2024</v>
      </c>
      <c r="D3202">
        <v>2024</v>
      </c>
      <c r="E3202" s="7">
        <v>45513</v>
      </c>
      <c r="F3202" s="7">
        <v>45877</v>
      </c>
      <c r="G3202" t="s">
        <v>135</v>
      </c>
      <c r="H3202" t="s">
        <v>103</v>
      </c>
      <c r="I3202" t="s">
        <v>101</v>
      </c>
      <c r="J3202">
        <v>6810.2</v>
      </c>
      <c r="K3202">
        <v>1000000</v>
      </c>
    </row>
    <row r="3203" spans="1:11" ht="15" customHeight="1" x14ac:dyDescent="0.2">
      <c r="A3203" t="s">
        <v>4916</v>
      </c>
      <c r="B3203" t="s">
        <v>6874</v>
      </c>
      <c r="C3203">
        <v>2024</v>
      </c>
      <c r="D3203">
        <v>2024</v>
      </c>
      <c r="E3203" s="7">
        <v>45513</v>
      </c>
      <c r="F3203" s="7">
        <v>45877</v>
      </c>
      <c r="G3203" t="s">
        <v>135</v>
      </c>
      <c r="H3203" t="s">
        <v>102</v>
      </c>
      <c r="I3203" t="s">
        <v>104</v>
      </c>
      <c r="J3203">
        <v>29819.59</v>
      </c>
      <c r="K3203">
        <v>5000000</v>
      </c>
    </row>
    <row r="3204" spans="1:11" ht="15" customHeight="1" x14ac:dyDescent="0.2">
      <c r="A3204" t="s">
        <v>4917</v>
      </c>
      <c r="B3204" t="s">
        <v>8882</v>
      </c>
      <c r="C3204">
        <v>2024</v>
      </c>
      <c r="D3204">
        <v>2024</v>
      </c>
      <c r="E3204" s="7">
        <v>45513</v>
      </c>
      <c r="F3204" s="7">
        <v>45877</v>
      </c>
      <c r="G3204" t="s">
        <v>135</v>
      </c>
      <c r="H3204" t="s">
        <v>112</v>
      </c>
      <c r="I3204" t="s">
        <v>101</v>
      </c>
      <c r="J3204">
        <v>91182.56</v>
      </c>
      <c r="K3204">
        <v>10000000</v>
      </c>
    </row>
    <row r="3205" spans="1:11" ht="15" customHeight="1" x14ac:dyDescent="0.2">
      <c r="A3205" t="s">
        <v>4918</v>
      </c>
      <c r="B3205" t="s">
        <v>3662</v>
      </c>
      <c r="C3205">
        <v>2024</v>
      </c>
      <c r="D3205">
        <v>2024</v>
      </c>
      <c r="E3205" s="7">
        <v>45514</v>
      </c>
      <c r="F3205" s="7">
        <v>45878</v>
      </c>
      <c r="G3205" t="s">
        <v>99</v>
      </c>
      <c r="H3205" t="s">
        <v>102</v>
      </c>
      <c r="I3205" t="s">
        <v>104</v>
      </c>
      <c r="J3205">
        <v>9293.35</v>
      </c>
      <c r="K3205">
        <v>1500000</v>
      </c>
    </row>
    <row r="3206" spans="1:11" ht="15" customHeight="1" x14ac:dyDescent="0.2">
      <c r="A3206" t="s">
        <v>4919</v>
      </c>
      <c r="B3206" t="s">
        <v>3664</v>
      </c>
      <c r="C3206">
        <v>2024</v>
      </c>
      <c r="D3206">
        <v>2024</v>
      </c>
      <c r="E3206" s="7">
        <v>45514</v>
      </c>
      <c r="F3206" s="7">
        <v>45878</v>
      </c>
      <c r="G3206" t="s">
        <v>99</v>
      </c>
      <c r="H3206" t="s">
        <v>108</v>
      </c>
      <c r="I3206" t="s">
        <v>104</v>
      </c>
      <c r="J3206">
        <v>7583.1</v>
      </c>
      <c r="K3206">
        <v>1000000</v>
      </c>
    </row>
    <row r="3207" spans="1:11" ht="15" customHeight="1" x14ac:dyDescent="0.2">
      <c r="A3207" t="s">
        <v>4920</v>
      </c>
      <c r="B3207" t="s">
        <v>586</v>
      </c>
      <c r="C3207">
        <v>2024</v>
      </c>
      <c r="D3207">
        <v>2024</v>
      </c>
      <c r="E3207" s="7">
        <v>45514</v>
      </c>
      <c r="F3207" s="7">
        <v>45878</v>
      </c>
      <c r="G3207" t="s">
        <v>135</v>
      </c>
      <c r="H3207" t="s">
        <v>107</v>
      </c>
      <c r="I3207" t="s">
        <v>104</v>
      </c>
      <c r="J3207">
        <v>6120.32</v>
      </c>
      <c r="K3207">
        <v>1000000</v>
      </c>
    </row>
    <row r="3208" spans="1:11" ht="15" customHeight="1" x14ac:dyDescent="0.2">
      <c r="A3208" t="s">
        <v>4921</v>
      </c>
      <c r="B3208" t="s">
        <v>8883</v>
      </c>
      <c r="C3208">
        <v>2024</v>
      </c>
      <c r="D3208">
        <v>2024</v>
      </c>
      <c r="E3208" s="7">
        <v>45514</v>
      </c>
      <c r="F3208" s="7">
        <v>45878</v>
      </c>
      <c r="G3208" t="s">
        <v>135</v>
      </c>
      <c r="H3208" t="s">
        <v>6337</v>
      </c>
      <c r="I3208" t="s">
        <v>101</v>
      </c>
      <c r="J3208">
        <v>13387.06</v>
      </c>
      <c r="K3208">
        <v>2000000</v>
      </c>
    </row>
    <row r="3209" spans="1:11" ht="15" customHeight="1" x14ac:dyDescent="0.2">
      <c r="A3209" t="s">
        <v>4922</v>
      </c>
      <c r="B3209" t="s">
        <v>8884</v>
      </c>
      <c r="C3209">
        <v>2024</v>
      </c>
      <c r="D3209">
        <v>2024</v>
      </c>
      <c r="E3209" s="7">
        <v>45514</v>
      </c>
      <c r="F3209" s="7">
        <v>45878</v>
      </c>
      <c r="G3209" t="s">
        <v>135</v>
      </c>
      <c r="H3209" t="s">
        <v>6334</v>
      </c>
      <c r="I3209" t="s">
        <v>101</v>
      </c>
      <c r="J3209">
        <v>7579.44</v>
      </c>
      <c r="K3209">
        <v>1000000</v>
      </c>
    </row>
    <row r="3210" spans="1:11" ht="15" customHeight="1" x14ac:dyDescent="0.2">
      <c r="A3210" t="s">
        <v>4923</v>
      </c>
      <c r="B3210" t="s">
        <v>6990</v>
      </c>
      <c r="C3210">
        <v>2024</v>
      </c>
      <c r="D3210">
        <v>2024</v>
      </c>
      <c r="E3210" s="7">
        <v>45514</v>
      </c>
      <c r="F3210" s="7">
        <v>45878</v>
      </c>
      <c r="G3210" t="s">
        <v>135</v>
      </c>
      <c r="H3210" t="s">
        <v>6332</v>
      </c>
      <c r="I3210" t="s">
        <v>101</v>
      </c>
      <c r="J3210">
        <v>7333.16</v>
      </c>
      <c r="K3210">
        <v>1000000</v>
      </c>
    </row>
    <row r="3211" spans="1:11" ht="15" customHeight="1" x14ac:dyDescent="0.2">
      <c r="A3211" t="s">
        <v>4924</v>
      </c>
      <c r="B3211" t="s">
        <v>8885</v>
      </c>
      <c r="C3211">
        <v>2024</v>
      </c>
      <c r="D3211">
        <v>2024</v>
      </c>
      <c r="E3211" s="7">
        <v>45514</v>
      </c>
      <c r="F3211" s="7">
        <v>45878</v>
      </c>
      <c r="G3211" t="s">
        <v>135</v>
      </c>
      <c r="H3211" t="s">
        <v>103</v>
      </c>
      <c r="I3211" t="s">
        <v>104</v>
      </c>
      <c r="J3211">
        <v>5909.7</v>
      </c>
      <c r="K3211">
        <v>1000000</v>
      </c>
    </row>
    <row r="3212" spans="1:11" ht="15" customHeight="1" x14ac:dyDescent="0.2">
      <c r="A3212" t="s">
        <v>4925</v>
      </c>
      <c r="B3212" t="s">
        <v>967</v>
      </c>
      <c r="C3212">
        <v>2024</v>
      </c>
      <c r="D3212">
        <v>2024</v>
      </c>
      <c r="E3212" s="7">
        <v>45514</v>
      </c>
      <c r="F3212" s="7">
        <v>45878</v>
      </c>
      <c r="G3212" t="s">
        <v>135</v>
      </c>
      <c r="H3212" t="s">
        <v>110</v>
      </c>
      <c r="I3212" t="s">
        <v>104</v>
      </c>
      <c r="J3212">
        <v>6860.41</v>
      </c>
      <c r="K3212">
        <v>1000000</v>
      </c>
    </row>
    <row r="3213" spans="1:11" ht="15" customHeight="1" x14ac:dyDescent="0.2">
      <c r="A3213" t="s">
        <v>4926</v>
      </c>
      <c r="B3213" t="s">
        <v>8886</v>
      </c>
      <c r="C3213">
        <v>2024</v>
      </c>
      <c r="D3213">
        <v>2024</v>
      </c>
      <c r="E3213" s="7">
        <v>45514</v>
      </c>
      <c r="F3213" s="7">
        <v>45878</v>
      </c>
      <c r="G3213" t="s">
        <v>135</v>
      </c>
      <c r="H3213" t="s">
        <v>105</v>
      </c>
      <c r="I3213" t="s">
        <v>101</v>
      </c>
      <c r="J3213">
        <v>7377.34</v>
      </c>
      <c r="K3213">
        <v>1000000</v>
      </c>
    </row>
    <row r="3214" spans="1:11" ht="15" customHeight="1" x14ac:dyDescent="0.2">
      <c r="A3214" t="s">
        <v>4927</v>
      </c>
      <c r="B3214" t="s">
        <v>6986</v>
      </c>
      <c r="C3214">
        <v>2024</v>
      </c>
      <c r="D3214">
        <v>2024</v>
      </c>
      <c r="E3214" s="7">
        <v>45514</v>
      </c>
      <c r="F3214" s="7">
        <v>45878</v>
      </c>
      <c r="G3214" t="s">
        <v>135</v>
      </c>
      <c r="H3214" t="s">
        <v>110</v>
      </c>
      <c r="I3214" t="s">
        <v>104</v>
      </c>
      <c r="J3214">
        <v>10538.47</v>
      </c>
      <c r="K3214">
        <v>1500000</v>
      </c>
    </row>
    <row r="3215" spans="1:11" ht="15" customHeight="1" x14ac:dyDescent="0.2">
      <c r="A3215" t="s">
        <v>4928</v>
      </c>
      <c r="B3215" t="s">
        <v>8887</v>
      </c>
      <c r="C3215">
        <v>2024</v>
      </c>
      <c r="D3215">
        <v>2024</v>
      </c>
      <c r="E3215" s="7">
        <v>45514</v>
      </c>
      <c r="F3215" s="7">
        <v>45878</v>
      </c>
      <c r="G3215" t="s">
        <v>135</v>
      </c>
      <c r="H3215" t="s">
        <v>105</v>
      </c>
      <c r="I3215" t="s">
        <v>101</v>
      </c>
      <c r="J3215">
        <v>6461.14</v>
      </c>
      <c r="K3215">
        <v>1000000</v>
      </c>
    </row>
    <row r="3216" spans="1:11" ht="15" customHeight="1" x14ac:dyDescent="0.2">
      <c r="A3216" t="s">
        <v>4929</v>
      </c>
      <c r="B3216" t="s">
        <v>8888</v>
      </c>
      <c r="C3216">
        <v>2024</v>
      </c>
      <c r="D3216">
        <v>2024</v>
      </c>
      <c r="E3216" s="7">
        <v>45515</v>
      </c>
      <c r="F3216" s="7">
        <v>45879</v>
      </c>
      <c r="G3216" t="s">
        <v>135</v>
      </c>
      <c r="H3216" t="s">
        <v>6332</v>
      </c>
      <c r="I3216" t="s">
        <v>104</v>
      </c>
      <c r="J3216">
        <v>6112.73</v>
      </c>
      <c r="K3216">
        <v>1000000</v>
      </c>
    </row>
    <row r="3217" spans="1:11" ht="15" customHeight="1" x14ac:dyDescent="0.2">
      <c r="A3217" t="s">
        <v>4930</v>
      </c>
      <c r="B3217" t="s">
        <v>8889</v>
      </c>
      <c r="C3217">
        <v>2024</v>
      </c>
      <c r="D3217">
        <v>2024</v>
      </c>
      <c r="E3217" s="7">
        <v>45515</v>
      </c>
      <c r="F3217" s="7">
        <v>45879</v>
      </c>
      <c r="G3217" t="s">
        <v>135</v>
      </c>
      <c r="H3217" t="s">
        <v>6334</v>
      </c>
      <c r="I3217" t="s">
        <v>104</v>
      </c>
      <c r="J3217">
        <v>8140.5</v>
      </c>
      <c r="K3217">
        <v>1500000</v>
      </c>
    </row>
    <row r="3218" spans="1:11" ht="15" customHeight="1" x14ac:dyDescent="0.2">
      <c r="A3218" t="s">
        <v>4931</v>
      </c>
      <c r="B3218" t="s">
        <v>8890</v>
      </c>
      <c r="C3218">
        <v>2024</v>
      </c>
      <c r="D3218">
        <v>2024</v>
      </c>
      <c r="E3218" s="7">
        <v>45515</v>
      </c>
      <c r="F3218" s="7">
        <v>45879</v>
      </c>
      <c r="G3218" t="s">
        <v>135</v>
      </c>
      <c r="H3218" t="s">
        <v>116</v>
      </c>
      <c r="I3218" t="s">
        <v>104</v>
      </c>
      <c r="J3218">
        <v>3030.59</v>
      </c>
      <c r="K3218">
        <v>500000</v>
      </c>
    </row>
    <row r="3219" spans="1:11" ht="15" customHeight="1" x14ac:dyDescent="0.2">
      <c r="A3219" t="s">
        <v>4932</v>
      </c>
      <c r="B3219" t="s">
        <v>8891</v>
      </c>
      <c r="C3219">
        <v>2024</v>
      </c>
      <c r="D3219">
        <v>2024</v>
      </c>
      <c r="E3219" s="7">
        <v>45515</v>
      </c>
      <c r="F3219" s="7">
        <v>45879</v>
      </c>
      <c r="G3219" t="s">
        <v>135</v>
      </c>
      <c r="H3219" t="s">
        <v>107</v>
      </c>
      <c r="I3219" t="s">
        <v>101</v>
      </c>
      <c r="J3219">
        <v>77173.73</v>
      </c>
      <c r="K3219">
        <v>10000000</v>
      </c>
    </row>
    <row r="3220" spans="1:11" ht="15" customHeight="1" x14ac:dyDescent="0.2">
      <c r="A3220" t="s">
        <v>4933</v>
      </c>
      <c r="B3220" t="s">
        <v>6867</v>
      </c>
      <c r="C3220">
        <v>2024</v>
      </c>
      <c r="D3220">
        <v>2024</v>
      </c>
      <c r="E3220" s="7">
        <v>45515</v>
      </c>
      <c r="F3220" s="7">
        <v>45879</v>
      </c>
      <c r="G3220" t="s">
        <v>135</v>
      </c>
      <c r="H3220" t="s">
        <v>106</v>
      </c>
      <c r="I3220" t="s">
        <v>101</v>
      </c>
      <c r="J3220">
        <v>13314.57</v>
      </c>
      <c r="K3220">
        <v>1500000</v>
      </c>
    </row>
    <row r="3221" spans="1:11" ht="15" customHeight="1" x14ac:dyDescent="0.2">
      <c r="A3221" t="s">
        <v>4934</v>
      </c>
      <c r="B3221" t="s">
        <v>6909</v>
      </c>
      <c r="C3221">
        <v>2024</v>
      </c>
      <c r="D3221">
        <v>2024</v>
      </c>
      <c r="E3221" s="7">
        <v>45515</v>
      </c>
      <c r="F3221" s="7">
        <v>45879</v>
      </c>
      <c r="G3221" t="s">
        <v>135</v>
      </c>
      <c r="H3221" t="s">
        <v>102</v>
      </c>
      <c r="I3221" t="s">
        <v>104</v>
      </c>
      <c r="J3221">
        <v>6231.03</v>
      </c>
      <c r="K3221">
        <v>1000000</v>
      </c>
    </row>
    <row r="3222" spans="1:11" ht="15" customHeight="1" x14ac:dyDescent="0.2">
      <c r="A3222" t="s">
        <v>4935</v>
      </c>
      <c r="B3222" t="s">
        <v>8892</v>
      </c>
      <c r="C3222">
        <v>2024</v>
      </c>
      <c r="D3222">
        <v>2024</v>
      </c>
      <c r="E3222" s="7">
        <v>45515</v>
      </c>
      <c r="F3222" s="7">
        <v>45879</v>
      </c>
      <c r="G3222" t="s">
        <v>135</v>
      </c>
      <c r="H3222" t="s">
        <v>106</v>
      </c>
      <c r="I3222" t="s">
        <v>104</v>
      </c>
      <c r="J3222">
        <v>10895.01</v>
      </c>
      <c r="K3222">
        <v>1500000</v>
      </c>
    </row>
    <row r="3223" spans="1:11" ht="15" customHeight="1" x14ac:dyDescent="0.2">
      <c r="A3223" t="s">
        <v>4936</v>
      </c>
      <c r="B3223" t="s">
        <v>6883</v>
      </c>
      <c r="C3223">
        <v>2024</v>
      </c>
      <c r="D3223">
        <v>2024</v>
      </c>
      <c r="E3223" s="7">
        <v>45515</v>
      </c>
      <c r="F3223" s="7">
        <v>45879</v>
      </c>
      <c r="G3223" t="s">
        <v>135</v>
      </c>
      <c r="H3223" t="s">
        <v>110</v>
      </c>
      <c r="I3223" t="s">
        <v>104</v>
      </c>
      <c r="J3223">
        <v>6661.45</v>
      </c>
      <c r="K3223">
        <v>1000000</v>
      </c>
    </row>
    <row r="3224" spans="1:11" ht="15" customHeight="1" x14ac:dyDescent="0.2">
      <c r="A3224" t="s">
        <v>4937</v>
      </c>
      <c r="B3224" t="s">
        <v>8893</v>
      </c>
      <c r="C3224">
        <v>2024</v>
      </c>
      <c r="D3224">
        <v>2024</v>
      </c>
      <c r="E3224" s="7">
        <v>45515</v>
      </c>
      <c r="F3224" s="7">
        <v>45879</v>
      </c>
      <c r="G3224" t="s">
        <v>135</v>
      </c>
      <c r="H3224" t="s">
        <v>6337</v>
      </c>
      <c r="I3224" t="s">
        <v>104</v>
      </c>
      <c r="J3224">
        <v>5621.86</v>
      </c>
      <c r="K3224">
        <v>1000000</v>
      </c>
    </row>
    <row r="3225" spans="1:11" ht="15" customHeight="1" x14ac:dyDescent="0.2">
      <c r="A3225" t="s">
        <v>4938</v>
      </c>
      <c r="B3225" t="s">
        <v>8894</v>
      </c>
      <c r="C3225">
        <v>2024</v>
      </c>
      <c r="D3225">
        <v>2024</v>
      </c>
      <c r="E3225" s="7">
        <v>45515</v>
      </c>
      <c r="F3225" s="7">
        <v>45879</v>
      </c>
      <c r="G3225" t="s">
        <v>135</v>
      </c>
      <c r="H3225" t="s">
        <v>106</v>
      </c>
      <c r="I3225" t="s">
        <v>101</v>
      </c>
      <c r="J3225">
        <v>8190.15</v>
      </c>
      <c r="K3225">
        <v>1000000</v>
      </c>
    </row>
    <row r="3226" spans="1:11" ht="15" customHeight="1" x14ac:dyDescent="0.2">
      <c r="A3226" t="s">
        <v>4939</v>
      </c>
      <c r="B3226" t="s">
        <v>8895</v>
      </c>
      <c r="C3226">
        <v>2024</v>
      </c>
      <c r="D3226">
        <v>2024</v>
      </c>
      <c r="E3226" s="7">
        <v>45515</v>
      </c>
      <c r="F3226" s="7">
        <v>45879</v>
      </c>
      <c r="G3226" t="s">
        <v>135</v>
      </c>
      <c r="H3226" t="s">
        <v>112</v>
      </c>
      <c r="I3226" t="s">
        <v>101</v>
      </c>
      <c r="J3226">
        <v>43884.73</v>
      </c>
      <c r="K3226">
        <v>5000000</v>
      </c>
    </row>
    <row r="3227" spans="1:11" ht="15" customHeight="1" x14ac:dyDescent="0.2">
      <c r="A3227" t="s">
        <v>4940</v>
      </c>
      <c r="B3227" t="s">
        <v>8896</v>
      </c>
      <c r="C3227">
        <v>2024</v>
      </c>
      <c r="D3227">
        <v>2024</v>
      </c>
      <c r="E3227" s="7">
        <v>45515</v>
      </c>
      <c r="F3227" s="7">
        <v>45879</v>
      </c>
      <c r="G3227" t="s">
        <v>135</v>
      </c>
      <c r="H3227" t="s">
        <v>114</v>
      </c>
      <c r="I3227" t="s">
        <v>101</v>
      </c>
      <c r="J3227">
        <v>7745.73</v>
      </c>
      <c r="K3227">
        <v>1000000</v>
      </c>
    </row>
    <row r="3228" spans="1:11" ht="15" customHeight="1" x14ac:dyDescent="0.2">
      <c r="A3228" t="s">
        <v>4941</v>
      </c>
      <c r="B3228" t="s">
        <v>8897</v>
      </c>
      <c r="C3228">
        <v>2024</v>
      </c>
      <c r="D3228">
        <v>2024</v>
      </c>
      <c r="E3228" s="7">
        <v>45515</v>
      </c>
      <c r="F3228" s="7">
        <v>45879</v>
      </c>
      <c r="G3228" t="s">
        <v>135</v>
      </c>
      <c r="H3228" t="s">
        <v>111</v>
      </c>
      <c r="I3228" t="s">
        <v>101</v>
      </c>
      <c r="J3228">
        <v>7503.7</v>
      </c>
      <c r="K3228">
        <v>1000000</v>
      </c>
    </row>
    <row r="3229" spans="1:11" ht="15" customHeight="1" x14ac:dyDescent="0.2">
      <c r="A3229" t="s">
        <v>4942</v>
      </c>
      <c r="B3229" t="s">
        <v>6911</v>
      </c>
      <c r="C3229">
        <v>2024</v>
      </c>
      <c r="D3229">
        <v>2024</v>
      </c>
      <c r="E3229" s="7">
        <v>45515</v>
      </c>
      <c r="F3229" s="7">
        <v>45879</v>
      </c>
      <c r="G3229" t="s">
        <v>135</v>
      </c>
      <c r="H3229" t="s">
        <v>108</v>
      </c>
      <c r="I3229" t="s">
        <v>101</v>
      </c>
      <c r="J3229">
        <v>8974.1299999999992</v>
      </c>
      <c r="K3229">
        <v>1000000</v>
      </c>
    </row>
    <row r="3230" spans="1:11" ht="15" customHeight="1" x14ac:dyDescent="0.2">
      <c r="A3230" t="s">
        <v>4943</v>
      </c>
      <c r="B3230" t="s">
        <v>8898</v>
      </c>
      <c r="C3230">
        <v>2024</v>
      </c>
      <c r="D3230">
        <v>2024</v>
      </c>
      <c r="E3230" s="7">
        <v>45515</v>
      </c>
      <c r="F3230" s="7">
        <v>45879</v>
      </c>
      <c r="G3230" t="s">
        <v>135</v>
      </c>
      <c r="H3230" t="s">
        <v>102</v>
      </c>
      <c r="I3230" t="s">
        <v>104</v>
      </c>
      <c r="J3230">
        <v>27102.25</v>
      </c>
      <c r="K3230">
        <v>5000000</v>
      </c>
    </row>
    <row r="3231" spans="1:11" ht="15" customHeight="1" x14ac:dyDescent="0.2">
      <c r="A3231" t="s">
        <v>4944</v>
      </c>
      <c r="B3231" t="s">
        <v>8899</v>
      </c>
      <c r="C3231">
        <v>2024</v>
      </c>
      <c r="D3231">
        <v>2024</v>
      </c>
      <c r="E3231" s="7">
        <v>45515</v>
      </c>
      <c r="F3231" s="7">
        <v>45879</v>
      </c>
      <c r="G3231" t="s">
        <v>135</v>
      </c>
      <c r="H3231" t="s">
        <v>6332</v>
      </c>
      <c r="I3231" t="s">
        <v>101</v>
      </c>
      <c r="J3231">
        <v>11727.57</v>
      </c>
      <c r="K3231">
        <v>1500000</v>
      </c>
    </row>
    <row r="3232" spans="1:11" ht="15" customHeight="1" x14ac:dyDescent="0.2">
      <c r="A3232" t="s">
        <v>4945</v>
      </c>
      <c r="B3232" t="s">
        <v>3674</v>
      </c>
      <c r="C3232">
        <v>2024</v>
      </c>
      <c r="D3232">
        <v>2024</v>
      </c>
      <c r="E3232" s="7">
        <v>45516</v>
      </c>
      <c r="F3232" s="7">
        <v>45880</v>
      </c>
      <c r="G3232" t="s">
        <v>99</v>
      </c>
      <c r="H3232" t="s">
        <v>102</v>
      </c>
      <c r="I3232" t="s">
        <v>101</v>
      </c>
      <c r="J3232">
        <v>78178.33</v>
      </c>
      <c r="K3232">
        <v>10000000</v>
      </c>
    </row>
    <row r="3233" spans="1:11" ht="15" customHeight="1" x14ac:dyDescent="0.2">
      <c r="A3233" t="s">
        <v>4946</v>
      </c>
      <c r="B3233" t="s">
        <v>3683</v>
      </c>
      <c r="C3233">
        <v>2024</v>
      </c>
      <c r="D3233">
        <v>2024</v>
      </c>
      <c r="E3233" s="7">
        <v>45516</v>
      </c>
      <c r="F3233" s="7">
        <v>45880</v>
      </c>
      <c r="G3233" t="s">
        <v>99</v>
      </c>
      <c r="H3233" t="s">
        <v>102</v>
      </c>
      <c r="I3233" t="s">
        <v>101</v>
      </c>
      <c r="J3233">
        <v>10194.049999999999</v>
      </c>
      <c r="K3233">
        <v>1500000</v>
      </c>
    </row>
    <row r="3234" spans="1:11" ht="15" customHeight="1" x14ac:dyDescent="0.2">
      <c r="A3234" t="s">
        <v>4947</v>
      </c>
      <c r="B3234" t="s">
        <v>3685</v>
      </c>
      <c r="C3234">
        <v>2024</v>
      </c>
      <c r="D3234">
        <v>2024</v>
      </c>
      <c r="E3234" s="7">
        <v>45516</v>
      </c>
      <c r="F3234" s="7">
        <v>45880</v>
      </c>
      <c r="G3234" t="s">
        <v>99</v>
      </c>
      <c r="H3234" t="s">
        <v>108</v>
      </c>
      <c r="I3234" t="s">
        <v>101</v>
      </c>
      <c r="J3234">
        <v>9196.9500000000007</v>
      </c>
      <c r="K3234">
        <v>1000000</v>
      </c>
    </row>
    <row r="3235" spans="1:11" ht="15" customHeight="1" x14ac:dyDescent="0.2">
      <c r="A3235" t="s">
        <v>4948</v>
      </c>
      <c r="B3235" t="s">
        <v>3687</v>
      </c>
      <c r="C3235">
        <v>2024</v>
      </c>
      <c r="D3235">
        <v>2024</v>
      </c>
      <c r="E3235" s="7">
        <v>45516</v>
      </c>
      <c r="F3235" s="7">
        <v>45880</v>
      </c>
      <c r="G3235" t="s">
        <v>99</v>
      </c>
      <c r="H3235" t="s">
        <v>109</v>
      </c>
      <c r="I3235" t="s">
        <v>101</v>
      </c>
      <c r="J3235">
        <v>72175.92</v>
      </c>
      <c r="K3235">
        <v>10000000</v>
      </c>
    </row>
    <row r="3236" spans="1:11" ht="15" customHeight="1" x14ac:dyDescent="0.2">
      <c r="A3236" t="s">
        <v>4949</v>
      </c>
      <c r="B3236" t="s">
        <v>969</v>
      </c>
      <c r="C3236">
        <v>2024</v>
      </c>
      <c r="D3236">
        <v>2024</v>
      </c>
      <c r="E3236" s="7">
        <v>45516</v>
      </c>
      <c r="F3236" s="7">
        <v>45880</v>
      </c>
      <c r="G3236" t="s">
        <v>135</v>
      </c>
      <c r="H3236" t="s">
        <v>108</v>
      </c>
      <c r="I3236" t="s">
        <v>101</v>
      </c>
      <c r="J3236">
        <v>8800.92</v>
      </c>
      <c r="K3236">
        <v>1000000</v>
      </c>
    </row>
    <row r="3237" spans="1:11" ht="15" customHeight="1" x14ac:dyDescent="0.2">
      <c r="A3237" t="s">
        <v>4950</v>
      </c>
      <c r="B3237" t="s">
        <v>8900</v>
      </c>
      <c r="C3237">
        <v>2024</v>
      </c>
      <c r="D3237">
        <v>2024</v>
      </c>
      <c r="E3237" s="7">
        <v>45516</v>
      </c>
      <c r="F3237" s="7">
        <v>45880</v>
      </c>
      <c r="G3237" t="s">
        <v>135</v>
      </c>
      <c r="H3237" t="s">
        <v>113</v>
      </c>
      <c r="I3237" t="s">
        <v>101</v>
      </c>
      <c r="J3237">
        <v>14918.18</v>
      </c>
      <c r="K3237">
        <v>2000000</v>
      </c>
    </row>
    <row r="3238" spans="1:11" ht="15" customHeight="1" x14ac:dyDescent="0.2">
      <c r="A3238" t="s">
        <v>4951</v>
      </c>
      <c r="B3238" t="s">
        <v>8901</v>
      </c>
      <c r="C3238">
        <v>2024</v>
      </c>
      <c r="D3238">
        <v>2024</v>
      </c>
      <c r="E3238" s="7">
        <v>45516</v>
      </c>
      <c r="F3238" s="7">
        <v>45880</v>
      </c>
      <c r="G3238" t="s">
        <v>135</v>
      </c>
      <c r="H3238" t="s">
        <v>111</v>
      </c>
      <c r="I3238" t="s">
        <v>104</v>
      </c>
      <c r="J3238">
        <v>5814.37</v>
      </c>
      <c r="K3238">
        <v>1000000</v>
      </c>
    </row>
    <row r="3239" spans="1:11" ht="15" customHeight="1" x14ac:dyDescent="0.2">
      <c r="A3239" t="s">
        <v>4952</v>
      </c>
      <c r="B3239" t="s">
        <v>968</v>
      </c>
      <c r="C3239">
        <v>2024</v>
      </c>
      <c r="D3239">
        <v>2024</v>
      </c>
      <c r="E3239" s="7">
        <v>45516</v>
      </c>
      <c r="F3239" s="7">
        <v>45880</v>
      </c>
      <c r="G3239" t="s">
        <v>135</v>
      </c>
      <c r="H3239" t="s">
        <v>108</v>
      </c>
      <c r="I3239" t="s">
        <v>104</v>
      </c>
      <c r="J3239">
        <v>3342.9</v>
      </c>
      <c r="K3239">
        <v>500000</v>
      </c>
    </row>
    <row r="3240" spans="1:11" ht="15" customHeight="1" x14ac:dyDescent="0.2">
      <c r="A3240" t="s">
        <v>4953</v>
      </c>
      <c r="B3240" t="s">
        <v>6903</v>
      </c>
      <c r="C3240">
        <v>2024</v>
      </c>
      <c r="D3240">
        <v>2024</v>
      </c>
      <c r="E3240" s="7">
        <v>45516</v>
      </c>
      <c r="F3240" s="7">
        <v>45880</v>
      </c>
      <c r="G3240" t="s">
        <v>135</v>
      </c>
      <c r="H3240" t="s">
        <v>114</v>
      </c>
      <c r="I3240" t="s">
        <v>101</v>
      </c>
      <c r="J3240">
        <v>6821.92</v>
      </c>
      <c r="K3240">
        <v>1000000</v>
      </c>
    </row>
    <row r="3241" spans="1:11" ht="15" customHeight="1" x14ac:dyDescent="0.2">
      <c r="A3241" t="s">
        <v>4954</v>
      </c>
      <c r="B3241" t="s">
        <v>8902</v>
      </c>
      <c r="C3241">
        <v>2024</v>
      </c>
      <c r="D3241">
        <v>2024</v>
      </c>
      <c r="E3241" s="7">
        <v>45516</v>
      </c>
      <c r="F3241" s="7">
        <v>45880</v>
      </c>
      <c r="G3241" t="s">
        <v>135</v>
      </c>
      <c r="H3241" t="s">
        <v>102</v>
      </c>
      <c r="I3241" t="s">
        <v>104</v>
      </c>
      <c r="J3241">
        <v>28022.76</v>
      </c>
      <c r="K3241">
        <v>5000000</v>
      </c>
    </row>
    <row r="3242" spans="1:11" ht="15" customHeight="1" x14ac:dyDescent="0.2">
      <c r="A3242" t="s">
        <v>4955</v>
      </c>
      <c r="B3242" t="s">
        <v>7297</v>
      </c>
      <c r="C3242">
        <v>2024</v>
      </c>
      <c r="D3242">
        <v>2024</v>
      </c>
      <c r="E3242" s="7">
        <v>45516</v>
      </c>
      <c r="F3242" s="7">
        <v>45880</v>
      </c>
      <c r="G3242" t="s">
        <v>135</v>
      </c>
      <c r="H3242" t="s">
        <v>106</v>
      </c>
      <c r="I3242" t="s">
        <v>104</v>
      </c>
      <c r="J3242">
        <v>11517.14</v>
      </c>
      <c r="K3242">
        <v>1500000</v>
      </c>
    </row>
    <row r="3243" spans="1:11" ht="15" customHeight="1" x14ac:dyDescent="0.2">
      <c r="A3243" t="s">
        <v>4956</v>
      </c>
      <c r="B3243" t="s">
        <v>8903</v>
      </c>
      <c r="C3243">
        <v>2024</v>
      </c>
      <c r="D3243">
        <v>2024</v>
      </c>
      <c r="E3243" s="7">
        <v>45516</v>
      </c>
      <c r="F3243" s="7">
        <v>45880</v>
      </c>
      <c r="G3243" t="s">
        <v>135</v>
      </c>
      <c r="H3243" t="s">
        <v>115</v>
      </c>
      <c r="I3243" t="s">
        <v>101</v>
      </c>
      <c r="J3243">
        <v>14917.8</v>
      </c>
      <c r="K3243">
        <v>2000000</v>
      </c>
    </row>
    <row r="3244" spans="1:11" ht="15" customHeight="1" x14ac:dyDescent="0.2">
      <c r="A3244" t="s">
        <v>4957</v>
      </c>
      <c r="B3244" t="s">
        <v>8904</v>
      </c>
      <c r="C3244">
        <v>2024</v>
      </c>
      <c r="D3244">
        <v>2024</v>
      </c>
      <c r="E3244" s="7">
        <v>45516</v>
      </c>
      <c r="F3244" s="7">
        <v>45880</v>
      </c>
      <c r="G3244" t="s">
        <v>135</v>
      </c>
      <c r="H3244" t="s">
        <v>106</v>
      </c>
      <c r="I3244" t="s">
        <v>104</v>
      </c>
      <c r="J3244">
        <v>6832.6</v>
      </c>
      <c r="K3244">
        <v>1000000</v>
      </c>
    </row>
    <row r="3245" spans="1:11" ht="15" customHeight="1" x14ac:dyDescent="0.2">
      <c r="A3245" t="s">
        <v>4958</v>
      </c>
      <c r="B3245" t="s">
        <v>8905</v>
      </c>
      <c r="C3245">
        <v>2024</v>
      </c>
      <c r="D3245">
        <v>2024</v>
      </c>
      <c r="E3245" s="7">
        <v>45516</v>
      </c>
      <c r="F3245" s="7">
        <v>45880</v>
      </c>
      <c r="G3245" t="s">
        <v>135</v>
      </c>
      <c r="H3245" t="s">
        <v>106</v>
      </c>
      <c r="I3245" t="s">
        <v>101</v>
      </c>
      <c r="J3245">
        <v>9077.16</v>
      </c>
      <c r="K3245">
        <v>1000000</v>
      </c>
    </row>
    <row r="3246" spans="1:11" ht="15" customHeight="1" x14ac:dyDescent="0.2">
      <c r="A3246" t="s">
        <v>4959</v>
      </c>
      <c r="B3246" t="s">
        <v>8906</v>
      </c>
      <c r="C3246">
        <v>2024</v>
      </c>
      <c r="D3246">
        <v>2024</v>
      </c>
      <c r="E3246" s="7">
        <v>45516</v>
      </c>
      <c r="F3246" s="7">
        <v>45880</v>
      </c>
      <c r="G3246" t="s">
        <v>135</v>
      </c>
      <c r="H3246" t="s">
        <v>107</v>
      </c>
      <c r="I3246" t="s">
        <v>101</v>
      </c>
      <c r="J3246">
        <v>10644.15</v>
      </c>
      <c r="K3246">
        <v>1500000</v>
      </c>
    </row>
    <row r="3247" spans="1:11" ht="15" customHeight="1" x14ac:dyDescent="0.2">
      <c r="A3247" t="s">
        <v>4960</v>
      </c>
      <c r="B3247" t="s">
        <v>8907</v>
      </c>
      <c r="C3247">
        <v>2024</v>
      </c>
      <c r="D3247">
        <v>2024</v>
      </c>
      <c r="E3247" s="7">
        <v>45516</v>
      </c>
      <c r="F3247" s="7">
        <v>45880</v>
      </c>
      <c r="G3247" t="s">
        <v>135</v>
      </c>
      <c r="H3247" t="s">
        <v>106</v>
      </c>
      <c r="I3247" t="s">
        <v>101</v>
      </c>
      <c r="J3247">
        <v>8723.1</v>
      </c>
      <c r="K3247">
        <v>1000000</v>
      </c>
    </row>
    <row r="3248" spans="1:11" ht="15" customHeight="1" x14ac:dyDescent="0.2">
      <c r="A3248" t="s">
        <v>4961</v>
      </c>
      <c r="B3248" t="s">
        <v>6885</v>
      </c>
      <c r="C3248">
        <v>2024</v>
      </c>
      <c r="D3248">
        <v>2024</v>
      </c>
      <c r="E3248" s="7">
        <v>45516</v>
      </c>
      <c r="F3248" s="7">
        <v>45880</v>
      </c>
      <c r="G3248" t="s">
        <v>135</v>
      </c>
      <c r="H3248" t="s">
        <v>106</v>
      </c>
      <c r="I3248" t="s">
        <v>104</v>
      </c>
      <c r="J3248">
        <v>69150.240000000005</v>
      </c>
      <c r="K3248">
        <v>10000000</v>
      </c>
    </row>
    <row r="3249" spans="1:11" ht="15" customHeight="1" x14ac:dyDescent="0.2">
      <c r="A3249" t="s">
        <v>4962</v>
      </c>
      <c r="B3249" t="s">
        <v>3697</v>
      </c>
      <c r="C3249">
        <v>2024</v>
      </c>
      <c r="D3249">
        <v>2024</v>
      </c>
      <c r="E3249" s="7">
        <v>45517</v>
      </c>
      <c r="F3249" s="7">
        <v>45881</v>
      </c>
      <c r="G3249" t="s">
        <v>99</v>
      </c>
      <c r="H3249" t="s">
        <v>107</v>
      </c>
      <c r="I3249" t="s">
        <v>101</v>
      </c>
      <c r="J3249">
        <v>7580.04</v>
      </c>
      <c r="K3249">
        <v>1000000</v>
      </c>
    </row>
    <row r="3250" spans="1:11" ht="15" customHeight="1" x14ac:dyDescent="0.2">
      <c r="A3250" t="s">
        <v>4963</v>
      </c>
      <c r="B3250" t="s">
        <v>971</v>
      </c>
      <c r="C3250">
        <v>2024</v>
      </c>
      <c r="D3250">
        <v>2024</v>
      </c>
      <c r="E3250" s="7">
        <v>45517</v>
      </c>
      <c r="F3250" s="7">
        <v>45881</v>
      </c>
      <c r="G3250" t="s">
        <v>135</v>
      </c>
      <c r="H3250" t="s">
        <v>108</v>
      </c>
      <c r="I3250" t="s">
        <v>101</v>
      </c>
      <c r="J3250">
        <v>13267.99</v>
      </c>
      <c r="K3250">
        <v>1500000</v>
      </c>
    </row>
    <row r="3251" spans="1:11" ht="15" customHeight="1" x14ac:dyDescent="0.2">
      <c r="A3251" t="s">
        <v>4964</v>
      </c>
      <c r="B3251" t="s">
        <v>8908</v>
      </c>
      <c r="C3251">
        <v>2024</v>
      </c>
      <c r="D3251">
        <v>2024</v>
      </c>
      <c r="E3251" s="7">
        <v>45517</v>
      </c>
      <c r="F3251" s="7">
        <v>45881</v>
      </c>
      <c r="G3251" t="s">
        <v>135</v>
      </c>
      <c r="H3251" t="s">
        <v>6337</v>
      </c>
      <c r="I3251" t="s">
        <v>101</v>
      </c>
      <c r="J3251">
        <v>14473.4</v>
      </c>
      <c r="K3251">
        <v>2000000</v>
      </c>
    </row>
    <row r="3252" spans="1:11" ht="15" customHeight="1" x14ac:dyDescent="0.2">
      <c r="A3252" t="s">
        <v>4965</v>
      </c>
      <c r="B3252" t="s">
        <v>7291</v>
      </c>
      <c r="C3252">
        <v>2024</v>
      </c>
      <c r="D3252">
        <v>2024</v>
      </c>
      <c r="E3252" s="7">
        <v>45517</v>
      </c>
      <c r="F3252" s="7">
        <v>45881</v>
      </c>
      <c r="G3252" t="s">
        <v>135</v>
      </c>
      <c r="H3252" t="s">
        <v>102</v>
      </c>
      <c r="I3252" t="s">
        <v>101</v>
      </c>
      <c r="J3252">
        <v>10253.370000000001</v>
      </c>
      <c r="K3252">
        <v>1500000</v>
      </c>
    </row>
    <row r="3253" spans="1:11" ht="15" customHeight="1" x14ac:dyDescent="0.2">
      <c r="A3253" t="s">
        <v>4966</v>
      </c>
      <c r="B3253" t="s">
        <v>8909</v>
      </c>
      <c r="C3253">
        <v>2024</v>
      </c>
      <c r="D3253">
        <v>2024</v>
      </c>
      <c r="E3253" s="7">
        <v>45517</v>
      </c>
      <c r="F3253" s="7">
        <v>45881</v>
      </c>
      <c r="G3253" t="s">
        <v>135</v>
      </c>
      <c r="H3253" t="s">
        <v>106</v>
      </c>
      <c r="I3253" t="s">
        <v>101</v>
      </c>
      <c r="J3253">
        <v>9522.73</v>
      </c>
      <c r="K3253">
        <v>1000000</v>
      </c>
    </row>
    <row r="3254" spans="1:11" ht="15" customHeight="1" x14ac:dyDescent="0.2">
      <c r="A3254" t="s">
        <v>4967</v>
      </c>
      <c r="B3254" t="s">
        <v>970</v>
      </c>
      <c r="C3254">
        <v>2024</v>
      </c>
      <c r="D3254">
        <v>2024</v>
      </c>
      <c r="E3254" s="7">
        <v>45517</v>
      </c>
      <c r="F3254" s="7">
        <v>45881</v>
      </c>
      <c r="G3254" t="s">
        <v>135</v>
      </c>
      <c r="H3254" t="s">
        <v>100</v>
      </c>
      <c r="I3254" t="s">
        <v>101</v>
      </c>
      <c r="J3254">
        <v>7412.64</v>
      </c>
      <c r="K3254">
        <v>1000000</v>
      </c>
    </row>
    <row r="3255" spans="1:11" ht="15" customHeight="1" x14ac:dyDescent="0.2">
      <c r="A3255" t="s">
        <v>4968</v>
      </c>
      <c r="B3255" t="s">
        <v>8910</v>
      </c>
      <c r="C3255">
        <v>2024</v>
      </c>
      <c r="D3255">
        <v>2024</v>
      </c>
      <c r="E3255" s="7">
        <v>45517</v>
      </c>
      <c r="F3255" s="7">
        <v>45881</v>
      </c>
      <c r="G3255" t="s">
        <v>135</v>
      </c>
      <c r="H3255" t="s">
        <v>102</v>
      </c>
      <c r="I3255" t="s">
        <v>101</v>
      </c>
      <c r="J3255">
        <v>6605.5</v>
      </c>
      <c r="K3255">
        <v>1000000</v>
      </c>
    </row>
    <row r="3256" spans="1:11" ht="15" customHeight="1" x14ac:dyDescent="0.2">
      <c r="A3256" t="s">
        <v>4969</v>
      </c>
      <c r="B3256" t="s">
        <v>8911</v>
      </c>
      <c r="C3256">
        <v>2024</v>
      </c>
      <c r="D3256">
        <v>2024</v>
      </c>
      <c r="E3256" s="7">
        <v>45517</v>
      </c>
      <c r="F3256" s="7">
        <v>45881</v>
      </c>
      <c r="G3256" t="s">
        <v>135</v>
      </c>
      <c r="H3256" t="s">
        <v>106</v>
      </c>
      <c r="I3256" t="s">
        <v>104</v>
      </c>
      <c r="J3256">
        <v>14841.43</v>
      </c>
      <c r="K3256">
        <v>2000000</v>
      </c>
    </row>
    <row r="3257" spans="1:11" ht="15" customHeight="1" x14ac:dyDescent="0.2">
      <c r="A3257" t="s">
        <v>4970</v>
      </c>
      <c r="B3257" t="s">
        <v>3699</v>
      </c>
      <c r="C3257">
        <v>2024</v>
      </c>
      <c r="D3257">
        <v>2024</v>
      </c>
      <c r="E3257" s="7">
        <v>45518</v>
      </c>
      <c r="F3257" s="7">
        <v>45882</v>
      </c>
      <c r="G3257" t="s">
        <v>99</v>
      </c>
      <c r="H3257" t="s">
        <v>102</v>
      </c>
      <c r="I3257" t="s">
        <v>101</v>
      </c>
      <c r="J3257">
        <v>6889.45</v>
      </c>
      <c r="K3257">
        <v>1000000</v>
      </c>
    </row>
    <row r="3258" spans="1:11" ht="15" customHeight="1" x14ac:dyDescent="0.2">
      <c r="A3258" t="s">
        <v>4971</v>
      </c>
      <c r="B3258" t="s">
        <v>3701</v>
      </c>
      <c r="C3258">
        <v>2024</v>
      </c>
      <c r="D3258">
        <v>2024</v>
      </c>
      <c r="E3258" s="7">
        <v>45518</v>
      </c>
      <c r="F3258" s="7">
        <v>45882</v>
      </c>
      <c r="G3258" t="s">
        <v>99</v>
      </c>
      <c r="H3258" t="s">
        <v>107</v>
      </c>
      <c r="I3258" t="s">
        <v>101</v>
      </c>
      <c r="J3258">
        <v>3894.56</v>
      </c>
      <c r="K3258">
        <v>500000</v>
      </c>
    </row>
    <row r="3259" spans="1:11" ht="15" customHeight="1" x14ac:dyDescent="0.2">
      <c r="A3259" t="s">
        <v>4972</v>
      </c>
      <c r="B3259" t="s">
        <v>3703</v>
      </c>
      <c r="C3259">
        <v>2024</v>
      </c>
      <c r="D3259">
        <v>2024</v>
      </c>
      <c r="E3259" s="7">
        <v>45518</v>
      </c>
      <c r="F3259" s="7">
        <v>45882</v>
      </c>
      <c r="G3259" t="s">
        <v>99</v>
      </c>
      <c r="H3259" t="s">
        <v>102</v>
      </c>
      <c r="I3259" t="s">
        <v>104</v>
      </c>
      <c r="J3259">
        <v>5633.58</v>
      </c>
      <c r="K3259">
        <v>1000000</v>
      </c>
    </row>
    <row r="3260" spans="1:11" ht="15" customHeight="1" x14ac:dyDescent="0.2">
      <c r="A3260" t="s">
        <v>4973</v>
      </c>
      <c r="B3260" t="s">
        <v>3714</v>
      </c>
      <c r="C3260">
        <v>2024</v>
      </c>
      <c r="D3260">
        <v>2024</v>
      </c>
      <c r="E3260" s="7">
        <v>45518</v>
      </c>
      <c r="F3260" s="7">
        <v>45882</v>
      </c>
      <c r="G3260" t="s">
        <v>99</v>
      </c>
      <c r="H3260" t="s">
        <v>114</v>
      </c>
      <c r="I3260" t="s">
        <v>101</v>
      </c>
      <c r="J3260">
        <v>14487.62</v>
      </c>
      <c r="K3260">
        <v>2000000</v>
      </c>
    </row>
    <row r="3261" spans="1:11" ht="15" customHeight="1" x14ac:dyDescent="0.2">
      <c r="A3261" t="s">
        <v>4974</v>
      </c>
      <c r="B3261" t="s">
        <v>8912</v>
      </c>
      <c r="C3261">
        <v>2024</v>
      </c>
      <c r="D3261">
        <v>2024</v>
      </c>
      <c r="E3261" s="7">
        <v>45518</v>
      </c>
      <c r="F3261" s="7">
        <v>45882</v>
      </c>
      <c r="G3261" t="s">
        <v>135</v>
      </c>
      <c r="H3261" t="s">
        <v>107</v>
      </c>
      <c r="I3261" t="s">
        <v>104</v>
      </c>
      <c r="J3261">
        <v>5518.54</v>
      </c>
      <c r="K3261">
        <v>1000000</v>
      </c>
    </row>
    <row r="3262" spans="1:11" ht="15" customHeight="1" x14ac:dyDescent="0.2">
      <c r="A3262" t="s">
        <v>4975</v>
      </c>
      <c r="B3262" t="s">
        <v>8913</v>
      </c>
      <c r="C3262">
        <v>2024</v>
      </c>
      <c r="D3262">
        <v>2024</v>
      </c>
      <c r="E3262" s="7">
        <v>45518</v>
      </c>
      <c r="F3262" s="7">
        <v>45882</v>
      </c>
      <c r="G3262" t="s">
        <v>135</v>
      </c>
      <c r="H3262" t="s">
        <v>112</v>
      </c>
      <c r="I3262" t="s">
        <v>101</v>
      </c>
      <c r="J3262">
        <v>14613.9</v>
      </c>
      <c r="K3262">
        <v>1500000</v>
      </c>
    </row>
    <row r="3263" spans="1:11" ht="15" customHeight="1" x14ac:dyDescent="0.2">
      <c r="A3263" t="s">
        <v>4976</v>
      </c>
      <c r="B3263" t="s">
        <v>8914</v>
      </c>
      <c r="C3263">
        <v>2024</v>
      </c>
      <c r="D3263">
        <v>2024</v>
      </c>
      <c r="E3263" s="7">
        <v>45518</v>
      </c>
      <c r="F3263" s="7">
        <v>45882</v>
      </c>
      <c r="G3263" t="s">
        <v>135</v>
      </c>
      <c r="H3263" t="s">
        <v>102</v>
      </c>
      <c r="I3263" t="s">
        <v>104</v>
      </c>
      <c r="J3263">
        <v>28740.5</v>
      </c>
      <c r="K3263">
        <v>5000000</v>
      </c>
    </row>
    <row r="3264" spans="1:11" ht="15" customHeight="1" x14ac:dyDescent="0.2">
      <c r="A3264" t="s">
        <v>4977</v>
      </c>
      <c r="B3264" t="s">
        <v>3716</v>
      </c>
      <c r="C3264">
        <v>2024</v>
      </c>
      <c r="D3264">
        <v>2024</v>
      </c>
      <c r="E3264" s="7">
        <v>45519</v>
      </c>
      <c r="F3264" s="7">
        <v>45883</v>
      </c>
      <c r="G3264" t="s">
        <v>99</v>
      </c>
      <c r="H3264" t="s">
        <v>107</v>
      </c>
      <c r="I3264" t="s">
        <v>101</v>
      </c>
      <c r="J3264">
        <v>14407.17</v>
      </c>
      <c r="K3264">
        <v>2000000</v>
      </c>
    </row>
    <row r="3265" spans="1:11" ht="15" customHeight="1" x14ac:dyDescent="0.2">
      <c r="A3265" t="s">
        <v>4978</v>
      </c>
      <c r="B3265" t="s">
        <v>8915</v>
      </c>
      <c r="C3265">
        <v>2024</v>
      </c>
      <c r="D3265">
        <v>2024</v>
      </c>
      <c r="E3265" s="7">
        <v>45519</v>
      </c>
      <c r="F3265" s="7">
        <v>45883</v>
      </c>
      <c r="G3265" t="s">
        <v>135</v>
      </c>
      <c r="H3265" t="s">
        <v>102</v>
      </c>
      <c r="I3265" t="s">
        <v>101</v>
      </c>
      <c r="J3265">
        <v>11134.26</v>
      </c>
      <c r="K3265">
        <v>1500000</v>
      </c>
    </row>
    <row r="3266" spans="1:11" ht="15" customHeight="1" x14ac:dyDescent="0.2">
      <c r="A3266" t="s">
        <v>4979</v>
      </c>
      <c r="B3266" t="s">
        <v>6891</v>
      </c>
      <c r="C3266">
        <v>2024</v>
      </c>
      <c r="D3266">
        <v>2024</v>
      </c>
      <c r="E3266" s="7">
        <v>45519</v>
      </c>
      <c r="F3266" s="7">
        <v>45883</v>
      </c>
      <c r="G3266" t="s">
        <v>135</v>
      </c>
      <c r="H3266" t="s">
        <v>116</v>
      </c>
      <c r="I3266" t="s">
        <v>101</v>
      </c>
      <c r="J3266">
        <v>13337.97</v>
      </c>
      <c r="K3266">
        <v>2000000</v>
      </c>
    </row>
    <row r="3267" spans="1:11" ht="15" customHeight="1" x14ac:dyDescent="0.2">
      <c r="A3267" t="s">
        <v>4980</v>
      </c>
      <c r="B3267" t="s">
        <v>8916</v>
      </c>
      <c r="C3267">
        <v>2024</v>
      </c>
      <c r="D3267">
        <v>2024</v>
      </c>
      <c r="E3267" s="7">
        <v>45519</v>
      </c>
      <c r="F3267" s="7">
        <v>45883</v>
      </c>
      <c r="G3267" t="s">
        <v>135</v>
      </c>
      <c r="H3267" t="s">
        <v>107</v>
      </c>
      <c r="I3267" t="s">
        <v>101</v>
      </c>
      <c r="J3267">
        <v>10968.62</v>
      </c>
      <c r="K3267">
        <v>1500000</v>
      </c>
    </row>
    <row r="3268" spans="1:11" ht="15" customHeight="1" x14ac:dyDescent="0.2">
      <c r="A3268" t="s">
        <v>4981</v>
      </c>
      <c r="B3268" t="s">
        <v>587</v>
      </c>
      <c r="C3268">
        <v>2024</v>
      </c>
      <c r="D3268">
        <v>2024</v>
      </c>
      <c r="E3268" s="7">
        <v>45519</v>
      </c>
      <c r="F3268" s="7">
        <v>45883</v>
      </c>
      <c r="G3268" t="s">
        <v>135</v>
      </c>
      <c r="H3268" t="s">
        <v>106</v>
      </c>
      <c r="I3268" t="s">
        <v>101</v>
      </c>
      <c r="J3268">
        <v>9441.4699999999993</v>
      </c>
      <c r="K3268">
        <v>1000000</v>
      </c>
    </row>
    <row r="3269" spans="1:11" ht="15" customHeight="1" x14ac:dyDescent="0.2">
      <c r="A3269" t="s">
        <v>4982</v>
      </c>
      <c r="B3269" t="s">
        <v>972</v>
      </c>
      <c r="C3269">
        <v>2024</v>
      </c>
      <c r="D3269">
        <v>2024</v>
      </c>
      <c r="E3269" s="7">
        <v>45519</v>
      </c>
      <c r="F3269" s="7">
        <v>45883</v>
      </c>
      <c r="G3269" t="s">
        <v>135</v>
      </c>
      <c r="H3269" t="s">
        <v>106</v>
      </c>
      <c r="I3269" t="s">
        <v>101</v>
      </c>
      <c r="J3269">
        <v>9415.24</v>
      </c>
      <c r="K3269">
        <v>1000000</v>
      </c>
    </row>
    <row r="3270" spans="1:11" ht="15" customHeight="1" x14ac:dyDescent="0.2">
      <c r="A3270" t="s">
        <v>4983</v>
      </c>
      <c r="B3270" t="s">
        <v>974</v>
      </c>
      <c r="C3270">
        <v>2024</v>
      </c>
      <c r="D3270">
        <v>2024</v>
      </c>
      <c r="E3270" s="7">
        <v>45519</v>
      </c>
      <c r="F3270" s="7">
        <v>45883</v>
      </c>
      <c r="G3270" t="s">
        <v>135</v>
      </c>
      <c r="H3270" t="s">
        <v>100</v>
      </c>
      <c r="I3270" t="s">
        <v>101</v>
      </c>
      <c r="J3270">
        <v>15355.78</v>
      </c>
      <c r="K3270">
        <v>2000000</v>
      </c>
    </row>
    <row r="3271" spans="1:11" ht="15" customHeight="1" x14ac:dyDescent="0.2">
      <c r="A3271" t="s">
        <v>4984</v>
      </c>
      <c r="B3271" t="s">
        <v>973</v>
      </c>
      <c r="C3271">
        <v>2024</v>
      </c>
      <c r="D3271">
        <v>2024</v>
      </c>
      <c r="E3271" s="7">
        <v>45519</v>
      </c>
      <c r="F3271" s="7">
        <v>45883</v>
      </c>
      <c r="G3271" t="s">
        <v>135</v>
      </c>
      <c r="H3271" t="s">
        <v>106</v>
      </c>
      <c r="I3271" t="s">
        <v>101</v>
      </c>
      <c r="J3271">
        <v>9373.52</v>
      </c>
      <c r="K3271">
        <v>1000000</v>
      </c>
    </row>
    <row r="3272" spans="1:11" ht="15" customHeight="1" x14ac:dyDescent="0.2">
      <c r="A3272" t="s">
        <v>4985</v>
      </c>
      <c r="B3272" t="s">
        <v>365</v>
      </c>
      <c r="C3272">
        <v>2024</v>
      </c>
      <c r="D3272">
        <v>2024</v>
      </c>
      <c r="E3272" s="7">
        <v>45519</v>
      </c>
      <c r="F3272" s="7">
        <v>45883</v>
      </c>
      <c r="G3272" t="s">
        <v>135</v>
      </c>
      <c r="H3272" t="s">
        <v>106</v>
      </c>
      <c r="I3272" t="s">
        <v>104</v>
      </c>
      <c r="J3272">
        <v>7147.9</v>
      </c>
      <c r="K3272">
        <v>1000000</v>
      </c>
    </row>
    <row r="3273" spans="1:11" ht="15" customHeight="1" x14ac:dyDescent="0.2">
      <c r="A3273" t="s">
        <v>4986</v>
      </c>
      <c r="B3273" t="s">
        <v>364</v>
      </c>
      <c r="C3273">
        <v>2024</v>
      </c>
      <c r="D3273">
        <v>2024</v>
      </c>
      <c r="E3273" s="7">
        <v>45519</v>
      </c>
      <c r="F3273" s="7">
        <v>45883</v>
      </c>
      <c r="G3273" t="s">
        <v>135</v>
      </c>
      <c r="H3273" t="s">
        <v>102</v>
      </c>
      <c r="I3273" t="s">
        <v>101</v>
      </c>
      <c r="J3273">
        <v>6845.28</v>
      </c>
      <c r="K3273">
        <v>1000000</v>
      </c>
    </row>
    <row r="3274" spans="1:11" ht="15" customHeight="1" x14ac:dyDescent="0.2">
      <c r="A3274" t="s">
        <v>4987</v>
      </c>
      <c r="B3274" t="s">
        <v>6886</v>
      </c>
      <c r="C3274">
        <v>2024</v>
      </c>
      <c r="D3274">
        <v>2024</v>
      </c>
      <c r="E3274" s="7">
        <v>45519</v>
      </c>
      <c r="F3274" s="7">
        <v>45883</v>
      </c>
      <c r="G3274" t="s">
        <v>135</v>
      </c>
      <c r="H3274" t="s">
        <v>106</v>
      </c>
      <c r="I3274" t="s">
        <v>101</v>
      </c>
      <c r="J3274">
        <v>9311.43</v>
      </c>
      <c r="K3274">
        <v>1000000</v>
      </c>
    </row>
    <row r="3275" spans="1:11" ht="15" customHeight="1" x14ac:dyDescent="0.2">
      <c r="A3275" t="s">
        <v>4988</v>
      </c>
      <c r="B3275" t="s">
        <v>8917</v>
      </c>
      <c r="C3275">
        <v>2024</v>
      </c>
      <c r="D3275">
        <v>2024</v>
      </c>
      <c r="E3275" s="7">
        <v>45519</v>
      </c>
      <c r="F3275" s="7">
        <v>45883</v>
      </c>
      <c r="G3275" t="s">
        <v>135</v>
      </c>
      <c r="H3275" t="s">
        <v>6348</v>
      </c>
      <c r="I3275" t="s">
        <v>101</v>
      </c>
      <c r="J3275">
        <v>73505.009999999995</v>
      </c>
      <c r="K3275">
        <v>10000000</v>
      </c>
    </row>
    <row r="3276" spans="1:11" ht="15" customHeight="1" x14ac:dyDescent="0.2">
      <c r="A3276" t="s">
        <v>4989</v>
      </c>
      <c r="B3276" t="s">
        <v>6887</v>
      </c>
      <c r="C3276">
        <v>2024</v>
      </c>
      <c r="D3276">
        <v>2024</v>
      </c>
      <c r="E3276" s="7">
        <v>45519</v>
      </c>
      <c r="F3276" s="7">
        <v>45883</v>
      </c>
      <c r="G3276" t="s">
        <v>135</v>
      </c>
      <c r="H3276" t="s">
        <v>106</v>
      </c>
      <c r="I3276" t="s">
        <v>101</v>
      </c>
      <c r="J3276">
        <v>13613.22</v>
      </c>
      <c r="K3276">
        <v>1500000</v>
      </c>
    </row>
    <row r="3277" spans="1:11" ht="15" customHeight="1" x14ac:dyDescent="0.2">
      <c r="A3277" t="s">
        <v>4990</v>
      </c>
      <c r="B3277" t="s">
        <v>8918</v>
      </c>
      <c r="C3277">
        <v>2024</v>
      </c>
      <c r="D3277">
        <v>2024</v>
      </c>
      <c r="E3277" s="7">
        <v>45519</v>
      </c>
      <c r="F3277" s="7">
        <v>45883</v>
      </c>
      <c r="G3277" t="s">
        <v>135</v>
      </c>
      <c r="H3277" t="s">
        <v>100</v>
      </c>
      <c r="I3277" t="s">
        <v>101</v>
      </c>
      <c r="J3277">
        <v>3386.95</v>
      </c>
      <c r="K3277">
        <v>500000</v>
      </c>
    </row>
    <row r="3278" spans="1:11" ht="15" customHeight="1" x14ac:dyDescent="0.2">
      <c r="A3278" t="s">
        <v>4991</v>
      </c>
      <c r="B3278" t="s">
        <v>3718</v>
      </c>
      <c r="C3278">
        <v>2024</v>
      </c>
      <c r="D3278">
        <v>2024</v>
      </c>
      <c r="E3278" s="7">
        <v>45520</v>
      </c>
      <c r="F3278" s="7">
        <v>45884</v>
      </c>
      <c r="G3278" t="s">
        <v>99</v>
      </c>
      <c r="H3278" t="s">
        <v>112</v>
      </c>
      <c r="I3278" t="s">
        <v>104</v>
      </c>
      <c r="J3278">
        <v>3726.76</v>
      </c>
      <c r="K3278">
        <v>500000</v>
      </c>
    </row>
    <row r="3279" spans="1:11" ht="15" customHeight="1" x14ac:dyDescent="0.2">
      <c r="A3279" t="s">
        <v>4992</v>
      </c>
      <c r="B3279" t="s">
        <v>6966</v>
      </c>
      <c r="C3279">
        <v>2024</v>
      </c>
      <c r="D3279">
        <v>2024</v>
      </c>
      <c r="E3279" s="7">
        <v>45520</v>
      </c>
      <c r="F3279" s="7">
        <v>45884</v>
      </c>
      <c r="G3279" t="s">
        <v>135</v>
      </c>
      <c r="H3279" t="s">
        <v>110</v>
      </c>
      <c r="I3279" t="s">
        <v>104</v>
      </c>
      <c r="J3279">
        <v>7670.01</v>
      </c>
      <c r="K3279">
        <v>1000000</v>
      </c>
    </row>
    <row r="3280" spans="1:11" ht="15" customHeight="1" x14ac:dyDescent="0.2">
      <c r="A3280" t="s">
        <v>4993</v>
      </c>
      <c r="B3280" t="s">
        <v>588</v>
      </c>
      <c r="C3280">
        <v>2024</v>
      </c>
      <c r="D3280">
        <v>2024</v>
      </c>
      <c r="E3280" s="7">
        <v>45520</v>
      </c>
      <c r="F3280" s="7">
        <v>45884</v>
      </c>
      <c r="G3280" t="s">
        <v>135</v>
      </c>
      <c r="H3280" t="s">
        <v>115</v>
      </c>
      <c r="I3280" t="s">
        <v>104</v>
      </c>
      <c r="J3280">
        <v>31177.94</v>
      </c>
      <c r="K3280">
        <v>5000000</v>
      </c>
    </row>
    <row r="3281" spans="1:11" ht="15" customHeight="1" x14ac:dyDescent="0.2">
      <c r="A3281" t="s">
        <v>4994</v>
      </c>
      <c r="B3281" t="s">
        <v>8919</v>
      </c>
      <c r="C3281">
        <v>2024</v>
      </c>
      <c r="D3281">
        <v>2024</v>
      </c>
      <c r="E3281" s="7">
        <v>45520</v>
      </c>
      <c r="F3281" s="7">
        <v>45884</v>
      </c>
      <c r="G3281" t="s">
        <v>135</v>
      </c>
      <c r="H3281" t="s">
        <v>103</v>
      </c>
      <c r="I3281" t="s">
        <v>101</v>
      </c>
      <c r="J3281">
        <v>7393.57</v>
      </c>
      <c r="K3281">
        <v>1000000</v>
      </c>
    </row>
    <row r="3282" spans="1:11" ht="15" customHeight="1" x14ac:dyDescent="0.2">
      <c r="A3282" t="s">
        <v>4995</v>
      </c>
      <c r="B3282" t="s">
        <v>589</v>
      </c>
      <c r="C3282">
        <v>2024</v>
      </c>
      <c r="D3282">
        <v>2024</v>
      </c>
      <c r="E3282" s="7">
        <v>45520</v>
      </c>
      <c r="F3282" s="7">
        <v>45884</v>
      </c>
      <c r="G3282" t="s">
        <v>135</v>
      </c>
      <c r="H3282" t="s">
        <v>102</v>
      </c>
      <c r="I3282" t="s">
        <v>101</v>
      </c>
      <c r="J3282">
        <v>6833.89</v>
      </c>
      <c r="K3282">
        <v>1000000</v>
      </c>
    </row>
    <row r="3283" spans="1:11" ht="15" customHeight="1" x14ac:dyDescent="0.2">
      <c r="A3283" t="s">
        <v>4996</v>
      </c>
      <c r="B3283" t="s">
        <v>8920</v>
      </c>
      <c r="C3283">
        <v>2024</v>
      </c>
      <c r="D3283">
        <v>2024</v>
      </c>
      <c r="E3283" s="7">
        <v>45520</v>
      </c>
      <c r="F3283" s="7">
        <v>45884</v>
      </c>
      <c r="G3283" t="s">
        <v>135</v>
      </c>
      <c r="H3283" t="s">
        <v>106</v>
      </c>
      <c r="I3283" t="s">
        <v>104</v>
      </c>
      <c r="J3283">
        <v>6966.37</v>
      </c>
      <c r="K3283">
        <v>1000000</v>
      </c>
    </row>
    <row r="3284" spans="1:11" ht="15" customHeight="1" x14ac:dyDescent="0.2">
      <c r="A3284" t="s">
        <v>4997</v>
      </c>
      <c r="B3284" t="s">
        <v>7313</v>
      </c>
      <c r="C3284">
        <v>2024</v>
      </c>
      <c r="D3284">
        <v>2024</v>
      </c>
      <c r="E3284" s="7">
        <v>45520</v>
      </c>
      <c r="F3284" s="7">
        <v>45884</v>
      </c>
      <c r="G3284" t="s">
        <v>135</v>
      </c>
      <c r="H3284" t="s">
        <v>102</v>
      </c>
      <c r="I3284" t="s">
        <v>101</v>
      </c>
      <c r="J3284">
        <v>68746.23</v>
      </c>
      <c r="K3284">
        <v>10000000</v>
      </c>
    </row>
    <row r="3285" spans="1:11" ht="15" customHeight="1" x14ac:dyDescent="0.2">
      <c r="A3285" t="s">
        <v>4998</v>
      </c>
      <c r="B3285" t="s">
        <v>366</v>
      </c>
      <c r="C3285">
        <v>2024</v>
      </c>
      <c r="D3285">
        <v>2024</v>
      </c>
      <c r="E3285" s="7">
        <v>45520</v>
      </c>
      <c r="F3285" s="7">
        <v>45884</v>
      </c>
      <c r="G3285" t="s">
        <v>135</v>
      </c>
      <c r="H3285" t="s">
        <v>6348</v>
      </c>
      <c r="I3285" t="s">
        <v>104</v>
      </c>
      <c r="J3285">
        <v>9343.61</v>
      </c>
      <c r="K3285">
        <v>1500000</v>
      </c>
    </row>
    <row r="3286" spans="1:11" ht="15" customHeight="1" x14ac:dyDescent="0.2">
      <c r="A3286" t="s">
        <v>4999</v>
      </c>
      <c r="B3286" t="s">
        <v>8921</v>
      </c>
      <c r="C3286">
        <v>2024</v>
      </c>
      <c r="D3286">
        <v>2024</v>
      </c>
      <c r="E3286" s="7">
        <v>45520</v>
      </c>
      <c r="F3286" s="7">
        <v>45884</v>
      </c>
      <c r="G3286" t="s">
        <v>135</v>
      </c>
      <c r="H3286" t="s">
        <v>6337</v>
      </c>
      <c r="I3286" t="s">
        <v>104</v>
      </c>
      <c r="J3286">
        <v>11262.93</v>
      </c>
      <c r="K3286">
        <v>2000000</v>
      </c>
    </row>
    <row r="3287" spans="1:11" ht="15" customHeight="1" x14ac:dyDescent="0.2">
      <c r="A3287" t="s">
        <v>5000</v>
      </c>
      <c r="B3287" t="s">
        <v>6892</v>
      </c>
      <c r="C3287">
        <v>2024</v>
      </c>
      <c r="D3287">
        <v>2024</v>
      </c>
      <c r="E3287" s="7">
        <v>45520</v>
      </c>
      <c r="F3287" s="7">
        <v>45884</v>
      </c>
      <c r="G3287" t="s">
        <v>135</v>
      </c>
      <c r="H3287" t="s">
        <v>106</v>
      </c>
      <c r="I3287" t="s">
        <v>104</v>
      </c>
      <c r="J3287">
        <v>15257.88</v>
      </c>
      <c r="K3287">
        <v>2000000</v>
      </c>
    </row>
    <row r="3288" spans="1:11" ht="15" customHeight="1" x14ac:dyDescent="0.2">
      <c r="A3288" t="s">
        <v>5001</v>
      </c>
      <c r="B3288" t="s">
        <v>3720</v>
      </c>
      <c r="C3288">
        <v>2024</v>
      </c>
      <c r="D3288">
        <v>2024</v>
      </c>
      <c r="E3288" s="7">
        <v>45521</v>
      </c>
      <c r="F3288" s="7">
        <v>45885</v>
      </c>
      <c r="G3288" t="s">
        <v>99</v>
      </c>
      <c r="H3288" t="s">
        <v>108</v>
      </c>
      <c r="I3288" t="s">
        <v>101</v>
      </c>
      <c r="J3288">
        <v>9045.0400000000009</v>
      </c>
      <c r="K3288">
        <v>1000000</v>
      </c>
    </row>
    <row r="3289" spans="1:11" ht="15" customHeight="1" x14ac:dyDescent="0.2">
      <c r="A3289" t="s">
        <v>5002</v>
      </c>
      <c r="B3289" t="s">
        <v>3732</v>
      </c>
      <c r="C3289">
        <v>2024</v>
      </c>
      <c r="D3289">
        <v>2024</v>
      </c>
      <c r="E3289" s="7">
        <v>45521</v>
      </c>
      <c r="F3289" s="7">
        <v>45885</v>
      </c>
      <c r="G3289" t="s">
        <v>99</v>
      </c>
      <c r="H3289" t="s">
        <v>113</v>
      </c>
      <c r="I3289" t="s">
        <v>101</v>
      </c>
      <c r="J3289">
        <v>15624.32</v>
      </c>
      <c r="K3289">
        <v>2000000</v>
      </c>
    </row>
    <row r="3290" spans="1:11" ht="15" customHeight="1" x14ac:dyDescent="0.2">
      <c r="A3290" t="s">
        <v>5003</v>
      </c>
      <c r="B3290" t="s">
        <v>3734</v>
      </c>
      <c r="C3290">
        <v>2024</v>
      </c>
      <c r="D3290">
        <v>2024</v>
      </c>
      <c r="E3290" s="7">
        <v>45521</v>
      </c>
      <c r="F3290" s="7">
        <v>45885</v>
      </c>
      <c r="G3290" t="s">
        <v>99</v>
      </c>
      <c r="H3290" t="s">
        <v>6337</v>
      </c>
      <c r="I3290" t="s">
        <v>101</v>
      </c>
      <c r="J3290">
        <v>14018.81</v>
      </c>
      <c r="K3290">
        <v>2000000</v>
      </c>
    </row>
    <row r="3291" spans="1:11" ht="15" customHeight="1" x14ac:dyDescent="0.2">
      <c r="A3291" t="s">
        <v>5004</v>
      </c>
      <c r="B3291" t="s">
        <v>7008</v>
      </c>
      <c r="C3291">
        <v>2024</v>
      </c>
      <c r="D3291">
        <v>2024</v>
      </c>
      <c r="E3291" s="7">
        <v>45521</v>
      </c>
      <c r="F3291" s="7">
        <v>45885</v>
      </c>
      <c r="G3291" t="s">
        <v>135</v>
      </c>
      <c r="H3291" t="s">
        <v>116</v>
      </c>
      <c r="I3291" t="s">
        <v>104</v>
      </c>
      <c r="J3291">
        <v>5930.38</v>
      </c>
      <c r="K3291">
        <v>1000000</v>
      </c>
    </row>
    <row r="3292" spans="1:11" ht="15" customHeight="1" x14ac:dyDescent="0.2">
      <c r="A3292" t="s">
        <v>5005</v>
      </c>
      <c r="B3292" t="s">
        <v>367</v>
      </c>
      <c r="C3292">
        <v>2024</v>
      </c>
      <c r="D3292">
        <v>2024</v>
      </c>
      <c r="E3292" s="7">
        <v>45521</v>
      </c>
      <c r="F3292" s="7">
        <v>45885</v>
      </c>
      <c r="G3292" t="s">
        <v>135</v>
      </c>
      <c r="H3292" t="s">
        <v>106</v>
      </c>
      <c r="I3292" t="s">
        <v>104</v>
      </c>
      <c r="J3292">
        <v>3767.97</v>
      </c>
      <c r="K3292">
        <v>500000</v>
      </c>
    </row>
    <row r="3293" spans="1:11" ht="15" customHeight="1" x14ac:dyDescent="0.2">
      <c r="A3293" t="s">
        <v>5006</v>
      </c>
      <c r="B3293" t="s">
        <v>3747</v>
      </c>
      <c r="C3293">
        <v>2024</v>
      </c>
      <c r="D3293">
        <v>2024</v>
      </c>
      <c r="E3293" s="7">
        <v>45522</v>
      </c>
      <c r="F3293" s="7">
        <v>45886</v>
      </c>
      <c r="G3293" t="s">
        <v>99</v>
      </c>
      <c r="H3293" t="s">
        <v>105</v>
      </c>
      <c r="I3293" t="s">
        <v>101</v>
      </c>
      <c r="J3293">
        <v>13880.67</v>
      </c>
      <c r="K3293">
        <v>2000000</v>
      </c>
    </row>
    <row r="3294" spans="1:11" ht="15" customHeight="1" x14ac:dyDescent="0.2">
      <c r="A3294" t="s">
        <v>5007</v>
      </c>
      <c r="B3294" t="s">
        <v>3749</v>
      </c>
      <c r="C3294">
        <v>2024</v>
      </c>
      <c r="D3294">
        <v>2024</v>
      </c>
      <c r="E3294" s="7">
        <v>45522</v>
      </c>
      <c r="F3294" s="7">
        <v>45886</v>
      </c>
      <c r="G3294" t="s">
        <v>99</v>
      </c>
      <c r="H3294" t="s">
        <v>106</v>
      </c>
      <c r="I3294" t="s">
        <v>104</v>
      </c>
      <c r="J3294">
        <v>3755.18</v>
      </c>
      <c r="K3294">
        <v>500000</v>
      </c>
    </row>
    <row r="3295" spans="1:11" ht="15" customHeight="1" x14ac:dyDescent="0.2">
      <c r="A3295" t="s">
        <v>5008</v>
      </c>
      <c r="B3295" t="s">
        <v>8922</v>
      </c>
      <c r="C3295">
        <v>2024</v>
      </c>
      <c r="D3295">
        <v>2024</v>
      </c>
      <c r="E3295" s="7">
        <v>45522</v>
      </c>
      <c r="F3295" s="7">
        <v>45886</v>
      </c>
      <c r="G3295" t="s">
        <v>135</v>
      </c>
      <c r="H3295" t="s">
        <v>108</v>
      </c>
      <c r="I3295" t="s">
        <v>104</v>
      </c>
      <c r="J3295">
        <v>11779.06</v>
      </c>
      <c r="K3295">
        <v>1500000</v>
      </c>
    </row>
    <row r="3296" spans="1:11" ht="15" customHeight="1" x14ac:dyDescent="0.2">
      <c r="A3296" t="s">
        <v>5009</v>
      </c>
      <c r="B3296" t="s">
        <v>975</v>
      </c>
      <c r="C3296">
        <v>2024</v>
      </c>
      <c r="D3296">
        <v>2024</v>
      </c>
      <c r="E3296" s="7">
        <v>45522</v>
      </c>
      <c r="F3296" s="7">
        <v>45886</v>
      </c>
      <c r="G3296" t="s">
        <v>135</v>
      </c>
      <c r="H3296" t="s">
        <v>107</v>
      </c>
      <c r="I3296" t="s">
        <v>104</v>
      </c>
      <c r="J3296">
        <v>5673.04</v>
      </c>
      <c r="K3296">
        <v>1000000</v>
      </c>
    </row>
    <row r="3297" spans="1:11" ht="15" customHeight="1" x14ac:dyDescent="0.2">
      <c r="A3297" t="s">
        <v>5010</v>
      </c>
      <c r="B3297" t="s">
        <v>976</v>
      </c>
      <c r="C3297">
        <v>2024</v>
      </c>
      <c r="D3297">
        <v>2024</v>
      </c>
      <c r="E3297" s="7">
        <v>45522</v>
      </c>
      <c r="F3297" s="7">
        <v>45886</v>
      </c>
      <c r="G3297" t="s">
        <v>135</v>
      </c>
      <c r="H3297" t="s">
        <v>116</v>
      </c>
      <c r="I3297" t="s">
        <v>101</v>
      </c>
      <c r="J3297">
        <v>3425.47</v>
      </c>
      <c r="K3297">
        <v>500000</v>
      </c>
    </row>
    <row r="3298" spans="1:11" ht="15" customHeight="1" x14ac:dyDescent="0.2">
      <c r="A3298" t="s">
        <v>5011</v>
      </c>
      <c r="B3298" t="s">
        <v>8923</v>
      </c>
      <c r="C3298">
        <v>2024</v>
      </c>
      <c r="D3298">
        <v>2024</v>
      </c>
      <c r="E3298" s="7">
        <v>45522</v>
      </c>
      <c r="F3298" s="7">
        <v>45886</v>
      </c>
      <c r="G3298" t="s">
        <v>135</v>
      </c>
      <c r="H3298" t="s">
        <v>102</v>
      </c>
      <c r="I3298" t="s">
        <v>104</v>
      </c>
      <c r="J3298">
        <v>12129.76</v>
      </c>
      <c r="K3298">
        <v>2000000</v>
      </c>
    </row>
    <row r="3299" spans="1:11" ht="15" customHeight="1" x14ac:dyDescent="0.2">
      <c r="A3299" t="s">
        <v>5012</v>
      </c>
      <c r="B3299" t="s">
        <v>590</v>
      </c>
      <c r="C3299">
        <v>2024</v>
      </c>
      <c r="D3299">
        <v>2024</v>
      </c>
      <c r="E3299" s="7">
        <v>45522</v>
      </c>
      <c r="F3299" s="7">
        <v>45886</v>
      </c>
      <c r="G3299" t="s">
        <v>135</v>
      </c>
      <c r="H3299" t="s">
        <v>105</v>
      </c>
      <c r="I3299" t="s">
        <v>101</v>
      </c>
      <c r="J3299">
        <v>13794.42</v>
      </c>
      <c r="K3299">
        <v>2000000</v>
      </c>
    </row>
    <row r="3300" spans="1:11" ht="15" customHeight="1" x14ac:dyDescent="0.2">
      <c r="A3300" t="s">
        <v>5013</v>
      </c>
      <c r="B3300" t="s">
        <v>3751</v>
      </c>
      <c r="C3300">
        <v>2024</v>
      </c>
      <c r="D3300">
        <v>2024</v>
      </c>
      <c r="E3300" s="7">
        <v>45523</v>
      </c>
      <c r="F3300" s="7">
        <v>45887</v>
      </c>
      <c r="G3300" t="s">
        <v>99</v>
      </c>
      <c r="H3300" t="s">
        <v>108</v>
      </c>
      <c r="I3300" t="s">
        <v>104</v>
      </c>
      <c r="J3300">
        <v>7815.99</v>
      </c>
      <c r="K3300">
        <v>1000000</v>
      </c>
    </row>
    <row r="3301" spans="1:11" ht="15" customHeight="1" x14ac:dyDescent="0.2">
      <c r="A3301" t="s">
        <v>5014</v>
      </c>
      <c r="B3301" t="s">
        <v>3753</v>
      </c>
      <c r="C3301">
        <v>2024</v>
      </c>
      <c r="D3301">
        <v>2024</v>
      </c>
      <c r="E3301" s="7">
        <v>45523</v>
      </c>
      <c r="F3301" s="7">
        <v>45887</v>
      </c>
      <c r="G3301" t="s">
        <v>99</v>
      </c>
      <c r="H3301" t="s">
        <v>110</v>
      </c>
      <c r="I3301" t="s">
        <v>101</v>
      </c>
      <c r="J3301">
        <v>17920.84</v>
      </c>
      <c r="K3301">
        <v>2000000</v>
      </c>
    </row>
    <row r="3302" spans="1:11" ht="15" customHeight="1" x14ac:dyDescent="0.2">
      <c r="A3302" t="s">
        <v>5015</v>
      </c>
      <c r="B3302" t="s">
        <v>3764</v>
      </c>
      <c r="C3302">
        <v>2024</v>
      </c>
      <c r="D3302">
        <v>2024</v>
      </c>
      <c r="E3302" s="7">
        <v>45523</v>
      </c>
      <c r="F3302" s="7">
        <v>45887</v>
      </c>
      <c r="G3302" t="s">
        <v>99</v>
      </c>
      <c r="H3302" t="s">
        <v>102</v>
      </c>
      <c r="I3302" t="s">
        <v>104</v>
      </c>
      <c r="J3302">
        <v>10769.56</v>
      </c>
      <c r="K3302">
        <v>2000000</v>
      </c>
    </row>
    <row r="3303" spans="1:11" ht="15" customHeight="1" x14ac:dyDescent="0.2">
      <c r="A3303" t="s">
        <v>5016</v>
      </c>
      <c r="B3303" t="s">
        <v>977</v>
      </c>
      <c r="C3303">
        <v>2024</v>
      </c>
      <c r="D3303">
        <v>2024</v>
      </c>
      <c r="E3303" s="7">
        <v>45523</v>
      </c>
      <c r="F3303" s="7">
        <v>45887</v>
      </c>
      <c r="G3303" t="s">
        <v>135</v>
      </c>
      <c r="H3303" t="s">
        <v>106</v>
      </c>
      <c r="I3303" t="s">
        <v>101</v>
      </c>
      <c r="J3303">
        <v>8677.42</v>
      </c>
      <c r="K3303">
        <v>1000000</v>
      </c>
    </row>
    <row r="3304" spans="1:11" ht="15" customHeight="1" x14ac:dyDescent="0.2">
      <c r="A3304" t="s">
        <v>5017</v>
      </c>
      <c r="B3304" t="s">
        <v>6853</v>
      </c>
      <c r="C3304">
        <v>2024</v>
      </c>
      <c r="D3304">
        <v>2024</v>
      </c>
      <c r="E3304" s="7">
        <v>45523</v>
      </c>
      <c r="F3304" s="7">
        <v>45887</v>
      </c>
      <c r="G3304" t="s">
        <v>135</v>
      </c>
      <c r="H3304" t="s">
        <v>100</v>
      </c>
      <c r="I3304" t="s">
        <v>101</v>
      </c>
      <c r="J3304">
        <v>11525.47</v>
      </c>
      <c r="K3304">
        <v>1500000</v>
      </c>
    </row>
    <row r="3305" spans="1:11" ht="15" customHeight="1" x14ac:dyDescent="0.2">
      <c r="A3305" t="s">
        <v>5018</v>
      </c>
      <c r="B3305" t="s">
        <v>8924</v>
      </c>
      <c r="C3305">
        <v>2024</v>
      </c>
      <c r="D3305">
        <v>2024</v>
      </c>
      <c r="E3305" s="7">
        <v>45523</v>
      </c>
      <c r="F3305" s="7">
        <v>45887</v>
      </c>
      <c r="G3305" t="s">
        <v>135</v>
      </c>
      <c r="H3305" t="s">
        <v>105</v>
      </c>
      <c r="I3305" t="s">
        <v>104</v>
      </c>
      <c r="J3305">
        <v>11169.56</v>
      </c>
      <c r="K3305">
        <v>2000000</v>
      </c>
    </row>
    <row r="3306" spans="1:11" ht="15" customHeight="1" x14ac:dyDescent="0.2">
      <c r="A3306" t="s">
        <v>5019</v>
      </c>
      <c r="B3306" t="s">
        <v>8925</v>
      </c>
      <c r="C3306">
        <v>2024</v>
      </c>
      <c r="D3306">
        <v>2024</v>
      </c>
      <c r="E3306" s="7">
        <v>45523</v>
      </c>
      <c r="F3306" s="7">
        <v>45887</v>
      </c>
      <c r="G3306" t="s">
        <v>135</v>
      </c>
      <c r="H3306" t="s">
        <v>102</v>
      </c>
      <c r="I3306" t="s">
        <v>101</v>
      </c>
      <c r="J3306">
        <v>3451.57</v>
      </c>
      <c r="K3306">
        <v>500000</v>
      </c>
    </row>
    <row r="3307" spans="1:11" ht="15" customHeight="1" x14ac:dyDescent="0.2">
      <c r="A3307" t="s">
        <v>5020</v>
      </c>
      <c r="B3307" t="s">
        <v>6972</v>
      </c>
      <c r="C3307">
        <v>2024</v>
      </c>
      <c r="D3307">
        <v>2024</v>
      </c>
      <c r="E3307" s="7">
        <v>45523</v>
      </c>
      <c r="F3307" s="7">
        <v>45887</v>
      </c>
      <c r="G3307" t="s">
        <v>135</v>
      </c>
      <c r="H3307" t="s">
        <v>102</v>
      </c>
      <c r="I3307" t="s">
        <v>101</v>
      </c>
      <c r="J3307">
        <v>7128.86</v>
      </c>
      <c r="K3307">
        <v>1000000</v>
      </c>
    </row>
    <row r="3308" spans="1:11" ht="15" customHeight="1" x14ac:dyDescent="0.2">
      <c r="A3308" t="s">
        <v>5021</v>
      </c>
      <c r="B3308" t="s">
        <v>8926</v>
      </c>
      <c r="C3308">
        <v>2024</v>
      </c>
      <c r="D3308">
        <v>2024</v>
      </c>
      <c r="E3308" s="7">
        <v>45523</v>
      </c>
      <c r="F3308" s="7">
        <v>45887</v>
      </c>
      <c r="G3308" t="s">
        <v>135</v>
      </c>
      <c r="H3308" t="s">
        <v>109</v>
      </c>
      <c r="I3308" t="s">
        <v>101</v>
      </c>
      <c r="J3308">
        <v>37312.36</v>
      </c>
      <c r="K3308">
        <v>5000000</v>
      </c>
    </row>
    <row r="3309" spans="1:11" ht="15" customHeight="1" x14ac:dyDescent="0.2">
      <c r="A3309" t="s">
        <v>5022</v>
      </c>
      <c r="B3309" t="s">
        <v>6895</v>
      </c>
      <c r="C3309">
        <v>2024</v>
      </c>
      <c r="D3309">
        <v>2024</v>
      </c>
      <c r="E3309" s="7">
        <v>45523</v>
      </c>
      <c r="F3309" s="7">
        <v>45887</v>
      </c>
      <c r="G3309" t="s">
        <v>135</v>
      </c>
      <c r="H3309" t="s">
        <v>115</v>
      </c>
      <c r="I3309" t="s">
        <v>104</v>
      </c>
      <c r="J3309">
        <v>5722.07</v>
      </c>
      <c r="K3309">
        <v>1000000</v>
      </c>
    </row>
    <row r="3310" spans="1:11" ht="15" customHeight="1" x14ac:dyDescent="0.2">
      <c r="A3310" t="s">
        <v>5023</v>
      </c>
      <c r="B3310" t="s">
        <v>8927</v>
      </c>
      <c r="C3310">
        <v>2024</v>
      </c>
      <c r="D3310">
        <v>2024</v>
      </c>
      <c r="E3310" s="7">
        <v>45523</v>
      </c>
      <c r="F3310" s="7">
        <v>45887</v>
      </c>
      <c r="G3310" t="s">
        <v>135</v>
      </c>
      <c r="H3310" t="s">
        <v>105</v>
      </c>
      <c r="I3310" t="s">
        <v>101</v>
      </c>
      <c r="J3310">
        <v>15468.81</v>
      </c>
      <c r="K3310">
        <v>2000000</v>
      </c>
    </row>
    <row r="3311" spans="1:11" ht="15" customHeight="1" x14ac:dyDescent="0.2">
      <c r="A3311" t="s">
        <v>5024</v>
      </c>
      <c r="B3311" t="s">
        <v>8928</v>
      </c>
      <c r="C3311">
        <v>2024</v>
      </c>
      <c r="D3311">
        <v>2024</v>
      </c>
      <c r="E3311" s="7">
        <v>45523</v>
      </c>
      <c r="F3311" s="7">
        <v>45887</v>
      </c>
      <c r="G3311" t="s">
        <v>135</v>
      </c>
      <c r="H3311" t="s">
        <v>107</v>
      </c>
      <c r="I3311" t="s">
        <v>104</v>
      </c>
      <c r="J3311">
        <v>2966.87</v>
      </c>
      <c r="K3311">
        <v>500000</v>
      </c>
    </row>
    <row r="3312" spans="1:11" ht="15" customHeight="1" x14ac:dyDescent="0.2">
      <c r="A3312" t="s">
        <v>5025</v>
      </c>
      <c r="B3312" t="s">
        <v>166</v>
      </c>
      <c r="C3312">
        <v>2024</v>
      </c>
      <c r="D3312">
        <v>2024</v>
      </c>
      <c r="E3312" s="7">
        <v>45523</v>
      </c>
      <c r="F3312" s="7">
        <v>45887</v>
      </c>
      <c r="G3312" t="s">
        <v>135</v>
      </c>
      <c r="H3312" t="s">
        <v>103</v>
      </c>
      <c r="I3312" t="s">
        <v>101</v>
      </c>
      <c r="J3312">
        <v>38973.199999999997</v>
      </c>
      <c r="K3312">
        <v>5000000</v>
      </c>
    </row>
    <row r="3313" spans="1:11" ht="15" customHeight="1" x14ac:dyDescent="0.2">
      <c r="A3313" t="s">
        <v>5026</v>
      </c>
      <c r="B3313" t="s">
        <v>8929</v>
      </c>
      <c r="C3313">
        <v>2024</v>
      </c>
      <c r="D3313">
        <v>2024</v>
      </c>
      <c r="E3313" s="7">
        <v>45523</v>
      </c>
      <c r="F3313" s="7">
        <v>45887</v>
      </c>
      <c r="G3313" t="s">
        <v>135</v>
      </c>
      <c r="H3313" t="s">
        <v>102</v>
      </c>
      <c r="I3313" t="s">
        <v>101</v>
      </c>
      <c r="J3313">
        <v>68942.22</v>
      </c>
      <c r="K3313">
        <v>10000000</v>
      </c>
    </row>
    <row r="3314" spans="1:11" ht="15" customHeight="1" x14ac:dyDescent="0.2">
      <c r="A3314" t="s">
        <v>5027</v>
      </c>
      <c r="B3314" t="s">
        <v>6963</v>
      </c>
      <c r="C3314">
        <v>2024</v>
      </c>
      <c r="D3314">
        <v>2024</v>
      </c>
      <c r="E3314" s="7">
        <v>45523</v>
      </c>
      <c r="F3314" s="7">
        <v>45887</v>
      </c>
      <c r="G3314" t="s">
        <v>135</v>
      </c>
      <c r="H3314" t="s">
        <v>106</v>
      </c>
      <c r="I3314" t="s">
        <v>104</v>
      </c>
      <c r="J3314">
        <v>3714.47</v>
      </c>
      <c r="K3314">
        <v>500000</v>
      </c>
    </row>
    <row r="3315" spans="1:11" ht="15" customHeight="1" x14ac:dyDescent="0.2">
      <c r="A3315" t="s">
        <v>5028</v>
      </c>
      <c r="B3315" t="s">
        <v>8930</v>
      </c>
      <c r="C3315">
        <v>2024</v>
      </c>
      <c r="D3315">
        <v>2024</v>
      </c>
      <c r="E3315" s="7">
        <v>45523</v>
      </c>
      <c r="F3315" s="7">
        <v>45887</v>
      </c>
      <c r="G3315" t="s">
        <v>135</v>
      </c>
      <c r="H3315" t="s">
        <v>102</v>
      </c>
      <c r="I3315" t="s">
        <v>101</v>
      </c>
      <c r="J3315">
        <v>10212.65</v>
      </c>
      <c r="K3315">
        <v>1500000</v>
      </c>
    </row>
    <row r="3316" spans="1:11" ht="15" customHeight="1" x14ac:dyDescent="0.2">
      <c r="A3316" t="s">
        <v>5029</v>
      </c>
      <c r="B3316" t="s">
        <v>3766</v>
      </c>
      <c r="C3316">
        <v>2024</v>
      </c>
      <c r="D3316">
        <v>2024</v>
      </c>
      <c r="E3316" s="7">
        <v>45524</v>
      </c>
      <c r="F3316" s="7">
        <v>45888</v>
      </c>
      <c r="G3316" t="s">
        <v>99</v>
      </c>
      <c r="H3316" t="s">
        <v>106</v>
      </c>
      <c r="I3316" t="s">
        <v>101</v>
      </c>
      <c r="J3316">
        <v>4213.04</v>
      </c>
      <c r="K3316">
        <v>500000</v>
      </c>
    </row>
    <row r="3317" spans="1:11" ht="15" customHeight="1" x14ac:dyDescent="0.2">
      <c r="A3317" t="s">
        <v>5030</v>
      </c>
      <c r="B3317" t="s">
        <v>3777</v>
      </c>
      <c r="C3317">
        <v>2024</v>
      </c>
      <c r="D3317">
        <v>2024</v>
      </c>
      <c r="E3317" s="7">
        <v>45524</v>
      </c>
      <c r="F3317" s="7">
        <v>45888</v>
      </c>
      <c r="G3317" t="s">
        <v>99</v>
      </c>
      <c r="H3317" t="s">
        <v>111</v>
      </c>
      <c r="I3317" t="s">
        <v>101</v>
      </c>
      <c r="J3317">
        <v>3687.48</v>
      </c>
      <c r="K3317">
        <v>500000</v>
      </c>
    </row>
    <row r="3318" spans="1:11" ht="15" customHeight="1" x14ac:dyDescent="0.2">
      <c r="A3318" t="s">
        <v>5031</v>
      </c>
      <c r="B3318" t="s">
        <v>3779</v>
      </c>
      <c r="C3318">
        <v>2024</v>
      </c>
      <c r="D3318">
        <v>2024</v>
      </c>
      <c r="E3318" s="7">
        <v>45524</v>
      </c>
      <c r="F3318" s="7">
        <v>45888</v>
      </c>
      <c r="G3318" t="s">
        <v>99</v>
      </c>
      <c r="H3318" t="s">
        <v>115</v>
      </c>
      <c r="I3318" t="s">
        <v>104</v>
      </c>
      <c r="J3318">
        <v>5656.19</v>
      </c>
      <c r="K3318">
        <v>1000000</v>
      </c>
    </row>
    <row r="3319" spans="1:11" ht="15" customHeight="1" x14ac:dyDescent="0.2">
      <c r="A3319" t="s">
        <v>5032</v>
      </c>
      <c r="B3319" t="s">
        <v>8931</v>
      </c>
      <c r="C3319">
        <v>2024</v>
      </c>
      <c r="D3319">
        <v>2024</v>
      </c>
      <c r="E3319" s="7">
        <v>45524</v>
      </c>
      <c r="F3319" s="7">
        <v>45888</v>
      </c>
      <c r="G3319" t="s">
        <v>135</v>
      </c>
      <c r="H3319" t="s">
        <v>108</v>
      </c>
      <c r="I3319" t="s">
        <v>104</v>
      </c>
      <c r="J3319">
        <v>6753.45</v>
      </c>
      <c r="K3319">
        <v>1000000</v>
      </c>
    </row>
    <row r="3320" spans="1:11" ht="15" customHeight="1" x14ac:dyDescent="0.2">
      <c r="A3320" t="s">
        <v>5033</v>
      </c>
      <c r="B3320" t="s">
        <v>6893</v>
      </c>
      <c r="C3320">
        <v>2024</v>
      </c>
      <c r="D3320">
        <v>2024</v>
      </c>
      <c r="E3320" s="7">
        <v>45524</v>
      </c>
      <c r="F3320" s="7">
        <v>45888</v>
      </c>
      <c r="G3320" t="s">
        <v>135</v>
      </c>
      <c r="H3320" t="s">
        <v>108</v>
      </c>
      <c r="I3320" t="s">
        <v>104</v>
      </c>
      <c r="J3320">
        <v>33545.15</v>
      </c>
      <c r="K3320">
        <v>5000000</v>
      </c>
    </row>
    <row r="3321" spans="1:11" ht="15" customHeight="1" x14ac:dyDescent="0.2">
      <c r="A3321" t="s">
        <v>5034</v>
      </c>
      <c r="B3321" t="s">
        <v>8932</v>
      </c>
      <c r="C3321">
        <v>2024</v>
      </c>
      <c r="D3321">
        <v>2024</v>
      </c>
      <c r="E3321" s="7">
        <v>45524</v>
      </c>
      <c r="F3321" s="7">
        <v>45888</v>
      </c>
      <c r="G3321" t="s">
        <v>135</v>
      </c>
      <c r="H3321" t="s">
        <v>6334</v>
      </c>
      <c r="I3321" t="s">
        <v>104</v>
      </c>
      <c r="J3321">
        <v>5618.64</v>
      </c>
      <c r="K3321">
        <v>1000000</v>
      </c>
    </row>
    <row r="3322" spans="1:11" ht="15" customHeight="1" x14ac:dyDescent="0.2">
      <c r="A3322" t="s">
        <v>5035</v>
      </c>
      <c r="B3322" t="s">
        <v>6899</v>
      </c>
      <c r="C3322">
        <v>2024</v>
      </c>
      <c r="D3322">
        <v>2024</v>
      </c>
      <c r="E3322" s="7">
        <v>45524</v>
      </c>
      <c r="F3322" s="7">
        <v>45888</v>
      </c>
      <c r="G3322" t="s">
        <v>135</v>
      </c>
      <c r="H3322" t="s">
        <v>6334</v>
      </c>
      <c r="I3322" t="s">
        <v>104</v>
      </c>
      <c r="J3322">
        <v>8305.25</v>
      </c>
      <c r="K3322">
        <v>1500000</v>
      </c>
    </row>
    <row r="3323" spans="1:11" ht="15" customHeight="1" x14ac:dyDescent="0.2">
      <c r="A3323" t="s">
        <v>5036</v>
      </c>
      <c r="B3323" t="s">
        <v>978</v>
      </c>
      <c r="C3323">
        <v>2024</v>
      </c>
      <c r="D3323">
        <v>2024</v>
      </c>
      <c r="E3323" s="7">
        <v>45524</v>
      </c>
      <c r="F3323" s="7">
        <v>45888</v>
      </c>
      <c r="G3323" t="s">
        <v>135</v>
      </c>
      <c r="H3323" t="s">
        <v>103</v>
      </c>
      <c r="I3323" t="s">
        <v>101</v>
      </c>
      <c r="J3323">
        <v>10715.93</v>
      </c>
      <c r="K3323">
        <v>1500000</v>
      </c>
    </row>
    <row r="3324" spans="1:11" ht="15" customHeight="1" x14ac:dyDescent="0.2">
      <c r="A3324" t="s">
        <v>5037</v>
      </c>
      <c r="B3324" t="s">
        <v>8933</v>
      </c>
      <c r="C3324">
        <v>2024</v>
      </c>
      <c r="D3324">
        <v>2024</v>
      </c>
      <c r="E3324" s="7">
        <v>45524</v>
      </c>
      <c r="F3324" s="7">
        <v>45888</v>
      </c>
      <c r="G3324" t="s">
        <v>135</v>
      </c>
      <c r="H3324" t="s">
        <v>115</v>
      </c>
      <c r="I3324" t="s">
        <v>104</v>
      </c>
      <c r="J3324">
        <v>5189.05</v>
      </c>
      <c r="K3324">
        <v>1000000</v>
      </c>
    </row>
    <row r="3325" spans="1:11" ht="15" customHeight="1" x14ac:dyDescent="0.2">
      <c r="A3325" t="s">
        <v>5038</v>
      </c>
      <c r="B3325" t="s">
        <v>8934</v>
      </c>
      <c r="C3325">
        <v>2024</v>
      </c>
      <c r="D3325">
        <v>2024</v>
      </c>
      <c r="E3325" s="7">
        <v>45524</v>
      </c>
      <c r="F3325" s="7">
        <v>45888</v>
      </c>
      <c r="G3325" t="s">
        <v>135</v>
      </c>
      <c r="H3325" t="s">
        <v>115</v>
      </c>
      <c r="I3325" t="s">
        <v>101</v>
      </c>
      <c r="J3325">
        <v>35152.93</v>
      </c>
      <c r="K3325">
        <v>5000000</v>
      </c>
    </row>
    <row r="3326" spans="1:11" ht="15" customHeight="1" x14ac:dyDescent="0.2">
      <c r="A3326" t="s">
        <v>5039</v>
      </c>
      <c r="B3326" t="s">
        <v>368</v>
      </c>
      <c r="C3326">
        <v>2024</v>
      </c>
      <c r="D3326">
        <v>2024</v>
      </c>
      <c r="E3326" s="7">
        <v>45524</v>
      </c>
      <c r="F3326" s="7">
        <v>45888</v>
      </c>
      <c r="G3326" t="s">
        <v>135</v>
      </c>
      <c r="H3326" t="s">
        <v>102</v>
      </c>
      <c r="I3326" t="s">
        <v>101</v>
      </c>
      <c r="J3326">
        <v>6850.62</v>
      </c>
      <c r="K3326">
        <v>1000000</v>
      </c>
    </row>
    <row r="3327" spans="1:11" ht="15" customHeight="1" x14ac:dyDescent="0.2">
      <c r="A3327" t="s">
        <v>5040</v>
      </c>
      <c r="B3327" t="s">
        <v>6856</v>
      </c>
      <c r="C3327">
        <v>2024</v>
      </c>
      <c r="D3327">
        <v>2024</v>
      </c>
      <c r="E3327" s="7">
        <v>45524</v>
      </c>
      <c r="F3327" s="7">
        <v>45888</v>
      </c>
      <c r="G3327" t="s">
        <v>135</v>
      </c>
      <c r="H3327" t="s">
        <v>102</v>
      </c>
      <c r="I3327" t="s">
        <v>101</v>
      </c>
      <c r="J3327">
        <v>11260.51</v>
      </c>
      <c r="K3327">
        <v>1500000</v>
      </c>
    </row>
    <row r="3328" spans="1:11" ht="15" customHeight="1" x14ac:dyDescent="0.2">
      <c r="A3328" t="s">
        <v>5041</v>
      </c>
      <c r="B3328" t="s">
        <v>3781</v>
      </c>
      <c r="C3328">
        <v>2024</v>
      </c>
      <c r="D3328">
        <v>2024</v>
      </c>
      <c r="E3328" s="7">
        <v>45525</v>
      </c>
      <c r="F3328" s="7">
        <v>45889</v>
      </c>
      <c r="G3328" t="s">
        <v>99</v>
      </c>
      <c r="H3328" t="s">
        <v>108</v>
      </c>
      <c r="I3328" t="s">
        <v>104</v>
      </c>
      <c r="J3328">
        <v>68986.75</v>
      </c>
      <c r="K3328">
        <v>10000000</v>
      </c>
    </row>
    <row r="3329" spans="1:11" ht="15" customHeight="1" x14ac:dyDescent="0.2">
      <c r="A3329" t="s">
        <v>5042</v>
      </c>
      <c r="B3329" t="s">
        <v>3783</v>
      </c>
      <c r="C3329">
        <v>2024</v>
      </c>
      <c r="D3329">
        <v>2024</v>
      </c>
      <c r="E3329" s="7">
        <v>45525</v>
      </c>
      <c r="F3329" s="7">
        <v>45889</v>
      </c>
      <c r="G3329" t="s">
        <v>99</v>
      </c>
      <c r="H3329" t="s">
        <v>102</v>
      </c>
      <c r="I3329" t="s">
        <v>101</v>
      </c>
      <c r="J3329">
        <v>14209.33</v>
      </c>
      <c r="K3329">
        <v>2000000</v>
      </c>
    </row>
    <row r="3330" spans="1:11" ht="15" customHeight="1" x14ac:dyDescent="0.2">
      <c r="A3330" t="s">
        <v>5043</v>
      </c>
      <c r="B3330" t="s">
        <v>3794</v>
      </c>
      <c r="C3330">
        <v>2024</v>
      </c>
      <c r="D3330">
        <v>2024</v>
      </c>
      <c r="E3330" s="7">
        <v>45525</v>
      </c>
      <c r="F3330" s="7">
        <v>45889</v>
      </c>
      <c r="G3330" t="s">
        <v>99</v>
      </c>
      <c r="H3330" t="s">
        <v>102</v>
      </c>
      <c r="I3330" t="s">
        <v>104</v>
      </c>
      <c r="J3330">
        <v>11567.27</v>
      </c>
      <c r="K3330">
        <v>2000000</v>
      </c>
    </row>
    <row r="3331" spans="1:11" ht="15" customHeight="1" x14ac:dyDescent="0.2">
      <c r="A3331" t="s">
        <v>5044</v>
      </c>
      <c r="B3331" t="s">
        <v>8935</v>
      </c>
      <c r="C3331">
        <v>2024</v>
      </c>
      <c r="D3331">
        <v>2024</v>
      </c>
      <c r="E3331" s="7">
        <v>45525</v>
      </c>
      <c r="F3331" s="7">
        <v>45889</v>
      </c>
      <c r="G3331" t="s">
        <v>135</v>
      </c>
      <c r="H3331" t="s">
        <v>110</v>
      </c>
      <c r="I3331" t="s">
        <v>104</v>
      </c>
      <c r="J3331">
        <v>36500.080000000002</v>
      </c>
      <c r="K3331">
        <v>5000000</v>
      </c>
    </row>
    <row r="3332" spans="1:11" ht="15" customHeight="1" x14ac:dyDescent="0.2">
      <c r="A3332" t="s">
        <v>5045</v>
      </c>
      <c r="B3332" t="s">
        <v>370</v>
      </c>
      <c r="C3332">
        <v>2024</v>
      </c>
      <c r="D3332">
        <v>2024</v>
      </c>
      <c r="E3332" s="7">
        <v>45525</v>
      </c>
      <c r="F3332" s="7">
        <v>45889</v>
      </c>
      <c r="G3332" t="s">
        <v>135</v>
      </c>
      <c r="H3332" t="s">
        <v>110</v>
      </c>
      <c r="I3332" t="s">
        <v>101</v>
      </c>
      <c r="J3332">
        <v>12884.09</v>
      </c>
      <c r="K3332">
        <v>1500000</v>
      </c>
    </row>
    <row r="3333" spans="1:11" ht="15" customHeight="1" x14ac:dyDescent="0.2">
      <c r="A3333" t="s">
        <v>5046</v>
      </c>
      <c r="B3333" t="s">
        <v>8936</v>
      </c>
      <c r="C3333">
        <v>2024</v>
      </c>
      <c r="D3333">
        <v>2024</v>
      </c>
      <c r="E3333" s="7">
        <v>45525</v>
      </c>
      <c r="F3333" s="7">
        <v>45889</v>
      </c>
      <c r="G3333" t="s">
        <v>135</v>
      </c>
      <c r="H3333" t="s">
        <v>103</v>
      </c>
      <c r="I3333" t="s">
        <v>101</v>
      </c>
      <c r="J3333">
        <v>38929.56</v>
      </c>
      <c r="K3333">
        <v>5000000</v>
      </c>
    </row>
    <row r="3334" spans="1:11" ht="15" customHeight="1" x14ac:dyDescent="0.2">
      <c r="A3334" t="s">
        <v>5047</v>
      </c>
      <c r="B3334" t="s">
        <v>8937</v>
      </c>
      <c r="C3334">
        <v>2024</v>
      </c>
      <c r="D3334">
        <v>2024</v>
      </c>
      <c r="E3334" s="7">
        <v>45525</v>
      </c>
      <c r="F3334" s="7">
        <v>45889</v>
      </c>
      <c r="G3334" t="s">
        <v>135</v>
      </c>
      <c r="H3334" t="s">
        <v>102</v>
      </c>
      <c r="I3334" t="s">
        <v>104</v>
      </c>
      <c r="J3334">
        <v>11489.06</v>
      </c>
      <c r="K3334">
        <v>2000000</v>
      </c>
    </row>
    <row r="3335" spans="1:11" ht="15" customHeight="1" x14ac:dyDescent="0.2">
      <c r="A3335" t="s">
        <v>5048</v>
      </c>
      <c r="B3335" t="s">
        <v>7261</v>
      </c>
      <c r="C3335">
        <v>2024</v>
      </c>
      <c r="D3335">
        <v>2024</v>
      </c>
      <c r="E3335" s="7">
        <v>45525</v>
      </c>
      <c r="F3335" s="7">
        <v>45889</v>
      </c>
      <c r="G3335" t="s">
        <v>135</v>
      </c>
      <c r="H3335" t="s">
        <v>107</v>
      </c>
      <c r="I3335" t="s">
        <v>104</v>
      </c>
      <c r="J3335">
        <v>5710.31</v>
      </c>
      <c r="K3335">
        <v>1000000</v>
      </c>
    </row>
    <row r="3336" spans="1:11" ht="15" customHeight="1" x14ac:dyDescent="0.2">
      <c r="A3336" t="s">
        <v>5049</v>
      </c>
      <c r="B3336" t="s">
        <v>979</v>
      </c>
      <c r="C3336">
        <v>2024</v>
      </c>
      <c r="D3336">
        <v>2024</v>
      </c>
      <c r="E3336" s="7">
        <v>45525</v>
      </c>
      <c r="F3336" s="7">
        <v>45889</v>
      </c>
      <c r="G3336" t="s">
        <v>135</v>
      </c>
      <c r="H3336" t="s">
        <v>106</v>
      </c>
      <c r="I3336" t="s">
        <v>101</v>
      </c>
      <c r="J3336">
        <v>13673.62</v>
      </c>
      <c r="K3336">
        <v>1500000</v>
      </c>
    </row>
    <row r="3337" spans="1:11" ht="15" customHeight="1" x14ac:dyDescent="0.2">
      <c r="A3337" t="s">
        <v>5050</v>
      </c>
      <c r="B3337" t="s">
        <v>211</v>
      </c>
      <c r="C3337">
        <v>2024</v>
      </c>
      <c r="D3337">
        <v>2024</v>
      </c>
      <c r="E3337" s="7">
        <v>45525</v>
      </c>
      <c r="F3337" s="7">
        <v>45889</v>
      </c>
      <c r="G3337" t="s">
        <v>135</v>
      </c>
      <c r="H3337" t="s">
        <v>115</v>
      </c>
      <c r="I3337" t="s">
        <v>101</v>
      </c>
      <c r="J3337">
        <v>10010.83</v>
      </c>
      <c r="K3337">
        <v>1500000</v>
      </c>
    </row>
    <row r="3338" spans="1:11" ht="15" customHeight="1" x14ac:dyDescent="0.2">
      <c r="A3338" t="s">
        <v>5051</v>
      </c>
      <c r="B3338" t="s">
        <v>369</v>
      </c>
      <c r="C3338">
        <v>2024</v>
      </c>
      <c r="D3338">
        <v>2024</v>
      </c>
      <c r="E3338" s="7">
        <v>45525</v>
      </c>
      <c r="F3338" s="7">
        <v>45889</v>
      </c>
      <c r="G3338" t="s">
        <v>135</v>
      </c>
      <c r="H3338" t="s">
        <v>113</v>
      </c>
      <c r="I3338" t="s">
        <v>101</v>
      </c>
      <c r="J3338">
        <v>6554.18</v>
      </c>
      <c r="K3338">
        <v>1000000</v>
      </c>
    </row>
    <row r="3339" spans="1:11" ht="15" customHeight="1" x14ac:dyDescent="0.2">
      <c r="A3339" t="s">
        <v>5052</v>
      </c>
      <c r="B3339" t="s">
        <v>6890</v>
      </c>
      <c r="C3339">
        <v>2024</v>
      </c>
      <c r="D3339">
        <v>2024</v>
      </c>
      <c r="E3339" s="7">
        <v>45525</v>
      </c>
      <c r="F3339" s="7">
        <v>45889</v>
      </c>
      <c r="G3339" t="s">
        <v>135</v>
      </c>
      <c r="H3339" t="s">
        <v>102</v>
      </c>
      <c r="I3339" t="s">
        <v>101</v>
      </c>
      <c r="J3339">
        <v>10413.14</v>
      </c>
      <c r="K3339">
        <v>1500000</v>
      </c>
    </row>
    <row r="3340" spans="1:11" ht="15" customHeight="1" x14ac:dyDescent="0.2">
      <c r="A3340" t="s">
        <v>5053</v>
      </c>
      <c r="B3340" t="s">
        <v>8938</v>
      </c>
      <c r="C3340">
        <v>2024</v>
      </c>
      <c r="D3340">
        <v>2024</v>
      </c>
      <c r="E3340" s="7">
        <v>45525</v>
      </c>
      <c r="F3340" s="7">
        <v>45889</v>
      </c>
      <c r="G3340" t="s">
        <v>135</v>
      </c>
      <c r="H3340" t="s">
        <v>110</v>
      </c>
      <c r="I3340" t="s">
        <v>101</v>
      </c>
      <c r="J3340">
        <v>16458.39</v>
      </c>
      <c r="K3340">
        <v>2000000</v>
      </c>
    </row>
    <row r="3341" spans="1:11" ht="15" customHeight="1" x14ac:dyDescent="0.2">
      <c r="A3341" t="s">
        <v>5054</v>
      </c>
      <c r="B3341" t="s">
        <v>8939</v>
      </c>
      <c r="C3341">
        <v>2024</v>
      </c>
      <c r="D3341">
        <v>2024</v>
      </c>
      <c r="E3341" s="7">
        <v>45525</v>
      </c>
      <c r="F3341" s="7">
        <v>45889</v>
      </c>
      <c r="G3341" t="s">
        <v>135</v>
      </c>
      <c r="H3341" t="s">
        <v>102</v>
      </c>
      <c r="I3341" t="s">
        <v>104</v>
      </c>
      <c r="J3341">
        <v>10820.26</v>
      </c>
      <c r="K3341">
        <v>2000000</v>
      </c>
    </row>
    <row r="3342" spans="1:11" ht="15" customHeight="1" x14ac:dyDescent="0.2">
      <c r="A3342" t="s">
        <v>5055</v>
      </c>
      <c r="B3342" t="s">
        <v>6859</v>
      </c>
      <c r="C3342">
        <v>2024</v>
      </c>
      <c r="D3342">
        <v>2024</v>
      </c>
      <c r="E3342" s="7">
        <v>45525</v>
      </c>
      <c r="F3342" s="7">
        <v>45889</v>
      </c>
      <c r="G3342" t="s">
        <v>135</v>
      </c>
      <c r="H3342" t="s">
        <v>111</v>
      </c>
      <c r="I3342" t="s">
        <v>101</v>
      </c>
      <c r="J3342">
        <v>7191.28</v>
      </c>
      <c r="K3342">
        <v>1000000</v>
      </c>
    </row>
    <row r="3343" spans="1:11" ht="15" customHeight="1" x14ac:dyDescent="0.2">
      <c r="A3343" t="s">
        <v>5056</v>
      </c>
      <c r="B3343" t="s">
        <v>3796</v>
      </c>
      <c r="C3343">
        <v>2024</v>
      </c>
      <c r="D3343">
        <v>2024</v>
      </c>
      <c r="E3343" s="7">
        <v>45526</v>
      </c>
      <c r="F3343" s="7">
        <v>45890</v>
      </c>
      <c r="G3343" t="s">
        <v>99</v>
      </c>
      <c r="H3343" t="s">
        <v>106</v>
      </c>
      <c r="I3343" t="s">
        <v>101</v>
      </c>
      <c r="J3343">
        <v>14582.71</v>
      </c>
      <c r="K3343">
        <v>1500000</v>
      </c>
    </row>
    <row r="3344" spans="1:11" ht="15" customHeight="1" x14ac:dyDescent="0.2">
      <c r="A3344" t="s">
        <v>5057</v>
      </c>
      <c r="B3344" t="s">
        <v>3798</v>
      </c>
      <c r="C3344">
        <v>2024</v>
      </c>
      <c r="D3344">
        <v>2024</v>
      </c>
      <c r="E3344" s="7">
        <v>45526</v>
      </c>
      <c r="F3344" s="7">
        <v>45890</v>
      </c>
      <c r="G3344" t="s">
        <v>99</v>
      </c>
      <c r="H3344" t="s">
        <v>106</v>
      </c>
      <c r="I3344" t="s">
        <v>101</v>
      </c>
      <c r="J3344">
        <v>88689.23</v>
      </c>
      <c r="K3344">
        <v>10000000</v>
      </c>
    </row>
    <row r="3345" spans="1:11" ht="15" customHeight="1" x14ac:dyDescent="0.2">
      <c r="A3345" t="s">
        <v>5058</v>
      </c>
      <c r="B3345" t="s">
        <v>3811</v>
      </c>
      <c r="C3345">
        <v>2024</v>
      </c>
      <c r="D3345">
        <v>2024</v>
      </c>
      <c r="E3345" s="7">
        <v>45526</v>
      </c>
      <c r="F3345" s="7">
        <v>45890</v>
      </c>
      <c r="G3345" t="s">
        <v>99</v>
      </c>
      <c r="H3345" t="s">
        <v>109</v>
      </c>
      <c r="I3345" t="s">
        <v>101</v>
      </c>
      <c r="J3345">
        <v>7661.95</v>
      </c>
      <c r="K3345">
        <v>1000000</v>
      </c>
    </row>
    <row r="3346" spans="1:11" ht="15" customHeight="1" x14ac:dyDescent="0.2">
      <c r="A3346" t="s">
        <v>5059</v>
      </c>
      <c r="B3346" t="s">
        <v>3813</v>
      </c>
      <c r="C3346">
        <v>2024</v>
      </c>
      <c r="D3346">
        <v>2024</v>
      </c>
      <c r="E3346" s="7">
        <v>45526</v>
      </c>
      <c r="F3346" s="7">
        <v>45890</v>
      </c>
      <c r="G3346" t="s">
        <v>99</v>
      </c>
      <c r="H3346" t="s">
        <v>108</v>
      </c>
      <c r="I3346" t="s">
        <v>101</v>
      </c>
      <c r="J3346">
        <v>16249.22</v>
      </c>
      <c r="K3346">
        <v>2000000</v>
      </c>
    </row>
    <row r="3347" spans="1:11" ht="15" customHeight="1" x14ac:dyDescent="0.2">
      <c r="A3347" t="s">
        <v>5060</v>
      </c>
      <c r="B3347" t="s">
        <v>8940</v>
      </c>
      <c r="C3347">
        <v>2024</v>
      </c>
      <c r="D3347">
        <v>2024</v>
      </c>
      <c r="E3347" s="7">
        <v>45526</v>
      </c>
      <c r="F3347" s="7">
        <v>45890</v>
      </c>
      <c r="G3347" t="s">
        <v>135</v>
      </c>
      <c r="H3347" t="s">
        <v>115</v>
      </c>
      <c r="I3347" t="s">
        <v>104</v>
      </c>
      <c r="J3347">
        <v>11185.91</v>
      </c>
      <c r="K3347">
        <v>2000000</v>
      </c>
    </row>
    <row r="3348" spans="1:11" ht="15" customHeight="1" x14ac:dyDescent="0.2">
      <c r="A3348" t="s">
        <v>5061</v>
      </c>
      <c r="B3348" t="s">
        <v>8941</v>
      </c>
      <c r="C3348">
        <v>2024</v>
      </c>
      <c r="D3348">
        <v>2024</v>
      </c>
      <c r="E3348" s="7">
        <v>45526</v>
      </c>
      <c r="F3348" s="7">
        <v>45890</v>
      </c>
      <c r="G3348" t="s">
        <v>135</v>
      </c>
      <c r="H3348" t="s">
        <v>100</v>
      </c>
      <c r="I3348" t="s">
        <v>101</v>
      </c>
      <c r="J3348">
        <v>3621.86</v>
      </c>
      <c r="K3348">
        <v>500000</v>
      </c>
    </row>
    <row r="3349" spans="1:11" ht="15" customHeight="1" x14ac:dyDescent="0.2">
      <c r="A3349" t="s">
        <v>5062</v>
      </c>
      <c r="B3349" t="s">
        <v>6904</v>
      </c>
      <c r="C3349">
        <v>2024</v>
      </c>
      <c r="D3349">
        <v>2024</v>
      </c>
      <c r="E3349" s="7">
        <v>45526</v>
      </c>
      <c r="F3349" s="7">
        <v>45890</v>
      </c>
      <c r="G3349" t="s">
        <v>135</v>
      </c>
      <c r="H3349" t="s">
        <v>109</v>
      </c>
      <c r="I3349" t="s">
        <v>104</v>
      </c>
      <c r="J3349">
        <v>10989.68</v>
      </c>
      <c r="K3349">
        <v>2000000</v>
      </c>
    </row>
    <row r="3350" spans="1:11" ht="15" customHeight="1" x14ac:dyDescent="0.2">
      <c r="A3350" t="s">
        <v>5063</v>
      </c>
      <c r="B3350" t="s">
        <v>980</v>
      </c>
      <c r="C3350">
        <v>2024</v>
      </c>
      <c r="D3350">
        <v>2024</v>
      </c>
      <c r="E3350" s="7">
        <v>45526</v>
      </c>
      <c r="F3350" s="7">
        <v>45890</v>
      </c>
      <c r="G3350" t="s">
        <v>135</v>
      </c>
      <c r="H3350" t="s">
        <v>106</v>
      </c>
      <c r="I3350" t="s">
        <v>104</v>
      </c>
      <c r="J3350">
        <v>15375.72</v>
      </c>
      <c r="K3350">
        <v>2000000</v>
      </c>
    </row>
    <row r="3351" spans="1:11" ht="15" customHeight="1" x14ac:dyDescent="0.2">
      <c r="A3351" t="s">
        <v>5064</v>
      </c>
      <c r="B3351" t="s">
        <v>212</v>
      </c>
      <c r="C3351">
        <v>2024</v>
      </c>
      <c r="D3351">
        <v>2024</v>
      </c>
      <c r="E3351" s="7">
        <v>45526</v>
      </c>
      <c r="F3351" s="7">
        <v>45890</v>
      </c>
      <c r="G3351" t="s">
        <v>135</v>
      </c>
      <c r="H3351" t="s">
        <v>113</v>
      </c>
      <c r="I3351" t="s">
        <v>101</v>
      </c>
      <c r="J3351">
        <v>6469.74</v>
      </c>
      <c r="K3351">
        <v>1000000</v>
      </c>
    </row>
    <row r="3352" spans="1:11" ht="15" customHeight="1" x14ac:dyDescent="0.2">
      <c r="A3352" t="s">
        <v>5065</v>
      </c>
      <c r="B3352" t="s">
        <v>6901</v>
      </c>
      <c r="C3352">
        <v>2024</v>
      </c>
      <c r="D3352">
        <v>2024</v>
      </c>
      <c r="E3352" s="7">
        <v>45526</v>
      </c>
      <c r="F3352" s="7">
        <v>45890</v>
      </c>
      <c r="G3352" t="s">
        <v>135</v>
      </c>
      <c r="H3352" t="s">
        <v>107</v>
      </c>
      <c r="I3352" t="s">
        <v>104</v>
      </c>
      <c r="J3352">
        <v>6038.4</v>
      </c>
      <c r="K3352">
        <v>1000000</v>
      </c>
    </row>
    <row r="3353" spans="1:11" ht="15" customHeight="1" x14ac:dyDescent="0.2">
      <c r="A3353" t="s">
        <v>5066</v>
      </c>
      <c r="B3353" t="s">
        <v>6900</v>
      </c>
      <c r="C3353">
        <v>2024</v>
      </c>
      <c r="D3353">
        <v>2024</v>
      </c>
      <c r="E3353" s="7">
        <v>45526</v>
      </c>
      <c r="F3353" s="7">
        <v>45890</v>
      </c>
      <c r="G3353" t="s">
        <v>135</v>
      </c>
      <c r="H3353" t="s">
        <v>102</v>
      </c>
      <c r="I3353" t="s">
        <v>101</v>
      </c>
      <c r="J3353">
        <v>11534.18</v>
      </c>
      <c r="K3353">
        <v>1500000</v>
      </c>
    </row>
    <row r="3354" spans="1:11" ht="15" customHeight="1" x14ac:dyDescent="0.2">
      <c r="A3354" t="s">
        <v>5067</v>
      </c>
      <c r="B3354" t="s">
        <v>3815</v>
      </c>
      <c r="C3354">
        <v>2024</v>
      </c>
      <c r="D3354">
        <v>2024</v>
      </c>
      <c r="E3354" s="7">
        <v>45527</v>
      </c>
      <c r="F3354" s="7">
        <v>45891</v>
      </c>
      <c r="G3354" t="s">
        <v>99</v>
      </c>
      <c r="H3354" t="s">
        <v>106</v>
      </c>
      <c r="I3354" t="s">
        <v>101</v>
      </c>
      <c r="J3354">
        <v>19701.27</v>
      </c>
      <c r="K3354">
        <v>2000000</v>
      </c>
    </row>
    <row r="3355" spans="1:11" ht="15" customHeight="1" x14ac:dyDescent="0.2">
      <c r="A3355" t="s">
        <v>5068</v>
      </c>
      <c r="B3355" t="s">
        <v>3817</v>
      </c>
      <c r="C3355">
        <v>2024</v>
      </c>
      <c r="D3355">
        <v>2024</v>
      </c>
      <c r="E3355" s="7">
        <v>45527</v>
      </c>
      <c r="F3355" s="7">
        <v>45891</v>
      </c>
      <c r="G3355" t="s">
        <v>99</v>
      </c>
      <c r="H3355" t="s">
        <v>102</v>
      </c>
      <c r="I3355" t="s">
        <v>104</v>
      </c>
      <c r="J3355">
        <v>30863.83</v>
      </c>
      <c r="K3355">
        <v>5000000</v>
      </c>
    </row>
    <row r="3356" spans="1:11" ht="15" customHeight="1" x14ac:dyDescent="0.2">
      <c r="A3356" t="s">
        <v>5069</v>
      </c>
      <c r="B3356" t="s">
        <v>3819</v>
      </c>
      <c r="C3356">
        <v>2024</v>
      </c>
      <c r="D3356">
        <v>2024</v>
      </c>
      <c r="E3356" s="7">
        <v>45527</v>
      </c>
      <c r="F3356" s="7">
        <v>45891</v>
      </c>
      <c r="G3356" t="s">
        <v>99</v>
      </c>
      <c r="H3356" t="s">
        <v>106</v>
      </c>
      <c r="I3356" t="s">
        <v>104</v>
      </c>
      <c r="J3356">
        <v>68682.509999999995</v>
      </c>
      <c r="K3356">
        <v>10000000</v>
      </c>
    </row>
    <row r="3357" spans="1:11" ht="15" customHeight="1" x14ac:dyDescent="0.2">
      <c r="A3357" t="s">
        <v>5070</v>
      </c>
      <c r="B3357" t="s">
        <v>6978</v>
      </c>
      <c r="C3357">
        <v>2024</v>
      </c>
      <c r="D3357">
        <v>2024</v>
      </c>
      <c r="E3357" s="7">
        <v>45527</v>
      </c>
      <c r="F3357" s="7">
        <v>45891</v>
      </c>
      <c r="G3357" t="s">
        <v>135</v>
      </c>
      <c r="H3357" t="s">
        <v>106</v>
      </c>
      <c r="I3357" t="s">
        <v>104</v>
      </c>
      <c r="J3357">
        <v>65952.22</v>
      </c>
      <c r="K3357">
        <v>10000000</v>
      </c>
    </row>
    <row r="3358" spans="1:11" ht="15" customHeight="1" x14ac:dyDescent="0.2">
      <c r="A3358" t="s">
        <v>5071</v>
      </c>
      <c r="B3358" t="s">
        <v>8942</v>
      </c>
      <c r="C3358">
        <v>2024</v>
      </c>
      <c r="D3358">
        <v>2024</v>
      </c>
      <c r="E3358" s="7">
        <v>45527</v>
      </c>
      <c r="F3358" s="7">
        <v>45891</v>
      </c>
      <c r="G3358" t="s">
        <v>135</v>
      </c>
      <c r="H3358" t="s">
        <v>102</v>
      </c>
      <c r="I3358" t="s">
        <v>104</v>
      </c>
      <c r="J3358">
        <v>6054.5</v>
      </c>
      <c r="K3358">
        <v>1000000</v>
      </c>
    </row>
    <row r="3359" spans="1:11" ht="15" customHeight="1" x14ac:dyDescent="0.2">
      <c r="A3359" t="s">
        <v>5072</v>
      </c>
      <c r="B3359" t="s">
        <v>6907</v>
      </c>
      <c r="C3359">
        <v>2024</v>
      </c>
      <c r="D3359">
        <v>2024</v>
      </c>
      <c r="E3359" s="7">
        <v>45527</v>
      </c>
      <c r="F3359" s="7">
        <v>45891</v>
      </c>
      <c r="G3359" t="s">
        <v>135</v>
      </c>
      <c r="H3359" t="s">
        <v>108</v>
      </c>
      <c r="I3359" t="s">
        <v>104</v>
      </c>
      <c r="J3359">
        <v>7778.62</v>
      </c>
      <c r="K3359">
        <v>1000000</v>
      </c>
    </row>
    <row r="3360" spans="1:11" ht="15" customHeight="1" x14ac:dyDescent="0.2">
      <c r="A3360" t="s">
        <v>5073</v>
      </c>
      <c r="B3360" t="s">
        <v>6974</v>
      </c>
      <c r="C3360">
        <v>2024</v>
      </c>
      <c r="D3360">
        <v>2024</v>
      </c>
      <c r="E3360" s="7">
        <v>45527</v>
      </c>
      <c r="F3360" s="7">
        <v>45891</v>
      </c>
      <c r="G3360" t="s">
        <v>135</v>
      </c>
      <c r="H3360" t="s">
        <v>103</v>
      </c>
      <c r="I3360" t="s">
        <v>104</v>
      </c>
      <c r="J3360">
        <v>5623.75</v>
      </c>
      <c r="K3360">
        <v>1000000</v>
      </c>
    </row>
    <row r="3361" spans="1:11" ht="15" customHeight="1" x14ac:dyDescent="0.2">
      <c r="A3361" t="s">
        <v>5074</v>
      </c>
      <c r="B3361" t="s">
        <v>6897</v>
      </c>
      <c r="C3361">
        <v>2024</v>
      </c>
      <c r="D3361">
        <v>2024</v>
      </c>
      <c r="E3361" s="7">
        <v>45527</v>
      </c>
      <c r="F3361" s="7">
        <v>45891</v>
      </c>
      <c r="G3361" t="s">
        <v>135</v>
      </c>
      <c r="H3361" t="s">
        <v>116</v>
      </c>
      <c r="I3361" t="s">
        <v>101</v>
      </c>
      <c r="J3361">
        <v>15222.79</v>
      </c>
      <c r="K3361">
        <v>2000000</v>
      </c>
    </row>
    <row r="3362" spans="1:11" ht="15" customHeight="1" x14ac:dyDescent="0.2">
      <c r="A3362" t="s">
        <v>5075</v>
      </c>
      <c r="B3362" t="s">
        <v>8943</v>
      </c>
      <c r="C3362">
        <v>2024</v>
      </c>
      <c r="D3362">
        <v>2024</v>
      </c>
      <c r="E3362" s="7">
        <v>45527</v>
      </c>
      <c r="F3362" s="7">
        <v>45891</v>
      </c>
      <c r="G3362" t="s">
        <v>135</v>
      </c>
      <c r="H3362" t="s">
        <v>113</v>
      </c>
      <c r="I3362" t="s">
        <v>101</v>
      </c>
      <c r="J3362">
        <v>7573.29</v>
      </c>
      <c r="K3362">
        <v>1000000</v>
      </c>
    </row>
    <row r="3363" spans="1:11" ht="15" customHeight="1" x14ac:dyDescent="0.2">
      <c r="A3363" t="s">
        <v>5076</v>
      </c>
      <c r="B3363" t="s">
        <v>8944</v>
      </c>
      <c r="C3363">
        <v>2024</v>
      </c>
      <c r="D3363">
        <v>2024</v>
      </c>
      <c r="E3363" s="7">
        <v>45527</v>
      </c>
      <c r="F3363" s="7">
        <v>45891</v>
      </c>
      <c r="G3363" t="s">
        <v>135</v>
      </c>
      <c r="H3363" t="s">
        <v>108</v>
      </c>
      <c r="I3363" t="s">
        <v>101</v>
      </c>
      <c r="J3363">
        <v>17903.05</v>
      </c>
      <c r="K3363">
        <v>2000000</v>
      </c>
    </row>
    <row r="3364" spans="1:11" ht="15" customHeight="1" x14ac:dyDescent="0.2">
      <c r="A3364" t="s">
        <v>5077</v>
      </c>
      <c r="B3364" t="s">
        <v>8945</v>
      </c>
      <c r="C3364">
        <v>2024</v>
      </c>
      <c r="D3364">
        <v>2024</v>
      </c>
      <c r="E3364" s="7">
        <v>45527</v>
      </c>
      <c r="F3364" s="7">
        <v>45891</v>
      </c>
      <c r="G3364" t="s">
        <v>135</v>
      </c>
      <c r="H3364" t="s">
        <v>6334</v>
      </c>
      <c r="I3364" t="s">
        <v>104</v>
      </c>
      <c r="J3364">
        <v>8072.58</v>
      </c>
      <c r="K3364">
        <v>1500000</v>
      </c>
    </row>
    <row r="3365" spans="1:11" ht="15" customHeight="1" x14ac:dyDescent="0.2">
      <c r="A3365" t="s">
        <v>5078</v>
      </c>
      <c r="B3365" t="s">
        <v>3821</v>
      </c>
      <c r="C3365">
        <v>2024</v>
      </c>
      <c r="D3365">
        <v>2024</v>
      </c>
      <c r="E3365" s="7">
        <v>45528</v>
      </c>
      <c r="F3365" s="7">
        <v>45892</v>
      </c>
      <c r="G3365" t="s">
        <v>99</v>
      </c>
      <c r="H3365" t="s">
        <v>103</v>
      </c>
      <c r="I3365" t="s">
        <v>101</v>
      </c>
      <c r="J3365">
        <v>14830.34</v>
      </c>
      <c r="K3365">
        <v>2000000</v>
      </c>
    </row>
    <row r="3366" spans="1:11" ht="15" customHeight="1" x14ac:dyDescent="0.2">
      <c r="A3366" t="s">
        <v>5079</v>
      </c>
      <c r="B3366" t="s">
        <v>3830</v>
      </c>
      <c r="C3366">
        <v>2024</v>
      </c>
      <c r="D3366">
        <v>2024</v>
      </c>
      <c r="E3366" s="7">
        <v>45528</v>
      </c>
      <c r="F3366" s="7">
        <v>45892</v>
      </c>
      <c r="G3366" t="s">
        <v>99</v>
      </c>
      <c r="H3366" t="s">
        <v>107</v>
      </c>
      <c r="I3366" t="s">
        <v>101</v>
      </c>
      <c r="J3366">
        <v>14589.56</v>
      </c>
      <c r="K3366">
        <v>2000000</v>
      </c>
    </row>
    <row r="3367" spans="1:11" ht="15" customHeight="1" x14ac:dyDescent="0.2">
      <c r="A3367" t="s">
        <v>5080</v>
      </c>
      <c r="B3367" t="s">
        <v>3832</v>
      </c>
      <c r="C3367">
        <v>2024</v>
      </c>
      <c r="D3367">
        <v>2024</v>
      </c>
      <c r="E3367" s="7">
        <v>45528</v>
      </c>
      <c r="F3367" s="7">
        <v>45892</v>
      </c>
      <c r="G3367" t="s">
        <v>99</v>
      </c>
      <c r="H3367" t="s">
        <v>6348</v>
      </c>
      <c r="I3367" t="s">
        <v>104</v>
      </c>
      <c r="J3367">
        <v>10739.59</v>
      </c>
      <c r="K3367">
        <v>2000000</v>
      </c>
    </row>
    <row r="3368" spans="1:11" ht="15" customHeight="1" x14ac:dyDescent="0.2">
      <c r="A3368" t="s">
        <v>5081</v>
      </c>
      <c r="B3368" t="s">
        <v>8946</v>
      </c>
      <c r="C3368">
        <v>2024</v>
      </c>
      <c r="D3368">
        <v>2024</v>
      </c>
      <c r="E3368" s="7">
        <v>45528</v>
      </c>
      <c r="F3368" s="7">
        <v>45892</v>
      </c>
      <c r="G3368" t="s">
        <v>135</v>
      </c>
      <c r="H3368" t="s">
        <v>6334</v>
      </c>
      <c r="I3368" t="s">
        <v>101</v>
      </c>
      <c r="J3368">
        <v>7319.84</v>
      </c>
      <c r="K3368">
        <v>1000000</v>
      </c>
    </row>
    <row r="3369" spans="1:11" ht="15" customHeight="1" x14ac:dyDescent="0.2">
      <c r="A3369" t="s">
        <v>5082</v>
      </c>
      <c r="B3369" t="s">
        <v>8947</v>
      </c>
      <c r="C3369">
        <v>2024</v>
      </c>
      <c r="D3369">
        <v>2024</v>
      </c>
      <c r="E3369" s="7">
        <v>45528</v>
      </c>
      <c r="F3369" s="7">
        <v>45892</v>
      </c>
      <c r="G3369" t="s">
        <v>135</v>
      </c>
      <c r="H3369" t="s">
        <v>110</v>
      </c>
      <c r="I3369" t="s">
        <v>101</v>
      </c>
      <c r="J3369">
        <v>12378.14</v>
      </c>
      <c r="K3369">
        <v>1500000</v>
      </c>
    </row>
    <row r="3370" spans="1:11" ht="15" customHeight="1" x14ac:dyDescent="0.2">
      <c r="A3370" t="s">
        <v>5083</v>
      </c>
      <c r="B3370" t="s">
        <v>8948</v>
      </c>
      <c r="C3370">
        <v>2024</v>
      </c>
      <c r="D3370">
        <v>2024</v>
      </c>
      <c r="E3370" s="7">
        <v>45528</v>
      </c>
      <c r="F3370" s="7">
        <v>45892</v>
      </c>
      <c r="G3370" t="s">
        <v>135</v>
      </c>
      <c r="H3370" t="s">
        <v>103</v>
      </c>
      <c r="I3370" t="s">
        <v>101</v>
      </c>
      <c r="J3370">
        <v>11345.41</v>
      </c>
      <c r="K3370">
        <v>1500000</v>
      </c>
    </row>
    <row r="3371" spans="1:11" ht="15" customHeight="1" x14ac:dyDescent="0.2">
      <c r="A3371" t="s">
        <v>5084</v>
      </c>
      <c r="B3371" t="s">
        <v>8949</v>
      </c>
      <c r="C3371">
        <v>2024</v>
      </c>
      <c r="D3371">
        <v>2024</v>
      </c>
      <c r="E3371" s="7">
        <v>45528</v>
      </c>
      <c r="F3371" s="7">
        <v>45892</v>
      </c>
      <c r="G3371" t="s">
        <v>135</v>
      </c>
      <c r="H3371" t="s">
        <v>102</v>
      </c>
      <c r="I3371" t="s">
        <v>101</v>
      </c>
      <c r="J3371">
        <v>3602.47</v>
      </c>
      <c r="K3371">
        <v>500000</v>
      </c>
    </row>
    <row r="3372" spans="1:11" ht="15" customHeight="1" x14ac:dyDescent="0.2">
      <c r="A3372" t="s">
        <v>5085</v>
      </c>
      <c r="B3372" t="s">
        <v>8950</v>
      </c>
      <c r="C3372">
        <v>2024</v>
      </c>
      <c r="D3372">
        <v>2024</v>
      </c>
      <c r="E3372" s="7">
        <v>45528</v>
      </c>
      <c r="F3372" s="7">
        <v>45892</v>
      </c>
      <c r="G3372" t="s">
        <v>135</v>
      </c>
      <c r="H3372" t="s">
        <v>107</v>
      </c>
      <c r="I3372" t="s">
        <v>104</v>
      </c>
      <c r="J3372">
        <v>8358.49</v>
      </c>
      <c r="K3372">
        <v>1500000</v>
      </c>
    </row>
    <row r="3373" spans="1:11" ht="15" customHeight="1" x14ac:dyDescent="0.2">
      <c r="A3373" t="s">
        <v>5086</v>
      </c>
      <c r="B3373" t="s">
        <v>213</v>
      </c>
      <c r="C3373">
        <v>2024</v>
      </c>
      <c r="D3373">
        <v>2024</v>
      </c>
      <c r="E3373" s="7">
        <v>45528</v>
      </c>
      <c r="F3373" s="7">
        <v>45892</v>
      </c>
      <c r="G3373" t="s">
        <v>135</v>
      </c>
      <c r="H3373" t="s">
        <v>106</v>
      </c>
      <c r="I3373" t="s">
        <v>101</v>
      </c>
      <c r="J3373">
        <v>97074.880000000005</v>
      </c>
      <c r="K3373">
        <v>10000000</v>
      </c>
    </row>
    <row r="3374" spans="1:11" ht="15" customHeight="1" x14ac:dyDescent="0.2">
      <c r="A3374" t="s">
        <v>5087</v>
      </c>
      <c r="B3374" t="s">
        <v>981</v>
      </c>
      <c r="C3374">
        <v>2024</v>
      </c>
      <c r="D3374">
        <v>2024</v>
      </c>
      <c r="E3374" s="7">
        <v>45528</v>
      </c>
      <c r="F3374" s="7">
        <v>45892</v>
      </c>
      <c r="G3374" t="s">
        <v>135</v>
      </c>
      <c r="H3374" t="s">
        <v>102</v>
      </c>
      <c r="I3374" t="s">
        <v>101</v>
      </c>
      <c r="J3374">
        <v>7350.75</v>
      </c>
      <c r="K3374">
        <v>1000000</v>
      </c>
    </row>
    <row r="3375" spans="1:11" ht="15" customHeight="1" x14ac:dyDescent="0.2">
      <c r="A3375" t="s">
        <v>5088</v>
      </c>
      <c r="B3375" t="s">
        <v>591</v>
      </c>
      <c r="C3375">
        <v>2024</v>
      </c>
      <c r="D3375">
        <v>2024</v>
      </c>
      <c r="E3375" s="7">
        <v>45528</v>
      </c>
      <c r="F3375" s="7">
        <v>45892</v>
      </c>
      <c r="G3375" t="s">
        <v>135</v>
      </c>
      <c r="H3375" t="s">
        <v>106</v>
      </c>
      <c r="I3375" t="s">
        <v>104</v>
      </c>
      <c r="J3375">
        <v>6951.84</v>
      </c>
      <c r="K3375">
        <v>1000000</v>
      </c>
    </row>
    <row r="3376" spans="1:11" ht="15" customHeight="1" x14ac:dyDescent="0.2">
      <c r="A3376" t="s">
        <v>5089</v>
      </c>
      <c r="B3376" t="s">
        <v>8951</v>
      </c>
      <c r="C3376">
        <v>2024</v>
      </c>
      <c r="D3376">
        <v>2024</v>
      </c>
      <c r="E3376" s="7">
        <v>45528</v>
      </c>
      <c r="F3376" s="7">
        <v>45892</v>
      </c>
      <c r="G3376" t="s">
        <v>135</v>
      </c>
      <c r="H3376" t="s">
        <v>107</v>
      </c>
      <c r="I3376" t="s">
        <v>101</v>
      </c>
      <c r="J3376">
        <v>6558.62</v>
      </c>
      <c r="K3376">
        <v>1000000</v>
      </c>
    </row>
    <row r="3377" spans="1:11" ht="15" customHeight="1" x14ac:dyDescent="0.2">
      <c r="A3377" t="s">
        <v>5090</v>
      </c>
      <c r="B3377" t="s">
        <v>8952</v>
      </c>
      <c r="C3377">
        <v>2024</v>
      </c>
      <c r="D3377">
        <v>2024</v>
      </c>
      <c r="E3377" s="7">
        <v>45528</v>
      </c>
      <c r="F3377" s="7">
        <v>45892</v>
      </c>
      <c r="G3377" t="s">
        <v>135</v>
      </c>
      <c r="H3377" t="s">
        <v>107</v>
      </c>
      <c r="I3377" t="s">
        <v>104</v>
      </c>
      <c r="J3377">
        <v>7820.66</v>
      </c>
      <c r="K3377">
        <v>1500000</v>
      </c>
    </row>
    <row r="3378" spans="1:11" ht="15" customHeight="1" x14ac:dyDescent="0.2">
      <c r="A3378" t="s">
        <v>5091</v>
      </c>
      <c r="B3378" t="s">
        <v>6894</v>
      </c>
      <c r="C3378">
        <v>2024</v>
      </c>
      <c r="D3378">
        <v>2024</v>
      </c>
      <c r="E3378" s="7">
        <v>45528</v>
      </c>
      <c r="F3378" s="7">
        <v>45892</v>
      </c>
      <c r="G3378" t="s">
        <v>135</v>
      </c>
      <c r="H3378" t="s">
        <v>116</v>
      </c>
      <c r="I3378" t="s">
        <v>104</v>
      </c>
      <c r="J3378">
        <v>5663.85</v>
      </c>
      <c r="K3378">
        <v>1000000</v>
      </c>
    </row>
    <row r="3379" spans="1:11" ht="15" customHeight="1" x14ac:dyDescent="0.2">
      <c r="A3379" t="s">
        <v>5092</v>
      </c>
      <c r="B3379" t="s">
        <v>6944</v>
      </c>
      <c r="C3379">
        <v>2024</v>
      </c>
      <c r="D3379">
        <v>2024</v>
      </c>
      <c r="E3379" s="7">
        <v>45528</v>
      </c>
      <c r="F3379" s="7">
        <v>45892</v>
      </c>
      <c r="G3379" t="s">
        <v>135</v>
      </c>
      <c r="H3379" t="s">
        <v>100</v>
      </c>
      <c r="I3379" t="s">
        <v>104</v>
      </c>
      <c r="J3379">
        <v>3111.03</v>
      </c>
      <c r="K3379">
        <v>500000</v>
      </c>
    </row>
    <row r="3380" spans="1:11" ht="15" customHeight="1" x14ac:dyDescent="0.2">
      <c r="A3380" t="s">
        <v>5093</v>
      </c>
      <c r="B3380" t="s">
        <v>3842</v>
      </c>
      <c r="C3380">
        <v>2024</v>
      </c>
      <c r="D3380">
        <v>2024</v>
      </c>
      <c r="E3380" s="7">
        <v>45529</v>
      </c>
      <c r="F3380" s="7">
        <v>45893</v>
      </c>
      <c r="G3380" t="s">
        <v>99</v>
      </c>
      <c r="H3380" t="s">
        <v>102</v>
      </c>
      <c r="I3380" t="s">
        <v>104</v>
      </c>
      <c r="J3380">
        <v>6294.31</v>
      </c>
      <c r="K3380">
        <v>1000000</v>
      </c>
    </row>
    <row r="3381" spans="1:11" ht="15" customHeight="1" x14ac:dyDescent="0.2">
      <c r="A3381" t="s">
        <v>5094</v>
      </c>
      <c r="B3381" t="s">
        <v>3844</v>
      </c>
      <c r="C3381">
        <v>2024</v>
      </c>
      <c r="D3381">
        <v>2024</v>
      </c>
      <c r="E3381" s="7">
        <v>45529</v>
      </c>
      <c r="F3381" s="7">
        <v>45893</v>
      </c>
      <c r="G3381" t="s">
        <v>99</v>
      </c>
      <c r="H3381" t="s">
        <v>102</v>
      </c>
      <c r="I3381" t="s">
        <v>104</v>
      </c>
      <c r="J3381">
        <v>2663.44</v>
      </c>
      <c r="K3381">
        <v>500000</v>
      </c>
    </row>
    <row r="3382" spans="1:11" ht="15" customHeight="1" x14ac:dyDescent="0.2">
      <c r="A3382" t="s">
        <v>5095</v>
      </c>
      <c r="B3382" t="s">
        <v>592</v>
      </c>
      <c r="C3382">
        <v>2024</v>
      </c>
      <c r="D3382">
        <v>2024</v>
      </c>
      <c r="E3382" s="7">
        <v>45529</v>
      </c>
      <c r="F3382" s="7">
        <v>45893</v>
      </c>
      <c r="G3382" t="s">
        <v>135</v>
      </c>
      <c r="H3382" t="s">
        <v>105</v>
      </c>
      <c r="I3382" t="s">
        <v>101</v>
      </c>
      <c r="J3382">
        <v>14888.75</v>
      </c>
      <c r="K3382">
        <v>2000000</v>
      </c>
    </row>
    <row r="3383" spans="1:11" ht="15" customHeight="1" x14ac:dyDescent="0.2">
      <c r="A3383" t="s">
        <v>5096</v>
      </c>
      <c r="B3383" t="s">
        <v>8953</v>
      </c>
      <c r="C3383">
        <v>2024</v>
      </c>
      <c r="D3383">
        <v>2024</v>
      </c>
      <c r="E3383" s="7">
        <v>45529</v>
      </c>
      <c r="F3383" s="7">
        <v>45893</v>
      </c>
      <c r="G3383" t="s">
        <v>135</v>
      </c>
      <c r="H3383" t="s">
        <v>109</v>
      </c>
      <c r="I3383" t="s">
        <v>101</v>
      </c>
      <c r="J3383">
        <v>33057.160000000003</v>
      </c>
      <c r="K3383">
        <v>5000000</v>
      </c>
    </row>
    <row r="3384" spans="1:11" ht="15" customHeight="1" x14ac:dyDescent="0.2">
      <c r="A3384" t="s">
        <v>5097</v>
      </c>
      <c r="B3384" t="s">
        <v>8954</v>
      </c>
      <c r="C3384">
        <v>2024</v>
      </c>
      <c r="D3384">
        <v>2024</v>
      </c>
      <c r="E3384" s="7">
        <v>45529</v>
      </c>
      <c r="F3384" s="7">
        <v>45893</v>
      </c>
      <c r="G3384" t="s">
        <v>135</v>
      </c>
      <c r="H3384" t="s">
        <v>106</v>
      </c>
      <c r="I3384" t="s">
        <v>104</v>
      </c>
      <c r="J3384">
        <v>7257.2</v>
      </c>
      <c r="K3384">
        <v>1000000</v>
      </c>
    </row>
    <row r="3385" spans="1:11" ht="15" customHeight="1" x14ac:dyDescent="0.2">
      <c r="A3385" t="s">
        <v>5098</v>
      </c>
      <c r="B3385" t="s">
        <v>983</v>
      </c>
      <c r="C3385">
        <v>2024</v>
      </c>
      <c r="D3385">
        <v>2024</v>
      </c>
      <c r="E3385" s="7">
        <v>45529</v>
      </c>
      <c r="F3385" s="7">
        <v>45893</v>
      </c>
      <c r="G3385" t="s">
        <v>135</v>
      </c>
      <c r="H3385" t="s">
        <v>6337</v>
      </c>
      <c r="I3385" t="s">
        <v>101</v>
      </c>
      <c r="J3385">
        <v>10062.129999999999</v>
      </c>
      <c r="K3385">
        <v>1500000</v>
      </c>
    </row>
    <row r="3386" spans="1:11" ht="15" customHeight="1" x14ac:dyDescent="0.2">
      <c r="A3386" t="s">
        <v>5099</v>
      </c>
      <c r="B3386" t="s">
        <v>984</v>
      </c>
      <c r="C3386">
        <v>2024</v>
      </c>
      <c r="D3386">
        <v>2024</v>
      </c>
      <c r="E3386" s="7">
        <v>45529</v>
      </c>
      <c r="F3386" s="7">
        <v>45893</v>
      </c>
      <c r="G3386" t="s">
        <v>135</v>
      </c>
      <c r="H3386" t="s">
        <v>108</v>
      </c>
      <c r="I3386" t="s">
        <v>104</v>
      </c>
      <c r="J3386">
        <v>34551.15</v>
      </c>
      <c r="K3386">
        <v>5000000</v>
      </c>
    </row>
    <row r="3387" spans="1:11" ht="15" customHeight="1" x14ac:dyDescent="0.2">
      <c r="A3387" t="s">
        <v>5100</v>
      </c>
      <c r="B3387" t="s">
        <v>982</v>
      </c>
      <c r="C3387">
        <v>2024</v>
      </c>
      <c r="D3387">
        <v>2024</v>
      </c>
      <c r="E3387" s="7">
        <v>45529</v>
      </c>
      <c r="F3387" s="7">
        <v>45893</v>
      </c>
      <c r="G3387" t="s">
        <v>135</v>
      </c>
      <c r="H3387" t="s">
        <v>109</v>
      </c>
      <c r="I3387" t="s">
        <v>104</v>
      </c>
      <c r="J3387">
        <v>5525.06</v>
      </c>
      <c r="K3387">
        <v>1000000</v>
      </c>
    </row>
    <row r="3388" spans="1:11" ht="15" customHeight="1" x14ac:dyDescent="0.2">
      <c r="A3388" t="s">
        <v>5101</v>
      </c>
      <c r="B3388" t="s">
        <v>6908</v>
      </c>
      <c r="C3388">
        <v>2024</v>
      </c>
      <c r="D3388">
        <v>2024</v>
      </c>
      <c r="E3388" s="7">
        <v>45529</v>
      </c>
      <c r="F3388" s="7">
        <v>45893</v>
      </c>
      <c r="G3388" t="s">
        <v>135</v>
      </c>
      <c r="H3388" t="s">
        <v>106</v>
      </c>
      <c r="I3388" t="s">
        <v>101</v>
      </c>
      <c r="J3388">
        <v>9597.4500000000007</v>
      </c>
      <c r="K3388">
        <v>1000000</v>
      </c>
    </row>
    <row r="3389" spans="1:11" ht="15" customHeight="1" x14ac:dyDescent="0.2">
      <c r="A3389" t="s">
        <v>5102</v>
      </c>
      <c r="B3389" t="s">
        <v>8955</v>
      </c>
      <c r="C3389">
        <v>2024</v>
      </c>
      <c r="D3389">
        <v>2024</v>
      </c>
      <c r="E3389" s="7">
        <v>45530</v>
      </c>
      <c r="F3389" s="7">
        <v>45894</v>
      </c>
      <c r="G3389" t="s">
        <v>135</v>
      </c>
      <c r="H3389" t="s">
        <v>102</v>
      </c>
      <c r="I3389" t="s">
        <v>104</v>
      </c>
      <c r="J3389">
        <v>7860.83</v>
      </c>
      <c r="K3389">
        <v>1500000</v>
      </c>
    </row>
    <row r="3390" spans="1:11" ht="15" customHeight="1" x14ac:dyDescent="0.2">
      <c r="A3390" t="s">
        <v>5103</v>
      </c>
      <c r="B3390" t="s">
        <v>6916</v>
      </c>
      <c r="C3390">
        <v>2024</v>
      </c>
      <c r="D3390">
        <v>2024</v>
      </c>
      <c r="E3390" s="7">
        <v>45530</v>
      </c>
      <c r="F3390" s="7">
        <v>45894</v>
      </c>
      <c r="G3390" t="s">
        <v>135</v>
      </c>
      <c r="H3390" t="s">
        <v>106</v>
      </c>
      <c r="I3390" t="s">
        <v>101</v>
      </c>
      <c r="J3390">
        <v>9106.08</v>
      </c>
      <c r="K3390">
        <v>1000000</v>
      </c>
    </row>
    <row r="3391" spans="1:11" ht="15" customHeight="1" x14ac:dyDescent="0.2">
      <c r="A3391" t="s">
        <v>5104</v>
      </c>
      <c r="B3391" t="s">
        <v>6915</v>
      </c>
      <c r="C3391">
        <v>2024</v>
      </c>
      <c r="D3391">
        <v>2024</v>
      </c>
      <c r="E3391" s="7">
        <v>45530</v>
      </c>
      <c r="F3391" s="7">
        <v>45894</v>
      </c>
      <c r="G3391" t="s">
        <v>135</v>
      </c>
      <c r="H3391" t="s">
        <v>109</v>
      </c>
      <c r="I3391" t="s">
        <v>101</v>
      </c>
      <c r="J3391">
        <v>7683.09</v>
      </c>
      <c r="K3391">
        <v>1000000</v>
      </c>
    </row>
    <row r="3392" spans="1:11" ht="15" customHeight="1" x14ac:dyDescent="0.2">
      <c r="A3392" t="s">
        <v>5105</v>
      </c>
      <c r="B3392" t="s">
        <v>985</v>
      </c>
      <c r="C3392">
        <v>2024</v>
      </c>
      <c r="D3392">
        <v>2024</v>
      </c>
      <c r="E3392" s="7">
        <v>45530</v>
      </c>
      <c r="F3392" s="7">
        <v>45894</v>
      </c>
      <c r="G3392" t="s">
        <v>135</v>
      </c>
      <c r="H3392" t="s">
        <v>107</v>
      </c>
      <c r="I3392" t="s">
        <v>101</v>
      </c>
      <c r="J3392">
        <v>7849.13</v>
      </c>
      <c r="K3392">
        <v>1000000</v>
      </c>
    </row>
    <row r="3393" spans="1:11" ht="15" customHeight="1" x14ac:dyDescent="0.2">
      <c r="A3393" t="s">
        <v>5106</v>
      </c>
      <c r="B3393" t="s">
        <v>6989</v>
      </c>
      <c r="C3393">
        <v>2024</v>
      </c>
      <c r="D3393">
        <v>2024</v>
      </c>
      <c r="E3393" s="7">
        <v>45530</v>
      </c>
      <c r="F3393" s="7">
        <v>45894</v>
      </c>
      <c r="G3393" t="s">
        <v>135</v>
      </c>
      <c r="H3393" t="s">
        <v>106</v>
      </c>
      <c r="I3393" t="s">
        <v>101</v>
      </c>
      <c r="J3393">
        <v>18149.73</v>
      </c>
      <c r="K3393">
        <v>2000000</v>
      </c>
    </row>
    <row r="3394" spans="1:11" ht="15" customHeight="1" x14ac:dyDescent="0.2">
      <c r="A3394" t="s">
        <v>5107</v>
      </c>
      <c r="B3394" t="s">
        <v>8956</v>
      </c>
      <c r="C3394">
        <v>2024</v>
      </c>
      <c r="D3394">
        <v>2024</v>
      </c>
      <c r="E3394" s="7">
        <v>45530</v>
      </c>
      <c r="F3394" s="7">
        <v>45894</v>
      </c>
      <c r="G3394" t="s">
        <v>135</v>
      </c>
      <c r="H3394" t="s">
        <v>114</v>
      </c>
      <c r="I3394" t="s">
        <v>101</v>
      </c>
      <c r="J3394">
        <v>15123.21</v>
      </c>
      <c r="K3394">
        <v>2000000</v>
      </c>
    </row>
    <row r="3395" spans="1:11" ht="15" customHeight="1" x14ac:dyDescent="0.2">
      <c r="A3395" t="s">
        <v>5108</v>
      </c>
      <c r="B3395" t="s">
        <v>8957</v>
      </c>
      <c r="C3395">
        <v>2024</v>
      </c>
      <c r="D3395">
        <v>2024</v>
      </c>
      <c r="E3395" s="7">
        <v>45530</v>
      </c>
      <c r="F3395" s="7">
        <v>45894</v>
      </c>
      <c r="G3395" t="s">
        <v>135</v>
      </c>
      <c r="H3395" t="s">
        <v>108</v>
      </c>
      <c r="I3395" t="s">
        <v>104</v>
      </c>
      <c r="J3395">
        <v>6754.85</v>
      </c>
      <c r="K3395">
        <v>1000000</v>
      </c>
    </row>
    <row r="3396" spans="1:11" ht="15" customHeight="1" x14ac:dyDescent="0.2">
      <c r="A3396" t="s">
        <v>5109</v>
      </c>
      <c r="B3396" t="s">
        <v>6910</v>
      </c>
      <c r="C3396">
        <v>2024</v>
      </c>
      <c r="D3396">
        <v>2024</v>
      </c>
      <c r="E3396" s="7">
        <v>45530</v>
      </c>
      <c r="F3396" s="7">
        <v>45894</v>
      </c>
      <c r="G3396" t="s">
        <v>135</v>
      </c>
      <c r="H3396" t="s">
        <v>113</v>
      </c>
      <c r="I3396" t="s">
        <v>104</v>
      </c>
      <c r="J3396">
        <v>11008.43</v>
      </c>
      <c r="K3396">
        <v>2000000</v>
      </c>
    </row>
    <row r="3397" spans="1:11" ht="15" customHeight="1" x14ac:dyDescent="0.2">
      <c r="A3397" t="s">
        <v>5110</v>
      </c>
      <c r="B3397" t="s">
        <v>8958</v>
      </c>
      <c r="C3397">
        <v>2024</v>
      </c>
      <c r="D3397">
        <v>2024</v>
      </c>
      <c r="E3397" s="7">
        <v>45530</v>
      </c>
      <c r="F3397" s="7">
        <v>45894</v>
      </c>
      <c r="G3397" t="s">
        <v>135</v>
      </c>
      <c r="H3397" t="s">
        <v>100</v>
      </c>
      <c r="I3397" t="s">
        <v>101</v>
      </c>
      <c r="J3397">
        <v>10264.040000000001</v>
      </c>
      <c r="K3397">
        <v>1500000</v>
      </c>
    </row>
    <row r="3398" spans="1:11" ht="15" customHeight="1" x14ac:dyDescent="0.2">
      <c r="A3398" t="s">
        <v>5111</v>
      </c>
      <c r="B3398" t="s">
        <v>167</v>
      </c>
      <c r="C3398">
        <v>2024</v>
      </c>
      <c r="D3398">
        <v>2024</v>
      </c>
      <c r="E3398" s="7">
        <v>45530</v>
      </c>
      <c r="F3398" s="7">
        <v>45894</v>
      </c>
      <c r="G3398" t="s">
        <v>135</v>
      </c>
      <c r="H3398" t="s">
        <v>109</v>
      </c>
      <c r="I3398" t="s">
        <v>104</v>
      </c>
      <c r="J3398">
        <v>29523.62</v>
      </c>
      <c r="K3398">
        <v>5000000</v>
      </c>
    </row>
    <row r="3399" spans="1:11" ht="15" customHeight="1" x14ac:dyDescent="0.2">
      <c r="A3399" t="s">
        <v>5112</v>
      </c>
      <c r="B3399" t="s">
        <v>3846</v>
      </c>
      <c r="C3399">
        <v>2024</v>
      </c>
      <c r="D3399">
        <v>2024</v>
      </c>
      <c r="E3399" s="7">
        <v>45531</v>
      </c>
      <c r="F3399" s="7">
        <v>45895</v>
      </c>
      <c r="G3399" t="s">
        <v>99</v>
      </c>
      <c r="H3399" t="s">
        <v>107</v>
      </c>
      <c r="I3399" t="s">
        <v>101</v>
      </c>
      <c r="J3399">
        <v>10641.66</v>
      </c>
      <c r="K3399">
        <v>1500000</v>
      </c>
    </row>
    <row r="3400" spans="1:11" ht="15" customHeight="1" x14ac:dyDescent="0.2">
      <c r="A3400" t="s">
        <v>5113</v>
      </c>
      <c r="B3400" t="s">
        <v>214</v>
      </c>
      <c r="C3400">
        <v>2024</v>
      </c>
      <c r="D3400">
        <v>2024</v>
      </c>
      <c r="E3400" s="7">
        <v>45531</v>
      </c>
      <c r="F3400" s="7">
        <v>45895</v>
      </c>
      <c r="G3400" t="s">
        <v>135</v>
      </c>
      <c r="H3400" t="s">
        <v>108</v>
      </c>
      <c r="I3400" t="s">
        <v>104</v>
      </c>
      <c r="J3400">
        <v>10747.95</v>
      </c>
      <c r="K3400">
        <v>1500000</v>
      </c>
    </row>
    <row r="3401" spans="1:11" ht="15" customHeight="1" x14ac:dyDescent="0.2">
      <c r="A3401" t="s">
        <v>5114</v>
      </c>
      <c r="B3401" t="s">
        <v>8959</v>
      </c>
      <c r="C3401">
        <v>2024</v>
      </c>
      <c r="D3401">
        <v>2024</v>
      </c>
      <c r="E3401" s="7">
        <v>45531</v>
      </c>
      <c r="F3401" s="7">
        <v>45895</v>
      </c>
      <c r="G3401" t="s">
        <v>135</v>
      </c>
      <c r="H3401" t="s">
        <v>107</v>
      </c>
      <c r="I3401" t="s">
        <v>101</v>
      </c>
      <c r="J3401">
        <v>13332.47</v>
      </c>
      <c r="K3401">
        <v>2000000</v>
      </c>
    </row>
    <row r="3402" spans="1:11" ht="15" customHeight="1" x14ac:dyDescent="0.2">
      <c r="A3402" t="s">
        <v>5115</v>
      </c>
      <c r="B3402" t="s">
        <v>6877</v>
      </c>
      <c r="C3402">
        <v>2024</v>
      </c>
      <c r="D3402">
        <v>2024</v>
      </c>
      <c r="E3402" s="7">
        <v>45531</v>
      </c>
      <c r="F3402" s="7">
        <v>45895</v>
      </c>
      <c r="G3402" t="s">
        <v>135</v>
      </c>
      <c r="H3402" t="s">
        <v>105</v>
      </c>
      <c r="I3402" t="s">
        <v>104</v>
      </c>
      <c r="J3402">
        <v>5355.45</v>
      </c>
      <c r="K3402">
        <v>1000000</v>
      </c>
    </row>
    <row r="3403" spans="1:11" ht="15" customHeight="1" x14ac:dyDescent="0.2">
      <c r="A3403" t="s">
        <v>5116</v>
      </c>
      <c r="B3403" t="s">
        <v>8960</v>
      </c>
      <c r="C3403">
        <v>2024</v>
      </c>
      <c r="D3403">
        <v>2024</v>
      </c>
      <c r="E3403" s="7">
        <v>45531</v>
      </c>
      <c r="F3403" s="7">
        <v>45895</v>
      </c>
      <c r="G3403" t="s">
        <v>135</v>
      </c>
      <c r="H3403" t="s">
        <v>114</v>
      </c>
      <c r="I3403" t="s">
        <v>101</v>
      </c>
      <c r="J3403">
        <v>10221.66</v>
      </c>
      <c r="K3403">
        <v>1500000</v>
      </c>
    </row>
    <row r="3404" spans="1:11" ht="15" customHeight="1" x14ac:dyDescent="0.2">
      <c r="A3404" t="s">
        <v>5117</v>
      </c>
      <c r="B3404" t="s">
        <v>986</v>
      </c>
      <c r="C3404">
        <v>2024</v>
      </c>
      <c r="D3404">
        <v>2024</v>
      </c>
      <c r="E3404" s="7">
        <v>45531</v>
      </c>
      <c r="F3404" s="7">
        <v>45895</v>
      </c>
      <c r="G3404" t="s">
        <v>135</v>
      </c>
      <c r="H3404" t="s">
        <v>110</v>
      </c>
      <c r="I3404" t="s">
        <v>101</v>
      </c>
      <c r="J3404">
        <v>14599.77</v>
      </c>
      <c r="K3404">
        <v>1500000</v>
      </c>
    </row>
    <row r="3405" spans="1:11" ht="15" customHeight="1" x14ac:dyDescent="0.2">
      <c r="A3405" t="s">
        <v>5118</v>
      </c>
      <c r="B3405" t="s">
        <v>169</v>
      </c>
      <c r="C3405">
        <v>2024</v>
      </c>
      <c r="D3405">
        <v>2024</v>
      </c>
      <c r="E3405" s="7">
        <v>45531</v>
      </c>
      <c r="F3405" s="7">
        <v>45895</v>
      </c>
      <c r="G3405" t="s">
        <v>135</v>
      </c>
      <c r="H3405" t="s">
        <v>111</v>
      </c>
      <c r="I3405" t="s">
        <v>104</v>
      </c>
      <c r="J3405">
        <v>8253.5</v>
      </c>
      <c r="K3405">
        <v>1500000</v>
      </c>
    </row>
    <row r="3406" spans="1:11" ht="15" customHeight="1" x14ac:dyDescent="0.2">
      <c r="A3406" t="s">
        <v>5119</v>
      </c>
      <c r="B3406" t="s">
        <v>6875</v>
      </c>
      <c r="C3406">
        <v>2024</v>
      </c>
      <c r="D3406">
        <v>2024</v>
      </c>
      <c r="E3406" s="7">
        <v>45531</v>
      </c>
      <c r="F3406" s="7">
        <v>45895</v>
      </c>
      <c r="G3406" t="s">
        <v>135</v>
      </c>
      <c r="H3406" t="s">
        <v>105</v>
      </c>
      <c r="I3406" t="s">
        <v>101</v>
      </c>
      <c r="J3406">
        <v>3718.04</v>
      </c>
      <c r="K3406">
        <v>500000</v>
      </c>
    </row>
    <row r="3407" spans="1:11" ht="15" customHeight="1" x14ac:dyDescent="0.2">
      <c r="A3407" t="s">
        <v>5120</v>
      </c>
      <c r="B3407" t="s">
        <v>168</v>
      </c>
      <c r="C3407">
        <v>2024</v>
      </c>
      <c r="D3407">
        <v>2024</v>
      </c>
      <c r="E3407" s="7">
        <v>45531</v>
      </c>
      <c r="F3407" s="7">
        <v>45895</v>
      </c>
      <c r="G3407" t="s">
        <v>135</v>
      </c>
      <c r="H3407" t="s">
        <v>103</v>
      </c>
      <c r="I3407" t="s">
        <v>101</v>
      </c>
      <c r="J3407">
        <v>7612.49</v>
      </c>
      <c r="K3407">
        <v>1000000</v>
      </c>
    </row>
    <row r="3408" spans="1:11" ht="15" customHeight="1" x14ac:dyDescent="0.2">
      <c r="A3408" t="s">
        <v>5121</v>
      </c>
      <c r="B3408" t="s">
        <v>8961</v>
      </c>
      <c r="C3408">
        <v>2024</v>
      </c>
      <c r="D3408">
        <v>2024</v>
      </c>
      <c r="E3408" s="7">
        <v>45531</v>
      </c>
      <c r="F3408" s="7">
        <v>45895</v>
      </c>
      <c r="G3408" t="s">
        <v>135</v>
      </c>
      <c r="H3408" t="s">
        <v>116</v>
      </c>
      <c r="I3408" t="s">
        <v>104</v>
      </c>
      <c r="J3408">
        <v>8367.42</v>
      </c>
      <c r="K3408">
        <v>1500000</v>
      </c>
    </row>
    <row r="3409" spans="1:11" ht="15" customHeight="1" x14ac:dyDescent="0.2">
      <c r="A3409" t="s">
        <v>5122</v>
      </c>
      <c r="B3409" t="s">
        <v>8962</v>
      </c>
      <c r="C3409">
        <v>2024</v>
      </c>
      <c r="D3409">
        <v>2024</v>
      </c>
      <c r="E3409" s="7">
        <v>45531</v>
      </c>
      <c r="F3409" s="7">
        <v>45895</v>
      </c>
      <c r="G3409" t="s">
        <v>135</v>
      </c>
      <c r="H3409" t="s">
        <v>113</v>
      </c>
      <c r="I3409" t="s">
        <v>104</v>
      </c>
      <c r="J3409">
        <v>6150.05</v>
      </c>
      <c r="K3409">
        <v>1000000</v>
      </c>
    </row>
    <row r="3410" spans="1:11" ht="15" customHeight="1" x14ac:dyDescent="0.2">
      <c r="A3410" t="s">
        <v>5123</v>
      </c>
      <c r="B3410" t="s">
        <v>8963</v>
      </c>
      <c r="C3410">
        <v>2024</v>
      </c>
      <c r="D3410">
        <v>2024</v>
      </c>
      <c r="E3410" s="7">
        <v>45531</v>
      </c>
      <c r="F3410" s="7">
        <v>45895</v>
      </c>
      <c r="G3410" t="s">
        <v>135</v>
      </c>
      <c r="H3410" t="s">
        <v>106</v>
      </c>
      <c r="I3410" t="s">
        <v>101</v>
      </c>
      <c r="J3410">
        <v>8529.6</v>
      </c>
      <c r="K3410">
        <v>1000000</v>
      </c>
    </row>
    <row r="3411" spans="1:11" ht="15" customHeight="1" x14ac:dyDescent="0.2">
      <c r="A3411" t="s">
        <v>5124</v>
      </c>
      <c r="B3411" t="s">
        <v>6914</v>
      </c>
      <c r="C3411">
        <v>2024</v>
      </c>
      <c r="D3411">
        <v>2024</v>
      </c>
      <c r="E3411" s="7">
        <v>45531</v>
      </c>
      <c r="F3411" s="7">
        <v>45895</v>
      </c>
      <c r="G3411" t="s">
        <v>135</v>
      </c>
      <c r="H3411" t="s">
        <v>107</v>
      </c>
      <c r="I3411" t="s">
        <v>104</v>
      </c>
      <c r="J3411">
        <v>3101.62</v>
      </c>
      <c r="K3411">
        <v>500000</v>
      </c>
    </row>
    <row r="3412" spans="1:11" ht="15" customHeight="1" x14ac:dyDescent="0.2">
      <c r="A3412" t="s">
        <v>5125</v>
      </c>
      <c r="B3412" t="s">
        <v>3854</v>
      </c>
      <c r="C3412">
        <v>2024</v>
      </c>
      <c r="D3412">
        <v>2024</v>
      </c>
      <c r="E3412" s="7">
        <v>45532</v>
      </c>
      <c r="F3412" s="7">
        <v>45896</v>
      </c>
      <c r="G3412" t="s">
        <v>99</v>
      </c>
      <c r="H3412" t="s">
        <v>102</v>
      </c>
      <c r="I3412" t="s">
        <v>104</v>
      </c>
      <c r="J3412">
        <v>12258.92</v>
      </c>
      <c r="K3412">
        <v>2000000</v>
      </c>
    </row>
    <row r="3413" spans="1:11" ht="15" customHeight="1" x14ac:dyDescent="0.2">
      <c r="A3413" t="s">
        <v>5126</v>
      </c>
      <c r="B3413" t="s">
        <v>3856</v>
      </c>
      <c r="C3413">
        <v>2024</v>
      </c>
      <c r="D3413">
        <v>2024</v>
      </c>
      <c r="E3413" s="7">
        <v>45532</v>
      </c>
      <c r="F3413" s="7">
        <v>45896</v>
      </c>
      <c r="G3413" t="s">
        <v>99</v>
      </c>
      <c r="H3413" t="s">
        <v>105</v>
      </c>
      <c r="I3413" t="s">
        <v>101</v>
      </c>
      <c r="J3413">
        <v>6614.13</v>
      </c>
      <c r="K3413">
        <v>1000000</v>
      </c>
    </row>
    <row r="3414" spans="1:11" ht="15" customHeight="1" x14ac:dyDescent="0.2">
      <c r="A3414" t="s">
        <v>5127</v>
      </c>
      <c r="B3414" t="s">
        <v>3858</v>
      </c>
      <c r="C3414">
        <v>2024</v>
      </c>
      <c r="D3414">
        <v>2024</v>
      </c>
      <c r="E3414" s="7">
        <v>45532</v>
      </c>
      <c r="F3414" s="7">
        <v>45896</v>
      </c>
      <c r="G3414" t="s">
        <v>99</v>
      </c>
      <c r="H3414" t="s">
        <v>6334</v>
      </c>
      <c r="I3414" t="s">
        <v>101</v>
      </c>
      <c r="J3414">
        <v>3821.32</v>
      </c>
      <c r="K3414">
        <v>500000</v>
      </c>
    </row>
    <row r="3415" spans="1:11" ht="15" customHeight="1" x14ac:dyDescent="0.2">
      <c r="A3415" t="s">
        <v>5128</v>
      </c>
      <c r="B3415" t="s">
        <v>6947</v>
      </c>
      <c r="C3415">
        <v>2024</v>
      </c>
      <c r="D3415">
        <v>2024</v>
      </c>
      <c r="E3415" s="7">
        <v>45532</v>
      </c>
      <c r="F3415" s="7">
        <v>45896</v>
      </c>
      <c r="G3415" t="s">
        <v>135</v>
      </c>
      <c r="H3415" t="s">
        <v>106</v>
      </c>
      <c r="I3415" t="s">
        <v>104</v>
      </c>
      <c r="J3415">
        <v>13434.47</v>
      </c>
      <c r="K3415">
        <v>2000000</v>
      </c>
    </row>
    <row r="3416" spans="1:11" ht="15" customHeight="1" x14ac:dyDescent="0.2">
      <c r="A3416" t="s">
        <v>5129</v>
      </c>
      <c r="B3416" t="s">
        <v>170</v>
      </c>
      <c r="C3416">
        <v>2024</v>
      </c>
      <c r="D3416">
        <v>2024</v>
      </c>
      <c r="E3416" s="7">
        <v>45532</v>
      </c>
      <c r="F3416" s="7">
        <v>45896</v>
      </c>
      <c r="G3416" t="s">
        <v>135</v>
      </c>
      <c r="H3416" t="s">
        <v>102</v>
      </c>
      <c r="I3416" t="s">
        <v>101</v>
      </c>
      <c r="J3416">
        <v>6837.44</v>
      </c>
      <c r="K3416">
        <v>1000000</v>
      </c>
    </row>
    <row r="3417" spans="1:11" ht="15" customHeight="1" x14ac:dyDescent="0.2">
      <c r="A3417" t="s">
        <v>5130</v>
      </c>
      <c r="B3417" t="s">
        <v>8964</v>
      </c>
      <c r="C3417">
        <v>2024</v>
      </c>
      <c r="D3417">
        <v>2024</v>
      </c>
      <c r="E3417" s="7">
        <v>45532</v>
      </c>
      <c r="F3417" s="7">
        <v>45896</v>
      </c>
      <c r="G3417" t="s">
        <v>135</v>
      </c>
      <c r="H3417" t="s">
        <v>115</v>
      </c>
      <c r="I3417" t="s">
        <v>101</v>
      </c>
      <c r="J3417">
        <v>10239.86</v>
      </c>
      <c r="K3417">
        <v>1500000</v>
      </c>
    </row>
    <row r="3418" spans="1:11" ht="15" customHeight="1" x14ac:dyDescent="0.2">
      <c r="A3418" t="s">
        <v>5131</v>
      </c>
      <c r="B3418" t="s">
        <v>8965</v>
      </c>
      <c r="C3418">
        <v>2024</v>
      </c>
      <c r="D3418">
        <v>2024</v>
      </c>
      <c r="E3418" s="7">
        <v>45532</v>
      </c>
      <c r="F3418" s="7">
        <v>45896</v>
      </c>
      <c r="G3418" t="s">
        <v>135</v>
      </c>
      <c r="H3418" t="s">
        <v>107</v>
      </c>
      <c r="I3418" t="s">
        <v>104</v>
      </c>
      <c r="J3418">
        <v>29997.53</v>
      </c>
      <c r="K3418">
        <v>5000000</v>
      </c>
    </row>
    <row r="3419" spans="1:11" ht="15" customHeight="1" x14ac:dyDescent="0.2">
      <c r="A3419" t="s">
        <v>5132</v>
      </c>
      <c r="B3419" t="s">
        <v>6913</v>
      </c>
      <c r="C3419">
        <v>2024</v>
      </c>
      <c r="D3419">
        <v>2024</v>
      </c>
      <c r="E3419" s="7">
        <v>45532</v>
      </c>
      <c r="F3419" s="7">
        <v>45896</v>
      </c>
      <c r="G3419" t="s">
        <v>135</v>
      </c>
      <c r="H3419" t="s">
        <v>102</v>
      </c>
      <c r="I3419" t="s">
        <v>101</v>
      </c>
      <c r="J3419">
        <v>66873.17</v>
      </c>
      <c r="K3419">
        <v>10000000</v>
      </c>
    </row>
    <row r="3420" spans="1:11" ht="15" customHeight="1" x14ac:dyDescent="0.2">
      <c r="A3420" t="s">
        <v>5133</v>
      </c>
      <c r="B3420" t="s">
        <v>593</v>
      </c>
      <c r="C3420">
        <v>2024</v>
      </c>
      <c r="D3420">
        <v>2024</v>
      </c>
      <c r="E3420" s="7">
        <v>45532</v>
      </c>
      <c r="F3420" s="7">
        <v>45896</v>
      </c>
      <c r="G3420" t="s">
        <v>135</v>
      </c>
      <c r="H3420" t="s">
        <v>107</v>
      </c>
      <c r="I3420" t="s">
        <v>101</v>
      </c>
      <c r="J3420">
        <v>7198.85</v>
      </c>
      <c r="K3420">
        <v>1000000</v>
      </c>
    </row>
    <row r="3421" spans="1:11" ht="15" customHeight="1" x14ac:dyDescent="0.2">
      <c r="A3421" t="s">
        <v>5134</v>
      </c>
      <c r="B3421" t="s">
        <v>8966</v>
      </c>
      <c r="C3421">
        <v>2024</v>
      </c>
      <c r="D3421">
        <v>2024</v>
      </c>
      <c r="E3421" s="7">
        <v>45532</v>
      </c>
      <c r="F3421" s="7">
        <v>45896</v>
      </c>
      <c r="G3421" t="s">
        <v>135</v>
      </c>
      <c r="H3421" t="s">
        <v>106</v>
      </c>
      <c r="I3421" t="s">
        <v>104</v>
      </c>
      <c r="J3421">
        <v>3413.47</v>
      </c>
      <c r="K3421">
        <v>500000</v>
      </c>
    </row>
    <row r="3422" spans="1:11" ht="15" customHeight="1" x14ac:dyDescent="0.2">
      <c r="A3422" t="s">
        <v>5135</v>
      </c>
      <c r="B3422" t="s">
        <v>8967</v>
      </c>
      <c r="C3422">
        <v>2024</v>
      </c>
      <c r="D3422">
        <v>2024</v>
      </c>
      <c r="E3422" s="7">
        <v>45532</v>
      </c>
      <c r="F3422" s="7">
        <v>45896</v>
      </c>
      <c r="G3422" t="s">
        <v>135</v>
      </c>
      <c r="H3422" t="s">
        <v>112</v>
      </c>
      <c r="I3422" t="s">
        <v>101</v>
      </c>
      <c r="J3422">
        <v>13844.85</v>
      </c>
      <c r="K3422">
        <v>1500000</v>
      </c>
    </row>
    <row r="3423" spans="1:11" ht="15" customHeight="1" x14ac:dyDescent="0.2">
      <c r="A3423" t="s">
        <v>5136</v>
      </c>
      <c r="B3423" t="s">
        <v>8968</v>
      </c>
      <c r="C3423">
        <v>2024</v>
      </c>
      <c r="D3423">
        <v>2024</v>
      </c>
      <c r="E3423" s="7">
        <v>45532</v>
      </c>
      <c r="F3423" s="7">
        <v>45896</v>
      </c>
      <c r="G3423" t="s">
        <v>135</v>
      </c>
      <c r="H3423" t="s">
        <v>112</v>
      </c>
      <c r="I3423" t="s">
        <v>104</v>
      </c>
      <c r="J3423">
        <v>3274.52</v>
      </c>
      <c r="K3423">
        <v>500000</v>
      </c>
    </row>
    <row r="3424" spans="1:11" ht="15" customHeight="1" x14ac:dyDescent="0.2">
      <c r="A3424" t="s">
        <v>5137</v>
      </c>
      <c r="B3424" t="s">
        <v>987</v>
      </c>
      <c r="C3424">
        <v>2024</v>
      </c>
      <c r="D3424">
        <v>2024</v>
      </c>
      <c r="E3424" s="7">
        <v>45532</v>
      </c>
      <c r="F3424" s="7">
        <v>45896</v>
      </c>
      <c r="G3424" t="s">
        <v>135</v>
      </c>
      <c r="H3424" t="s">
        <v>106</v>
      </c>
      <c r="I3424" t="s">
        <v>101</v>
      </c>
      <c r="J3424">
        <v>8687.01</v>
      </c>
      <c r="K3424">
        <v>1000000</v>
      </c>
    </row>
    <row r="3425" spans="1:11" ht="15" customHeight="1" x14ac:dyDescent="0.2">
      <c r="A3425" t="s">
        <v>5138</v>
      </c>
      <c r="B3425" t="s">
        <v>7027</v>
      </c>
      <c r="C3425">
        <v>2024</v>
      </c>
      <c r="D3425">
        <v>2024</v>
      </c>
      <c r="E3425" s="7">
        <v>45532</v>
      </c>
      <c r="F3425" s="7">
        <v>45896</v>
      </c>
      <c r="G3425" t="s">
        <v>135</v>
      </c>
      <c r="H3425" t="s">
        <v>106</v>
      </c>
      <c r="I3425" t="s">
        <v>104</v>
      </c>
      <c r="J3425">
        <v>6829.2</v>
      </c>
      <c r="K3425">
        <v>1000000</v>
      </c>
    </row>
    <row r="3426" spans="1:11" ht="15" customHeight="1" x14ac:dyDescent="0.2">
      <c r="A3426" t="s">
        <v>5139</v>
      </c>
      <c r="B3426" t="s">
        <v>215</v>
      </c>
      <c r="C3426">
        <v>2024</v>
      </c>
      <c r="D3426">
        <v>2024</v>
      </c>
      <c r="E3426" s="7">
        <v>45532</v>
      </c>
      <c r="F3426" s="7">
        <v>45896</v>
      </c>
      <c r="G3426" t="s">
        <v>135</v>
      </c>
      <c r="H3426" t="s">
        <v>112</v>
      </c>
      <c r="I3426" t="s">
        <v>101</v>
      </c>
      <c r="J3426">
        <v>8885.08</v>
      </c>
      <c r="K3426">
        <v>1000000</v>
      </c>
    </row>
    <row r="3427" spans="1:11" ht="15" customHeight="1" x14ac:dyDescent="0.2">
      <c r="A3427" t="s">
        <v>5140</v>
      </c>
      <c r="B3427" t="s">
        <v>8969</v>
      </c>
      <c r="C3427">
        <v>2024</v>
      </c>
      <c r="D3427">
        <v>2024</v>
      </c>
      <c r="E3427" s="7">
        <v>45532</v>
      </c>
      <c r="F3427" s="7">
        <v>45896</v>
      </c>
      <c r="G3427" t="s">
        <v>135</v>
      </c>
      <c r="H3427" t="s">
        <v>108</v>
      </c>
      <c r="I3427" t="s">
        <v>101</v>
      </c>
      <c r="J3427">
        <v>8717.0499999999993</v>
      </c>
      <c r="K3427">
        <v>1000000</v>
      </c>
    </row>
    <row r="3428" spans="1:11" ht="15" customHeight="1" x14ac:dyDescent="0.2">
      <c r="A3428" t="s">
        <v>5141</v>
      </c>
      <c r="B3428" t="s">
        <v>3860</v>
      </c>
      <c r="C3428">
        <v>2024</v>
      </c>
      <c r="D3428">
        <v>2024</v>
      </c>
      <c r="E3428" s="7">
        <v>45533</v>
      </c>
      <c r="F3428" s="7">
        <v>45897</v>
      </c>
      <c r="G3428" t="s">
        <v>99</v>
      </c>
      <c r="H3428" t="s">
        <v>115</v>
      </c>
      <c r="I3428" t="s">
        <v>104</v>
      </c>
      <c r="J3428">
        <v>6308.17</v>
      </c>
      <c r="K3428">
        <v>1000000</v>
      </c>
    </row>
    <row r="3429" spans="1:11" ht="15" customHeight="1" x14ac:dyDescent="0.2">
      <c r="A3429" t="s">
        <v>5142</v>
      </c>
      <c r="B3429" t="s">
        <v>3862</v>
      </c>
      <c r="C3429">
        <v>2024</v>
      </c>
      <c r="D3429">
        <v>2024</v>
      </c>
      <c r="E3429" s="7">
        <v>45533</v>
      </c>
      <c r="F3429" s="7">
        <v>45897</v>
      </c>
      <c r="G3429" t="s">
        <v>99</v>
      </c>
      <c r="H3429" t="s">
        <v>102</v>
      </c>
      <c r="I3429" t="s">
        <v>104</v>
      </c>
      <c r="J3429">
        <v>52848.38</v>
      </c>
      <c r="K3429">
        <v>10000000</v>
      </c>
    </row>
    <row r="3430" spans="1:11" ht="15" customHeight="1" x14ac:dyDescent="0.2">
      <c r="A3430" t="s">
        <v>5143</v>
      </c>
      <c r="B3430" t="s">
        <v>6878</v>
      </c>
      <c r="C3430">
        <v>2024</v>
      </c>
      <c r="D3430">
        <v>2024</v>
      </c>
      <c r="E3430" s="7">
        <v>45533</v>
      </c>
      <c r="F3430" s="7">
        <v>45897</v>
      </c>
      <c r="G3430" t="s">
        <v>135</v>
      </c>
      <c r="H3430" t="s">
        <v>113</v>
      </c>
      <c r="I3430" t="s">
        <v>101</v>
      </c>
      <c r="J3430">
        <v>11758.97</v>
      </c>
      <c r="K3430">
        <v>1500000</v>
      </c>
    </row>
    <row r="3431" spans="1:11" ht="15" customHeight="1" x14ac:dyDescent="0.2">
      <c r="A3431" t="s">
        <v>5144</v>
      </c>
      <c r="B3431" t="s">
        <v>8970</v>
      </c>
      <c r="C3431">
        <v>2024</v>
      </c>
      <c r="D3431">
        <v>2024</v>
      </c>
      <c r="E3431" s="7">
        <v>45533</v>
      </c>
      <c r="F3431" s="7">
        <v>45897</v>
      </c>
      <c r="G3431" t="s">
        <v>135</v>
      </c>
      <c r="H3431" t="s">
        <v>107</v>
      </c>
      <c r="I3431" t="s">
        <v>101</v>
      </c>
      <c r="J3431">
        <v>6845.31</v>
      </c>
      <c r="K3431">
        <v>1000000</v>
      </c>
    </row>
    <row r="3432" spans="1:11" ht="15" customHeight="1" x14ac:dyDescent="0.2">
      <c r="A3432" t="s">
        <v>5145</v>
      </c>
      <c r="B3432" t="s">
        <v>8971</v>
      </c>
      <c r="C3432">
        <v>2024</v>
      </c>
      <c r="D3432">
        <v>2024</v>
      </c>
      <c r="E3432" s="7">
        <v>45533</v>
      </c>
      <c r="F3432" s="7">
        <v>45897</v>
      </c>
      <c r="G3432" t="s">
        <v>135</v>
      </c>
      <c r="H3432" t="s">
        <v>113</v>
      </c>
      <c r="I3432" t="s">
        <v>101</v>
      </c>
      <c r="J3432">
        <v>38804.9</v>
      </c>
      <c r="K3432">
        <v>5000000</v>
      </c>
    </row>
    <row r="3433" spans="1:11" ht="15" customHeight="1" x14ac:dyDescent="0.2">
      <c r="A3433" t="s">
        <v>5146</v>
      </c>
      <c r="B3433" t="s">
        <v>8972</v>
      </c>
      <c r="C3433">
        <v>2024</v>
      </c>
      <c r="D3433">
        <v>2024</v>
      </c>
      <c r="E3433" s="7">
        <v>45533</v>
      </c>
      <c r="F3433" s="7">
        <v>45897</v>
      </c>
      <c r="G3433" t="s">
        <v>135</v>
      </c>
      <c r="H3433" t="s">
        <v>113</v>
      </c>
      <c r="I3433" t="s">
        <v>101</v>
      </c>
      <c r="J3433">
        <v>11352.26</v>
      </c>
      <c r="K3433">
        <v>1500000</v>
      </c>
    </row>
    <row r="3434" spans="1:11" ht="15" customHeight="1" x14ac:dyDescent="0.2">
      <c r="A3434" t="s">
        <v>5147</v>
      </c>
      <c r="B3434" t="s">
        <v>371</v>
      </c>
      <c r="C3434">
        <v>2024</v>
      </c>
      <c r="D3434">
        <v>2024</v>
      </c>
      <c r="E3434" s="7">
        <v>45533</v>
      </c>
      <c r="F3434" s="7">
        <v>45897</v>
      </c>
      <c r="G3434" t="s">
        <v>135</v>
      </c>
      <c r="H3434" t="s">
        <v>102</v>
      </c>
      <c r="I3434" t="s">
        <v>104</v>
      </c>
      <c r="J3434">
        <v>5546.02</v>
      </c>
      <c r="K3434">
        <v>1000000</v>
      </c>
    </row>
    <row r="3435" spans="1:11" ht="15" customHeight="1" x14ac:dyDescent="0.2">
      <c r="A3435" t="s">
        <v>5148</v>
      </c>
      <c r="B3435" t="s">
        <v>989</v>
      </c>
      <c r="C3435">
        <v>2024</v>
      </c>
      <c r="D3435">
        <v>2024</v>
      </c>
      <c r="E3435" s="7">
        <v>45533</v>
      </c>
      <c r="F3435" s="7">
        <v>45897</v>
      </c>
      <c r="G3435" t="s">
        <v>135</v>
      </c>
      <c r="H3435" t="s">
        <v>106</v>
      </c>
      <c r="I3435" t="s">
        <v>101</v>
      </c>
      <c r="J3435">
        <v>19326.919999999998</v>
      </c>
      <c r="K3435">
        <v>2000000</v>
      </c>
    </row>
    <row r="3436" spans="1:11" ht="15" customHeight="1" x14ac:dyDescent="0.2">
      <c r="A3436" t="s">
        <v>5149</v>
      </c>
      <c r="B3436" t="s">
        <v>8973</v>
      </c>
      <c r="C3436">
        <v>2024</v>
      </c>
      <c r="D3436">
        <v>2024</v>
      </c>
      <c r="E3436" s="7">
        <v>45533</v>
      </c>
      <c r="F3436" s="7">
        <v>45897</v>
      </c>
      <c r="G3436" t="s">
        <v>135</v>
      </c>
      <c r="H3436" t="s">
        <v>110</v>
      </c>
      <c r="I3436" t="s">
        <v>101</v>
      </c>
      <c r="J3436">
        <v>85857.37</v>
      </c>
      <c r="K3436">
        <v>10000000</v>
      </c>
    </row>
    <row r="3437" spans="1:11" ht="15" customHeight="1" x14ac:dyDescent="0.2">
      <c r="A3437" t="s">
        <v>5150</v>
      </c>
      <c r="B3437" t="s">
        <v>988</v>
      </c>
      <c r="C3437">
        <v>2024</v>
      </c>
      <c r="D3437">
        <v>2024</v>
      </c>
      <c r="E3437" s="7">
        <v>45533</v>
      </c>
      <c r="F3437" s="7">
        <v>45897</v>
      </c>
      <c r="G3437" t="s">
        <v>135</v>
      </c>
      <c r="H3437" t="s">
        <v>107</v>
      </c>
      <c r="I3437" t="s">
        <v>101</v>
      </c>
      <c r="J3437">
        <v>68859.350000000006</v>
      </c>
      <c r="K3437">
        <v>10000000</v>
      </c>
    </row>
    <row r="3438" spans="1:11" ht="15" customHeight="1" x14ac:dyDescent="0.2">
      <c r="A3438" t="s">
        <v>5151</v>
      </c>
      <c r="B3438" t="s">
        <v>3864</v>
      </c>
      <c r="C3438">
        <v>2024</v>
      </c>
      <c r="D3438">
        <v>2024</v>
      </c>
      <c r="E3438" s="7">
        <v>45534</v>
      </c>
      <c r="F3438" s="7">
        <v>45898</v>
      </c>
      <c r="G3438" t="s">
        <v>99</v>
      </c>
      <c r="H3438" t="s">
        <v>106</v>
      </c>
      <c r="I3438" t="s">
        <v>101</v>
      </c>
      <c r="J3438">
        <v>8348.1299999999992</v>
      </c>
      <c r="K3438">
        <v>1000000</v>
      </c>
    </row>
    <row r="3439" spans="1:11" ht="15" customHeight="1" x14ac:dyDescent="0.2">
      <c r="A3439" t="s">
        <v>5152</v>
      </c>
      <c r="B3439" t="s">
        <v>3879</v>
      </c>
      <c r="C3439">
        <v>2024</v>
      </c>
      <c r="D3439">
        <v>2024</v>
      </c>
      <c r="E3439" s="7">
        <v>45534</v>
      </c>
      <c r="F3439" s="7">
        <v>45898</v>
      </c>
      <c r="G3439" t="s">
        <v>99</v>
      </c>
      <c r="H3439" t="s">
        <v>105</v>
      </c>
      <c r="I3439" t="s">
        <v>101</v>
      </c>
      <c r="J3439">
        <v>7054.42</v>
      </c>
      <c r="K3439">
        <v>1000000</v>
      </c>
    </row>
    <row r="3440" spans="1:11" ht="15" customHeight="1" x14ac:dyDescent="0.2">
      <c r="A3440" t="s">
        <v>5153</v>
      </c>
      <c r="B3440" t="s">
        <v>3881</v>
      </c>
      <c r="C3440">
        <v>2024</v>
      </c>
      <c r="D3440">
        <v>2024</v>
      </c>
      <c r="E3440" s="7">
        <v>45534</v>
      </c>
      <c r="F3440" s="7">
        <v>45898</v>
      </c>
      <c r="G3440" t="s">
        <v>99</v>
      </c>
      <c r="H3440" t="s">
        <v>102</v>
      </c>
      <c r="I3440" t="s">
        <v>101</v>
      </c>
      <c r="J3440">
        <v>14529.3</v>
      </c>
      <c r="K3440">
        <v>2000000</v>
      </c>
    </row>
    <row r="3441" spans="1:11" ht="15" customHeight="1" x14ac:dyDescent="0.2">
      <c r="A3441" t="s">
        <v>5154</v>
      </c>
      <c r="B3441" t="s">
        <v>3883</v>
      </c>
      <c r="C3441">
        <v>2024</v>
      </c>
      <c r="D3441">
        <v>2024</v>
      </c>
      <c r="E3441" s="7">
        <v>45534</v>
      </c>
      <c r="F3441" s="7">
        <v>45898</v>
      </c>
      <c r="G3441" t="s">
        <v>99</v>
      </c>
      <c r="H3441" t="s">
        <v>102</v>
      </c>
      <c r="I3441" t="s">
        <v>101</v>
      </c>
      <c r="J3441">
        <v>6577.26</v>
      </c>
      <c r="K3441">
        <v>1000000</v>
      </c>
    </row>
    <row r="3442" spans="1:11" ht="15" customHeight="1" x14ac:dyDescent="0.2">
      <c r="A3442" t="s">
        <v>5155</v>
      </c>
      <c r="B3442" t="s">
        <v>3894</v>
      </c>
      <c r="C3442">
        <v>2024</v>
      </c>
      <c r="D3442">
        <v>2024</v>
      </c>
      <c r="E3442" s="7">
        <v>45534</v>
      </c>
      <c r="F3442" s="7">
        <v>45898</v>
      </c>
      <c r="G3442" t="s">
        <v>99</v>
      </c>
      <c r="H3442" t="s">
        <v>107</v>
      </c>
      <c r="I3442" t="s">
        <v>101</v>
      </c>
      <c r="J3442">
        <v>75958.100000000006</v>
      </c>
      <c r="K3442">
        <v>10000000</v>
      </c>
    </row>
    <row r="3443" spans="1:11" ht="15" customHeight="1" x14ac:dyDescent="0.2">
      <c r="A3443" t="s">
        <v>5156</v>
      </c>
      <c r="B3443" t="s">
        <v>3896</v>
      </c>
      <c r="C3443">
        <v>2024</v>
      </c>
      <c r="D3443">
        <v>2024</v>
      </c>
      <c r="E3443" s="7">
        <v>45534</v>
      </c>
      <c r="F3443" s="7">
        <v>45898</v>
      </c>
      <c r="G3443" t="s">
        <v>99</v>
      </c>
      <c r="H3443" t="s">
        <v>109</v>
      </c>
      <c r="I3443" t="s">
        <v>101</v>
      </c>
      <c r="J3443">
        <v>7581.96</v>
      </c>
      <c r="K3443">
        <v>1000000</v>
      </c>
    </row>
    <row r="3444" spans="1:11" ht="15" customHeight="1" x14ac:dyDescent="0.2">
      <c r="A3444" t="s">
        <v>5157</v>
      </c>
      <c r="B3444" t="s">
        <v>8974</v>
      </c>
      <c r="C3444">
        <v>2024</v>
      </c>
      <c r="D3444">
        <v>2024</v>
      </c>
      <c r="E3444" s="7">
        <v>45534</v>
      </c>
      <c r="F3444" s="7">
        <v>45898</v>
      </c>
      <c r="G3444" t="s">
        <v>135</v>
      </c>
      <c r="H3444" t="s">
        <v>6337</v>
      </c>
      <c r="I3444" t="s">
        <v>101</v>
      </c>
      <c r="J3444">
        <v>7400.47</v>
      </c>
      <c r="K3444">
        <v>1000000</v>
      </c>
    </row>
    <row r="3445" spans="1:11" ht="15" customHeight="1" x14ac:dyDescent="0.2">
      <c r="A3445" t="s">
        <v>5158</v>
      </c>
      <c r="B3445" t="s">
        <v>8975</v>
      </c>
      <c r="C3445">
        <v>2024</v>
      </c>
      <c r="D3445">
        <v>2024</v>
      </c>
      <c r="E3445" s="7">
        <v>45534</v>
      </c>
      <c r="F3445" s="7">
        <v>45898</v>
      </c>
      <c r="G3445" t="s">
        <v>135</v>
      </c>
      <c r="H3445" t="s">
        <v>106</v>
      </c>
      <c r="I3445" t="s">
        <v>101</v>
      </c>
      <c r="J3445">
        <v>4802.7299999999996</v>
      </c>
      <c r="K3445">
        <v>500000</v>
      </c>
    </row>
    <row r="3446" spans="1:11" ht="15" customHeight="1" x14ac:dyDescent="0.2">
      <c r="A3446" t="s">
        <v>5159</v>
      </c>
      <c r="B3446" t="s">
        <v>8976</v>
      </c>
      <c r="C3446">
        <v>2024</v>
      </c>
      <c r="D3446">
        <v>2024</v>
      </c>
      <c r="E3446" s="7">
        <v>45534</v>
      </c>
      <c r="F3446" s="7">
        <v>45898</v>
      </c>
      <c r="G3446" t="s">
        <v>135</v>
      </c>
      <c r="H3446" t="s">
        <v>102</v>
      </c>
      <c r="I3446" t="s">
        <v>101</v>
      </c>
      <c r="J3446">
        <v>11026.91</v>
      </c>
      <c r="K3446">
        <v>1500000</v>
      </c>
    </row>
    <row r="3447" spans="1:11" ht="15" customHeight="1" x14ac:dyDescent="0.2">
      <c r="A3447" t="s">
        <v>5160</v>
      </c>
      <c r="B3447" t="s">
        <v>6917</v>
      </c>
      <c r="C3447">
        <v>2024</v>
      </c>
      <c r="D3447">
        <v>2024</v>
      </c>
      <c r="E3447" s="7">
        <v>45534</v>
      </c>
      <c r="F3447" s="7">
        <v>45898</v>
      </c>
      <c r="G3447" t="s">
        <v>135</v>
      </c>
      <c r="H3447" t="s">
        <v>116</v>
      </c>
      <c r="I3447" t="s">
        <v>101</v>
      </c>
      <c r="J3447">
        <v>3770.4</v>
      </c>
      <c r="K3447">
        <v>500000</v>
      </c>
    </row>
    <row r="3448" spans="1:11" ht="15" customHeight="1" x14ac:dyDescent="0.2">
      <c r="A3448" t="s">
        <v>5161</v>
      </c>
      <c r="B3448" t="s">
        <v>8977</v>
      </c>
      <c r="C3448">
        <v>2024</v>
      </c>
      <c r="D3448">
        <v>2024</v>
      </c>
      <c r="E3448" s="7">
        <v>45534</v>
      </c>
      <c r="F3448" s="7">
        <v>45898</v>
      </c>
      <c r="G3448" t="s">
        <v>135</v>
      </c>
      <c r="H3448" t="s">
        <v>113</v>
      </c>
      <c r="I3448" t="s">
        <v>104</v>
      </c>
      <c r="J3448">
        <v>28026.69</v>
      </c>
      <c r="K3448">
        <v>5000000</v>
      </c>
    </row>
    <row r="3449" spans="1:11" ht="15" customHeight="1" x14ac:dyDescent="0.2">
      <c r="A3449" t="s">
        <v>5162</v>
      </c>
      <c r="B3449" t="s">
        <v>8978</v>
      </c>
      <c r="C3449">
        <v>2024</v>
      </c>
      <c r="D3449">
        <v>2024</v>
      </c>
      <c r="E3449" s="7">
        <v>45534</v>
      </c>
      <c r="F3449" s="7">
        <v>45898</v>
      </c>
      <c r="G3449" t="s">
        <v>135</v>
      </c>
      <c r="H3449" t="s">
        <v>111</v>
      </c>
      <c r="I3449" t="s">
        <v>104</v>
      </c>
      <c r="J3449">
        <v>11813.02</v>
      </c>
      <c r="K3449">
        <v>2000000</v>
      </c>
    </row>
    <row r="3450" spans="1:11" ht="15" customHeight="1" x14ac:dyDescent="0.2">
      <c r="A3450" t="s">
        <v>5163</v>
      </c>
      <c r="B3450" t="s">
        <v>8979</v>
      </c>
      <c r="C3450">
        <v>2024</v>
      </c>
      <c r="D3450">
        <v>2024</v>
      </c>
      <c r="E3450" s="7">
        <v>45534</v>
      </c>
      <c r="F3450" s="7">
        <v>45898</v>
      </c>
      <c r="G3450" t="s">
        <v>135</v>
      </c>
      <c r="H3450" t="s">
        <v>115</v>
      </c>
      <c r="I3450" t="s">
        <v>104</v>
      </c>
      <c r="J3450">
        <v>11520.26</v>
      </c>
      <c r="K3450">
        <v>2000000</v>
      </c>
    </row>
    <row r="3451" spans="1:11" ht="15" customHeight="1" x14ac:dyDescent="0.2">
      <c r="A3451" t="s">
        <v>5164</v>
      </c>
      <c r="B3451" t="s">
        <v>6921</v>
      </c>
      <c r="C3451">
        <v>2024</v>
      </c>
      <c r="D3451">
        <v>2024</v>
      </c>
      <c r="E3451" s="7">
        <v>45534</v>
      </c>
      <c r="F3451" s="7">
        <v>45898</v>
      </c>
      <c r="G3451" t="s">
        <v>135</v>
      </c>
      <c r="H3451" t="s">
        <v>102</v>
      </c>
      <c r="I3451" t="s">
        <v>101</v>
      </c>
      <c r="J3451">
        <v>13989.93</v>
      </c>
      <c r="K3451">
        <v>2000000</v>
      </c>
    </row>
    <row r="3452" spans="1:11" ht="15" customHeight="1" x14ac:dyDescent="0.2">
      <c r="A3452" t="s">
        <v>5165</v>
      </c>
      <c r="B3452" t="s">
        <v>6905</v>
      </c>
      <c r="C3452">
        <v>2024</v>
      </c>
      <c r="D3452">
        <v>2024</v>
      </c>
      <c r="E3452" s="7">
        <v>45534</v>
      </c>
      <c r="F3452" s="7">
        <v>45898</v>
      </c>
      <c r="G3452" t="s">
        <v>135</v>
      </c>
      <c r="H3452" t="s">
        <v>112</v>
      </c>
      <c r="I3452" t="s">
        <v>101</v>
      </c>
      <c r="J3452">
        <v>9319.7999999999993</v>
      </c>
      <c r="K3452">
        <v>1000000</v>
      </c>
    </row>
    <row r="3453" spans="1:11" ht="15" customHeight="1" x14ac:dyDescent="0.2">
      <c r="A3453" t="s">
        <v>5166</v>
      </c>
      <c r="B3453" t="s">
        <v>8980</v>
      </c>
      <c r="C3453">
        <v>2024</v>
      </c>
      <c r="D3453">
        <v>2024</v>
      </c>
      <c r="E3453" s="7">
        <v>45534</v>
      </c>
      <c r="F3453" s="7">
        <v>45898</v>
      </c>
      <c r="G3453" t="s">
        <v>135</v>
      </c>
      <c r="H3453" t="s">
        <v>110</v>
      </c>
      <c r="I3453" t="s">
        <v>101</v>
      </c>
      <c r="J3453">
        <v>9042.74</v>
      </c>
      <c r="K3453">
        <v>1000000</v>
      </c>
    </row>
    <row r="3454" spans="1:11" ht="15" customHeight="1" x14ac:dyDescent="0.2">
      <c r="A3454" t="s">
        <v>5167</v>
      </c>
      <c r="B3454" t="s">
        <v>8981</v>
      </c>
      <c r="C3454">
        <v>2024</v>
      </c>
      <c r="D3454">
        <v>2024</v>
      </c>
      <c r="E3454" s="7">
        <v>45534</v>
      </c>
      <c r="F3454" s="7">
        <v>45898</v>
      </c>
      <c r="G3454" t="s">
        <v>135</v>
      </c>
      <c r="H3454" t="s">
        <v>6334</v>
      </c>
      <c r="I3454" t="s">
        <v>101</v>
      </c>
      <c r="J3454">
        <v>6783.48</v>
      </c>
      <c r="K3454">
        <v>1000000</v>
      </c>
    </row>
    <row r="3455" spans="1:11" ht="15" customHeight="1" x14ac:dyDescent="0.2">
      <c r="A3455" t="s">
        <v>5168</v>
      </c>
      <c r="B3455" t="s">
        <v>6918</v>
      </c>
      <c r="C3455">
        <v>2024</v>
      </c>
      <c r="D3455">
        <v>2024</v>
      </c>
      <c r="E3455" s="7">
        <v>45534</v>
      </c>
      <c r="F3455" s="7">
        <v>45898</v>
      </c>
      <c r="G3455" t="s">
        <v>135</v>
      </c>
      <c r="H3455" t="s">
        <v>115</v>
      </c>
      <c r="I3455" t="s">
        <v>101</v>
      </c>
      <c r="J3455">
        <v>3642.13</v>
      </c>
      <c r="K3455">
        <v>500000</v>
      </c>
    </row>
    <row r="3456" spans="1:11" ht="15" customHeight="1" x14ac:dyDescent="0.2">
      <c r="A3456" t="s">
        <v>5169</v>
      </c>
      <c r="B3456" t="s">
        <v>3905</v>
      </c>
      <c r="C3456">
        <v>2024</v>
      </c>
      <c r="D3456">
        <v>2024</v>
      </c>
      <c r="E3456" s="7">
        <v>45535</v>
      </c>
      <c r="F3456" s="7">
        <v>45899</v>
      </c>
      <c r="G3456" t="s">
        <v>99</v>
      </c>
      <c r="H3456" t="s">
        <v>100</v>
      </c>
      <c r="I3456" t="s">
        <v>101</v>
      </c>
      <c r="J3456">
        <v>11726.72</v>
      </c>
      <c r="K3456">
        <v>1500000</v>
      </c>
    </row>
    <row r="3457" spans="1:11" ht="15" customHeight="1" x14ac:dyDescent="0.2">
      <c r="A3457" t="s">
        <v>5170</v>
      </c>
      <c r="B3457" t="s">
        <v>8982</v>
      </c>
      <c r="C3457">
        <v>2024</v>
      </c>
      <c r="D3457">
        <v>2024</v>
      </c>
      <c r="E3457" s="7">
        <v>45535</v>
      </c>
      <c r="F3457" s="7">
        <v>45899</v>
      </c>
      <c r="G3457" t="s">
        <v>135</v>
      </c>
      <c r="H3457" t="s">
        <v>102</v>
      </c>
      <c r="I3457" t="s">
        <v>104</v>
      </c>
      <c r="J3457">
        <v>8761.77</v>
      </c>
      <c r="K3457">
        <v>1500000</v>
      </c>
    </row>
    <row r="3458" spans="1:11" ht="15" customHeight="1" x14ac:dyDescent="0.2">
      <c r="A3458" t="s">
        <v>5171</v>
      </c>
      <c r="B3458" t="s">
        <v>8983</v>
      </c>
      <c r="C3458">
        <v>2024</v>
      </c>
      <c r="D3458">
        <v>2024</v>
      </c>
      <c r="E3458" s="7">
        <v>45535</v>
      </c>
      <c r="F3458" s="7">
        <v>45899</v>
      </c>
      <c r="G3458" t="s">
        <v>135</v>
      </c>
      <c r="H3458" t="s">
        <v>102</v>
      </c>
      <c r="I3458" t="s">
        <v>104</v>
      </c>
      <c r="J3458">
        <v>2985.64</v>
      </c>
      <c r="K3458">
        <v>500000</v>
      </c>
    </row>
    <row r="3459" spans="1:11" ht="15" customHeight="1" x14ac:dyDescent="0.2">
      <c r="A3459" t="s">
        <v>5172</v>
      </c>
      <c r="B3459" t="s">
        <v>8984</v>
      </c>
      <c r="C3459">
        <v>2024</v>
      </c>
      <c r="D3459">
        <v>2024</v>
      </c>
      <c r="E3459" s="7">
        <v>45535</v>
      </c>
      <c r="F3459" s="7">
        <v>45899</v>
      </c>
      <c r="G3459" t="s">
        <v>135</v>
      </c>
      <c r="H3459" t="s">
        <v>108</v>
      </c>
      <c r="I3459" t="s">
        <v>101</v>
      </c>
      <c r="J3459">
        <v>19297.47</v>
      </c>
      <c r="K3459">
        <v>2000000</v>
      </c>
    </row>
    <row r="3460" spans="1:11" ht="15" customHeight="1" x14ac:dyDescent="0.2">
      <c r="A3460" t="s">
        <v>5173</v>
      </c>
      <c r="B3460" t="s">
        <v>7006</v>
      </c>
      <c r="C3460">
        <v>2024</v>
      </c>
      <c r="D3460">
        <v>2024</v>
      </c>
      <c r="E3460" s="7">
        <v>45535</v>
      </c>
      <c r="F3460" s="7">
        <v>45899</v>
      </c>
      <c r="G3460" t="s">
        <v>135</v>
      </c>
      <c r="H3460" t="s">
        <v>115</v>
      </c>
      <c r="I3460" t="s">
        <v>104</v>
      </c>
      <c r="J3460">
        <v>5768.92</v>
      </c>
      <c r="K3460">
        <v>1000000</v>
      </c>
    </row>
    <row r="3461" spans="1:11" ht="15" customHeight="1" x14ac:dyDescent="0.2">
      <c r="A3461" t="s">
        <v>5174</v>
      </c>
      <c r="B3461" t="s">
        <v>8985</v>
      </c>
      <c r="C3461">
        <v>2024</v>
      </c>
      <c r="D3461">
        <v>2024</v>
      </c>
      <c r="E3461" s="7">
        <v>45535</v>
      </c>
      <c r="F3461" s="7">
        <v>45899</v>
      </c>
      <c r="G3461" t="s">
        <v>135</v>
      </c>
      <c r="H3461" t="s">
        <v>106</v>
      </c>
      <c r="I3461" t="s">
        <v>101</v>
      </c>
      <c r="J3461">
        <v>4537.07</v>
      </c>
      <c r="K3461">
        <v>500000</v>
      </c>
    </row>
    <row r="3462" spans="1:11" ht="15" customHeight="1" x14ac:dyDescent="0.2">
      <c r="A3462" t="s">
        <v>5175</v>
      </c>
      <c r="B3462" t="s">
        <v>373</v>
      </c>
      <c r="C3462">
        <v>2024</v>
      </c>
      <c r="D3462">
        <v>2024</v>
      </c>
      <c r="E3462" s="7">
        <v>45535</v>
      </c>
      <c r="F3462" s="7">
        <v>45899</v>
      </c>
      <c r="G3462" t="s">
        <v>135</v>
      </c>
      <c r="H3462" t="s">
        <v>6334</v>
      </c>
      <c r="I3462" t="s">
        <v>101</v>
      </c>
      <c r="J3462">
        <v>10230.84</v>
      </c>
      <c r="K3462">
        <v>1500000</v>
      </c>
    </row>
    <row r="3463" spans="1:11" ht="15" customHeight="1" x14ac:dyDescent="0.2">
      <c r="A3463" t="s">
        <v>5176</v>
      </c>
      <c r="B3463" t="s">
        <v>8986</v>
      </c>
      <c r="C3463">
        <v>2024</v>
      </c>
      <c r="D3463">
        <v>2024</v>
      </c>
      <c r="E3463" s="7">
        <v>45535</v>
      </c>
      <c r="F3463" s="7">
        <v>45899</v>
      </c>
      <c r="G3463" t="s">
        <v>135</v>
      </c>
      <c r="H3463" t="s">
        <v>108</v>
      </c>
      <c r="I3463" t="s">
        <v>101</v>
      </c>
      <c r="J3463">
        <v>8727.17</v>
      </c>
      <c r="K3463">
        <v>1000000</v>
      </c>
    </row>
    <row r="3464" spans="1:11" ht="15" customHeight="1" x14ac:dyDescent="0.2">
      <c r="A3464" t="s">
        <v>5177</v>
      </c>
      <c r="B3464" t="s">
        <v>8987</v>
      </c>
      <c r="C3464">
        <v>2024</v>
      </c>
      <c r="D3464">
        <v>2024</v>
      </c>
      <c r="E3464" s="7">
        <v>45535</v>
      </c>
      <c r="F3464" s="7">
        <v>45899</v>
      </c>
      <c r="G3464" t="s">
        <v>135</v>
      </c>
      <c r="H3464" t="s">
        <v>102</v>
      </c>
      <c r="I3464" t="s">
        <v>101</v>
      </c>
      <c r="J3464">
        <v>7643.76</v>
      </c>
      <c r="K3464">
        <v>1000000</v>
      </c>
    </row>
    <row r="3465" spans="1:11" ht="15" customHeight="1" x14ac:dyDescent="0.2">
      <c r="A3465" t="s">
        <v>5178</v>
      </c>
      <c r="B3465" t="s">
        <v>6912</v>
      </c>
      <c r="C3465">
        <v>2024</v>
      </c>
      <c r="D3465">
        <v>2024</v>
      </c>
      <c r="E3465" s="7">
        <v>45535</v>
      </c>
      <c r="F3465" s="7">
        <v>45899</v>
      </c>
      <c r="G3465" t="s">
        <v>135</v>
      </c>
      <c r="H3465" t="s">
        <v>110</v>
      </c>
      <c r="I3465" t="s">
        <v>101</v>
      </c>
      <c r="J3465">
        <v>8773.9</v>
      </c>
      <c r="K3465">
        <v>1000000</v>
      </c>
    </row>
    <row r="3466" spans="1:11" ht="15" customHeight="1" x14ac:dyDescent="0.2">
      <c r="A3466" t="s">
        <v>5179</v>
      </c>
      <c r="B3466" t="s">
        <v>372</v>
      </c>
      <c r="C3466">
        <v>2024</v>
      </c>
      <c r="D3466">
        <v>2024</v>
      </c>
      <c r="E3466" s="7">
        <v>45535</v>
      </c>
      <c r="F3466" s="7">
        <v>45899</v>
      </c>
      <c r="G3466" t="s">
        <v>135</v>
      </c>
      <c r="H3466" t="s">
        <v>106</v>
      </c>
      <c r="I3466" t="s">
        <v>101</v>
      </c>
      <c r="J3466">
        <v>9466.65</v>
      </c>
      <c r="K3466">
        <v>1000000</v>
      </c>
    </row>
    <row r="3467" spans="1:11" ht="15" customHeight="1" x14ac:dyDescent="0.2">
      <c r="A3467" t="s">
        <v>5180</v>
      </c>
      <c r="B3467" t="s">
        <v>7319</v>
      </c>
      <c r="C3467">
        <v>2024</v>
      </c>
      <c r="D3467">
        <v>2024</v>
      </c>
      <c r="E3467" s="7">
        <v>45535</v>
      </c>
      <c r="F3467" s="7">
        <v>45899</v>
      </c>
      <c r="G3467" t="s">
        <v>135</v>
      </c>
      <c r="H3467" t="s">
        <v>116</v>
      </c>
      <c r="I3467" t="s">
        <v>101</v>
      </c>
      <c r="J3467">
        <v>7691.53</v>
      </c>
      <c r="K3467">
        <v>1000000</v>
      </c>
    </row>
    <row r="3468" spans="1:11" ht="15" customHeight="1" x14ac:dyDescent="0.2">
      <c r="A3468" t="s">
        <v>5181</v>
      </c>
      <c r="B3468" t="s">
        <v>8988</v>
      </c>
      <c r="C3468">
        <v>2024</v>
      </c>
      <c r="D3468">
        <v>2024</v>
      </c>
      <c r="E3468" s="7">
        <v>45535</v>
      </c>
      <c r="F3468" s="7">
        <v>45899</v>
      </c>
      <c r="G3468" t="s">
        <v>135</v>
      </c>
      <c r="H3468" t="s">
        <v>107</v>
      </c>
      <c r="I3468" t="s">
        <v>101</v>
      </c>
      <c r="J3468">
        <v>6706.13</v>
      </c>
      <c r="K3468">
        <v>1000000</v>
      </c>
    </row>
    <row r="3469" spans="1:11" ht="15" customHeight="1" x14ac:dyDescent="0.2">
      <c r="A3469" t="s">
        <v>5182</v>
      </c>
      <c r="B3469" t="s">
        <v>8989</v>
      </c>
      <c r="C3469">
        <v>2024</v>
      </c>
      <c r="D3469">
        <v>2024</v>
      </c>
      <c r="E3469" s="7">
        <v>45535</v>
      </c>
      <c r="F3469" s="7">
        <v>45899</v>
      </c>
      <c r="G3469" t="s">
        <v>135</v>
      </c>
      <c r="H3469" t="s">
        <v>112</v>
      </c>
      <c r="I3469" t="s">
        <v>104</v>
      </c>
      <c r="J3469">
        <v>10046.89</v>
      </c>
      <c r="K3469">
        <v>1500000</v>
      </c>
    </row>
    <row r="3470" spans="1:11" ht="15" customHeight="1" x14ac:dyDescent="0.2">
      <c r="A3470" t="s">
        <v>5183</v>
      </c>
      <c r="B3470" t="s">
        <v>8990</v>
      </c>
      <c r="C3470">
        <v>2024</v>
      </c>
      <c r="D3470">
        <v>2024</v>
      </c>
      <c r="E3470" s="7">
        <v>45535</v>
      </c>
      <c r="F3470" s="7">
        <v>45899</v>
      </c>
      <c r="G3470" t="s">
        <v>135</v>
      </c>
      <c r="H3470" t="s">
        <v>108</v>
      </c>
      <c r="I3470" t="s">
        <v>101</v>
      </c>
      <c r="J3470">
        <v>4494.3100000000004</v>
      </c>
      <c r="K3470">
        <v>500000</v>
      </c>
    </row>
    <row r="3471" spans="1:11" ht="15" customHeight="1" x14ac:dyDescent="0.2">
      <c r="A3471" t="s">
        <v>5184</v>
      </c>
      <c r="B3471" t="s">
        <v>8991</v>
      </c>
      <c r="C3471">
        <v>2024</v>
      </c>
      <c r="D3471">
        <v>2024</v>
      </c>
      <c r="E3471" s="7">
        <v>45535</v>
      </c>
      <c r="F3471" s="7">
        <v>45899</v>
      </c>
      <c r="G3471" t="s">
        <v>135</v>
      </c>
      <c r="H3471" t="s">
        <v>108</v>
      </c>
      <c r="I3471" t="s">
        <v>101</v>
      </c>
      <c r="J3471">
        <v>16585.689999999999</v>
      </c>
      <c r="K3471">
        <v>2000000</v>
      </c>
    </row>
    <row r="3472" spans="1:11" ht="15" customHeight="1" x14ac:dyDescent="0.2">
      <c r="A3472" t="s">
        <v>5185</v>
      </c>
      <c r="B3472" t="s">
        <v>3907</v>
      </c>
      <c r="C3472">
        <v>2024</v>
      </c>
      <c r="D3472">
        <v>2024</v>
      </c>
      <c r="E3472" s="7">
        <v>45536</v>
      </c>
      <c r="F3472" s="7">
        <v>45900</v>
      </c>
      <c r="G3472" t="s">
        <v>99</v>
      </c>
      <c r="H3472" t="s">
        <v>106</v>
      </c>
      <c r="I3472" t="s">
        <v>104</v>
      </c>
      <c r="J3472">
        <v>14487.36</v>
      </c>
      <c r="K3472">
        <v>2000000</v>
      </c>
    </row>
    <row r="3473" spans="1:11" ht="15" customHeight="1" x14ac:dyDescent="0.2">
      <c r="A3473" t="s">
        <v>5186</v>
      </c>
      <c r="B3473" t="s">
        <v>3909</v>
      </c>
      <c r="C3473">
        <v>2024</v>
      </c>
      <c r="D3473">
        <v>2024</v>
      </c>
      <c r="E3473" s="7">
        <v>45536</v>
      </c>
      <c r="F3473" s="7">
        <v>45900</v>
      </c>
      <c r="G3473" t="s">
        <v>99</v>
      </c>
      <c r="H3473" t="s">
        <v>106</v>
      </c>
      <c r="I3473" t="s">
        <v>101</v>
      </c>
      <c r="J3473">
        <v>4354.6899999999996</v>
      </c>
      <c r="K3473">
        <v>500000</v>
      </c>
    </row>
    <row r="3474" spans="1:11" ht="15" customHeight="1" x14ac:dyDescent="0.2">
      <c r="A3474" t="s">
        <v>5187</v>
      </c>
      <c r="B3474" t="s">
        <v>3911</v>
      </c>
      <c r="C3474">
        <v>2024</v>
      </c>
      <c r="D3474">
        <v>2024</v>
      </c>
      <c r="E3474" s="7">
        <v>45536</v>
      </c>
      <c r="F3474" s="7">
        <v>45900</v>
      </c>
      <c r="G3474" t="s">
        <v>99</v>
      </c>
      <c r="H3474" t="s">
        <v>106</v>
      </c>
      <c r="I3474" t="s">
        <v>101</v>
      </c>
      <c r="J3474">
        <v>45963.19</v>
      </c>
      <c r="K3474">
        <v>5000000</v>
      </c>
    </row>
    <row r="3475" spans="1:11" ht="15" customHeight="1" x14ac:dyDescent="0.2">
      <c r="A3475" t="s">
        <v>5188</v>
      </c>
      <c r="B3475" t="s">
        <v>991</v>
      </c>
      <c r="C3475">
        <v>2024</v>
      </c>
      <c r="D3475">
        <v>2024</v>
      </c>
      <c r="E3475" s="7">
        <v>45536</v>
      </c>
      <c r="F3475" s="7">
        <v>45900</v>
      </c>
      <c r="G3475" t="s">
        <v>135</v>
      </c>
      <c r="H3475" t="s">
        <v>110</v>
      </c>
      <c r="I3475" t="s">
        <v>101</v>
      </c>
      <c r="J3475">
        <v>4796.0600000000004</v>
      </c>
      <c r="K3475">
        <v>500000</v>
      </c>
    </row>
    <row r="3476" spans="1:11" ht="15" customHeight="1" x14ac:dyDescent="0.2">
      <c r="A3476" t="s">
        <v>5189</v>
      </c>
      <c r="B3476" t="s">
        <v>6950</v>
      </c>
      <c r="C3476">
        <v>2024</v>
      </c>
      <c r="D3476">
        <v>2024</v>
      </c>
      <c r="E3476" s="7">
        <v>45536</v>
      </c>
      <c r="F3476" s="7">
        <v>45900</v>
      </c>
      <c r="G3476" t="s">
        <v>135</v>
      </c>
      <c r="H3476" t="s">
        <v>102</v>
      </c>
      <c r="I3476" t="s">
        <v>101</v>
      </c>
      <c r="J3476">
        <v>7099.28</v>
      </c>
      <c r="K3476">
        <v>1000000</v>
      </c>
    </row>
    <row r="3477" spans="1:11" ht="15" customHeight="1" x14ac:dyDescent="0.2">
      <c r="A3477" t="s">
        <v>5190</v>
      </c>
      <c r="B3477" t="s">
        <v>8992</v>
      </c>
      <c r="C3477">
        <v>2024</v>
      </c>
      <c r="D3477">
        <v>2024</v>
      </c>
      <c r="E3477" s="7">
        <v>45536</v>
      </c>
      <c r="F3477" s="7">
        <v>45900</v>
      </c>
      <c r="G3477" t="s">
        <v>135</v>
      </c>
      <c r="H3477" t="s">
        <v>108</v>
      </c>
      <c r="I3477" t="s">
        <v>101</v>
      </c>
      <c r="J3477">
        <v>12986.31</v>
      </c>
      <c r="K3477">
        <v>1500000</v>
      </c>
    </row>
    <row r="3478" spans="1:11" ht="15" customHeight="1" x14ac:dyDescent="0.2">
      <c r="A3478" t="s">
        <v>5191</v>
      </c>
      <c r="B3478" t="s">
        <v>8993</v>
      </c>
      <c r="C3478">
        <v>2024</v>
      </c>
      <c r="D3478">
        <v>2024</v>
      </c>
      <c r="E3478" s="7">
        <v>45536</v>
      </c>
      <c r="F3478" s="7">
        <v>45900</v>
      </c>
      <c r="G3478" t="s">
        <v>135</v>
      </c>
      <c r="H3478" t="s">
        <v>106</v>
      </c>
      <c r="I3478" t="s">
        <v>104</v>
      </c>
      <c r="J3478">
        <v>7720.41</v>
      </c>
      <c r="K3478">
        <v>1000000</v>
      </c>
    </row>
    <row r="3479" spans="1:11" ht="15" customHeight="1" x14ac:dyDescent="0.2">
      <c r="A3479" t="s">
        <v>5192</v>
      </c>
      <c r="B3479" t="s">
        <v>128</v>
      </c>
      <c r="C3479">
        <v>2024</v>
      </c>
      <c r="D3479">
        <v>2024</v>
      </c>
      <c r="E3479" s="7">
        <v>45536</v>
      </c>
      <c r="F3479" s="7">
        <v>45900</v>
      </c>
      <c r="G3479" t="s">
        <v>135</v>
      </c>
      <c r="H3479" t="s">
        <v>115</v>
      </c>
      <c r="I3479" t="s">
        <v>104</v>
      </c>
      <c r="J3479">
        <v>8222.65</v>
      </c>
      <c r="K3479">
        <v>1500000</v>
      </c>
    </row>
    <row r="3480" spans="1:11" ht="15" customHeight="1" x14ac:dyDescent="0.2">
      <c r="A3480" t="s">
        <v>5193</v>
      </c>
      <c r="B3480" t="s">
        <v>8994</v>
      </c>
      <c r="C3480">
        <v>2024</v>
      </c>
      <c r="D3480">
        <v>2024</v>
      </c>
      <c r="E3480" s="7">
        <v>45536</v>
      </c>
      <c r="F3480" s="7">
        <v>45900</v>
      </c>
      <c r="G3480" t="s">
        <v>135</v>
      </c>
      <c r="H3480" t="s">
        <v>102</v>
      </c>
      <c r="I3480" t="s">
        <v>104</v>
      </c>
      <c r="J3480">
        <v>5879.14</v>
      </c>
      <c r="K3480">
        <v>1000000</v>
      </c>
    </row>
    <row r="3481" spans="1:11" ht="15" customHeight="1" x14ac:dyDescent="0.2">
      <c r="A3481" t="s">
        <v>5194</v>
      </c>
      <c r="B3481" t="s">
        <v>992</v>
      </c>
      <c r="C3481">
        <v>2024</v>
      </c>
      <c r="D3481">
        <v>2024</v>
      </c>
      <c r="E3481" s="7">
        <v>45536</v>
      </c>
      <c r="F3481" s="7">
        <v>45900</v>
      </c>
      <c r="G3481" t="s">
        <v>135</v>
      </c>
      <c r="H3481" t="s">
        <v>107</v>
      </c>
      <c r="I3481" t="s">
        <v>101</v>
      </c>
      <c r="J3481">
        <v>7270.26</v>
      </c>
      <c r="K3481">
        <v>1000000</v>
      </c>
    </row>
    <row r="3482" spans="1:11" ht="15" customHeight="1" x14ac:dyDescent="0.2">
      <c r="A3482" t="s">
        <v>5195</v>
      </c>
      <c r="B3482" t="s">
        <v>8995</v>
      </c>
      <c r="C3482">
        <v>2024</v>
      </c>
      <c r="D3482">
        <v>2024</v>
      </c>
      <c r="E3482" s="7">
        <v>45536</v>
      </c>
      <c r="F3482" s="7">
        <v>45900</v>
      </c>
      <c r="G3482" t="s">
        <v>135</v>
      </c>
      <c r="H3482" t="s">
        <v>115</v>
      </c>
      <c r="I3482" t="s">
        <v>104</v>
      </c>
      <c r="J3482">
        <v>59567.16</v>
      </c>
      <c r="K3482">
        <v>10000000</v>
      </c>
    </row>
    <row r="3483" spans="1:11" ht="15" customHeight="1" x14ac:dyDescent="0.2">
      <c r="A3483" t="s">
        <v>5196</v>
      </c>
      <c r="B3483" t="s">
        <v>8996</v>
      </c>
      <c r="C3483">
        <v>2024</v>
      </c>
      <c r="D3483">
        <v>2024</v>
      </c>
      <c r="E3483" s="7">
        <v>45536</v>
      </c>
      <c r="F3483" s="7">
        <v>45900</v>
      </c>
      <c r="G3483" t="s">
        <v>135</v>
      </c>
      <c r="H3483" t="s">
        <v>106</v>
      </c>
      <c r="I3483" t="s">
        <v>101</v>
      </c>
      <c r="J3483">
        <v>18099.810000000001</v>
      </c>
      <c r="K3483">
        <v>2000000</v>
      </c>
    </row>
    <row r="3484" spans="1:11" ht="15" customHeight="1" x14ac:dyDescent="0.2">
      <c r="A3484" t="s">
        <v>5197</v>
      </c>
      <c r="B3484" t="s">
        <v>594</v>
      </c>
      <c r="C3484">
        <v>2024</v>
      </c>
      <c r="D3484">
        <v>2024</v>
      </c>
      <c r="E3484" s="7">
        <v>45536</v>
      </c>
      <c r="F3484" s="7">
        <v>45900</v>
      </c>
      <c r="G3484" t="s">
        <v>135</v>
      </c>
      <c r="H3484" t="s">
        <v>112</v>
      </c>
      <c r="I3484" t="s">
        <v>101</v>
      </c>
      <c r="J3484">
        <v>9326.48</v>
      </c>
      <c r="K3484">
        <v>1000000</v>
      </c>
    </row>
    <row r="3485" spans="1:11" ht="15" customHeight="1" x14ac:dyDescent="0.2">
      <c r="A3485" t="s">
        <v>5198</v>
      </c>
      <c r="B3485" t="s">
        <v>8997</v>
      </c>
      <c r="C3485">
        <v>2024</v>
      </c>
      <c r="D3485">
        <v>2024</v>
      </c>
      <c r="E3485" s="7">
        <v>45536</v>
      </c>
      <c r="F3485" s="7">
        <v>45900</v>
      </c>
      <c r="G3485" t="s">
        <v>135</v>
      </c>
      <c r="H3485" t="s">
        <v>108</v>
      </c>
      <c r="I3485" t="s">
        <v>101</v>
      </c>
      <c r="J3485">
        <v>18328.66</v>
      </c>
      <c r="K3485">
        <v>2000000</v>
      </c>
    </row>
    <row r="3486" spans="1:11" ht="15" customHeight="1" x14ac:dyDescent="0.2">
      <c r="A3486" t="s">
        <v>5199</v>
      </c>
      <c r="B3486" t="s">
        <v>990</v>
      </c>
      <c r="C3486">
        <v>2024</v>
      </c>
      <c r="D3486">
        <v>2024</v>
      </c>
      <c r="E3486" s="7">
        <v>45536</v>
      </c>
      <c r="F3486" s="7">
        <v>45900</v>
      </c>
      <c r="G3486" t="s">
        <v>135</v>
      </c>
      <c r="H3486" t="s">
        <v>102</v>
      </c>
      <c r="I3486" t="s">
        <v>104</v>
      </c>
      <c r="J3486">
        <v>3125.63</v>
      </c>
      <c r="K3486">
        <v>500000</v>
      </c>
    </row>
    <row r="3487" spans="1:11" ht="15" customHeight="1" x14ac:dyDescent="0.2">
      <c r="A3487" t="s">
        <v>5200</v>
      </c>
      <c r="B3487" t="s">
        <v>3920</v>
      </c>
      <c r="C3487">
        <v>2024</v>
      </c>
      <c r="D3487">
        <v>2024</v>
      </c>
      <c r="E3487" s="7">
        <v>45537</v>
      </c>
      <c r="F3487" s="7">
        <v>45901</v>
      </c>
      <c r="G3487" t="s">
        <v>99</v>
      </c>
      <c r="H3487" t="s">
        <v>112</v>
      </c>
      <c r="I3487" t="s">
        <v>101</v>
      </c>
      <c r="J3487">
        <v>86836.12</v>
      </c>
      <c r="K3487">
        <v>10000000</v>
      </c>
    </row>
    <row r="3488" spans="1:11" ht="15" customHeight="1" x14ac:dyDescent="0.2">
      <c r="A3488" t="s">
        <v>5201</v>
      </c>
      <c r="B3488" t="s">
        <v>3922</v>
      </c>
      <c r="C3488">
        <v>2024</v>
      </c>
      <c r="D3488">
        <v>2024</v>
      </c>
      <c r="E3488" s="7">
        <v>45537</v>
      </c>
      <c r="F3488" s="7">
        <v>45901</v>
      </c>
      <c r="G3488" t="s">
        <v>99</v>
      </c>
      <c r="H3488" t="s">
        <v>108</v>
      </c>
      <c r="I3488" t="s">
        <v>104</v>
      </c>
      <c r="J3488">
        <v>6590.89</v>
      </c>
      <c r="K3488">
        <v>1000000</v>
      </c>
    </row>
    <row r="3489" spans="1:11" ht="15" customHeight="1" x14ac:dyDescent="0.2">
      <c r="A3489" t="s">
        <v>5202</v>
      </c>
      <c r="B3489" t="s">
        <v>3929</v>
      </c>
      <c r="C3489">
        <v>2024</v>
      </c>
      <c r="D3489">
        <v>2024</v>
      </c>
      <c r="E3489" s="7">
        <v>45537</v>
      </c>
      <c r="F3489" s="7">
        <v>45901</v>
      </c>
      <c r="G3489" t="s">
        <v>99</v>
      </c>
      <c r="H3489" t="s">
        <v>6337</v>
      </c>
      <c r="I3489" t="s">
        <v>101</v>
      </c>
      <c r="J3489">
        <v>11197.47</v>
      </c>
      <c r="K3489">
        <v>1500000</v>
      </c>
    </row>
    <row r="3490" spans="1:11" ht="15" customHeight="1" x14ac:dyDescent="0.2">
      <c r="A3490" t="s">
        <v>5203</v>
      </c>
      <c r="B3490" t="s">
        <v>3931</v>
      </c>
      <c r="C3490">
        <v>2024</v>
      </c>
      <c r="D3490">
        <v>2024</v>
      </c>
      <c r="E3490" s="7">
        <v>45537</v>
      </c>
      <c r="F3490" s="7">
        <v>45901</v>
      </c>
      <c r="G3490" t="s">
        <v>99</v>
      </c>
      <c r="H3490" t="s">
        <v>115</v>
      </c>
      <c r="I3490" t="s">
        <v>104</v>
      </c>
      <c r="J3490">
        <v>2588.41</v>
      </c>
      <c r="K3490">
        <v>500000</v>
      </c>
    </row>
    <row r="3491" spans="1:11" ht="15" customHeight="1" x14ac:dyDescent="0.2">
      <c r="A3491" t="s">
        <v>5204</v>
      </c>
      <c r="B3491" t="s">
        <v>3933</v>
      </c>
      <c r="C3491">
        <v>2024</v>
      </c>
      <c r="D3491">
        <v>2024</v>
      </c>
      <c r="E3491" s="7">
        <v>45537</v>
      </c>
      <c r="F3491" s="7">
        <v>45901</v>
      </c>
      <c r="G3491" t="s">
        <v>99</v>
      </c>
      <c r="H3491" t="s">
        <v>111</v>
      </c>
      <c r="I3491" t="s">
        <v>104</v>
      </c>
      <c r="J3491">
        <v>6069.49</v>
      </c>
      <c r="K3491">
        <v>1000000</v>
      </c>
    </row>
    <row r="3492" spans="1:11" ht="15" customHeight="1" x14ac:dyDescent="0.2">
      <c r="A3492" t="s">
        <v>5205</v>
      </c>
      <c r="B3492" t="s">
        <v>3935</v>
      </c>
      <c r="C3492">
        <v>2024</v>
      </c>
      <c r="D3492">
        <v>2024</v>
      </c>
      <c r="E3492" s="7">
        <v>45537</v>
      </c>
      <c r="F3492" s="7">
        <v>45901</v>
      </c>
      <c r="G3492" t="s">
        <v>99</v>
      </c>
      <c r="H3492" t="s">
        <v>115</v>
      </c>
      <c r="I3492" t="s">
        <v>101</v>
      </c>
      <c r="J3492">
        <v>65656.97</v>
      </c>
      <c r="K3492">
        <v>10000000</v>
      </c>
    </row>
    <row r="3493" spans="1:11" ht="15" customHeight="1" x14ac:dyDescent="0.2">
      <c r="A3493" t="s">
        <v>5206</v>
      </c>
      <c r="B3493" t="s">
        <v>8998</v>
      </c>
      <c r="C3493">
        <v>2024</v>
      </c>
      <c r="D3493">
        <v>2024</v>
      </c>
      <c r="E3493" s="7">
        <v>45537</v>
      </c>
      <c r="F3493" s="7">
        <v>45901</v>
      </c>
      <c r="G3493" t="s">
        <v>135</v>
      </c>
      <c r="H3493" t="s">
        <v>108</v>
      </c>
      <c r="I3493" t="s">
        <v>101</v>
      </c>
      <c r="J3493">
        <v>14187.57</v>
      </c>
      <c r="K3493">
        <v>1500000</v>
      </c>
    </row>
    <row r="3494" spans="1:11" ht="15" customHeight="1" x14ac:dyDescent="0.2">
      <c r="A3494" t="s">
        <v>5207</v>
      </c>
      <c r="B3494" t="s">
        <v>8999</v>
      </c>
      <c r="C3494">
        <v>2024</v>
      </c>
      <c r="D3494">
        <v>2024</v>
      </c>
      <c r="E3494" s="7">
        <v>45537</v>
      </c>
      <c r="F3494" s="7">
        <v>45901</v>
      </c>
      <c r="G3494" t="s">
        <v>135</v>
      </c>
      <c r="H3494" t="s">
        <v>113</v>
      </c>
      <c r="I3494" t="s">
        <v>104</v>
      </c>
      <c r="J3494">
        <v>12023.01</v>
      </c>
      <c r="K3494">
        <v>2000000</v>
      </c>
    </row>
    <row r="3495" spans="1:11" ht="15" customHeight="1" x14ac:dyDescent="0.2">
      <c r="A3495" t="s">
        <v>5208</v>
      </c>
      <c r="B3495" t="s">
        <v>9000</v>
      </c>
      <c r="C3495">
        <v>2024</v>
      </c>
      <c r="D3495">
        <v>2024</v>
      </c>
      <c r="E3495" s="7">
        <v>45537</v>
      </c>
      <c r="F3495" s="7">
        <v>45901</v>
      </c>
      <c r="G3495" t="s">
        <v>135</v>
      </c>
      <c r="H3495" t="s">
        <v>111</v>
      </c>
      <c r="I3495" t="s">
        <v>104</v>
      </c>
      <c r="J3495">
        <v>53664.34</v>
      </c>
      <c r="K3495">
        <v>10000000</v>
      </c>
    </row>
    <row r="3496" spans="1:11" ht="15" customHeight="1" x14ac:dyDescent="0.2">
      <c r="A3496" t="s">
        <v>5209</v>
      </c>
      <c r="B3496" t="s">
        <v>9001</v>
      </c>
      <c r="C3496">
        <v>2024</v>
      </c>
      <c r="D3496">
        <v>2024</v>
      </c>
      <c r="E3496" s="7">
        <v>45537</v>
      </c>
      <c r="F3496" s="7">
        <v>45901</v>
      </c>
      <c r="G3496" t="s">
        <v>135</v>
      </c>
      <c r="H3496" t="s">
        <v>6348</v>
      </c>
      <c r="I3496" t="s">
        <v>101</v>
      </c>
      <c r="J3496">
        <v>7675.49</v>
      </c>
      <c r="K3496">
        <v>1000000</v>
      </c>
    </row>
    <row r="3497" spans="1:11" ht="15" customHeight="1" x14ac:dyDescent="0.2">
      <c r="A3497" t="s">
        <v>5210</v>
      </c>
      <c r="B3497" t="s">
        <v>994</v>
      </c>
      <c r="C3497">
        <v>2024</v>
      </c>
      <c r="D3497">
        <v>2024</v>
      </c>
      <c r="E3497" s="7">
        <v>45537</v>
      </c>
      <c r="F3497" s="7">
        <v>45901</v>
      </c>
      <c r="G3497" t="s">
        <v>135</v>
      </c>
      <c r="H3497" t="s">
        <v>116</v>
      </c>
      <c r="I3497" t="s">
        <v>101</v>
      </c>
      <c r="J3497">
        <v>10168.52</v>
      </c>
      <c r="K3497">
        <v>1500000</v>
      </c>
    </row>
    <row r="3498" spans="1:11" ht="15" customHeight="1" x14ac:dyDescent="0.2">
      <c r="A3498" t="s">
        <v>5211</v>
      </c>
      <c r="B3498" t="s">
        <v>9002</v>
      </c>
      <c r="C3498">
        <v>2024</v>
      </c>
      <c r="D3498">
        <v>2024</v>
      </c>
      <c r="E3498" s="7">
        <v>45537</v>
      </c>
      <c r="F3498" s="7">
        <v>45901</v>
      </c>
      <c r="G3498" t="s">
        <v>135</v>
      </c>
      <c r="H3498" t="s">
        <v>115</v>
      </c>
      <c r="I3498" t="s">
        <v>101</v>
      </c>
      <c r="J3498">
        <v>10497.71</v>
      </c>
      <c r="K3498">
        <v>1500000</v>
      </c>
    </row>
    <row r="3499" spans="1:11" ht="15" customHeight="1" x14ac:dyDescent="0.2">
      <c r="A3499" t="s">
        <v>5212</v>
      </c>
      <c r="B3499" t="s">
        <v>6927</v>
      </c>
      <c r="C3499">
        <v>2024</v>
      </c>
      <c r="D3499">
        <v>2024</v>
      </c>
      <c r="E3499" s="7">
        <v>45537</v>
      </c>
      <c r="F3499" s="7">
        <v>45901</v>
      </c>
      <c r="G3499" t="s">
        <v>135</v>
      </c>
      <c r="H3499" t="s">
        <v>106</v>
      </c>
      <c r="I3499" t="s">
        <v>101</v>
      </c>
      <c r="J3499">
        <v>8128.01</v>
      </c>
      <c r="K3499">
        <v>1000000</v>
      </c>
    </row>
    <row r="3500" spans="1:11" ht="15" customHeight="1" x14ac:dyDescent="0.2">
      <c r="A3500" t="s">
        <v>5213</v>
      </c>
      <c r="B3500" t="s">
        <v>993</v>
      </c>
      <c r="C3500">
        <v>2024</v>
      </c>
      <c r="D3500">
        <v>2024</v>
      </c>
      <c r="E3500" s="7">
        <v>45537</v>
      </c>
      <c r="F3500" s="7">
        <v>45901</v>
      </c>
      <c r="G3500" t="s">
        <v>135</v>
      </c>
      <c r="H3500" t="s">
        <v>102</v>
      </c>
      <c r="I3500" t="s">
        <v>101</v>
      </c>
      <c r="J3500">
        <v>3592.43</v>
      </c>
      <c r="K3500">
        <v>500000</v>
      </c>
    </row>
    <row r="3501" spans="1:11" ht="15" customHeight="1" x14ac:dyDescent="0.2">
      <c r="A3501" t="s">
        <v>5214</v>
      </c>
      <c r="B3501" t="s">
        <v>595</v>
      </c>
      <c r="C3501">
        <v>2024</v>
      </c>
      <c r="D3501">
        <v>2024</v>
      </c>
      <c r="E3501" s="7">
        <v>45537</v>
      </c>
      <c r="F3501" s="7">
        <v>45901</v>
      </c>
      <c r="G3501" t="s">
        <v>135</v>
      </c>
      <c r="H3501" t="s">
        <v>102</v>
      </c>
      <c r="I3501" t="s">
        <v>104</v>
      </c>
      <c r="J3501">
        <v>3158.39</v>
      </c>
      <c r="K3501">
        <v>500000</v>
      </c>
    </row>
    <row r="3502" spans="1:11" ht="15" customHeight="1" x14ac:dyDescent="0.2">
      <c r="A3502" t="s">
        <v>5215</v>
      </c>
      <c r="B3502" t="s">
        <v>9003</v>
      </c>
      <c r="C3502">
        <v>2024</v>
      </c>
      <c r="D3502">
        <v>2024</v>
      </c>
      <c r="E3502" s="7">
        <v>45537</v>
      </c>
      <c r="F3502" s="7">
        <v>45901</v>
      </c>
      <c r="G3502" t="s">
        <v>135</v>
      </c>
      <c r="H3502" t="s">
        <v>108</v>
      </c>
      <c r="I3502" t="s">
        <v>101</v>
      </c>
      <c r="J3502">
        <v>8973.35</v>
      </c>
      <c r="K3502">
        <v>1000000</v>
      </c>
    </row>
    <row r="3503" spans="1:11" ht="15" customHeight="1" x14ac:dyDescent="0.2">
      <c r="A3503" t="s">
        <v>5216</v>
      </c>
      <c r="B3503" t="s">
        <v>9004</v>
      </c>
      <c r="C3503">
        <v>2024</v>
      </c>
      <c r="D3503">
        <v>2024</v>
      </c>
      <c r="E3503" s="7">
        <v>45537</v>
      </c>
      <c r="F3503" s="7">
        <v>45901</v>
      </c>
      <c r="G3503" t="s">
        <v>135</v>
      </c>
      <c r="H3503" t="s">
        <v>6332</v>
      </c>
      <c r="I3503" t="s">
        <v>101</v>
      </c>
      <c r="J3503">
        <v>13693.01</v>
      </c>
      <c r="K3503">
        <v>2000000</v>
      </c>
    </row>
    <row r="3504" spans="1:11" ht="15" customHeight="1" x14ac:dyDescent="0.2">
      <c r="A3504" t="s">
        <v>5217</v>
      </c>
      <c r="B3504" t="s">
        <v>3937</v>
      </c>
      <c r="C3504">
        <v>2024</v>
      </c>
      <c r="D3504">
        <v>2024</v>
      </c>
      <c r="E3504" s="7">
        <v>45538</v>
      </c>
      <c r="F3504" s="7">
        <v>45902</v>
      </c>
      <c r="G3504" t="s">
        <v>99</v>
      </c>
      <c r="H3504" t="s">
        <v>107</v>
      </c>
      <c r="I3504" t="s">
        <v>101</v>
      </c>
      <c r="J3504">
        <v>14855.38</v>
      </c>
      <c r="K3504">
        <v>2000000</v>
      </c>
    </row>
    <row r="3505" spans="1:11" ht="15" customHeight="1" x14ac:dyDescent="0.2">
      <c r="A3505" t="s">
        <v>5218</v>
      </c>
      <c r="B3505" t="s">
        <v>3943</v>
      </c>
      <c r="C3505">
        <v>2024</v>
      </c>
      <c r="D3505">
        <v>2024</v>
      </c>
      <c r="E3505" s="7">
        <v>45538</v>
      </c>
      <c r="F3505" s="7">
        <v>45902</v>
      </c>
      <c r="G3505" t="s">
        <v>99</v>
      </c>
      <c r="H3505" t="s">
        <v>108</v>
      </c>
      <c r="I3505" t="s">
        <v>104</v>
      </c>
      <c r="J3505">
        <v>6524.35</v>
      </c>
      <c r="K3505">
        <v>1000000</v>
      </c>
    </row>
    <row r="3506" spans="1:11" ht="15" customHeight="1" x14ac:dyDescent="0.2">
      <c r="A3506" t="s">
        <v>5219</v>
      </c>
      <c r="B3506" t="s">
        <v>6920</v>
      </c>
      <c r="C3506">
        <v>2024</v>
      </c>
      <c r="D3506">
        <v>2024</v>
      </c>
      <c r="E3506" s="7">
        <v>45538</v>
      </c>
      <c r="F3506" s="7">
        <v>45902</v>
      </c>
      <c r="G3506" t="s">
        <v>135</v>
      </c>
      <c r="H3506" t="s">
        <v>111</v>
      </c>
      <c r="I3506" t="s">
        <v>101</v>
      </c>
      <c r="J3506">
        <v>32567.56</v>
      </c>
      <c r="K3506">
        <v>5000000</v>
      </c>
    </row>
    <row r="3507" spans="1:11" ht="15" customHeight="1" x14ac:dyDescent="0.2">
      <c r="A3507" t="s">
        <v>5220</v>
      </c>
      <c r="B3507" t="s">
        <v>9005</v>
      </c>
      <c r="C3507">
        <v>2024</v>
      </c>
      <c r="D3507">
        <v>2024</v>
      </c>
      <c r="E3507" s="7">
        <v>45538</v>
      </c>
      <c r="F3507" s="7">
        <v>45902</v>
      </c>
      <c r="G3507" t="s">
        <v>135</v>
      </c>
      <c r="H3507" t="s">
        <v>105</v>
      </c>
      <c r="I3507" t="s">
        <v>104</v>
      </c>
      <c r="J3507">
        <v>5592.25</v>
      </c>
      <c r="K3507">
        <v>1000000</v>
      </c>
    </row>
    <row r="3508" spans="1:11" ht="15" customHeight="1" x14ac:dyDescent="0.2">
      <c r="A3508" t="s">
        <v>5221</v>
      </c>
      <c r="B3508" t="s">
        <v>374</v>
      </c>
      <c r="C3508">
        <v>2024</v>
      </c>
      <c r="D3508">
        <v>2024</v>
      </c>
      <c r="E3508" s="7">
        <v>45538</v>
      </c>
      <c r="F3508" s="7">
        <v>45902</v>
      </c>
      <c r="G3508" t="s">
        <v>135</v>
      </c>
      <c r="H3508" t="s">
        <v>116</v>
      </c>
      <c r="I3508" t="s">
        <v>104</v>
      </c>
      <c r="J3508">
        <v>5855.13</v>
      </c>
      <c r="K3508">
        <v>1000000</v>
      </c>
    </row>
    <row r="3509" spans="1:11" ht="15" customHeight="1" x14ac:dyDescent="0.2">
      <c r="A3509" t="s">
        <v>5222</v>
      </c>
      <c r="B3509" t="s">
        <v>9006</v>
      </c>
      <c r="C3509">
        <v>2024</v>
      </c>
      <c r="D3509">
        <v>2024</v>
      </c>
      <c r="E3509" s="7">
        <v>45538</v>
      </c>
      <c r="F3509" s="7">
        <v>45902</v>
      </c>
      <c r="G3509" t="s">
        <v>135</v>
      </c>
      <c r="H3509" t="s">
        <v>108</v>
      </c>
      <c r="I3509" t="s">
        <v>104</v>
      </c>
      <c r="J3509">
        <v>14015.65</v>
      </c>
      <c r="K3509">
        <v>2000000</v>
      </c>
    </row>
    <row r="3510" spans="1:11" ht="15" customHeight="1" x14ac:dyDescent="0.2">
      <c r="A3510" t="s">
        <v>5223</v>
      </c>
      <c r="B3510" t="s">
        <v>9007</v>
      </c>
      <c r="C3510">
        <v>2024</v>
      </c>
      <c r="D3510">
        <v>2024</v>
      </c>
      <c r="E3510" s="7">
        <v>45538</v>
      </c>
      <c r="F3510" s="7">
        <v>45902</v>
      </c>
      <c r="G3510" t="s">
        <v>135</v>
      </c>
      <c r="H3510" t="s">
        <v>102</v>
      </c>
      <c r="I3510" t="s">
        <v>101</v>
      </c>
      <c r="J3510">
        <v>7818.81</v>
      </c>
      <c r="K3510">
        <v>1000000</v>
      </c>
    </row>
    <row r="3511" spans="1:11" ht="15" customHeight="1" x14ac:dyDescent="0.2">
      <c r="A3511" t="s">
        <v>5224</v>
      </c>
      <c r="B3511" t="s">
        <v>995</v>
      </c>
      <c r="C3511">
        <v>2024</v>
      </c>
      <c r="D3511">
        <v>2024</v>
      </c>
      <c r="E3511" s="7">
        <v>45538</v>
      </c>
      <c r="F3511" s="7">
        <v>45902</v>
      </c>
      <c r="G3511" t="s">
        <v>135</v>
      </c>
      <c r="H3511" t="s">
        <v>108</v>
      </c>
      <c r="I3511" t="s">
        <v>101</v>
      </c>
      <c r="J3511">
        <v>4191.34</v>
      </c>
      <c r="K3511">
        <v>500000</v>
      </c>
    </row>
    <row r="3512" spans="1:11" ht="15" customHeight="1" x14ac:dyDescent="0.2">
      <c r="A3512" t="s">
        <v>5225</v>
      </c>
      <c r="B3512" t="s">
        <v>9008</v>
      </c>
      <c r="C3512">
        <v>2024</v>
      </c>
      <c r="D3512">
        <v>2024</v>
      </c>
      <c r="E3512" s="7">
        <v>45538</v>
      </c>
      <c r="F3512" s="7">
        <v>45902</v>
      </c>
      <c r="G3512" t="s">
        <v>135</v>
      </c>
      <c r="H3512" t="s">
        <v>100</v>
      </c>
      <c r="I3512" t="s">
        <v>101</v>
      </c>
      <c r="J3512">
        <v>11016.82</v>
      </c>
      <c r="K3512">
        <v>1500000</v>
      </c>
    </row>
    <row r="3513" spans="1:11" ht="15" customHeight="1" x14ac:dyDescent="0.2">
      <c r="A3513" t="s">
        <v>5226</v>
      </c>
      <c r="B3513" t="s">
        <v>6919</v>
      </c>
      <c r="C3513">
        <v>2024</v>
      </c>
      <c r="D3513">
        <v>2024</v>
      </c>
      <c r="E3513" s="7">
        <v>45538</v>
      </c>
      <c r="F3513" s="7">
        <v>45902</v>
      </c>
      <c r="G3513" t="s">
        <v>135</v>
      </c>
      <c r="H3513" t="s">
        <v>112</v>
      </c>
      <c r="I3513" t="s">
        <v>101</v>
      </c>
      <c r="J3513">
        <v>9014.98</v>
      </c>
      <c r="K3513">
        <v>1000000</v>
      </c>
    </row>
    <row r="3514" spans="1:11" ht="15" customHeight="1" x14ac:dyDescent="0.2">
      <c r="A3514" t="s">
        <v>5227</v>
      </c>
      <c r="B3514" t="s">
        <v>3945</v>
      </c>
      <c r="C3514">
        <v>2024</v>
      </c>
      <c r="D3514">
        <v>2024</v>
      </c>
      <c r="E3514" s="7">
        <v>45539</v>
      </c>
      <c r="F3514" s="7">
        <v>45903</v>
      </c>
      <c r="G3514" t="s">
        <v>99</v>
      </c>
      <c r="H3514" t="s">
        <v>103</v>
      </c>
      <c r="I3514" t="s">
        <v>104</v>
      </c>
      <c r="J3514">
        <v>30899.24</v>
      </c>
      <c r="K3514">
        <v>5000000</v>
      </c>
    </row>
    <row r="3515" spans="1:11" ht="15" customHeight="1" x14ac:dyDescent="0.2">
      <c r="A3515" t="s">
        <v>5228</v>
      </c>
      <c r="B3515" t="s">
        <v>6924</v>
      </c>
      <c r="C3515">
        <v>2024</v>
      </c>
      <c r="D3515">
        <v>2024</v>
      </c>
      <c r="E3515" s="7">
        <v>45539</v>
      </c>
      <c r="F3515" s="7">
        <v>45903</v>
      </c>
      <c r="G3515" t="s">
        <v>135</v>
      </c>
      <c r="H3515" t="s">
        <v>105</v>
      </c>
      <c r="I3515" t="s">
        <v>101</v>
      </c>
      <c r="J3515">
        <v>10003.620000000001</v>
      </c>
      <c r="K3515">
        <v>1500000</v>
      </c>
    </row>
    <row r="3516" spans="1:11" ht="15" customHeight="1" x14ac:dyDescent="0.2">
      <c r="A3516" t="s">
        <v>5229</v>
      </c>
      <c r="B3516" t="s">
        <v>9009</v>
      </c>
      <c r="C3516">
        <v>2024</v>
      </c>
      <c r="D3516">
        <v>2024</v>
      </c>
      <c r="E3516" s="7">
        <v>45539</v>
      </c>
      <c r="F3516" s="7">
        <v>45903</v>
      </c>
      <c r="G3516" t="s">
        <v>135</v>
      </c>
      <c r="H3516" t="s">
        <v>6332</v>
      </c>
      <c r="I3516" t="s">
        <v>104</v>
      </c>
      <c r="J3516">
        <v>6180.11</v>
      </c>
      <c r="K3516">
        <v>1000000</v>
      </c>
    </row>
    <row r="3517" spans="1:11" ht="15" customHeight="1" x14ac:dyDescent="0.2">
      <c r="A3517" t="s">
        <v>5230</v>
      </c>
      <c r="B3517" t="s">
        <v>9010</v>
      </c>
      <c r="C3517">
        <v>2024</v>
      </c>
      <c r="D3517">
        <v>2024</v>
      </c>
      <c r="E3517" s="7">
        <v>45539</v>
      </c>
      <c r="F3517" s="7">
        <v>45903</v>
      </c>
      <c r="G3517" t="s">
        <v>135</v>
      </c>
      <c r="H3517" t="s">
        <v>106</v>
      </c>
      <c r="I3517" t="s">
        <v>101</v>
      </c>
      <c r="J3517">
        <v>18399.78</v>
      </c>
      <c r="K3517">
        <v>2000000</v>
      </c>
    </row>
    <row r="3518" spans="1:11" ht="15" customHeight="1" x14ac:dyDescent="0.2">
      <c r="A3518" t="s">
        <v>5231</v>
      </c>
      <c r="B3518" t="s">
        <v>9011</v>
      </c>
      <c r="C3518">
        <v>2024</v>
      </c>
      <c r="D3518">
        <v>2024</v>
      </c>
      <c r="E3518" s="7">
        <v>45539</v>
      </c>
      <c r="F3518" s="7">
        <v>45903</v>
      </c>
      <c r="G3518" t="s">
        <v>135</v>
      </c>
      <c r="H3518" t="s">
        <v>105</v>
      </c>
      <c r="I3518" t="s">
        <v>101</v>
      </c>
      <c r="J3518">
        <v>6702.61</v>
      </c>
      <c r="K3518">
        <v>1000000</v>
      </c>
    </row>
    <row r="3519" spans="1:11" ht="15" customHeight="1" x14ac:dyDescent="0.2">
      <c r="A3519" t="s">
        <v>5232</v>
      </c>
      <c r="B3519" t="s">
        <v>6933</v>
      </c>
      <c r="C3519">
        <v>2024</v>
      </c>
      <c r="D3519">
        <v>2024</v>
      </c>
      <c r="E3519" s="7">
        <v>45539</v>
      </c>
      <c r="F3519" s="7">
        <v>45903</v>
      </c>
      <c r="G3519" t="s">
        <v>135</v>
      </c>
      <c r="H3519" t="s">
        <v>106</v>
      </c>
      <c r="I3519" t="s">
        <v>104</v>
      </c>
      <c r="J3519">
        <v>7198.78</v>
      </c>
      <c r="K3519">
        <v>1000000</v>
      </c>
    </row>
    <row r="3520" spans="1:11" ht="15" customHeight="1" x14ac:dyDescent="0.2">
      <c r="A3520" t="s">
        <v>5233</v>
      </c>
      <c r="B3520" t="s">
        <v>596</v>
      </c>
      <c r="C3520">
        <v>2024</v>
      </c>
      <c r="D3520">
        <v>2024</v>
      </c>
      <c r="E3520" s="7">
        <v>45539</v>
      </c>
      <c r="F3520" s="7">
        <v>45903</v>
      </c>
      <c r="G3520" t="s">
        <v>135</v>
      </c>
      <c r="H3520" t="s">
        <v>107</v>
      </c>
      <c r="I3520" t="s">
        <v>104</v>
      </c>
      <c r="J3520">
        <v>5754.71</v>
      </c>
      <c r="K3520">
        <v>1000000</v>
      </c>
    </row>
    <row r="3521" spans="1:11" ht="15" customHeight="1" x14ac:dyDescent="0.2">
      <c r="A3521" t="s">
        <v>5234</v>
      </c>
      <c r="B3521" t="s">
        <v>9012</v>
      </c>
      <c r="C3521">
        <v>2024</v>
      </c>
      <c r="D3521">
        <v>2024</v>
      </c>
      <c r="E3521" s="7">
        <v>45539</v>
      </c>
      <c r="F3521" s="7">
        <v>45903</v>
      </c>
      <c r="G3521" t="s">
        <v>135</v>
      </c>
      <c r="H3521" t="s">
        <v>102</v>
      </c>
      <c r="I3521" t="s">
        <v>101</v>
      </c>
      <c r="J3521">
        <v>14436.78</v>
      </c>
      <c r="K3521">
        <v>2000000</v>
      </c>
    </row>
    <row r="3522" spans="1:11" ht="15" customHeight="1" x14ac:dyDescent="0.2">
      <c r="A3522" t="s">
        <v>5235</v>
      </c>
      <c r="B3522" t="s">
        <v>996</v>
      </c>
      <c r="C3522">
        <v>2024</v>
      </c>
      <c r="D3522">
        <v>2024</v>
      </c>
      <c r="E3522" s="7">
        <v>45539</v>
      </c>
      <c r="F3522" s="7">
        <v>45903</v>
      </c>
      <c r="G3522" t="s">
        <v>135</v>
      </c>
      <c r="H3522" t="s">
        <v>105</v>
      </c>
      <c r="I3522" t="s">
        <v>101</v>
      </c>
      <c r="J3522">
        <v>36391.870000000003</v>
      </c>
      <c r="K3522">
        <v>5000000</v>
      </c>
    </row>
    <row r="3523" spans="1:11" ht="15" customHeight="1" x14ac:dyDescent="0.2">
      <c r="A3523" t="s">
        <v>5236</v>
      </c>
      <c r="B3523" t="s">
        <v>3947</v>
      </c>
      <c r="C3523">
        <v>2024</v>
      </c>
      <c r="D3523">
        <v>2024</v>
      </c>
      <c r="E3523" s="7">
        <v>45540</v>
      </c>
      <c r="F3523" s="7">
        <v>45904</v>
      </c>
      <c r="G3523" t="s">
        <v>99</v>
      </c>
      <c r="H3523" t="s">
        <v>102</v>
      </c>
      <c r="I3523" t="s">
        <v>101</v>
      </c>
      <c r="J3523">
        <v>11407.49</v>
      </c>
      <c r="K3523">
        <v>1500000</v>
      </c>
    </row>
    <row r="3524" spans="1:11" ht="15" customHeight="1" x14ac:dyDescent="0.2">
      <c r="A3524" t="s">
        <v>5237</v>
      </c>
      <c r="B3524" t="s">
        <v>998</v>
      </c>
      <c r="C3524">
        <v>2024</v>
      </c>
      <c r="D3524">
        <v>2024</v>
      </c>
      <c r="E3524" s="7">
        <v>45540</v>
      </c>
      <c r="F3524" s="7">
        <v>45904</v>
      </c>
      <c r="G3524" t="s">
        <v>135</v>
      </c>
      <c r="H3524" t="s">
        <v>106</v>
      </c>
      <c r="I3524" t="s">
        <v>104</v>
      </c>
      <c r="J3524">
        <v>6462.34</v>
      </c>
      <c r="K3524">
        <v>1000000</v>
      </c>
    </row>
    <row r="3525" spans="1:11" ht="15" customHeight="1" x14ac:dyDescent="0.2">
      <c r="A3525" t="s">
        <v>5238</v>
      </c>
      <c r="B3525" t="s">
        <v>6969</v>
      </c>
      <c r="C3525">
        <v>2024</v>
      </c>
      <c r="D3525">
        <v>2024</v>
      </c>
      <c r="E3525" s="7">
        <v>45540</v>
      </c>
      <c r="F3525" s="7">
        <v>45904</v>
      </c>
      <c r="G3525" t="s">
        <v>135</v>
      </c>
      <c r="H3525" t="s">
        <v>6334</v>
      </c>
      <c r="I3525" t="s">
        <v>104</v>
      </c>
      <c r="J3525">
        <v>5251.9</v>
      </c>
      <c r="K3525">
        <v>1000000</v>
      </c>
    </row>
    <row r="3526" spans="1:11" ht="15" customHeight="1" x14ac:dyDescent="0.2">
      <c r="A3526" t="s">
        <v>5239</v>
      </c>
      <c r="B3526" t="s">
        <v>9013</v>
      </c>
      <c r="C3526">
        <v>2024</v>
      </c>
      <c r="D3526">
        <v>2024</v>
      </c>
      <c r="E3526" s="7">
        <v>45540</v>
      </c>
      <c r="F3526" s="7">
        <v>45904</v>
      </c>
      <c r="G3526" t="s">
        <v>135</v>
      </c>
      <c r="H3526" t="s">
        <v>102</v>
      </c>
      <c r="I3526" t="s">
        <v>101</v>
      </c>
      <c r="J3526">
        <v>7303.46</v>
      </c>
      <c r="K3526">
        <v>1000000</v>
      </c>
    </row>
    <row r="3527" spans="1:11" ht="15" customHeight="1" x14ac:dyDescent="0.2">
      <c r="A3527" t="s">
        <v>5240</v>
      </c>
      <c r="B3527" t="s">
        <v>7308</v>
      </c>
      <c r="C3527">
        <v>2024</v>
      </c>
      <c r="D3527">
        <v>2024</v>
      </c>
      <c r="E3527" s="7">
        <v>45540</v>
      </c>
      <c r="F3527" s="7">
        <v>45904</v>
      </c>
      <c r="G3527" t="s">
        <v>135</v>
      </c>
      <c r="H3527" t="s">
        <v>113</v>
      </c>
      <c r="I3527" t="s">
        <v>101</v>
      </c>
      <c r="J3527">
        <v>7251.43</v>
      </c>
      <c r="K3527">
        <v>1000000</v>
      </c>
    </row>
    <row r="3528" spans="1:11" ht="15" customHeight="1" x14ac:dyDescent="0.2">
      <c r="A3528" t="s">
        <v>5241</v>
      </c>
      <c r="B3528" t="s">
        <v>7249</v>
      </c>
      <c r="C3528">
        <v>2024</v>
      </c>
      <c r="D3528">
        <v>2024</v>
      </c>
      <c r="E3528" s="7">
        <v>45540</v>
      </c>
      <c r="F3528" s="7">
        <v>45904</v>
      </c>
      <c r="G3528" t="s">
        <v>135</v>
      </c>
      <c r="H3528" t="s">
        <v>102</v>
      </c>
      <c r="I3528" t="s">
        <v>101</v>
      </c>
      <c r="J3528">
        <v>3875.69</v>
      </c>
      <c r="K3528">
        <v>500000</v>
      </c>
    </row>
    <row r="3529" spans="1:11" ht="15" customHeight="1" x14ac:dyDescent="0.2">
      <c r="A3529" t="s">
        <v>5242</v>
      </c>
      <c r="B3529" t="s">
        <v>375</v>
      </c>
      <c r="C3529">
        <v>2024</v>
      </c>
      <c r="D3529">
        <v>2024</v>
      </c>
      <c r="E3529" s="7">
        <v>45540</v>
      </c>
      <c r="F3529" s="7">
        <v>45904</v>
      </c>
      <c r="G3529" t="s">
        <v>135</v>
      </c>
      <c r="H3529" t="s">
        <v>102</v>
      </c>
      <c r="I3529" t="s">
        <v>104</v>
      </c>
      <c r="J3529">
        <v>2837.59</v>
      </c>
      <c r="K3529">
        <v>500000</v>
      </c>
    </row>
    <row r="3530" spans="1:11" ht="15" customHeight="1" x14ac:dyDescent="0.2">
      <c r="A3530" t="s">
        <v>5243</v>
      </c>
      <c r="B3530" t="s">
        <v>9014</v>
      </c>
      <c r="C3530">
        <v>2024</v>
      </c>
      <c r="D3530">
        <v>2024</v>
      </c>
      <c r="E3530" s="7">
        <v>45540</v>
      </c>
      <c r="F3530" s="7">
        <v>45904</v>
      </c>
      <c r="G3530" t="s">
        <v>135</v>
      </c>
      <c r="H3530" t="s">
        <v>102</v>
      </c>
      <c r="I3530" t="s">
        <v>101</v>
      </c>
      <c r="J3530">
        <v>3547.35</v>
      </c>
      <c r="K3530">
        <v>500000</v>
      </c>
    </row>
    <row r="3531" spans="1:11" ht="15" customHeight="1" x14ac:dyDescent="0.2">
      <c r="A3531" t="s">
        <v>5244</v>
      </c>
      <c r="B3531" t="s">
        <v>999</v>
      </c>
      <c r="C3531">
        <v>2024</v>
      </c>
      <c r="D3531">
        <v>2024</v>
      </c>
      <c r="E3531" s="7">
        <v>45540</v>
      </c>
      <c r="F3531" s="7">
        <v>45904</v>
      </c>
      <c r="G3531" t="s">
        <v>135</v>
      </c>
      <c r="H3531" t="s">
        <v>102</v>
      </c>
      <c r="I3531" t="s">
        <v>101</v>
      </c>
      <c r="J3531">
        <v>6473.94</v>
      </c>
      <c r="K3531">
        <v>1000000</v>
      </c>
    </row>
    <row r="3532" spans="1:11" ht="15" customHeight="1" x14ac:dyDescent="0.2">
      <c r="A3532" t="s">
        <v>5245</v>
      </c>
      <c r="B3532" t="s">
        <v>997</v>
      </c>
      <c r="C3532">
        <v>2024</v>
      </c>
      <c r="D3532">
        <v>2024</v>
      </c>
      <c r="E3532" s="7">
        <v>45540</v>
      </c>
      <c r="F3532" s="7">
        <v>45904</v>
      </c>
      <c r="G3532" t="s">
        <v>135</v>
      </c>
      <c r="H3532" t="s">
        <v>107</v>
      </c>
      <c r="I3532" t="s">
        <v>101</v>
      </c>
      <c r="J3532">
        <v>3916.2</v>
      </c>
      <c r="K3532">
        <v>500000</v>
      </c>
    </row>
    <row r="3533" spans="1:11" ht="15" customHeight="1" x14ac:dyDescent="0.2">
      <c r="A3533" t="s">
        <v>5246</v>
      </c>
      <c r="B3533" t="s">
        <v>6934</v>
      </c>
      <c r="C3533">
        <v>2024</v>
      </c>
      <c r="D3533">
        <v>2024</v>
      </c>
      <c r="E3533" s="7">
        <v>45540</v>
      </c>
      <c r="F3533" s="7">
        <v>45904</v>
      </c>
      <c r="G3533" t="s">
        <v>135</v>
      </c>
      <c r="H3533" t="s">
        <v>103</v>
      </c>
      <c r="I3533" t="s">
        <v>101</v>
      </c>
      <c r="J3533">
        <v>10849.92</v>
      </c>
      <c r="K3533">
        <v>1500000</v>
      </c>
    </row>
    <row r="3534" spans="1:11" ht="15" customHeight="1" x14ac:dyDescent="0.2">
      <c r="A3534" t="s">
        <v>5247</v>
      </c>
      <c r="B3534" t="s">
        <v>9015</v>
      </c>
      <c r="C3534">
        <v>2024</v>
      </c>
      <c r="D3534">
        <v>2024</v>
      </c>
      <c r="E3534" s="7">
        <v>45540</v>
      </c>
      <c r="F3534" s="7">
        <v>45904</v>
      </c>
      <c r="G3534" t="s">
        <v>135</v>
      </c>
      <c r="H3534" t="s">
        <v>106</v>
      </c>
      <c r="I3534" t="s">
        <v>104</v>
      </c>
      <c r="J3534">
        <v>7209.01</v>
      </c>
      <c r="K3534">
        <v>1000000</v>
      </c>
    </row>
    <row r="3535" spans="1:11" ht="15" customHeight="1" x14ac:dyDescent="0.2">
      <c r="A3535" t="s">
        <v>5248</v>
      </c>
      <c r="B3535" t="s">
        <v>3949</v>
      </c>
      <c r="C3535">
        <v>2024</v>
      </c>
      <c r="D3535">
        <v>2024</v>
      </c>
      <c r="E3535" s="7">
        <v>45541</v>
      </c>
      <c r="F3535" s="7">
        <v>45905</v>
      </c>
      <c r="G3535" t="s">
        <v>99</v>
      </c>
      <c r="H3535" t="s">
        <v>114</v>
      </c>
      <c r="I3535" t="s">
        <v>101</v>
      </c>
      <c r="J3535">
        <v>9939.1299999999992</v>
      </c>
      <c r="K3535">
        <v>1500000</v>
      </c>
    </row>
    <row r="3536" spans="1:11" ht="15" customHeight="1" x14ac:dyDescent="0.2">
      <c r="A3536" t="s">
        <v>5249</v>
      </c>
      <c r="B3536" t="s">
        <v>3957</v>
      </c>
      <c r="C3536">
        <v>2024</v>
      </c>
      <c r="D3536">
        <v>2024</v>
      </c>
      <c r="E3536" s="7">
        <v>45541</v>
      </c>
      <c r="F3536" s="7">
        <v>45905</v>
      </c>
      <c r="G3536" t="s">
        <v>99</v>
      </c>
      <c r="H3536" t="s">
        <v>105</v>
      </c>
      <c r="I3536" t="s">
        <v>104</v>
      </c>
      <c r="J3536">
        <v>11311.51</v>
      </c>
      <c r="K3536">
        <v>2000000</v>
      </c>
    </row>
    <row r="3537" spans="1:11" ht="15" customHeight="1" x14ac:dyDescent="0.2">
      <c r="A3537" t="s">
        <v>5250</v>
      </c>
      <c r="B3537" t="s">
        <v>3959</v>
      </c>
      <c r="C3537">
        <v>2024</v>
      </c>
      <c r="D3537">
        <v>2024</v>
      </c>
      <c r="E3537" s="7">
        <v>45541</v>
      </c>
      <c r="F3537" s="7">
        <v>45905</v>
      </c>
      <c r="G3537" t="s">
        <v>99</v>
      </c>
      <c r="H3537" t="s">
        <v>110</v>
      </c>
      <c r="I3537" t="s">
        <v>101</v>
      </c>
      <c r="J3537">
        <v>8450.6299999999992</v>
      </c>
      <c r="K3537">
        <v>1000000</v>
      </c>
    </row>
    <row r="3538" spans="1:11" ht="15" customHeight="1" x14ac:dyDescent="0.2">
      <c r="A3538" t="s">
        <v>5251</v>
      </c>
      <c r="B3538" t="s">
        <v>3961</v>
      </c>
      <c r="C3538">
        <v>2024</v>
      </c>
      <c r="D3538">
        <v>2024</v>
      </c>
      <c r="E3538" s="7">
        <v>45541</v>
      </c>
      <c r="F3538" s="7">
        <v>45905</v>
      </c>
      <c r="G3538" t="s">
        <v>99</v>
      </c>
      <c r="H3538" t="s">
        <v>102</v>
      </c>
      <c r="I3538" t="s">
        <v>104</v>
      </c>
      <c r="J3538">
        <v>26474.54</v>
      </c>
      <c r="K3538">
        <v>5000000</v>
      </c>
    </row>
    <row r="3539" spans="1:11" ht="15" customHeight="1" x14ac:dyDescent="0.2">
      <c r="A3539" t="s">
        <v>5252</v>
      </c>
      <c r="B3539" t="s">
        <v>6928</v>
      </c>
      <c r="C3539">
        <v>2024</v>
      </c>
      <c r="D3539">
        <v>2024</v>
      </c>
      <c r="E3539" s="7">
        <v>45541</v>
      </c>
      <c r="F3539" s="7">
        <v>45905</v>
      </c>
      <c r="G3539" t="s">
        <v>135</v>
      </c>
      <c r="H3539" t="s">
        <v>109</v>
      </c>
      <c r="I3539" t="s">
        <v>104</v>
      </c>
      <c r="J3539">
        <v>11707.02</v>
      </c>
      <c r="K3539">
        <v>2000000</v>
      </c>
    </row>
    <row r="3540" spans="1:11" ht="15" customHeight="1" x14ac:dyDescent="0.2">
      <c r="A3540" t="s">
        <v>5253</v>
      </c>
      <c r="B3540" t="s">
        <v>9016</v>
      </c>
      <c r="C3540">
        <v>2024</v>
      </c>
      <c r="D3540">
        <v>2024</v>
      </c>
      <c r="E3540" s="7">
        <v>45541</v>
      </c>
      <c r="F3540" s="7">
        <v>45905</v>
      </c>
      <c r="G3540" t="s">
        <v>135</v>
      </c>
      <c r="H3540" t="s">
        <v>106</v>
      </c>
      <c r="I3540" t="s">
        <v>104</v>
      </c>
      <c r="J3540">
        <v>13163.61</v>
      </c>
      <c r="K3540">
        <v>2000000</v>
      </c>
    </row>
    <row r="3541" spans="1:11" ht="15" customHeight="1" x14ac:dyDescent="0.2">
      <c r="A3541" t="s">
        <v>5254</v>
      </c>
      <c r="B3541" t="s">
        <v>9017</v>
      </c>
      <c r="C3541">
        <v>2024</v>
      </c>
      <c r="D3541">
        <v>2024</v>
      </c>
      <c r="E3541" s="7">
        <v>45541</v>
      </c>
      <c r="F3541" s="7">
        <v>45905</v>
      </c>
      <c r="G3541" t="s">
        <v>135</v>
      </c>
      <c r="H3541" t="s">
        <v>6332</v>
      </c>
      <c r="I3541" t="s">
        <v>104</v>
      </c>
      <c r="J3541">
        <v>62423.91</v>
      </c>
      <c r="K3541">
        <v>10000000</v>
      </c>
    </row>
    <row r="3542" spans="1:11" ht="15" customHeight="1" x14ac:dyDescent="0.2">
      <c r="A3542" t="s">
        <v>5255</v>
      </c>
      <c r="B3542" t="s">
        <v>9018</v>
      </c>
      <c r="C3542">
        <v>2024</v>
      </c>
      <c r="D3542">
        <v>2024</v>
      </c>
      <c r="E3542" s="7">
        <v>45541</v>
      </c>
      <c r="F3542" s="7">
        <v>45905</v>
      </c>
      <c r="G3542" t="s">
        <v>135</v>
      </c>
      <c r="H3542" t="s">
        <v>109</v>
      </c>
      <c r="I3542" t="s">
        <v>101</v>
      </c>
      <c r="J3542">
        <v>38872.32</v>
      </c>
      <c r="K3542">
        <v>5000000</v>
      </c>
    </row>
    <row r="3543" spans="1:11" ht="15" customHeight="1" x14ac:dyDescent="0.2">
      <c r="A3543" t="s">
        <v>5256</v>
      </c>
      <c r="B3543" t="s">
        <v>3963</v>
      </c>
      <c r="C3543">
        <v>2024</v>
      </c>
      <c r="D3543">
        <v>2024</v>
      </c>
      <c r="E3543" s="7">
        <v>45542</v>
      </c>
      <c r="F3543" s="7">
        <v>45906</v>
      </c>
      <c r="G3543" t="s">
        <v>99</v>
      </c>
      <c r="H3543" t="s">
        <v>110</v>
      </c>
      <c r="I3543" t="s">
        <v>101</v>
      </c>
      <c r="J3543">
        <v>17262.75</v>
      </c>
      <c r="K3543">
        <v>2000000</v>
      </c>
    </row>
    <row r="3544" spans="1:11" ht="15" customHeight="1" x14ac:dyDescent="0.2">
      <c r="A3544" t="s">
        <v>5257</v>
      </c>
      <c r="B3544" t="s">
        <v>3965</v>
      </c>
      <c r="C3544">
        <v>2024</v>
      </c>
      <c r="D3544">
        <v>2024</v>
      </c>
      <c r="E3544" s="7">
        <v>45542</v>
      </c>
      <c r="F3544" s="7">
        <v>45906</v>
      </c>
      <c r="G3544" t="s">
        <v>99</v>
      </c>
      <c r="H3544" t="s">
        <v>102</v>
      </c>
      <c r="I3544" t="s">
        <v>101</v>
      </c>
      <c r="J3544">
        <v>9727.94</v>
      </c>
      <c r="K3544">
        <v>1500000</v>
      </c>
    </row>
    <row r="3545" spans="1:11" ht="15" customHeight="1" x14ac:dyDescent="0.2">
      <c r="A3545" t="s">
        <v>5258</v>
      </c>
      <c r="B3545" t="s">
        <v>3967</v>
      </c>
      <c r="C3545">
        <v>2024</v>
      </c>
      <c r="D3545">
        <v>2024</v>
      </c>
      <c r="E3545" s="7">
        <v>45542</v>
      </c>
      <c r="F3545" s="7">
        <v>45906</v>
      </c>
      <c r="G3545" t="s">
        <v>99</v>
      </c>
      <c r="H3545" t="s">
        <v>116</v>
      </c>
      <c r="I3545" t="s">
        <v>101</v>
      </c>
      <c r="J3545">
        <v>10184.25</v>
      </c>
      <c r="K3545">
        <v>1500000</v>
      </c>
    </row>
    <row r="3546" spans="1:11" ht="15" customHeight="1" x14ac:dyDescent="0.2">
      <c r="A3546" t="s">
        <v>5259</v>
      </c>
      <c r="B3546" t="s">
        <v>3969</v>
      </c>
      <c r="C3546">
        <v>2024</v>
      </c>
      <c r="D3546">
        <v>2024</v>
      </c>
      <c r="E3546" s="7">
        <v>45542</v>
      </c>
      <c r="F3546" s="7">
        <v>45906</v>
      </c>
      <c r="G3546" t="s">
        <v>99</v>
      </c>
      <c r="H3546" t="s">
        <v>106</v>
      </c>
      <c r="I3546" t="s">
        <v>101</v>
      </c>
      <c r="J3546">
        <v>8978.64</v>
      </c>
      <c r="K3546">
        <v>1000000</v>
      </c>
    </row>
    <row r="3547" spans="1:11" ht="15" customHeight="1" x14ac:dyDescent="0.2">
      <c r="A3547" t="s">
        <v>5260</v>
      </c>
      <c r="B3547" t="s">
        <v>3971</v>
      </c>
      <c r="C3547">
        <v>2024</v>
      </c>
      <c r="D3547">
        <v>2024</v>
      </c>
      <c r="E3547" s="7">
        <v>45542</v>
      </c>
      <c r="F3547" s="7">
        <v>45906</v>
      </c>
      <c r="G3547" t="s">
        <v>99</v>
      </c>
      <c r="H3547" t="s">
        <v>109</v>
      </c>
      <c r="I3547" t="s">
        <v>101</v>
      </c>
      <c r="J3547">
        <v>65677.84</v>
      </c>
      <c r="K3547">
        <v>10000000</v>
      </c>
    </row>
    <row r="3548" spans="1:11" ht="15" customHeight="1" x14ac:dyDescent="0.2">
      <c r="A3548" t="s">
        <v>5261</v>
      </c>
      <c r="B3548" t="s">
        <v>3984</v>
      </c>
      <c r="C3548">
        <v>2024</v>
      </c>
      <c r="D3548">
        <v>2024</v>
      </c>
      <c r="E3548" s="7">
        <v>45542</v>
      </c>
      <c r="F3548" s="7">
        <v>45906</v>
      </c>
      <c r="G3548" t="s">
        <v>99</v>
      </c>
      <c r="H3548" t="s">
        <v>114</v>
      </c>
      <c r="I3548" t="s">
        <v>101</v>
      </c>
      <c r="J3548">
        <v>78179.3</v>
      </c>
      <c r="K3548">
        <v>10000000</v>
      </c>
    </row>
    <row r="3549" spans="1:11" ht="15" customHeight="1" x14ac:dyDescent="0.2">
      <c r="A3549" t="s">
        <v>5262</v>
      </c>
      <c r="B3549" t="s">
        <v>216</v>
      </c>
      <c r="C3549">
        <v>2024</v>
      </c>
      <c r="D3549">
        <v>2024</v>
      </c>
      <c r="E3549" s="7">
        <v>45542</v>
      </c>
      <c r="F3549" s="7">
        <v>45906</v>
      </c>
      <c r="G3549" t="s">
        <v>135</v>
      </c>
      <c r="H3549" t="s">
        <v>102</v>
      </c>
      <c r="I3549" t="s">
        <v>101</v>
      </c>
      <c r="J3549">
        <v>34545.949999999997</v>
      </c>
      <c r="K3549">
        <v>5000000</v>
      </c>
    </row>
    <row r="3550" spans="1:11" ht="15" customHeight="1" x14ac:dyDescent="0.2">
      <c r="A3550" t="s">
        <v>5263</v>
      </c>
      <c r="B3550" t="s">
        <v>597</v>
      </c>
      <c r="C3550">
        <v>2024</v>
      </c>
      <c r="D3550">
        <v>2024</v>
      </c>
      <c r="E3550" s="7">
        <v>45542</v>
      </c>
      <c r="F3550" s="7">
        <v>45906</v>
      </c>
      <c r="G3550" t="s">
        <v>135</v>
      </c>
      <c r="H3550" t="s">
        <v>109</v>
      </c>
      <c r="I3550" t="s">
        <v>101</v>
      </c>
      <c r="J3550">
        <v>7098.25</v>
      </c>
      <c r="K3550">
        <v>1000000</v>
      </c>
    </row>
    <row r="3551" spans="1:11" ht="15" customHeight="1" x14ac:dyDescent="0.2">
      <c r="A3551" t="s">
        <v>5264</v>
      </c>
      <c r="B3551" t="s">
        <v>9019</v>
      </c>
      <c r="C3551">
        <v>2024</v>
      </c>
      <c r="D3551">
        <v>2024</v>
      </c>
      <c r="E3551" s="7">
        <v>45542</v>
      </c>
      <c r="F3551" s="7">
        <v>45906</v>
      </c>
      <c r="G3551" t="s">
        <v>135</v>
      </c>
      <c r="H3551" t="s">
        <v>102</v>
      </c>
      <c r="I3551" t="s">
        <v>104</v>
      </c>
      <c r="J3551">
        <v>9057.67</v>
      </c>
      <c r="K3551">
        <v>1500000</v>
      </c>
    </row>
    <row r="3552" spans="1:11" ht="15" customHeight="1" x14ac:dyDescent="0.2">
      <c r="A3552" t="s">
        <v>5265</v>
      </c>
      <c r="B3552" t="s">
        <v>3986</v>
      </c>
      <c r="C3552">
        <v>2024</v>
      </c>
      <c r="D3552">
        <v>2024</v>
      </c>
      <c r="E3552" s="7">
        <v>45543</v>
      </c>
      <c r="F3552" s="7">
        <v>45907</v>
      </c>
      <c r="G3552" t="s">
        <v>99</v>
      </c>
      <c r="H3552" t="s">
        <v>103</v>
      </c>
      <c r="I3552" t="s">
        <v>104</v>
      </c>
      <c r="J3552">
        <v>8650.99</v>
      </c>
      <c r="K3552">
        <v>1500000</v>
      </c>
    </row>
    <row r="3553" spans="1:11" ht="15" customHeight="1" x14ac:dyDescent="0.2">
      <c r="A3553" t="s">
        <v>5266</v>
      </c>
      <c r="B3553" t="s">
        <v>3988</v>
      </c>
      <c r="C3553">
        <v>2024</v>
      </c>
      <c r="D3553">
        <v>2024</v>
      </c>
      <c r="E3553" s="7">
        <v>45543</v>
      </c>
      <c r="F3553" s="7">
        <v>45907</v>
      </c>
      <c r="G3553" t="s">
        <v>99</v>
      </c>
      <c r="H3553" t="s">
        <v>116</v>
      </c>
      <c r="I3553" t="s">
        <v>104</v>
      </c>
      <c r="J3553">
        <v>60177.97</v>
      </c>
      <c r="K3553">
        <v>10000000</v>
      </c>
    </row>
    <row r="3554" spans="1:11" ht="15" customHeight="1" x14ac:dyDescent="0.2">
      <c r="A3554" t="s">
        <v>5267</v>
      </c>
      <c r="B3554" t="s">
        <v>3990</v>
      </c>
      <c r="C3554">
        <v>2024</v>
      </c>
      <c r="D3554">
        <v>2024</v>
      </c>
      <c r="E3554" s="7">
        <v>45543</v>
      </c>
      <c r="F3554" s="7">
        <v>45907</v>
      </c>
      <c r="G3554" t="s">
        <v>99</v>
      </c>
      <c r="H3554" t="s">
        <v>106</v>
      </c>
      <c r="I3554" t="s">
        <v>104</v>
      </c>
      <c r="J3554">
        <v>7676.43</v>
      </c>
      <c r="K3554">
        <v>1000000</v>
      </c>
    </row>
    <row r="3555" spans="1:11" ht="15" customHeight="1" x14ac:dyDescent="0.2">
      <c r="A3555" t="s">
        <v>5268</v>
      </c>
      <c r="B3555" t="s">
        <v>3992</v>
      </c>
      <c r="C3555">
        <v>2024</v>
      </c>
      <c r="D3555">
        <v>2024</v>
      </c>
      <c r="E3555" s="7">
        <v>45543</v>
      </c>
      <c r="F3555" s="7">
        <v>45907</v>
      </c>
      <c r="G3555" t="s">
        <v>99</v>
      </c>
      <c r="H3555" t="s">
        <v>102</v>
      </c>
      <c r="I3555" t="s">
        <v>101</v>
      </c>
      <c r="J3555">
        <v>14688.46</v>
      </c>
      <c r="K3555">
        <v>2000000</v>
      </c>
    </row>
    <row r="3556" spans="1:11" ht="15" customHeight="1" x14ac:dyDescent="0.2">
      <c r="A3556" t="s">
        <v>5269</v>
      </c>
      <c r="B3556" t="s">
        <v>6930</v>
      </c>
      <c r="C3556">
        <v>2024</v>
      </c>
      <c r="D3556">
        <v>2024</v>
      </c>
      <c r="E3556" s="7">
        <v>45543</v>
      </c>
      <c r="F3556" s="7">
        <v>45907</v>
      </c>
      <c r="G3556" t="s">
        <v>135</v>
      </c>
      <c r="H3556" t="s">
        <v>103</v>
      </c>
      <c r="I3556" t="s">
        <v>104</v>
      </c>
      <c r="J3556">
        <v>9326.6200000000008</v>
      </c>
      <c r="K3556">
        <v>1500000</v>
      </c>
    </row>
    <row r="3557" spans="1:11" ht="15" customHeight="1" x14ac:dyDescent="0.2">
      <c r="A3557" t="s">
        <v>5270</v>
      </c>
      <c r="B3557" t="s">
        <v>7028</v>
      </c>
      <c r="C3557">
        <v>2024</v>
      </c>
      <c r="D3557">
        <v>2024</v>
      </c>
      <c r="E3557" s="7">
        <v>45543</v>
      </c>
      <c r="F3557" s="7">
        <v>45907</v>
      </c>
      <c r="G3557" t="s">
        <v>135</v>
      </c>
      <c r="H3557" t="s">
        <v>6337</v>
      </c>
      <c r="I3557" t="s">
        <v>104</v>
      </c>
      <c r="J3557">
        <v>8993.9599999999991</v>
      </c>
      <c r="K3557">
        <v>1500000</v>
      </c>
    </row>
    <row r="3558" spans="1:11" ht="15" customHeight="1" x14ac:dyDescent="0.2">
      <c r="A3558" t="s">
        <v>5271</v>
      </c>
      <c r="B3558" t="s">
        <v>9020</v>
      </c>
      <c r="C3558">
        <v>2024</v>
      </c>
      <c r="D3558">
        <v>2024</v>
      </c>
      <c r="E3558" s="7">
        <v>45543</v>
      </c>
      <c r="F3558" s="7">
        <v>45907</v>
      </c>
      <c r="G3558" t="s">
        <v>135</v>
      </c>
      <c r="H3558" t="s">
        <v>102</v>
      </c>
      <c r="I3558" t="s">
        <v>104</v>
      </c>
      <c r="J3558">
        <v>6033.23</v>
      </c>
      <c r="K3558">
        <v>1000000</v>
      </c>
    </row>
    <row r="3559" spans="1:11" ht="15" customHeight="1" x14ac:dyDescent="0.2">
      <c r="A3559" t="s">
        <v>5272</v>
      </c>
      <c r="B3559" t="s">
        <v>9021</v>
      </c>
      <c r="C3559">
        <v>2024</v>
      </c>
      <c r="D3559">
        <v>2024</v>
      </c>
      <c r="E3559" s="7">
        <v>45543</v>
      </c>
      <c r="F3559" s="7">
        <v>45907</v>
      </c>
      <c r="G3559" t="s">
        <v>135</v>
      </c>
      <c r="H3559" t="s">
        <v>110</v>
      </c>
      <c r="I3559" t="s">
        <v>104</v>
      </c>
      <c r="J3559">
        <v>7688.31</v>
      </c>
      <c r="K3559">
        <v>1000000</v>
      </c>
    </row>
    <row r="3560" spans="1:11" ht="15" customHeight="1" x14ac:dyDescent="0.2">
      <c r="A3560" t="s">
        <v>5273</v>
      </c>
      <c r="B3560" t="s">
        <v>9022</v>
      </c>
      <c r="C3560">
        <v>2024</v>
      </c>
      <c r="D3560">
        <v>2024</v>
      </c>
      <c r="E3560" s="7">
        <v>45543</v>
      </c>
      <c r="F3560" s="7">
        <v>45907</v>
      </c>
      <c r="G3560" t="s">
        <v>135</v>
      </c>
      <c r="H3560" t="s">
        <v>114</v>
      </c>
      <c r="I3560" t="s">
        <v>104</v>
      </c>
      <c r="J3560">
        <v>5569.43</v>
      </c>
      <c r="K3560">
        <v>1000000</v>
      </c>
    </row>
    <row r="3561" spans="1:11" ht="15" customHeight="1" x14ac:dyDescent="0.2">
      <c r="A3561" t="s">
        <v>5274</v>
      </c>
      <c r="B3561" t="s">
        <v>9023</v>
      </c>
      <c r="C3561">
        <v>2024</v>
      </c>
      <c r="D3561">
        <v>2024</v>
      </c>
      <c r="E3561" s="7">
        <v>45543</v>
      </c>
      <c r="F3561" s="7">
        <v>45907</v>
      </c>
      <c r="G3561" t="s">
        <v>135</v>
      </c>
      <c r="H3561" t="s">
        <v>109</v>
      </c>
      <c r="I3561" t="s">
        <v>104</v>
      </c>
      <c r="J3561">
        <v>7987.23</v>
      </c>
      <c r="K3561">
        <v>1500000</v>
      </c>
    </row>
    <row r="3562" spans="1:11" ht="15" customHeight="1" x14ac:dyDescent="0.2">
      <c r="A3562" t="s">
        <v>5275</v>
      </c>
      <c r="B3562" t="s">
        <v>9024</v>
      </c>
      <c r="C3562">
        <v>2024</v>
      </c>
      <c r="D3562">
        <v>2024</v>
      </c>
      <c r="E3562" s="7">
        <v>45543</v>
      </c>
      <c r="F3562" s="7">
        <v>45907</v>
      </c>
      <c r="G3562" t="s">
        <v>135</v>
      </c>
      <c r="H3562" t="s">
        <v>103</v>
      </c>
      <c r="I3562" t="s">
        <v>104</v>
      </c>
      <c r="J3562">
        <v>55215.44</v>
      </c>
      <c r="K3562">
        <v>10000000</v>
      </c>
    </row>
    <row r="3563" spans="1:11" ht="15" customHeight="1" x14ac:dyDescent="0.2">
      <c r="A3563" t="s">
        <v>5276</v>
      </c>
      <c r="B3563" t="s">
        <v>9025</v>
      </c>
      <c r="C3563">
        <v>2024</v>
      </c>
      <c r="D3563">
        <v>2024</v>
      </c>
      <c r="E3563" s="7">
        <v>45543</v>
      </c>
      <c r="F3563" s="7">
        <v>45907</v>
      </c>
      <c r="G3563" t="s">
        <v>135</v>
      </c>
      <c r="H3563" t="s">
        <v>106</v>
      </c>
      <c r="I3563" t="s">
        <v>101</v>
      </c>
      <c r="J3563">
        <v>13197.86</v>
      </c>
      <c r="K3563">
        <v>1500000</v>
      </c>
    </row>
    <row r="3564" spans="1:11" ht="15" customHeight="1" x14ac:dyDescent="0.2">
      <c r="A3564" t="s">
        <v>5277</v>
      </c>
      <c r="B3564" t="s">
        <v>9026</v>
      </c>
      <c r="C3564">
        <v>2024</v>
      </c>
      <c r="D3564">
        <v>2024</v>
      </c>
      <c r="E3564" s="7">
        <v>45543</v>
      </c>
      <c r="F3564" s="7">
        <v>45907</v>
      </c>
      <c r="G3564" t="s">
        <v>135</v>
      </c>
      <c r="H3564" t="s">
        <v>108</v>
      </c>
      <c r="I3564" t="s">
        <v>101</v>
      </c>
      <c r="J3564">
        <v>16545.810000000001</v>
      </c>
      <c r="K3564">
        <v>2000000</v>
      </c>
    </row>
    <row r="3565" spans="1:11" ht="15" customHeight="1" x14ac:dyDescent="0.2">
      <c r="A3565" t="s">
        <v>5278</v>
      </c>
      <c r="B3565" t="s">
        <v>9027</v>
      </c>
      <c r="C3565">
        <v>2024</v>
      </c>
      <c r="D3565">
        <v>2024</v>
      </c>
      <c r="E3565" s="7">
        <v>45543</v>
      </c>
      <c r="F3565" s="7">
        <v>45907</v>
      </c>
      <c r="G3565" t="s">
        <v>135</v>
      </c>
      <c r="H3565" t="s">
        <v>109</v>
      </c>
      <c r="I3565" t="s">
        <v>101</v>
      </c>
      <c r="J3565">
        <v>14784.11</v>
      </c>
      <c r="K3565">
        <v>2000000</v>
      </c>
    </row>
    <row r="3566" spans="1:11" ht="15" customHeight="1" x14ac:dyDescent="0.2">
      <c r="A3566" t="s">
        <v>5279</v>
      </c>
      <c r="B3566" t="s">
        <v>171</v>
      </c>
      <c r="C3566">
        <v>2024</v>
      </c>
      <c r="D3566">
        <v>2024</v>
      </c>
      <c r="E3566" s="7">
        <v>45543</v>
      </c>
      <c r="F3566" s="7">
        <v>45907</v>
      </c>
      <c r="G3566" t="s">
        <v>135</v>
      </c>
      <c r="H3566" t="s">
        <v>102</v>
      </c>
      <c r="I3566" t="s">
        <v>101</v>
      </c>
      <c r="J3566">
        <v>3855.99</v>
      </c>
      <c r="K3566">
        <v>500000</v>
      </c>
    </row>
    <row r="3567" spans="1:11" ht="15" customHeight="1" x14ac:dyDescent="0.2">
      <c r="A3567" t="s">
        <v>5280</v>
      </c>
      <c r="B3567" t="s">
        <v>7263</v>
      </c>
      <c r="C3567">
        <v>2024</v>
      </c>
      <c r="D3567">
        <v>2024</v>
      </c>
      <c r="E3567" s="7">
        <v>45543</v>
      </c>
      <c r="F3567" s="7">
        <v>45907</v>
      </c>
      <c r="G3567" t="s">
        <v>135</v>
      </c>
      <c r="H3567" t="s">
        <v>107</v>
      </c>
      <c r="I3567" t="s">
        <v>104</v>
      </c>
      <c r="J3567">
        <v>5852.37</v>
      </c>
      <c r="K3567">
        <v>1000000</v>
      </c>
    </row>
    <row r="3568" spans="1:11" ht="15" customHeight="1" x14ac:dyDescent="0.2">
      <c r="A3568" t="s">
        <v>5281</v>
      </c>
      <c r="B3568" t="s">
        <v>9028</v>
      </c>
      <c r="C3568">
        <v>2024</v>
      </c>
      <c r="D3568">
        <v>2024</v>
      </c>
      <c r="E3568" s="7">
        <v>45543</v>
      </c>
      <c r="F3568" s="7">
        <v>45907</v>
      </c>
      <c r="G3568" t="s">
        <v>135</v>
      </c>
      <c r="H3568" t="s">
        <v>111</v>
      </c>
      <c r="I3568" t="s">
        <v>104</v>
      </c>
      <c r="J3568">
        <v>30134.41</v>
      </c>
      <c r="K3568">
        <v>5000000</v>
      </c>
    </row>
    <row r="3569" spans="1:11" ht="15" customHeight="1" x14ac:dyDescent="0.2">
      <c r="A3569" t="s">
        <v>5282</v>
      </c>
      <c r="B3569" t="s">
        <v>9029</v>
      </c>
      <c r="C3569">
        <v>2024</v>
      </c>
      <c r="D3569">
        <v>2024</v>
      </c>
      <c r="E3569" s="7">
        <v>45543</v>
      </c>
      <c r="F3569" s="7">
        <v>45907</v>
      </c>
      <c r="G3569" t="s">
        <v>135</v>
      </c>
      <c r="H3569" t="s">
        <v>108</v>
      </c>
      <c r="I3569" t="s">
        <v>104</v>
      </c>
      <c r="J3569">
        <v>3270.45</v>
      </c>
      <c r="K3569">
        <v>500000</v>
      </c>
    </row>
    <row r="3570" spans="1:11" ht="15" customHeight="1" x14ac:dyDescent="0.2">
      <c r="A3570" t="s">
        <v>5283</v>
      </c>
      <c r="B3570" t="s">
        <v>598</v>
      </c>
      <c r="C3570">
        <v>2024</v>
      </c>
      <c r="D3570">
        <v>2024</v>
      </c>
      <c r="E3570" s="7">
        <v>45543</v>
      </c>
      <c r="F3570" s="7">
        <v>45907</v>
      </c>
      <c r="G3570" t="s">
        <v>135</v>
      </c>
      <c r="H3570" t="s">
        <v>108</v>
      </c>
      <c r="I3570" t="s">
        <v>104</v>
      </c>
      <c r="J3570">
        <v>6685.53</v>
      </c>
      <c r="K3570">
        <v>1000000</v>
      </c>
    </row>
    <row r="3571" spans="1:11" ht="15" customHeight="1" x14ac:dyDescent="0.2">
      <c r="A3571" t="s">
        <v>5284</v>
      </c>
      <c r="B3571" t="s">
        <v>3994</v>
      </c>
      <c r="C3571">
        <v>2024</v>
      </c>
      <c r="D3571">
        <v>2024</v>
      </c>
      <c r="E3571" s="7">
        <v>45544</v>
      </c>
      <c r="F3571" s="7">
        <v>45908</v>
      </c>
      <c r="G3571" t="s">
        <v>99</v>
      </c>
      <c r="H3571" t="s">
        <v>6337</v>
      </c>
      <c r="I3571" t="s">
        <v>101</v>
      </c>
      <c r="J3571">
        <v>10633.25</v>
      </c>
      <c r="K3571">
        <v>1500000</v>
      </c>
    </row>
    <row r="3572" spans="1:11" ht="15" customHeight="1" x14ac:dyDescent="0.2">
      <c r="A3572" t="s">
        <v>5285</v>
      </c>
      <c r="B3572" t="s">
        <v>3996</v>
      </c>
      <c r="C3572">
        <v>2024</v>
      </c>
      <c r="D3572">
        <v>2024</v>
      </c>
      <c r="E3572" s="7">
        <v>45544</v>
      </c>
      <c r="F3572" s="7">
        <v>45908</v>
      </c>
      <c r="G3572" t="s">
        <v>99</v>
      </c>
      <c r="H3572" t="s">
        <v>102</v>
      </c>
      <c r="I3572" t="s">
        <v>101</v>
      </c>
      <c r="J3572">
        <v>7167.34</v>
      </c>
      <c r="K3572">
        <v>1000000</v>
      </c>
    </row>
    <row r="3573" spans="1:11" ht="15" customHeight="1" x14ac:dyDescent="0.2">
      <c r="A3573" t="s">
        <v>5286</v>
      </c>
      <c r="B3573" t="s">
        <v>4010</v>
      </c>
      <c r="C3573">
        <v>2024</v>
      </c>
      <c r="D3573">
        <v>2024</v>
      </c>
      <c r="E3573" s="7">
        <v>45544</v>
      </c>
      <c r="F3573" s="7">
        <v>45908</v>
      </c>
      <c r="G3573" t="s">
        <v>99</v>
      </c>
      <c r="H3573" t="s">
        <v>105</v>
      </c>
      <c r="I3573" t="s">
        <v>101</v>
      </c>
      <c r="J3573">
        <v>7307.87</v>
      </c>
      <c r="K3573">
        <v>1000000</v>
      </c>
    </row>
    <row r="3574" spans="1:11" ht="15" customHeight="1" x14ac:dyDescent="0.2">
      <c r="A3574" t="s">
        <v>5287</v>
      </c>
      <c r="B3574" t="s">
        <v>9030</v>
      </c>
      <c r="C3574">
        <v>2024</v>
      </c>
      <c r="D3574">
        <v>2024</v>
      </c>
      <c r="E3574" s="7">
        <v>45544</v>
      </c>
      <c r="F3574" s="7">
        <v>45908</v>
      </c>
      <c r="G3574" t="s">
        <v>135</v>
      </c>
      <c r="H3574" t="s">
        <v>102</v>
      </c>
      <c r="I3574" t="s">
        <v>104</v>
      </c>
      <c r="J3574">
        <v>5218.83</v>
      </c>
      <c r="K3574">
        <v>1000000</v>
      </c>
    </row>
    <row r="3575" spans="1:11" ht="15" customHeight="1" x14ac:dyDescent="0.2">
      <c r="A3575" t="s">
        <v>5288</v>
      </c>
      <c r="B3575" t="s">
        <v>600</v>
      </c>
      <c r="C3575">
        <v>2024</v>
      </c>
      <c r="D3575">
        <v>2024</v>
      </c>
      <c r="E3575" s="7">
        <v>45544</v>
      </c>
      <c r="F3575" s="7">
        <v>45908</v>
      </c>
      <c r="G3575" t="s">
        <v>135</v>
      </c>
      <c r="H3575" t="s">
        <v>102</v>
      </c>
      <c r="I3575" t="s">
        <v>101</v>
      </c>
      <c r="J3575">
        <v>6622.65</v>
      </c>
      <c r="K3575">
        <v>1000000</v>
      </c>
    </row>
    <row r="3576" spans="1:11" ht="15" customHeight="1" x14ac:dyDescent="0.2">
      <c r="A3576" t="s">
        <v>5289</v>
      </c>
      <c r="B3576" t="s">
        <v>9031</v>
      </c>
      <c r="C3576">
        <v>2024</v>
      </c>
      <c r="D3576">
        <v>2024</v>
      </c>
      <c r="E3576" s="7">
        <v>45544</v>
      </c>
      <c r="F3576" s="7">
        <v>45908</v>
      </c>
      <c r="G3576" t="s">
        <v>135</v>
      </c>
      <c r="H3576" t="s">
        <v>116</v>
      </c>
      <c r="I3576" t="s">
        <v>104</v>
      </c>
      <c r="J3576">
        <v>5326.74</v>
      </c>
      <c r="K3576">
        <v>1000000</v>
      </c>
    </row>
    <row r="3577" spans="1:11" ht="15" customHeight="1" x14ac:dyDescent="0.2">
      <c r="A3577" t="s">
        <v>5290</v>
      </c>
      <c r="B3577" t="s">
        <v>599</v>
      </c>
      <c r="C3577">
        <v>2024</v>
      </c>
      <c r="D3577">
        <v>2024</v>
      </c>
      <c r="E3577" s="7">
        <v>45544</v>
      </c>
      <c r="F3577" s="7">
        <v>45908</v>
      </c>
      <c r="G3577" t="s">
        <v>135</v>
      </c>
      <c r="H3577" t="s">
        <v>102</v>
      </c>
      <c r="I3577" t="s">
        <v>101</v>
      </c>
      <c r="J3577">
        <v>14498.57</v>
      </c>
      <c r="K3577">
        <v>2000000</v>
      </c>
    </row>
    <row r="3578" spans="1:11" ht="15" customHeight="1" x14ac:dyDescent="0.2">
      <c r="A3578" t="s">
        <v>5291</v>
      </c>
      <c r="B3578" t="s">
        <v>6929</v>
      </c>
      <c r="C3578">
        <v>2024</v>
      </c>
      <c r="D3578">
        <v>2024</v>
      </c>
      <c r="E3578" s="7">
        <v>45544</v>
      </c>
      <c r="F3578" s="7">
        <v>45908</v>
      </c>
      <c r="G3578" t="s">
        <v>135</v>
      </c>
      <c r="H3578" t="s">
        <v>112</v>
      </c>
      <c r="I3578" t="s">
        <v>101</v>
      </c>
      <c r="J3578">
        <v>9498.8799999999992</v>
      </c>
      <c r="K3578">
        <v>1000000</v>
      </c>
    </row>
    <row r="3579" spans="1:11" ht="15" customHeight="1" x14ac:dyDescent="0.2">
      <c r="A3579" t="s">
        <v>5292</v>
      </c>
      <c r="B3579" t="s">
        <v>9032</v>
      </c>
      <c r="C3579">
        <v>2024</v>
      </c>
      <c r="D3579">
        <v>2024</v>
      </c>
      <c r="E3579" s="7">
        <v>45544</v>
      </c>
      <c r="F3579" s="7">
        <v>45908</v>
      </c>
      <c r="G3579" t="s">
        <v>135</v>
      </c>
      <c r="H3579" t="s">
        <v>108</v>
      </c>
      <c r="I3579" t="s">
        <v>101</v>
      </c>
      <c r="J3579">
        <v>13260.19</v>
      </c>
      <c r="K3579">
        <v>1500000</v>
      </c>
    </row>
    <row r="3580" spans="1:11" ht="15" customHeight="1" x14ac:dyDescent="0.2">
      <c r="A3580" t="s">
        <v>5293</v>
      </c>
      <c r="B3580" t="s">
        <v>9033</v>
      </c>
      <c r="C3580">
        <v>2024</v>
      </c>
      <c r="D3580">
        <v>2024</v>
      </c>
      <c r="E3580" s="7">
        <v>45544</v>
      </c>
      <c r="F3580" s="7">
        <v>45908</v>
      </c>
      <c r="G3580" t="s">
        <v>135</v>
      </c>
      <c r="H3580" t="s">
        <v>108</v>
      </c>
      <c r="I3580" t="s">
        <v>101</v>
      </c>
      <c r="J3580">
        <v>9664.57</v>
      </c>
      <c r="K3580">
        <v>1000000</v>
      </c>
    </row>
    <row r="3581" spans="1:11" ht="15" customHeight="1" x14ac:dyDescent="0.2">
      <c r="A3581" t="s">
        <v>5294</v>
      </c>
      <c r="B3581" t="s">
        <v>9034</v>
      </c>
      <c r="C3581">
        <v>2024</v>
      </c>
      <c r="D3581">
        <v>2024</v>
      </c>
      <c r="E3581" s="7">
        <v>45544</v>
      </c>
      <c r="F3581" s="7">
        <v>45908</v>
      </c>
      <c r="G3581" t="s">
        <v>135</v>
      </c>
      <c r="H3581" t="s">
        <v>108</v>
      </c>
      <c r="I3581" t="s">
        <v>101</v>
      </c>
      <c r="J3581">
        <v>9701.7099999999991</v>
      </c>
      <c r="K3581">
        <v>1000000</v>
      </c>
    </row>
    <row r="3582" spans="1:11" ht="15" customHeight="1" x14ac:dyDescent="0.2">
      <c r="A3582" t="s">
        <v>5295</v>
      </c>
      <c r="B3582" t="s">
        <v>6932</v>
      </c>
      <c r="C3582">
        <v>2024</v>
      </c>
      <c r="D3582">
        <v>2024</v>
      </c>
      <c r="E3582" s="7">
        <v>45544</v>
      </c>
      <c r="F3582" s="7">
        <v>45908</v>
      </c>
      <c r="G3582" t="s">
        <v>135</v>
      </c>
      <c r="H3582" t="s">
        <v>109</v>
      </c>
      <c r="I3582" t="s">
        <v>101</v>
      </c>
      <c r="J3582">
        <v>33154.129999999997</v>
      </c>
      <c r="K3582">
        <v>5000000</v>
      </c>
    </row>
    <row r="3583" spans="1:11" ht="15" customHeight="1" x14ac:dyDescent="0.2">
      <c r="A3583" t="s">
        <v>5296</v>
      </c>
      <c r="B3583" t="s">
        <v>217</v>
      </c>
      <c r="C3583">
        <v>2024</v>
      </c>
      <c r="D3583">
        <v>2024</v>
      </c>
      <c r="E3583" s="7">
        <v>45544</v>
      </c>
      <c r="F3583" s="7">
        <v>45908</v>
      </c>
      <c r="G3583" t="s">
        <v>135</v>
      </c>
      <c r="H3583" t="s">
        <v>107</v>
      </c>
      <c r="I3583" t="s">
        <v>104</v>
      </c>
      <c r="J3583">
        <v>11827.22</v>
      </c>
      <c r="K3583">
        <v>2000000</v>
      </c>
    </row>
    <row r="3584" spans="1:11" ht="15" customHeight="1" x14ac:dyDescent="0.2">
      <c r="A3584" t="s">
        <v>5297</v>
      </c>
      <c r="B3584" t="s">
        <v>9035</v>
      </c>
      <c r="C3584">
        <v>2024</v>
      </c>
      <c r="D3584">
        <v>2024</v>
      </c>
      <c r="E3584" s="7">
        <v>45544</v>
      </c>
      <c r="F3584" s="7">
        <v>45908</v>
      </c>
      <c r="G3584" t="s">
        <v>135</v>
      </c>
      <c r="H3584" t="s">
        <v>108</v>
      </c>
      <c r="I3584" t="s">
        <v>104</v>
      </c>
      <c r="J3584">
        <v>10589.51</v>
      </c>
      <c r="K3584">
        <v>1500000</v>
      </c>
    </row>
    <row r="3585" spans="1:11" ht="15" customHeight="1" x14ac:dyDescent="0.2">
      <c r="A3585" t="s">
        <v>5298</v>
      </c>
      <c r="B3585" t="s">
        <v>9036</v>
      </c>
      <c r="C3585">
        <v>2024</v>
      </c>
      <c r="D3585">
        <v>2024</v>
      </c>
      <c r="E3585" s="7">
        <v>45544</v>
      </c>
      <c r="F3585" s="7">
        <v>45908</v>
      </c>
      <c r="G3585" t="s">
        <v>135</v>
      </c>
      <c r="H3585" t="s">
        <v>115</v>
      </c>
      <c r="I3585" t="s">
        <v>101</v>
      </c>
      <c r="J3585">
        <v>7693.84</v>
      </c>
      <c r="K3585">
        <v>1000000</v>
      </c>
    </row>
    <row r="3586" spans="1:11" ht="15" customHeight="1" x14ac:dyDescent="0.2">
      <c r="A3586" t="s">
        <v>5299</v>
      </c>
      <c r="B3586" t="s">
        <v>1000</v>
      </c>
      <c r="C3586">
        <v>2024</v>
      </c>
      <c r="D3586">
        <v>2024</v>
      </c>
      <c r="E3586" s="7">
        <v>45544</v>
      </c>
      <c r="F3586" s="7">
        <v>45908</v>
      </c>
      <c r="G3586" t="s">
        <v>135</v>
      </c>
      <c r="H3586" t="s">
        <v>102</v>
      </c>
      <c r="I3586" t="s">
        <v>101</v>
      </c>
      <c r="J3586">
        <v>39265.54</v>
      </c>
      <c r="K3586">
        <v>5000000</v>
      </c>
    </row>
    <row r="3587" spans="1:11" ht="15" customHeight="1" x14ac:dyDescent="0.2">
      <c r="A3587" t="s">
        <v>5300</v>
      </c>
      <c r="B3587" t="s">
        <v>4012</v>
      </c>
      <c r="C3587">
        <v>2024</v>
      </c>
      <c r="D3587">
        <v>2024</v>
      </c>
      <c r="E3587" s="7">
        <v>45545</v>
      </c>
      <c r="F3587" s="7">
        <v>45909</v>
      </c>
      <c r="G3587" t="s">
        <v>99</v>
      </c>
      <c r="H3587" t="s">
        <v>102</v>
      </c>
      <c r="I3587" t="s">
        <v>104</v>
      </c>
      <c r="J3587">
        <v>52483.88</v>
      </c>
      <c r="K3587">
        <v>10000000</v>
      </c>
    </row>
    <row r="3588" spans="1:11" ht="15" customHeight="1" x14ac:dyDescent="0.2">
      <c r="A3588" t="s">
        <v>5301</v>
      </c>
      <c r="B3588" t="s">
        <v>1002</v>
      </c>
      <c r="C3588">
        <v>2024</v>
      </c>
      <c r="D3588">
        <v>2024</v>
      </c>
      <c r="E3588" s="7">
        <v>45545</v>
      </c>
      <c r="F3588" s="7">
        <v>45909</v>
      </c>
      <c r="G3588" t="s">
        <v>135</v>
      </c>
      <c r="H3588" t="s">
        <v>107</v>
      </c>
      <c r="I3588" t="s">
        <v>104</v>
      </c>
      <c r="J3588">
        <v>59648.12</v>
      </c>
      <c r="K3588">
        <v>10000000</v>
      </c>
    </row>
    <row r="3589" spans="1:11" ht="15" customHeight="1" x14ac:dyDescent="0.2">
      <c r="A3589" t="s">
        <v>5302</v>
      </c>
      <c r="B3589" t="s">
        <v>9037</v>
      </c>
      <c r="C3589">
        <v>2024</v>
      </c>
      <c r="D3589">
        <v>2024</v>
      </c>
      <c r="E3589" s="7">
        <v>45545</v>
      </c>
      <c r="F3589" s="7">
        <v>45909</v>
      </c>
      <c r="G3589" t="s">
        <v>135</v>
      </c>
      <c r="H3589" t="s">
        <v>107</v>
      </c>
      <c r="I3589" t="s">
        <v>104</v>
      </c>
      <c r="J3589">
        <v>5957.9</v>
      </c>
      <c r="K3589">
        <v>1000000</v>
      </c>
    </row>
    <row r="3590" spans="1:11" ht="15" customHeight="1" x14ac:dyDescent="0.2">
      <c r="A3590" t="s">
        <v>5303</v>
      </c>
      <c r="B3590" t="s">
        <v>9038</v>
      </c>
      <c r="C3590">
        <v>2024</v>
      </c>
      <c r="D3590">
        <v>2024</v>
      </c>
      <c r="E3590" s="7">
        <v>45545</v>
      </c>
      <c r="F3590" s="7">
        <v>45909</v>
      </c>
      <c r="G3590" t="s">
        <v>135</v>
      </c>
      <c r="H3590" t="s">
        <v>106</v>
      </c>
      <c r="I3590" t="s">
        <v>104</v>
      </c>
      <c r="J3590">
        <v>67836.429999999993</v>
      </c>
      <c r="K3590">
        <v>10000000</v>
      </c>
    </row>
    <row r="3591" spans="1:11" ht="15" customHeight="1" x14ac:dyDescent="0.2">
      <c r="A3591" t="s">
        <v>5304</v>
      </c>
      <c r="B3591" t="s">
        <v>7059</v>
      </c>
      <c r="C3591">
        <v>2024</v>
      </c>
      <c r="D3591">
        <v>2024</v>
      </c>
      <c r="E3591" s="7">
        <v>45545</v>
      </c>
      <c r="F3591" s="7">
        <v>45909</v>
      </c>
      <c r="G3591" t="s">
        <v>135</v>
      </c>
      <c r="H3591" t="s">
        <v>6337</v>
      </c>
      <c r="I3591" t="s">
        <v>101</v>
      </c>
      <c r="J3591">
        <v>14972.13</v>
      </c>
      <c r="K3591">
        <v>2000000</v>
      </c>
    </row>
    <row r="3592" spans="1:11" ht="15" customHeight="1" x14ac:dyDescent="0.2">
      <c r="A3592" t="s">
        <v>5305</v>
      </c>
      <c r="B3592" t="s">
        <v>9039</v>
      </c>
      <c r="C3592">
        <v>2024</v>
      </c>
      <c r="D3592">
        <v>2024</v>
      </c>
      <c r="E3592" s="7">
        <v>45545</v>
      </c>
      <c r="F3592" s="7">
        <v>45909</v>
      </c>
      <c r="G3592" t="s">
        <v>135</v>
      </c>
      <c r="H3592" t="s">
        <v>113</v>
      </c>
      <c r="I3592" t="s">
        <v>101</v>
      </c>
      <c r="J3592">
        <v>6979.62</v>
      </c>
      <c r="K3592">
        <v>1000000</v>
      </c>
    </row>
    <row r="3593" spans="1:11" ht="15" customHeight="1" x14ac:dyDescent="0.2">
      <c r="A3593" t="s">
        <v>5306</v>
      </c>
      <c r="B3593" t="s">
        <v>1001</v>
      </c>
      <c r="C3593">
        <v>2024</v>
      </c>
      <c r="D3593">
        <v>2024</v>
      </c>
      <c r="E3593" s="7">
        <v>45545</v>
      </c>
      <c r="F3593" s="7">
        <v>45909</v>
      </c>
      <c r="G3593" t="s">
        <v>135</v>
      </c>
      <c r="H3593" t="s">
        <v>105</v>
      </c>
      <c r="I3593" t="s">
        <v>104</v>
      </c>
      <c r="J3593">
        <v>6244.74</v>
      </c>
      <c r="K3593">
        <v>1000000</v>
      </c>
    </row>
    <row r="3594" spans="1:11" ht="15" customHeight="1" x14ac:dyDescent="0.2">
      <c r="A3594" t="s">
        <v>5307</v>
      </c>
      <c r="B3594" t="s">
        <v>9040</v>
      </c>
      <c r="C3594">
        <v>2024</v>
      </c>
      <c r="D3594">
        <v>2024</v>
      </c>
      <c r="E3594" s="7">
        <v>45545</v>
      </c>
      <c r="F3594" s="7">
        <v>45909</v>
      </c>
      <c r="G3594" t="s">
        <v>135</v>
      </c>
      <c r="H3594" t="s">
        <v>110</v>
      </c>
      <c r="I3594" t="s">
        <v>101</v>
      </c>
      <c r="J3594">
        <v>9725.52</v>
      </c>
      <c r="K3594">
        <v>1000000</v>
      </c>
    </row>
    <row r="3595" spans="1:11" ht="15" customHeight="1" x14ac:dyDescent="0.2">
      <c r="A3595" t="s">
        <v>5308</v>
      </c>
      <c r="B3595" t="s">
        <v>601</v>
      </c>
      <c r="C3595">
        <v>2024</v>
      </c>
      <c r="D3595">
        <v>2024</v>
      </c>
      <c r="E3595" s="7">
        <v>45545</v>
      </c>
      <c r="F3595" s="7">
        <v>45909</v>
      </c>
      <c r="G3595" t="s">
        <v>135</v>
      </c>
      <c r="H3595" t="s">
        <v>109</v>
      </c>
      <c r="I3595" t="s">
        <v>101</v>
      </c>
      <c r="J3595">
        <v>37128.089999999997</v>
      </c>
      <c r="K3595">
        <v>5000000</v>
      </c>
    </row>
    <row r="3596" spans="1:11" ht="15" customHeight="1" x14ac:dyDescent="0.2">
      <c r="A3596" t="s">
        <v>5309</v>
      </c>
      <c r="B3596" t="s">
        <v>1003</v>
      </c>
      <c r="C3596">
        <v>2024</v>
      </c>
      <c r="D3596">
        <v>2024</v>
      </c>
      <c r="E3596" s="7">
        <v>45545</v>
      </c>
      <c r="F3596" s="7">
        <v>45909</v>
      </c>
      <c r="G3596" t="s">
        <v>135</v>
      </c>
      <c r="H3596" t="s">
        <v>106</v>
      </c>
      <c r="I3596" t="s">
        <v>104</v>
      </c>
      <c r="J3596">
        <v>6702.39</v>
      </c>
      <c r="K3596">
        <v>1000000</v>
      </c>
    </row>
    <row r="3597" spans="1:11" ht="15" customHeight="1" x14ac:dyDescent="0.2">
      <c r="A3597" t="s">
        <v>5310</v>
      </c>
      <c r="B3597" t="s">
        <v>376</v>
      </c>
      <c r="C3597">
        <v>2024</v>
      </c>
      <c r="D3597">
        <v>2024</v>
      </c>
      <c r="E3597" s="7">
        <v>45545</v>
      </c>
      <c r="F3597" s="7">
        <v>45909</v>
      </c>
      <c r="G3597" t="s">
        <v>135</v>
      </c>
      <c r="H3597" t="s">
        <v>115</v>
      </c>
      <c r="I3597" t="s">
        <v>101</v>
      </c>
      <c r="J3597">
        <v>6920.07</v>
      </c>
      <c r="K3597">
        <v>1000000</v>
      </c>
    </row>
    <row r="3598" spans="1:11" ht="15" customHeight="1" x14ac:dyDescent="0.2">
      <c r="A3598" t="s">
        <v>5311</v>
      </c>
      <c r="B3598" t="s">
        <v>9041</v>
      </c>
      <c r="C3598">
        <v>2024</v>
      </c>
      <c r="D3598">
        <v>2024</v>
      </c>
      <c r="E3598" s="7">
        <v>45545</v>
      </c>
      <c r="F3598" s="7">
        <v>45909</v>
      </c>
      <c r="G3598" t="s">
        <v>135</v>
      </c>
      <c r="H3598" t="s">
        <v>106</v>
      </c>
      <c r="I3598" t="s">
        <v>104</v>
      </c>
      <c r="J3598">
        <v>6772.62</v>
      </c>
      <c r="K3598">
        <v>1000000</v>
      </c>
    </row>
    <row r="3599" spans="1:11" ht="15" customHeight="1" x14ac:dyDescent="0.2">
      <c r="A3599" t="s">
        <v>5312</v>
      </c>
      <c r="B3599" t="s">
        <v>4021</v>
      </c>
      <c r="C3599">
        <v>2024</v>
      </c>
      <c r="D3599">
        <v>2024</v>
      </c>
      <c r="E3599" s="7">
        <v>45546</v>
      </c>
      <c r="F3599" s="7">
        <v>45910</v>
      </c>
      <c r="G3599" t="s">
        <v>99</v>
      </c>
      <c r="H3599" t="s">
        <v>109</v>
      </c>
      <c r="I3599" t="s">
        <v>104</v>
      </c>
      <c r="J3599">
        <v>5367.85</v>
      </c>
      <c r="K3599">
        <v>1000000</v>
      </c>
    </row>
    <row r="3600" spans="1:11" ht="15" customHeight="1" x14ac:dyDescent="0.2">
      <c r="A3600" t="s">
        <v>5313</v>
      </c>
      <c r="B3600" t="s">
        <v>4023</v>
      </c>
      <c r="C3600">
        <v>2024</v>
      </c>
      <c r="D3600">
        <v>2024</v>
      </c>
      <c r="E3600" s="7">
        <v>45546</v>
      </c>
      <c r="F3600" s="7">
        <v>45910</v>
      </c>
      <c r="G3600" t="s">
        <v>99</v>
      </c>
      <c r="H3600" t="s">
        <v>109</v>
      </c>
      <c r="I3600" t="s">
        <v>101</v>
      </c>
      <c r="J3600">
        <v>7118.07</v>
      </c>
      <c r="K3600">
        <v>1000000</v>
      </c>
    </row>
    <row r="3601" spans="1:11" ht="15" customHeight="1" x14ac:dyDescent="0.2">
      <c r="A3601" t="s">
        <v>5314</v>
      </c>
      <c r="B3601" t="s">
        <v>4034</v>
      </c>
      <c r="C3601">
        <v>2024</v>
      </c>
      <c r="D3601">
        <v>2024</v>
      </c>
      <c r="E3601" s="7">
        <v>45546</v>
      </c>
      <c r="F3601" s="7">
        <v>45910</v>
      </c>
      <c r="G3601" t="s">
        <v>99</v>
      </c>
      <c r="H3601" t="s">
        <v>106</v>
      </c>
      <c r="I3601" t="s">
        <v>101</v>
      </c>
      <c r="J3601">
        <v>42106.53</v>
      </c>
      <c r="K3601">
        <v>5000000</v>
      </c>
    </row>
    <row r="3602" spans="1:11" ht="15" customHeight="1" x14ac:dyDescent="0.2">
      <c r="A3602" t="s">
        <v>5315</v>
      </c>
      <c r="B3602" t="s">
        <v>4036</v>
      </c>
      <c r="C3602">
        <v>2024</v>
      </c>
      <c r="D3602">
        <v>2024</v>
      </c>
      <c r="E3602" s="7">
        <v>45546</v>
      </c>
      <c r="F3602" s="7">
        <v>45910</v>
      </c>
      <c r="G3602" t="s">
        <v>99</v>
      </c>
      <c r="H3602" t="s">
        <v>107</v>
      </c>
      <c r="I3602" t="s">
        <v>101</v>
      </c>
      <c r="J3602">
        <v>7818.26</v>
      </c>
      <c r="K3602">
        <v>1000000</v>
      </c>
    </row>
    <row r="3603" spans="1:11" ht="15" customHeight="1" x14ac:dyDescent="0.2">
      <c r="A3603" t="s">
        <v>5316</v>
      </c>
      <c r="B3603" t="s">
        <v>6935</v>
      </c>
      <c r="C3603">
        <v>2024</v>
      </c>
      <c r="D3603">
        <v>2024</v>
      </c>
      <c r="E3603" s="7">
        <v>45546</v>
      </c>
      <c r="F3603" s="7">
        <v>45910</v>
      </c>
      <c r="G3603" t="s">
        <v>135</v>
      </c>
      <c r="H3603" t="s">
        <v>102</v>
      </c>
      <c r="I3603" t="s">
        <v>101</v>
      </c>
      <c r="J3603">
        <v>11808.12</v>
      </c>
      <c r="K3603">
        <v>1500000</v>
      </c>
    </row>
    <row r="3604" spans="1:11" ht="15" customHeight="1" x14ac:dyDescent="0.2">
      <c r="A3604" t="s">
        <v>5317</v>
      </c>
      <c r="B3604" t="s">
        <v>6942</v>
      </c>
      <c r="C3604">
        <v>2024</v>
      </c>
      <c r="D3604">
        <v>2024</v>
      </c>
      <c r="E3604" s="7">
        <v>45546</v>
      </c>
      <c r="F3604" s="7">
        <v>45910</v>
      </c>
      <c r="G3604" t="s">
        <v>135</v>
      </c>
      <c r="H3604" t="s">
        <v>6332</v>
      </c>
      <c r="I3604" t="s">
        <v>101</v>
      </c>
      <c r="J3604">
        <v>33566.01</v>
      </c>
      <c r="K3604">
        <v>5000000</v>
      </c>
    </row>
    <row r="3605" spans="1:11" ht="15" customHeight="1" x14ac:dyDescent="0.2">
      <c r="A3605" t="s">
        <v>5318</v>
      </c>
      <c r="B3605" t="s">
        <v>602</v>
      </c>
      <c r="C3605">
        <v>2024</v>
      </c>
      <c r="D3605">
        <v>2024</v>
      </c>
      <c r="E3605" s="7">
        <v>45546</v>
      </c>
      <c r="F3605" s="7">
        <v>45910</v>
      </c>
      <c r="G3605" t="s">
        <v>135</v>
      </c>
      <c r="H3605" t="s">
        <v>110</v>
      </c>
      <c r="I3605" t="s">
        <v>101</v>
      </c>
      <c r="J3605">
        <v>9793.9699999999993</v>
      </c>
      <c r="K3605">
        <v>1000000</v>
      </c>
    </row>
    <row r="3606" spans="1:11" ht="15" customHeight="1" x14ac:dyDescent="0.2">
      <c r="A3606" t="s">
        <v>5319</v>
      </c>
      <c r="B3606" t="s">
        <v>9042</v>
      </c>
      <c r="C3606">
        <v>2024</v>
      </c>
      <c r="D3606">
        <v>2024</v>
      </c>
      <c r="E3606" s="7">
        <v>45546</v>
      </c>
      <c r="F3606" s="7">
        <v>45910</v>
      </c>
      <c r="G3606" t="s">
        <v>135</v>
      </c>
      <c r="H3606" t="s">
        <v>102</v>
      </c>
      <c r="I3606" t="s">
        <v>101</v>
      </c>
      <c r="J3606">
        <v>11077.45</v>
      </c>
      <c r="K3606">
        <v>1500000</v>
      </c>
    </row>
    <row r="3607" spans="1:11" ht="15" customHeight="1" x14ac:dyDescent="0.2">
      <c r="A3607" t="s">
        <v>5320</v>
      </c>
      <c r="B3607" t="s">
        <v>6941</v>
      </c>
      <c r="C3607">
        <v>2024</v>
      </c>
      <c r="D3607">
        <v>2024</v>
      </c>
      <c r="E3607" s="7">
        <v>45546</v>
      </c>
      <c r="F3607" s="7">
        <v>45910</v>
      </c>
      <c r="G3607" t="s">
        <v>135</v>
      </c>
      <c r="H3607" t="s">
        <v>102</v>
      </c>
      <c r="I3607" t="s">
        <v>104</v>
      </c>
      <c r="J3607">
        <v>5374.31</v>
      </c>
      <c r="K3607">
        <v>1000000</v>
      </c>
    </row>
    <row r="3608" spans="1:11" ht="15" customHeight="1" x14ac:dyDescent="0.2">
      <c r="A3608" t="s">
        <v>5321</v>
      </c>
      <c r="B3608" t="s">
        <v>9043</v>
      </c>
      <c r="C3608">
        <v>2024</v>
      </c>
      <c r="D3608">
        <v>2024</v>
      </c>
      <c r="E3608" s="7">
        <v>45546</v>
      </c>
      <c r="F3608" s="7">
        <v>45910</v>
      </c>
      <c r="G3608" t="s">
        <v>135</v>
      </c>
      <c r="H3608" t="s">
        <v>108</v>
      </c>
      <c r="I3608" t="s">
        <v>101</v>
      </c>
      <c r="J3608">
        <v>4639.67</v>
      </c>
      <c r="K3608">
        <v>500000</v>
      </c>
    </row>
    <row r="3609" spans="1:11" ht="15" customHeight="1" x14ac:dyDescent="0.2">
      <c r="A3609" t="s">
        <v>5322</v>
      </c>
      <c r="B3609" t="s">
        <v>603</v>
      </c>
      <c r="C3609">
        <v>2024</v>
      </c>
      <c r="D3609">
        <v>2024</v>
      </c>
      <c r="E3609" s="7">
        <v>45546</v>
      </c>
      <c r="F3609" s="7">
        <v>45910</v>
      </c>
      <c r="G3609" t="s">
        <v>135</v>
      </c>
      <c r="H3609" t="s">
        <v>102</v>
      </c>
      <c r="I3609" t="s">
        <v>101</v>
      </c>
      <c r="J3609">
        <v>14197.1</v>
      </c>
      <c r="K3609">
        <v>2000000</v>
      </c>
    </row>
    <row r="3610" spans="1:11" ht="15" customHeight="1" x14ac:dyDescent="0.2">
      <c r="A3610" t="s">
        <v>5323</v>
      </c>
      <c r="B3610" t="s">
        <v>9044</v>
      </c>
      <c r="C3610">
        <v>2024</v>
      </c>
      <c r="D3610">
        <v>2024</v>
      </c>
      <c r="E3610" s="7">
        <v>45546</v>
      </c>
      <c r="F3610" s="7">
        <v>45910</v>
      </c>
      <c r="G3610" t="s">
        <v>135</v>
      </c>
      <c r="H3610" t="s">
        <v>102</v>
      </c>
      <c r="I3610" t="s">
        <v>101</v>
      </c>
      <c r="J3610">
        <v>6830.28</v>
      </c>
      <c r="K3610">
        <v>1000000</v>
      </c>
    </row>
    <row r="3611" spans="1:11" ht="15" customHeight="1" x14ac:dyDescent="0.2">
      <c r="A3611" t="s">
        <v>5324</v>
      </c>
      <c r="B3611" t="s">
        <v>7032</v>
      </c>
      <c r="C3611">
        <v>2024</v>
      </c>
      <c r="D3611">
        <v>2024</v>
      </c>
      <c r="E3611" s="7">
        <v>45546</v>
      </c>
      <c r="F3611" s="7">
        <v>45910</v>
      </c>
      <c r="G3611" t="s">
        <v>135</v>
      </c>
      <c r="H3611" t="s">
        <v>107</v>
      </c>
      <c r="I3611" t="s">
        <v>104</v>
      </c>
      <c r="J3611">
        <v>58266.11</v>
      </c>
      <c r="K3611">
        <v>10000000</v>
      </c>
    </row>
    <row r="3612" spans="1:11" ht="15" customHeight="1" x14ac:dyDescent="0.2">
      <c r="A3612" t="s">
        <v>5325</v>
      </c>
      <c r="B3612" t="s">
        <v>4045</v>
      </c>
      <c r="C3612">
        <v>2024</v>
      </c>
      <c r="D3612">
        <v>2024</v>
      </c>
      <c r="E3612" s="7">
        <v>45547</v>
      </c>
      <c r="F3612" s="7">
        <v>45911</v>
      </c>
      <c r="G3612" t="s">
        <v>99</v>
      </c>
      <c r="H3612" t="s">
        <v>102</v>
      </c>
      <c r="I3612" t="s">
        <v>104</v>
      </c>
      <c r="J3612">
        <v>9119.36</v>
      </c>
      <c r="K3612">
        <v>1500000</v>
      </c>
    </row>
    <row r="3613" spans="1:11" ht="15" customHeight="1" x14ac:dyDescent="0.2">
      <c r="A3613" t="s">
        <v>5326</v>
      </c>
      <c r="B3613" t="s">
        <v>4047</v>
      </c>
      <c r="C3613">
        <v>2024</v>
      </c>
      <c r="D3613">
        <v>2024</v>
      </c>
      <c r="E3613" s="7">
        <v>45547</v>
      </c>
      <c r="F3613" s="7">
        <v>45911</v>
      </c>
      <c r="G3613" t="s">
        <v>99</v>
      </c>
      <c r="H3613" t="s">
        <v>107</v>
      </c>
      <c r="I3613" t="s">
        <v>104</v>
      </c>
      <c r="J3613">
        <v>5309.36</v>
      </c>
      <c r="K3613">
        <v>1000000</v>
      </c>
    </row>
    <row r="3614" spans="1:11" ht="15" customHeight="1" x14ac:dyDescent="0.2">
      <c r="A3614" t="s">
        <v>5327</v>
      </c>
      <c r="B3614" t="s">
        <v>9045</v>
      </c>
      <c r="C3614">
        <v>2024</v>
      </c>
      <c r="D3614">
        <v>2024</v>
      </c>
      <c r="E3614" s="7">
        <v>45547</v>
      </c>
      <c r="F3614" s="7">
        <v>45911</v>
      </c>
      <c r="G3614" t="s">
        <v>135</v>
      </c>
      <c r="H3614" t="s">
        <v>113</v>
      </c>
      <c r="I3614" t="s">
        <v>104</v>
      </c>
      <c r="J3614">
        <v>5558.43</v>
      </c>
      <c r="K3614">
        <v>1000000</v>
      </c>
    </row>
    <row r="3615" spans="1:11" ht="15" customHeight="1" x14ac:dyDescent="0.2">
      <c r="A3615" t="s">
        <v>5328</v>
      </c>
      <c r="B3615" t="s">
        <v>9046</v>
      </c>
      <c r="C3615">
        <v>2024</v>
      </c>
      <c r="D3615">
        <v>2024</v>
      </c>
      <c r="E3615" s="7">
        <v>45547</v>
      </c>
      <c r="F3615" s="7">
        <v>45911</v>
      </c>
      <c r="G3615" t="s">
        <v>135</v>
      </c>
      <c r="H3615" t="s">
        <v>113</v>
      </c>
      <c r="I3615" t="s">
        <v>104</v>
      </c>
      <c r="J3615">
        <v>11032.54</v>
      </c>
      <c r="K3615">
        <v>2000000</v>
      </c>
    </row>
    <row r="3616" spans="1:11" ht="15" customHeight="1" x14ac:dyDescent="0.2">
      <c r="A3616" t="s">
        <v>5329</v>
      </c>
      <c r="B3616" t="s">
        <v>9047</v>
      </c>
      <c r="C3616">
        <v>2024</v>
      </c>
      <c r="D3616">
        <v>2024</v>
      </c>
      <c r="E3616" s="7">
        <v>45547</v>
      </c>
      <c r="F3616" s="7">
        <v>45911</v>
      </c>
      <c r="G3616" t="s">
        <v>135</v>
      </c>
      <c r="H3616" t="s">
        <v>107</v>
      </c>
      <c r="I3616" t="s">
        <v>104</v>
      </c>
      <c r="J3616">
        <v>9188.41</v>
      </c>
      <c r="K3616">
        <v>1500000</v>
      </c>
    </row>
    <row r="3617" spans="1:11" ht="15" customHeight="1" x14ac:dyDescent="0.2">
      <c r="A3617" t="s">
        <v>5330</v>
      </c>
      <c r="B3617" t="s">
        <v>1005</v>
      </c>
      <c r="C3617">
        <v>2024</v>
      </c>
      <c r="D3617">
        <v>2024</v>
      </c>
      <c r="E3617" s="7">
        <v>45547</v>
      </c>
      <c r="F3617" s="7">
        <v>45911</v>
      </c>
      <c r="G3617" t="s">
        <v>135</v>
      </c>
      <c r="H3617" t="s">
        <v>105</v>
      </c>
      <c r="I3617" t="s">
        <v>101</v>
      </c>
      <c r="J3617">
        <v>33802.11</v>
      </c>
      <c r="K3617">
        <v>5000000</v>
      </c>
    </row>
    <row r="3618" spans="1:11" ht="15" customHeight="1" x14ac:dyDescent="0.2">
      <c r="A3618" t="s">
        <v>5331</v>
      </c>
      <c r="B3618" t="s">
        <v>9048</v>
      </c>
      <c r="C3618">
        <v>2024</v>
      </c>
      <c r="D3618">
        <v>2024</v>
      </c>
      <c r="E3618" s="7">
        <v>45547</v>
      </c>
      <c r="F3618" s="7">
        <v>45911</v>
      </c>
      <c r="G3618" t="s">
        <v>135</v>
      </c>
      <c r="H3618" t="s">
        <v>106</v>
      </c>
      <c r="I3618" t="s">
        <v>104</v>
      </c>
      <c r="J3618">
        <v>14645.04</v>
      </c>
      <c r="K3618">
        <v>2000000</v>
      </c>
    </row>
    <row r="3619" spans="1:11" ht="15" customHeight="1" x14ac:dyDescent="0.2">
      <c r="A3619" t="s">
        <v>5332</v>
      </c>
      <c r="B3619" t="s">
        <v>9049</v>
      </c>
      <c r="C3619">
        <v>2024</v>
      </c>
      <c r="D3619">
        <v>2024</v>
      </c>
      <c r="E3619" s="7">
        <v>45547</v>
      </c>
      <c r="F3619" s="7">
        <v>45911</v>
      </c>
      <c r="G3619" t="s">
        <v>135</v>
      </c>
      <c r="H3619" t="s">
        <v>115</v>
      </c>
      <c r="I3619" t="s">
        <v>101</v>
      </c>
      <c r="J3619">
        <v>11425.6</v>
      </c>
      <c r="K3619">
        <v>1500000</v>
      </c>
    </row>
    <row r="3620" spans="1:11" ht="15" customHeight="1" x14ac:dyDescent="0.2">
      <c r="A3620" t="s">
        <v>5333</v>
      </c>
      <c r="B3620" t="s">
        <v>1004</v>
      </c>
      <c r="C3620">
        <v>2024</v>
      </c>
      <c r="D3620">
        <v>2024</v>
      </c>
      <c r="E3620" s="7">
        <v>45547</v>
      </c>
      <c r="F3620" s="7">
        <v>45911</v>
      </c>
      <c r="G3620" t="s">
        <v>135</v>
      </c>
      <c r="H3620" t="s">
        <v>105</v>
      </c>
      <c r="I3620" t="s">
        <v>104</v>
      </c>
      <c r="J3620">
        <v>58013.46</v>
      </c>
      <c r="K3620">
        <v>10000000</v>
      </c>
    </row>
    <row r="3621" spans="1:11" ht="15" customHeight="1" x14ac:dyDescent="0.2">
      <c r="A3621" t="s">
        <v>5334</v>
      </c>
      <c r="B3621" t="s">
        <v>4055</v>
      </c>
      <c r="C3621">
        <v>2024</v>
      </c>
      <c r="D3621">
        <v>2024</v>
      </c>
      <c r="E3621" s="7">
        <v>45548</v>
      </c>
      <c r="F3621" s="7">
        <v>45912</v>
      </c>
      <c r="G3621" t="s">
        <v>99</v>
      </c>
      <c r="H3621" t="s">
        <v>102</v>
      </c>
      <c r="I3621" t="s">
        <v>101</v>
      </c>
      <c r="J3621">
        <v>10969.44</v>
      </c>
      <c r="K3621">
        <v>1500000</v>
      </c>
    </row>
    <row r="3622" spans="1:11" ht="15" customHeight="1" x14ac:dyDescent="0.2">
      <c r="A3622" t="s">
        <v>5335</v>
      </c>
      <c r="B3622" t="s">
        <v>4058</v>
      </c>
      <c r="C3622">
        <v>2024</v>
      </c>
      <c r="D3622">
        <v>2024</v>
      </c>
      <c r="E3622" s="7">
        <v>45548</v>
      </c>
      <c r="F3622" s="7">
        <v>45912</v>
      </c>
      <c r="G3622" t="s">
        <v>99</v>
      </c>
      <c r="H3622" t="s">
        <v>102</v>
      </c>
      <c r="I3622" t="s">
        <v>104</v>
      </c>
      <c r="J3622">
        <v>5240.33</v>
      </c>
      <c r="K3622">
        <v>1000000</v>
      </c>
    </row>
    <row r="3623" spans="1:11" ht="15" customHeight="1" x14ac:dyDescent="0.2">
      <c r="A3623" t="s">
        <v>5336</v>
      </c>
      <c r="B3623" t="s">
        <v>6952</v>
      </c>
      <c r="C3623">
        <v>2024</v>
      </c>
      <c r="D3623">
        <v>2024</v>
      </c>
      <c r="E3623" s="7">
        <v>45548</v>
      </c>
      <c r="F3623" s="7">
        <v>45912</v>
      </c>
      <c r="G3623" t="s">
        <v>135</v>
      </c>
      <c r="H3623" t="s">
        <v>105</v>
      </c>
      <c r="I3623" t="s">
        <v>101</v>
      </c>
      <c r="J3623">
        <v>10630</v>
      </c>
      <c r="K3623">
        <v>1500000</v>
      </c>
    </row>
    <row r="3624" spans="1:11" ht="15" customHeight="1" x14ac:dyDescent="0.2">
      <c r="A3624" t="s">
        <v>5337</v>
      </c>
      <c r="B3624" t="s">
        <v>7035</v>
      </c>
      <c r="C3624">
        <v>2024</v>
      </c>
      <c r="D3624">
        <v>2024</v>
      </c>
      <c r="E3624" s="7">
        <v>45548</v>
      </c>
      <c r="F3624" s="7">
        <v>45912</v>
      </c>
      <c r="G3624" t="s">
        <v>135</v>
      </c>
      <c r="H3624" t="s">
        <v>6348</v>
      </c>
      <c r="I3624" t="s">
        <v>101</v>
      </c>
      <c r="J3624">
        <v>11037.9</v>
      </c>
      <c r="K3624">
        <v>1500000</v>
      </c>
    </row>
    <row r="3625" spans="1:11" ht="15" customHeight="1" x14ac:dyDescent="0.2">
      <c r="A3625" t="s">
        <v>5338</v>
      </c>
      <c r="B3625" t="s">
        <v>1006</v>
      </c>
      <c r="C3625">
        <v>2024</v>
      </c>
      <c r="D3625">
        <v>2024</v>
      </c>
      <c r="E3625" s="7">
        <v>45548</v>
      </c>
      <c r="F3625" s="7">
        <v>45912</v>
      </c>
      <c r="G3625" t="s">
        <v>135</v>
      </c>
      <c r="H3625" t="s">
        <v>6332</v>
      </c>
      <c r="I3625" t="s">
        <v>101</v>
      </c>
      <c r="J3625">
        <v>11680.22</v>
      </c>
      <c r="K3625">
        <v>1500000</v>
      </c>
    </row>
    <row r="3626" spans="1:11" ht="15" customHeight="1" x14ac:dyDescent="0.2">
      <c r="A3626" t="s">
        <v>5339</v>
      </c>
      <c r="B3626" t="s">
        <v>1007</v>
      </c>
      <c r="C3626">
        <v>2024</v>
      </c>
      <c r="D3626">
        <v>2024</v>
      </c>
      <c r="E3626" s="7">
        <v>45548</v>
      </c>
      <c r="F3626" s="7">
        <v>45912</v>
      </c>
      <c r="G3626" t="s">
        <v>135</v>
      </c>
      <c r="H3626" t="s">
        <v>102</v>
      </c>
      <c r="I3626" t="s">
        <v>101</v>
      </c>
      <c r="J3626">
        <v>7106.04</v>
      </c>
      <c r="K3626">
        <v>1000000</v>
      </c>
    </row>
    <row r="3627" spans="1:11" ht="15" customHeight="1" x14ac:dyDescent="0.2">
      <c r="A3627" t="s">
        <v>5340</v>
      </c>
      <c r="B3627" t="s">
        <v>1009</v>
      </c>
      <c r="C3627">
        <v>2024</v>
      </c>
      <c r="D3627">
        <v>2024</v>
      </c>
      <c r="E3627" s="7">
        <v>45548</v>
      </c>
      <c r="F3627" s="7">
        <v>45912</v>
      </c>
      <c r="G3627" t="s">
        <v>135</v>
      </c>
      <c r="H3627" t="s">
        <v>106</v>
      </c>
      <c r="I3627" t="s">
        <v>101</v>
      </c>
      <c r="J3627">
        <v>12791.18</v>
      </c>
      <c r="K3627">
        <v>1500000</v>
      </c>
    </row>
    <row r="3628" spans="1:11" ht="15" customHeight="1" x14ac:dyDescent="0.2">
      <c r="A3628" t="s">
        <v>5341</v>
      </c>
      <c r="B3628" t="s">
        <v>6949</v>
      </c>
      <c r="C3628">
        <v>2024</v>
      </c>
      <c r="D3628">
        <v>2024</v>
      </c>
      <c r="E3628" s="7">
        <v>45548</v>
      </c>
      <c r="F3628" s="7">
        <v>45912</v>
      </c>
      <c r="G3628" t="s">
        <v>135</v>
      </c>
      <c r="H3628" t="s">
        <v>106</v>
      </c>
      <c r="I3628" t="s">
        <v>104</v>
      </c>
      <c r="J3628">
        <v>11559.25</v>
      </c>
      <c r="K3628">
        <v>1500000</v>
      </c>
    </row>
    <row r="3629" spans="1:11" ht="15" customHeight="1" x14ac:dyDescent="0.2">
      <c r="A3629" t="s">
        <v>5342</v>
      </c>
      <c r="B3629" t="s">
        <v>1008</v>
      </c>
      <c r="C3629">
        <v>2024</v>
      </c>
      <c r="D3629">
        <v>2024</v>
      </c>
      <c r="E3629" s="7">
        <v>45548</v>
      </c>
      <c r="F3629" s="7">
        <v>45912</v>
      </c>
      <c r="G3629" t="s">
        <v>135</v>
      </c>
      <c r="H3629" t="s">
        <v>6348</v>
      </c>
      <c r="I3629" t="s">
        <v>104</v>
      </c>
      <c r="J3629">
        <v>5215.3</v>
      </c>
      <c r="K3629">
        <v>1000000</v>
      </c>
    </row>
    <row r="3630" spans="1:11" ht="15" customHeight="1" x14ac:dyDescent="0.2">
      <c r="A3630" t="s">
        <v>5343</v>
      </c>
      <c r="B3630" t="s">
        <v>9050</v>
      </c>
      <c r="C3630">
        <v>2024</v>
      </c>
      <c r="D3630">
        <v>2024</v>
      </c>
      <c r="E3630" s="7">
        <v>45548</v>
      </c>
      <c r="F3630" s="7">
        <v>45912</v>
      </c>
      <c r="G3630" t="s">
        <v>135</v>
      </c>
      <c r="H3630" t="s">
        <v>6337</v>
      </c>
      <c r="I3630" t="s">
        <v>101</v>
      </c>
      <c r="J3630">
        <v>7397.36</v>
      </c>
      <c r="K3630">
        <v>1000000</v>
      </c>
    </row>
    <row r="3631" spans="1:11" ht="15" customHeight="1" x14ac:dyDescent="0.2">
      <c r="A3631" t="s">
        <v>5344</v>
      </c>
      <c r="B3631" t="s">
        <v>7078</v>
      </c>
      <c r="C3631">
        <v>2024</v>
      </c>
      <c r="D3631">
        <v>2024</v>
      </c>
      <c r="E3631" s="7">
        <v>45548</v>
      </c>
      <c r="F3631" s="7">
        <v>45912</v>
      </c>
      <c r="G3631" t="s">
        <v>135</v>
      </c>
      <c r="H3631" t="s">
        <v>106</v>
      </c>
      <c r="I3631" t="s">
        <v>104</v>
      </c>
      <c r="J3631">
        <v>11407.87</v>
      </c>
      <c r="K3631">
        <v>1500000</v>
      </c>
    </row>
    <row r="3632" spans="1:11" ht="15" customHeight="1" x14ac:dyDescent="0.2">
      <c r="A3632" t="s">
        <v>5345</v>
      </c>
      <c r="B3632" t="s">
        <v>9051</v>
      </c>
      <c r="C3632">
        <v>2024</v>
      </c>
      <c r="D3632">
        <v>2024</v>
      </c>
      <c r="E3632" s="7">
        <v>45548</v>
      </c>
      <c r="F3632" s="7">
        <v>45912</v>
      </c>
      <c r="G3632" t="s">
        <v>135</v>
      </c>
      <c r="H3632" t="s">
        <v>107</v>
      </c>
      <c r="I3632" t="s">
        <v>104</v>
      </c>
      <c r="J3632">
        <v>9222.82</v>
      </c>
      <c r="K3632">
        <v>1500000</v>
      </c>
    </row>
    <row r="3633" spans="1:11" ht="15" customHeight="1" x14ac:dyDescent="0.2">
      <c r="A3633" t="s">
        <v>5346</v>
      </c>
      <c r="B3633" t="s">
        <v>6951</v>
      </c>
      <c r="C3633">
        <v>2024</v>
      </c>
      <c r="D3633">
        <v>2024</v>
      </c>
      <c r="E3633" s="7">
        <v>45548</v>
      </c>
      <c r="F3633" s="7">
        <v>45912</v>
      </c>
      <c r="G3633" t="s">
        <v>135</v>
      </c>
      <c r="H3633" t="s">
        <v>102</v>
      </c>
      <c r="I3633" t="s">
        <v>101</v>
      </c>
      <c r="J3633">
        <v>10926.37</v>
      </c>
      <c r="K3633">
        <v>1500000</v>
      </c>
    </row>
    <row r="3634" spans="1:11" ht="15" customHeight="1" x14ac:dyDescent="0.2">
      <c r="A3634" t="s">
        <v>5347</v>
      </c>
      <c r="B3634" t="s">
        <v>4060</v>
      </c>
      <c r="C3634">
        <v>2024</v>
      </c>
      <c r="D3634">
        <v>2024</v>
      </c>
      <c r="E3634" s="7">
        <v>45549</v>
      </c>
      <c r="F3634" s="7">
        <v>45913</v>
      </c>
      <c r="G3634" t="s">
        <v>99</v>
      </c>
      <c r="H3634" t="s">
        <v>108</v>
      </c>
      <c r="I3634" t="s">
        <v>101</v>
      </c>
      <c r="J3634">
        <v>8373.83</v>
      </c>
      <c r="K3634">
        <v>1000000</v>
      </c>
    </row>
    <row r="3635" spans="1:11" ht="15" customHeight="1" x14ac:dyDescent="0.2">
      <c r="A3635" t="s">
        <v>5348</v>
      </c>
      <c r="B3635" t="s">
        <v>4062</v>
      </c>
      <c r="C3635">
        <v>2024</v>
      </c>
      <c r="D3635">
        <v>2024</v>
      </c>
      <c r="E3635" s="7">
        <v>45549</v>
      </c>
      <c r="F3635" s="7">
        <v>45913</v>
      </c>
      <c r="G3635" t="s">
        <v>99</v>
      </c>
      <c r="H3635" t="s">
        <v>107</v>
      </c>
      <c r="I3635" t="s">
        <v>104</v>
      </c>
      <c r="J3635">
        <v>11822.26</v>
      </c>
      <c r="K3635">
        <v>2000000</v>
      </c>
    </row>
    <row r="3636" spans="1:11" ht="15" customHeight="1" x14ac:dyDescent="0.2">
      <c r="A3636" t="s">
        <v>5349</v>
      </c>
      <c r="B3636" t="s">
        <v>9052</v>
      </c>
      <c r="C3636">
        <v>2024</v>
      </c>
      <c r="D3636">
        <v>2024</v>
      </c>
      <c r="E3636" s="7">
        <v>45549</v>
      </c>
      <c r="F3636" s="7">
        <v>45913</v>
      </c>
      <c r="G3636" t="s">
        <v>135</v>
      </c>
      <c r="H3636" t="s">
        <v>106</v>
      </c>
      <c r="I3636" t="s">
        <v>101</v>
      </c>
      <c r="J3636">
        <v>9430.32</v>
      </c>
      <c r="K3636">
        <v>1000000</v>
      </c>
    </row>
    <row r="3637" spans="1:11" ht="15" customHeight="1" x14ac:dyDescent="0.2">
      <c r="A3637" t="s">
        <v>5350</v>
      </c>
      <c r="B3637" t="s">
        <v>9053</v>
      </c>
      <c r="C3637">
        <v>2024</v>
      </c>
      <c r="D3637">
        <v>2024</v>
      </c>
      <c r="E3637" s="7">
        <v>45549</v>
      </c>
      <c r="F3637" s="7">
        <v>45913</v>
      </c>
      <c r="G3637" t="s">
        <v>135</v>
      </c>
      <c r="H3637" t="s">
        <v>102</v>
      </c>
      <c r="I3637" t="s">
        <v>104</v>
      </c>
      <c r="J3637">
        <v>5429.91</v>
      </c>
      <c r="K3637">
        <v>1000000</v>
      </c>
    </row>
    <row r="3638" spans="1:11" ht="15" customHeight="1" x14ac:dyDescent="0.2">
      <c r="A3638" t="s">
        <v>5351</v>
      </c>
      <c r="B3638" t="s">
        <v>129</v>
      </c>
      <c r="C3638">
        <v>2024</v>
      </c>
      <c r="D3638">
        <v>2024</v>
      </c>
      <c r="E3638" s="7">
        <v>45549</v>
      </c>
      <c r="F3638" s="7">
        <v>45913</v>
      </c>
      <c r="G3638" t="s">
        <v>135</v>
      </c>
      <c r="H3638" t="s">
        <v>102</v>
      </c>
      <c r="I3638" t="s">
        <v>101</v>
      </c>
      <c r="J3638">
        <v>67491.27</v>
      </c>
      <c r="K3638">
        <v>10000000</v>
      </c>
    </row>
    <row r="3639" spans="1:11" ht="15" customHeight="1" x14ac:dyDescent="0.2">
      <c r="A3639" t="s">
        <v>5352</v>
      </c>
      <c r="B3639" t="s">
        <v>9054</v>
      </c>
      <c r="C3639">
        <v>2024</v>
      </c>
      <c r="D3639">
        <v>2024</v>
      </c>
      <c r="E3639" s="7">
        <v>45549</v>
      </c>
      <c r="F3639" s="7">
        <v>45913</v>
      </c>
      <c r="G3639" t="s">
        <v>135</v>
      </c>
      <c r="H3639" t="s">
        <v>108</v>
      </c>
      <c r="I3639" t="s">
        <v>101</v>
      </c>
      <c r="J3639">
        <v>9138.43</v>
      </c>
      <c r="K3639">
        <v>1000000</v>
      </c>
    </row>
    <row r="3640" spans="1:11" ht="15" customHeight="1" x14ac:dyDescent="0.2">
      <c r="A3640" t="s">
        <v>5353</v>
      </c>
      <c r="B3640" t="s">
        <v>1010</v>
      </c>
      <c r="C3640">
        <v>2024</v>
      </c>
      <c r="D3640">
        <v>2024</v>
      </c>
      <c r="E3640" s="7">
        <v>45549</v>
      </c>
      <c r="F3640" s="7">
        <v>45913</v>
      </c>
      <c r="G3640" t="s">
        <v>135</v>
      </c>
      <c r="H3640" t="s">
        <v>116</v>
      </c>
      <c r="I3640" t="s">
        <v>101</v>
      </c>
      <c r="J3640">
        <v>7356.05</v>
      </c>
      <c r="K3640">
        <v>1000000</v>
      </c>
    </row>
    <row r="3641" spans="1:11" ht="15" customHeight="1" x14ac:dyDescent="0.2">
      <c r="A3641" t="s">
        <v>5354</v>
      </c>
      <c r="B3641" t="s">
        <v>1011</v>
      </c>
      <c r="C3641">
        <v>2024</v>
      </c>
      <c r="D3641">
        <v>2024</v>
      </c>
      <c r="E3641" s="7">
        <v>45549</v>
      </c>
      <c r="F3641" s="7">
        <v>45913</v>
      </c>
      <c r="G3641" t="s">
        <v>135</v>
      </c>
      <c r="H3641" t="s">
        <v>106</v>
      </c>
      <c r="I3641" t="s">
        <v>104</v>
      </c>
      <c r="J3641">
        <v>15520.64</v>
      </c>
      <c r="K3641">
        <v>2000000</v>
      </c>
    </row>
    <row r="3642" spans="1:11" ht="15" customHeight="1" x14ac:dyDescent="0.2">
      <c r="A3642" t="s">
        <v>5355</v>
      </c>
      <c r="B3642" t="s">
        <v>9055</v>
      </c>
      <c r="C3642">
        <v>2024</v>
      </c>
      <c r="D3642">
        <v>2024</v>
      </c>
      <c r="E3642" s="7">
        <v>45549</v>
      </c>
      <c r="F3642" s="7">
        <v>45913</v>
      </c>
      <c r="G3642" t="s">
        <v>135</v>
      </c>
      <c r="H3642" t="s">
        <v>116</v>
      </c>
      <c r="I3642" t="s">
        <v>101</v>
      </c>
      <c r="J3642">
        <v>10922.36</v>
      </c>
      <c r="K3642">
        <v>1500000</v>
      </c>
    </row>
    <row r="3643" spans="1:11" ht="15" customHeight="1" x14ac:dyDescent="0.2">
      <c r="A3643" t="s">
        <v>5356</v>
      </c>
      <c r="B3643" t="s">
        <v>1012</v>
      </c>
      <c r="C3643">
        <v>2024</v>
      </c>
      <c r="D3643">
        <v>2024</v>
      </c>
      <c r="E3643" s="7">
        <v>45549</v>
      </c>
      <c r="F3643" s="7">
        <v>45913</v>
      </c>
      <c r="G3643" t="s">
        <v>135</v>
      </c>
      <c r="H3643" t="s">
        <v>109</v>
      </c>
      <c r="I3643" t="s">
        <v>101</v>
      </c>
      <c r="J3643">
        <v>13061.35</v>
      </c>
      <c r="K3643">
        <v>2000000</v>
      </c>
    </row>
    <row r="3644" spans="1:11" ht="15" customHeight="1" x14ac:dyDescent="0.2">
      <c r="A3644" t="s">
        <v>5357</v>
      </c>
      <c r="B3644" t="s">
        <v>9056</v>
      </c>
      <c r="C3644">
        <v>2024</v>
      </c>
      <c r="D3644">
        <v>2024</v>
      </c>
      <c r="E3644" s="7">
        <v>45549</v>
      </c>
      <c r="F3644" s="7">
        <v>45913</v>
      </c>
      <c r="G3644" t="s">
        <v>135</v>
      </c>
      <c r="H3644" t="s">
        <v>105</v>
      </c>
      <c r="I3644" t="s">
        <v>101</v>
      </c>
      <c r="J3644">
        <v>6511.01</v>
      </c>
      <c r="K3644">
        <v>1000000</v>
      </c>
    </row>
    <row r="3645" spans="1:11" ht="15" customHeight="1" x14ac:dyDescent="0.2">
      <c r="A3645" t="s">
        <v>5358</v>
      </c>
      <c r="B3645" t="s">
        <v>9057</v>
      </c>
      <c r="C3645">
        <v>2024</v>
      </c>
      <c r="D3645">
        <v>2024</v>
      </c>
      <c r="E3645" s="7">
        <v>45549</v>
      </c>
      <c r="F3645" s="7">
        <v>45913</v>
      </c>
      <c r="G3645" t="s">
        <v>135</v>
      </c>
      <c r="H3645" t="s">
        <v>106</v>
      </c>
      <c r="I3645" t="s">
        <v>101</v>
      </c>
      <c r="J3645">
        <v>9732.56</v>
      </c>
      <c r="K3645">
        <v>1000000</v>
      </c>
    </row>
    <row r="3646" spans="1:11" ht="15" customHeight="1" x14ac:dyDescent="0.2">
      <c r="A3646" t="s">
        <v>5359</v>
      </c>
      <c r="B3646" t="s">
        <v>604</v>
      </c>
      <c r="C3646">
        <v>2024</v>
      </c>
      <c r="D3646">
        <v>2024</v>
      </c>
      <c r="E3646" s="7">
        <v>45549</v>
      </c>
      <c r="F3646" s="7">
        <v>45913</v>
      </c>
      <c r="G3646" t="s">
        <v>135</v>
      </c>
      <c r="H3646" t="s">
        <v>107</v>
      </c>
      <c r="I3646" t="s">
        <v>104</v>
      </c>
      <c r="J3646">
        <v>5566.09</v>
      </c>
      <c r="K3646">
        <v>1000000</v>
      </c>
    </row>
    <row r="3647" spans="1:11" ht="15" customHeight="1" x14ac:dyDescent="0.2">
      <c r="A3647" t="s">
        <v>5360</v>
      </c>
      <c r="B3647" t="s">
        <v>6953</v>
      </c>
      <c r="C3647">
        <v>2024</v>
      </c>
      <c r="D3647">
        <v>2024</v>
      </c>
      <c r="E3647" s="7">
        <v>45549</v>
      </c>
      <c r="F3647" s="7">
        <v>45913</v>
      </c>
      <c r="G3647" t="s">
        <v>135</v>
      </c>
      <c r="H3647" t="s">
        <v>103</v>
      </c>
      <c r="I3647" t="s">
        <v>104</v>
      </c>
      <c r="J3647">
        <v>5203.18</v>
      </c>
      <c r="K3647">
        <v>1000000</v>
      </c>
    </row>
    <row r="3648" spans="1:11" ht="15" customHeight="1" x14ac:dyDescent="0.2">
      <c r="A3648" t="s">
        <v>5361</v>
      </c>
      <c r="B3648" t="s">
        <v>7037</v>
      </c>
      <c r="C3648">
        <v>2024</v>
      </c>
      <c r="D3648">
        <v>2024</v>
      </c>
      <c r="E3648" s="7">
        <v>45549</v>
      </c>
      <c r="F3648" s="7">
        <v>45913</v>
      </c>
      <c r="G3648" t="s">
        <v>135</v>
      </c>
      <c r="H3648" t="s">
        <v>106</v>
      </c>
      <c r="I3648" t="s">
        <v>101</v>
      </c>
      <c r="J3648">
        <v>82746.44</v>
      </c>
      <c r="K3648">
        <v>10000000</v>
      </c>
    </row>
    <row r="3649" spans="1:11" ht="15" customHeight="1" x14ac:dyDescent="0.2">
      <c r="A3649" t="s">
        <v>5362</v>
      </c>
      <c r="B3649" t="s">
        <v>4064</v>
      </c>
      <c r="C3649">
        <v>2024</v>
      </c>
      <c r="D3649">
        <v>2024</v>
      </c>
      <c r="E3649" s="7">
        <v>45550</v>
      </c>
      <c r="F3649" s="7">
        <v>45914</v>
      </c>
      <c r="G3649" t="s">
        <v>99</v>
      </c>
      <c r="H3649" t="s">
        <v>116</v>
      </c>
      <c r="I3649" t="s">
        <v>101</v>
      </c>
      <c r="J3649">
        <v>7023.01</v>
      </c>
      <c r="K3649">
        <v>1000000</v>
      </c>
    </row>
    <row r="3650" spans="1:11" ht="15" customHeight="1" x14ac:dyDescent="0.2">
      <c r="A3650" t="s">
        <v>5363</v>
      </c>
      <c r="B3650" t="s">
        <v>4070</v>
      </c>
      <c r="C3650">
        <v>2024</v>
      </c>
      <c r="D3650">
        <v>2024</v>
      </c>
      <c r="E3650" s="7">
        <v>45550</v>
      </c>
      <c r="F3650" s="7">
        <v>45914</v>
      </c>
      <c r="G3650" t="s">
        <v>99</v>
      </c>
      <c r="H3650" t="s">
        <v>112</v>
      </c>
      <c r="I3650" t="s">
        <v>104</v>
      </c>
      <c r="J3650">
        <v>77302.09</v>
      </c>
      <c r="K3650">
        <v>10000000</v>
      </c>
    </row>
    <row r="3651" spans="1:11" ht="15" customHeight="1" x14ac:dyDescent="0.2">
      <c r="A3651" t="s">
        <v>5364</v>
      </c>
      <c r="B3651" t="s">
        <v>1013</v>
      </c>
      <c r="C3651">
        <v>2024</v>
      </c>
      <c r="D3651">
        <v>2024</v>
      </c>
      <c r="E3651" s="7">
        <v>45550</v>
      </c>
      <c r="F3651" s="7">
        <v>45914</v>
      </c>
      <c r="G3651" t="s">
        <v>135</v>
      </c>
      <c r="H3651" t="s">
        <v>112</v>
      </c>
      <c r="I3651" t="s">
        <v>101</v>
      </c>
      <c r="J3651">
        <v>12671.97</v>
      </c>
      <c r="K3651">
        <v>1500000</v>
      </c>
    </row>
    <row r="3652" spans="1:11" ht="15" customHeight="1" x14ac:dyDescent="0.2">
      <c r="A3652" t="s">
        <v>5365</v>
      </c>
      <c r="B3652" t="s">
        <v>605</v>
      </c>
      <c r="C3652">
        <v>2024</v>
      </c>
      <c r="D3652">
        <v>2024</v>
      </c>
      <c r="E3652" s="7">
        <v>45550</v>
      </c>
      <c r="F3652" s="7">
        <v>45914</v>
      </c>
      <c r="G3652" t="s">
        <v>135</v>
      </c>
      <c r="H3652" t="s">
        <v>110</v>
      </c>
      <c r="I3652" t="s">
        <v>101</v>
      </c>
      <c r="J3652">
        <v>8912.76</v>
      </c>
      <c r="K3652">
        <v>1000000</v>
      </c>
    </row>
    <row r="3653" spans="1:11" ht="15" customHeight="1" x14ac:dyDescent="0.2">
      <c r="A3653" t="s">
        <v>5366</v>
      </c>
      <c r="B3653" t="s">
        <v>7245</v>
      </c>
      <c r="C3653">
        <v>2024</v>
      </c>
      <c r="D3653">
        <v>2024</v>
      </c>
      <c r="E3653" s="7">
        <v>45550</v>
      </c>
      <c r="F3653" s="7">
        <v>45914</v>
      </c>
      <c r="G3653" t="s">
        <v>135</v>
      </c>
      <c r="H3653" t="s">
        <v>106</v>
      </c>
      <c r="I3653" t="s">
        <v>101</v>
      </c>
      <c r="J3653">
        <v>14739.29</v>
      </c>
      <c r="K3653">
        <v>1500000</v>
      </c>
    </row>
    <row r="3654" spans="1:11" ht="15" customHeight="1" x14ac:dyDescent="0.2">
      <c r="A3654" t="s">
        <v>5367</v>
      </c>
      <c r="B3654" t="s">
        <v>9058</v>
      </c>
      <c r="C3654">
        <v>2024</v>
      </c>
      <c r="D3654">
        <v>2024</v>
      </c>
      <c r="E3654" s="7">
        <v>45550</v>
      </c>
      <c r="F3654" s="7">
        <v>45914</v>
      </c>
      <c r="G3654" t="s">
        <v>135</v>
      </c>
      <c r="H3654" t="s">
        <v>106</v>
      </c>
      <c r="I3654" t="s">
        <v>104</v>
      </c>
      <c r="J3654">
        <v>10553.08</v>
      </c>
      <c r="K3654">
        <v>1500000</v>
      </c>
    </row>
    <row r="3655" spans="1:11" ht="15" customHeight="1" x14ac:dyDescent="0.2">
      <c r="A3655" t="s">
        <v>5368</v>
      </c>
      <c r="B3655" t="s">
        <v>7043</v>
      </c>
      <c r="C3655">
        <v>2024</v>
      </c>
      <c r="D3655">
        <v>2024</v>
      </c>
      <c r="E3655" s="7">
        <v>45550</v>
      </c>
      <c r="F3655" s="7">
        <v>45914</v>
      </c>
      <c r="G3655" t="s">
        <v>135</v>
      </c>
      <c r="H3655" t="s">
        <v>113</v>
      </c>
      <c r="I3655" t="s">
        <v>101</v>
      </c>
      <c r="J3655">
        <v>14060.84</v>
      </c>
      <c r="K3655">
        <v>2000000</v>
      </c>
    </row>
    <row r="3656" spans="1:11" ht="15" customHeight="1" x14ac:dyDescent="0.2">
      <c r="A3656" t="s">
        <v>5369</v>
      </c>
      <c r="B3656" t="s">
        <v>9059</v>
      </c>
      <c r="C3656">
        <v>2024</v>
      </c>
      <c r="D3656">
        <v>2024</v>
      </c>
      <c r="E3656" s="7">
        <v>45550</v>
      </c>
      <c r="F3656" s="7">
        <v>45914</v>
      </c>
      <c r="G3656" t="s">
        <v>135</v>
      </c>
      <c r="H3656" t="s">
        <v>102</v>
      </c>
      <c r="I3656" t="s">
        <v>101</v>
      </c>
      <c r="J3656">
        <v>15740.32</v>
      </c>
      <c r="K3656">
        <v>2000000</v>
      </c>
    </row>
    <row r="3657" spans="1:11" ht="15" customHeight="1" x14ac:dyDescent="0.2">
      <c r="A3657" t="s">
        <v>5370</v>
      </c>
      <c r="B3657" t="s">
        <v>4073</v>
      </c>
      <c r="C3657">
        <v>2024</v>
      </c>
      <c r="D3657">
        <v>2024</v>
      </c>
      <c r="E3657" s="7">
        <v>45551</v>
      </c>
      <c r="F3657" s="7">
        <v>45915</v>
      </c>
      <c r="G3657" t="s">
        <v>99</v>
      </c>
      <c r="H3657" t="s">
        <v>105</v>
      </c>
      <c r="I3657" t="s">
        <v>104</v>
      </c>
      <c r="J3657">
        <v>11090.11</v>
      </c>
      <c r="K3657">
        <v>2000000</v>
      </c>
    </row>
    <row r="3658" spans="1:11" ht="15" customHeight="1" x14ac:dyDescent="0.2">
      <c r="A3658" t="s">
        <v>5371</v>
      </c>
      <c r="B3658" t="s">
        <v>6961</v>
      </c>
      <c r="C3658">
        <v>2024</v>
      </c>
      <c r="D3658">
        <v>2024</v>
      </c>
      <c r="E3658" s="7">
        <v>45551</v>
      </c>
      <c r="F3658" s="7">
        <v>45915</v>
      </c>
      <c r="G3658" t="s">
        <v>135</v>
      </c>
      <c r="H3658" t="s">
        <v>115</v>
      </c>
      <c r="I3658" t="s">
        <v>104</v>
      </c>
      <c r="J3658">
        <v>8577.83</v>
      </c>
      <c r="K3658">
        <v>1500000</v>
      </c>
    </row>
    <row r="3659" spans="1:11" ht="15" customHeight="1" x14ac:dyDescent="0.2">
      <c r="A3659" t="s">
        <v>5372</v>
      </c>
      <c r="B3659" t="s">
        <v>1014</v>
      </c>
      <c r="C3659">
        <v>2024</v>
      </c>
      <c r="D3659">
        <v>2024</v>
      </c>
      <c r="E3659" s="7">
        <v>45551</v>
      </c>
      <c r="F3659" s="7">
        <v>45915</v>
      </c>
      <c r="G3659" t="s">
        <v>135</v>
      </c>
      <c r="H3659" t="s">
        <v>6332</v>
      </c>
      <c r="I3659" t="s">
        <v>101</v>
      </c>
      <c r="J3659">
        <v>10000.1</v>
      </c>
      <c r="K3659">
        <v>1500000</v>
      </c>
    </row>
    <row r="3660" spans="1:11" ht="15" customHeight="1" x14ac:dyDescent="0.2">
      <c r="A3660" t="s">
        <v>5373</v>
      </c>
      <c r="B3660" t="s">
        <v>9060</v>
      </c>
      <c r="C3660">
        <v>2024</v>
      </c>
      <c r="D3660">
        <v>2024</v>
      </c>
      <c r="E3660" s="7">
        <v>45551</v>
      </c>
      <c r="F3660" s="7">
        <v>45915</v>
      </c>
      <c r="G3660" t="s">
        <v>135</v>
      </c>
      <c r="H3660" t="s">
        <v>113</v>
      </c>
      <c r="I3660" t="s">
        <v>101</v>
      </c>
      <c r="J3660">
        <v>7397.83</v>
      </c>
      <c r="K3660">
        <v>1000000</v>
      </c>
    </row>
    <row r="3661" spans="1:11" ht="15" customHeight="1" x14ac:dyDescent="0.2">
      <c r="A3661" t="s">
        <v>5374</v>
      </c>
      <c r="B3661" t="s">
        <v>6898</v>
      </c>
      <c r="C3661">
        <v>2024</v>
      </c>
      <c r="D3661">
        <v>2024</v>
      </c>
      <c r="E3661" s="7">
        <v>45551</v>
      </c>
      <c r="F3661" s="7">
        <v>45915</v>
      </c>
      <c r="G3661" t="s">
        <v>135</v>
      </c>
      <c r="H3661" t="s">
        <v>102</v>
      </c>
      <c r="I3661" t="s">
        <v>104</v>
      </c>
      <c r="J3661">
        <v>12023.54</v>
      </c>
      <c r="K3661">
        <v>2000000</v>
      </c>
    </row>
    <row r="3662" spans="1:11" ht="15" customHeight="1" x14ac:dyDescent="0.2">
      <c r="A3662" t="s">
        <v>5375</v>
      </c>
      <c r="B3662" t="s">
        <v>7294</v>
      </c>
      <c r="C3662">
        <v>2024</v>
      </c>
      <c r="D3662">
        <v>2024</v>
      </c>
      <c r="E3662" s="7">
        <v>45551</v>
      </c>
      <c r="F3662" s="7">
        <v>45915</v>
      </c>
      <c r="G3662" t="s">
        <v>135</v>
      </c>
      <c r="H3662" t="s">
        <v>6334</v>
      </c>
      <c r="I3662" t="s">
        <v>104</v>
      </c>
      <c r="J3662">
        <v>11493.72</v>
      </c>
      <c r="K3662">
        <v>2000000</v>
      </c>
    </row>
    <row r="3663" spans="1:11" ht="15" customHeight="1" x14ac:dyDescent="0.2">
      <c r="A3663" t="s">
        <v>5376</v>
      </c>
      <c r="B3663" t="s">
        <v>9061</v>
      </c>
      <c r="C3663">
        <v>2024</v>
      </c>
      <c r="D3663">
        <v>2024</v>
      </c>
      <c r="E3663" s="7">
        <v>45551</v>
      </c>
      <c r="F3663" s="7">
        <v>45915</v>
      </c>
      <c r="G3663" t="s">
        <v>135</v>
      </c>
      <c r="H3663" t="s">
        <v>102</v>
      </c>
      <c r="I3663" t="s">
        <v>101</v>
      </c>
      <c r="J3663">
        <v>15694.52</v>
      </c>
      <c r="K3663">
        <v>2000000</v>
      </c>
    </row>
    <row r="3664" spans="1:11" ht="15" customHeight="1" x14ac:dyDescent="0.2">
      <c r="A3664" t="s">
        <v>5377</v>
      </c>
      <c r="B3664" t="s">
        <v>9062</v>
      </c>
      <c r="C3664">
        <v>2024</v>
      </c>
      <c r="D3664">
        <v>2024</v>
      </c>
      <c r="E3664" s="7">
        <v>45551</v>
      </c>
      <c r="F3664" s="7">
        <v>45915</v>
      </c>
      <c r="G3664" t="s">
        <v>135</v>
      </c>
      <c r="H3664" t="s">
        <v>6332</v>
      </c>
      <c r="I3664" t="s">
        <v>104</v>
      </c>
      <c r="J3664">
        <v>8489.44</v>
      </c>
      <c r="K3664">
        <v>1500000</v>
      </c>
    </row>
    <row r="3665" spans="1:11" ht="15" customHeight="1" x14ac:dyDescent="0.2">
      <c r="A3665" t="s">
        <v>5378</v>
      </c>
      <c r="B3665" t="s">
        <v>9063</v>
      </c>
      <c r="C3665">
        <v>2024</v>
      </c>
      <c r="D3665">
        <v>2024</v>
      </c>
      <c r="E3665" s="7">
        <v>45551</v>
      </c>
      <c r="F3665" s="7">
        <v>45915</v>
      </c>
      <c r="G3665" t="s">
        <v>135</v>
      </c>
      <c r="H3665" t="s">
        <v>102</v>
      </c>
      <c r="I3665" t="s">
        <v>104</v>
      </c>
      <c r="J3665">
        <v>9412.0400000000009</v>
      </c>
      <c r="K3665">
        <v>1500000</v>
      </c>
    </row>
    <row r="3666" spans="1:11" ht="15" customHeight="1" x14ac:dyDescent="0.2">
      <c r="A3666" t="s">
        <v>5379</v>
      </c>
      <c r="B3666" t="s">
        <v>9064</v>
      </c>
      <c r="C3666">
        <v>2024</v>
      </c>
      <c r="D3666">
        <v>2024</v>
      </c>
      <c r="E3666" s="7">
        <v>45551</v>
      </c>
      <c r="F3666" s="7">
        <v>45915</v>
      </c>
      <c r="G3666" t="s">
        <v>135</v>
      </c>
      <c r="H3666" t="s">
        <v>108</v>
      </c>
      <c r="I3666" t="s">
        <v>101</v>
      </c>
      <c r="J3666">
        <v>88046.42</v>
      </c>
      <c r="K3666">
        <v>10000000</v>
      </c>
    </row>
    <row r="3667" spans="1:11" ht="15" customHeight="1" x14ac:dyDescent="0.2">
      <c r="A3667" t="s">
        <v>5380</v>
      </c>
      <c r="B3667" t="s">
        <v>4075</v>
      </c>
      <c r="C3667">
        <v>2024</v>
      </c>
      <c r="D3667">
        <v>2024</v>
      </c>
      <c r="E3667" s="7">
        <v>45552</v>
      </c>
      <c r="F3667" s="7">
        <v>45916</v>
      </c>
      <c r="G3667" t="s">
        <v>99</v>
      </c>
      <c r="H3667" t="s">
        <v>102</v>
      </c>
      <c r="I3667" t="s">
        <v>104</v>
      </c>
      <c r="J3667">
        <v>5673.78</v>
      </c>
      <c r="K3667">
        <v>1000000</v>
      </c>
    </row>
    <row r="3668" spans="1:11" ht="15" customHeight="1" x14ac:dyDescent="0.2">
      <c r="A3668" t="s">
        <v>5381</v>
      </c>
      <c r="B3668" t="s">
        <v>4077</v>
      </c>
      <c r="C3668">
        <v>2024</v>
      </c>
      <c r="D3668">
        <v>2024</v>
      </c>
      <c r="E3668" s="7">
        <v>45552</v>
      </c>
      <c r="F3668" s="7">
        <v>45916</v>
      </c>
      <c r="G3668" t="s">
        <v>99</v>
      </c>
      <c r="H3668" t="s">
        <v>114</v>
      </c>
      <c r="I3668" t="s">
        <v>101</v>
      </c>
      <c r="J3668">
        <v>6819.93</v>
      </c>
      <c r="K3668">
        <v>1000000</v>
      </c>
    </row>
    <row r="3669" spans="1:11" ht="15" customHeight="1" x14ac:dyDescent="0.2">
      <c r="A3669" t="s">
        <v>5382</v>
      </c>
      <c r="B3669" t="s">
        <v>4093</v>
      </c>
      <c r="C3669">
        <v>2024</v>
      </c>
      <c r="D3669">
        <v>2024</v>
      </c>
      <c r="E3669" s="7">
        <v>45552</v>
      </c>
      <c r="F3669" s="7">
        <v>45916</v>
      </c>
      <c r="G3669" t="s">
        <v>99</v>
      </c>
      <c r="H3669" t="s">
        <v>113</v>
      </c>
      <c r="I3669" t="s">
        <v>104</v>
      </c>
      <c r="J3669">
        <v>2722</v>
      </c>
      <c r="K3669">
        <v>500000</v>
      </c>
    </row>
    <row r="3670" spans="1:11" ht="15" customHeight="1" x14ac:dyDescent="0.2">
      <c r="A3670" t="s">
        <v>5383</v>
      </c>
      <c r="B3670" t="s">
        <v>4095</v>
      </c>
      <c r="C3670">
        <v>2024</v>
      </c>
      <c r="D3670">
        <v>2024</v>
      </c>
      <c r="E3670" s="7">
        <v>45552</v>
      </c>
      <c r="F3670" s="7">
        <v>45916</v>
      </c>
      <c r="G3670" t="s">
        <v>99</v>
      </c>
      <c r="H3670" t="s">
        <v>106</v>
      </c>
      <c r="I3670" t="s">
        <v>104</v>
      </c>
      <c r="J3670">
        <v>14606.91</v>
      </c>
      <c r="K3670">
        <v>2000000</v>
      </c>
    </row>
    <row r="3671" spans="1:11" ht="15" customHeight="1" x14ac:dyDescent="0.2">
      <c r="A3671" t="s">
        <v>5384</v>
      </c>
      <c r="B3671" t="s">
        <v>9065</v>
      </c>
      <c r="C3671">
        <v>2024</v>
      </c>
      <c r="D3671">
        <v>2024</v>
      </c>
      <c r="E3671" s="7">
        <v>45552</v>
      </c>
      <c r="F3671" s="7">
        <v>45916</v>
      </c>
      <c r="G3671" t="s">
        <v>135</v>
      </c>
      <c r="H3671" t="s">
        <v>109</v>
      </c>
      <c r="I3671" t="s">
        <v>101</v>
      </c>
      <c r="J3671">
        <v>37250.370000000003</v>
      </c>
      <c r="K3671">
        <v>5000000</v>
      </c>
    </row>
    <row r="3672" spans="1:11" ht="15" customHeight="1" x14ac:dyDescent="0.2">
      <c r="A3672" t="s">
        <v>5385</v>
      </c>
      <c r="B3672" t="s">
        <v>218</v>
      </c>
      <c r="C3672">
        <v>2024</v>
      </c>
      <c r="D3672">
        <v>2024</v>
      </c>
      <c r="E3672" s="7">
        <v>45552</v>
      </c>
      <c r="F3672" s="7">
        <v>45916</v>
      </c>
      <c r="G3672" t="s">
        <v>135</v>
      </c>
      <c r="H3672" t="s">
        <v>6337</v>
      </c>
      <c r="I3672" t="s">
        <v>101</v>
      </c>
      <c r="J3672">
        <v>14549.84</v>
      </c>
      <c r="K3672">
        <v>2000000</v>
      </c>
    </row>
    <row r="3673" spans="1:11" ht="15" customHeight="1" x14ac:dyDescent="0.2">
      <c r="A3673" t="s">
        <v>5386</v>
      </c>
      <c r="B3673" t="s">
        <v>7101</v>
      </c>
      <c r="C3673">
        <v>2024</v>
      </c>
      <c r="D3673">
        <v>2024</v>
      </c>
      <c r="E3673" s="7">
        <v>45552</v>
      </c>
      <c r="F3673" s="7">
        <v>45916</v>
      </c>
      <c r="G3673" t="s">
        <v>135</v>
      </c>
      <c r="H3673" t="s">
        <v>108</v>
      </c>
      <c r="I3673" t="s">
        <v>104</v>
      </c>
      <c r="J3673">
        <v>35699.85</v>
      </c>
      <c r="K3673">
        <v>5000000</v>
      </c>
    </row>
    <row r="3674" spans="1:11" ht="15" customHeight="1" x14ac:dyDescent="0.2">
      <c r="A3674" t="s">
        <v>5387</v>
      </c>
      <c r="B3674" t="s">
        <v>6964</v>
      </c>
      <c r="C3674">
        <v>2024</v>
      </c>
      <c r="D3674">
        <v>2024</v>
      </c>
      <c r="E3674" s="7">
        <v>45552</v>
      </c>
      <c r="F3674" s="7">
        <v>45916</v>
      </c>
      <c r="G3674" t="s">
        <v>135</v>
      </c>
      <c r="H3674" t="s">
        <v>109</v>
      </c>
      <c r="I3674" t="s">
        <v>104</v>
      </c>
      <c r="J3674">
        <v>5525.1</v>
      </c>
      <c r="K3674">
        <v>1000000</v>
      </c>
    </row>
    <row r="3675" spans="1:11" ht="15" customHeight="1" x14ac:dyDescent="0.2">
      <c r="A3675" t="s">
        <v>5388</v>
      </c>
      <c r="B3675" t="s">
        <v>9066</v>
      </c>
      <c r="C3675">
        <v>2024</v>
      </c>
      <c r="D3675">
        <v>2024</v>
      </c>
      <c r="E3675" s="7">
        <v>45552</v>
      </c>
      <c r="F3675" s="7">
        <v>45916</v>
      </c>
      <c r="G3675" t="s">
        <v>135</v>
      </c>
      <c r="H3675" t="s">
        <v>102</v>
      </c>
      <c r="I3675" t="s">
        <v>104</v>
      </c>
      <c r="J3675">
        <v>9460.49</v>
      </c>
      <c r="K3675">
        <v>1500000</v>
      </c>
    </row>
    <row r="3676" spans="1:11" ht="15" customHeight="1" x14ac:dyDescent="0.2">
      <c r="A3676" t="s">
        <v>5389</v>
      </c>
      <c r="B3676" t="s">
        <v>9067</v>
      </c>
      <c r="C3676">
        <v>2024</v>
      </c>
      <c r="D3676">
        <v>2024</v>
      </c>
      <c r="E3676" s="7">
        <v>45552</v>
      </c>
      <c r="F3676" s="7">
        <v>45916</v>
      </c>
      <c r="G3676" t="s">
        <v>135</v>
      </c>
      <c r="H3676" t="s">
        <v>102</v>
      </c>
      <c r="I3676" t="s">
        <v>104</v>
      </c>
      <c r="J3676">
        <v>6260.76</v>
      </c>
      <c r="K3676">
        <v>1000000</v>
      </c>
    </row>
    <row r="3677" spans="1:11" ht="15" customHeight="1" x14ac:dyDescent="0.2">
      <c r="A3677" t="s">
        <v>5390</v>
      </c>
      <c r="B3677" t="s">
        <v>6940</v>
      </c>
      <c r="C3677">
        <v>2024</v>
      </c>
      <c r="D3677">
        <v>2024</v>
      </c>
      <c r="E3677" s="7">
        <v>45552</v>
      </c>
      <c r="F3677" s="7">
        <v>45916</v>
      </c>
      <c r="G3677" t="s">
        <v>135</v>
      </c>
      <c r="H3677" t="s">
        <v>106</v>
      </c>
      <c r="I3677" t="s">
        <v>104</v>
      </c>
      <c r="J3677">
        <v>33883.68</v>
      </c>
      <c r="K3677">
        <v>5000000</v>
      </c>
    </row>
    <row r="3678" spans="1:11" ht="15" customHeight="1" x14ac:dyDescent="0.2">
      <c r="A3678" t="s">
        <v>5391</v>
      </c>
      <c r="B3678" t="s">
        <v>9068</v>
      </c>
      <c r="C3678">
        <v>2024</v>
      </c>
      <c r="D3678">
        <v>2024</v>
      </c>
      <c r="E3678" s="7">
        <v>45552</v>
      </c>
      <c r="F3678" s="7">
        <v>45916</v>
      </c>
      <c r="G3678" t="s">
        <v>135</v>
      </c>
      <c r="H3678" t="s">
        <v>106</v>
      </c>
      <c r="I3678" t="s">
        <v>101</v>
      </c>
      <c r="J3678">
        <v>8386.3799999999992</v>
      </c>
      <c r="K3678">
        <v>1000000</v>
      </c>
    </row>
    <row r="3679" spans="1:11" ht="15" customHeight="1" x14ac:dyDescent="0.2">
      <c r="A3679" t="s">
        <v>5392</v>
      </c>
      <c r="B3679" t="s">
        <v>4097</v>
      </c>
      <c r="C3679">
        <v>2024</v>
      </c>
      <c r="D3679">
        <v>2024</v>
      </c>
      <c r="E3679" s="7">
        <v>45553</v>
      </c>
      <c r="F3679" s="7">
        <v>45917</v>
      </c>
      <c r="G3679" t="s">
        <v>99</v>
      </c>
      <c r="H3679" t="s">
        <v>111</v>
      </c>
      <c r="I3679" t="s">
        <v>104</v>
      </c>
      <c r="J3679">
        <v>8695.67</v>
      </c>
      <c r="K3679">
        <v>1500000</v>
      </c>
    </row>
    <row r="3680" spans="1:11" ht="15" customHeight="1" x14ac:dyDescent="0.2">
      <c r="A3680" t="s">
        <v>5393</v>
      </c>
      <c r="B3680" t="s">
        <v>4099</v>
      </c>
      <c r="C3680">
        <v>2024</v>
      </c>
      <c r="D3680">
        <v>2024</v>
      </c>
      <c r="E3680" s="7">
        <v>45553</v>
      </c>
      <c r="F3680" s="7">
        <v>45917</v>
      </c>
      <c r="G3680" t="s">
        <v>99</v>
      </c>
      <c r="H3680" t="s">
        <v>108</v>
      </c>
      <c r="I3680" t="s">
        <v>104</v>
      </c>
      <c r="J3680">
        <v>14387.06</v>
      </c>
      <c r="K3680">
        <v>2000000</v>
      </c>
    </row>
    <row r="3681" spans="1:11" ht="15" customHeight="1" x14ac:dyDescent="0.2">
      <c r="A3681" t="s">
        <v>5394</v>
      </c>
      <c r="B3681" t="s">
        <v>9069</v>
      </c>
      <c r="C3681">
        <v>2024</v>
      </c>
      <c r="D3681">
        <v>2024</v>
      </c>
      <c r="E3681" s="7">
        <v>45553</v>
      </c>
      <c r="F3681" s="7">
        <v>45917</v>
      </c>
      <c r="G3681" t="s">
        <v>135</v>
      </c>
      <c r="H3681" t="s">
        <v>100</v>
      </c>
      <c r="I3681" t="s">
        <v>101</v>
      </c>
      <c r="J3681">
        <v>13638.78</v>
      </c>
      <c r="K3681">
        <v>2000000</v>
      </c>
    </row>
    <row r="3682" spans="1:11" ht="15" customHeight="1" x14ac:dyDescent="0.2">
      <c r="A3682" t="s">
        <v>5395</v>
      </c>
      <c r="B3682" t="s">
        <v>9070</v>
      </c>
      <c r="C3682">
        <v>2024</v>
      </c>
      <c r="D3682">
        <v>2024</v>
      </c>
      <c r="E3682" s="7">
        <v>45553</v>
      </c>
      <c r="F3682" s="7">
        <v>45917</v>
      </c>
      <c r="G3682" t="s">
        <v>135</v>
      </c>
      <c r="H3682" t="s">
        <v>102</v>
      </c>
      <c r="I3682" t="s">
        <v>104</v>
      </c>
      <c r="J3682">
        <v>12111.21</v>
      </c>
      <c r="K3682">
        <v>2000000</v>
      </c>
    </row>
    <row r="3683" spans="1:11" ht="15" customHeight="1" x14ac:dyDescent="0.2">
      <c r="A3683" t="s">
        <v>5396</v>
      </c>
      <c r="B3683" t="s">
        <v>9071</v>
      </c>
      <c r="C3683">
        <v>2024</v>
      </c>
      <c r="D3683">
        <v>2024</v>
      </c>
      <c r="E3683" s="7">
        <v>45553</v>
      </c>
      <c r="F3683" s="7">
        <v>45917</v>
      </c>
      <c r="G3683" t="s">
        <v>135</v>
      </c>
      <c r="H3683" t="s">
        <v>100</v>
      </c>
      <c r="I3683" t="s">
        <v>101</v>
      </c>
      <c r="J3683">
        <v>3918.55</v>
      </c>
      <c r="K3683">
        <v>500000</v>
      </c>
    </row>
    <row r="3684" spans="1:11" ht="15" customHeight="1" x14ac:dyDescent="0.2">
      <c r="A3684" t="s">
        <v>5397</v>
      </c>
      <c r="B3684" t="s">
        <v>7109</v>
      </c>
      <c r="C3684">
        <v>2024</v>
      </c>
      <c r="D3684">
        <v>2024</v>
      </c>
      <c r="E3684" s="7">
        <v>45553</v>
      </c>
      <c r="F3684" s="7">
        <v>45917</v>
      </c>
      <c r="G3684" t="s">
        <v>135</v>
      </c>
      <c r="H3684" t="s">
        <v>106</v>
      </c>
      <c r="I3684" t="s">
        <v>101</v>
      </c>
      <c r="J3684">
        <v>12203.17</v>
      </c>
      <c r="K3684">
        <v>1500000</v>
      </c>
    </row>
    <row r="3685" spans="1:11" ht="15" customHeight="1" x14ac:dyDescent="0.2">
      <c r="A3685" t="s">
        <v>5398</v>
      </c>
      <c r="B3685" t="s">
        <v>1015</v>
      </c>
      <c r="C3685">
        <v>2024</v>
      </c>
      <c r="D3685">
        <v>2024</v>
      </c>
      <c r="E3685" s="7">
        <v>45553</v>
      </c>
      <c r="F3685" s="7">
        <v>45917</v>
      </c>
      <c r="G3685" t="s">
        <v>135</v>
      </c>
      <c r="H3685" t="s">
        <v>102</v>
      </c>
      <c r="I3685" t="s">
        <v>101</v>
      </c>
      <c r="J3685">
        <v>38965.58</v>
      </c>
      <c r="K3685">
        <v>5000000</v>
      </c>
    </row>
    <row r="3686" spans="1:11" ht="15" customHeight="1" x14ac:dyDescent="0.2">
      <c r="A3686" t="s">
        <v>5399</v>
      </c>
      <c r="B3686" t="s">
        <v>9072</v>
      </c>
      <c r="C3686">
        <v>2024</v>
      </c>
      <c r="D3686">
        <v>2024</v>
      </c>
      <c r="E3686" s="7">
        <v>45554</v>
      </c>
      <c r="F3686" s="7">
        <v>45918</v>
      </c>
      <c r="G3686" t="s">
        <v>135</v>
      </c>
      <c r="H3686" t="s">
        <v>102</v>
      </c>
      <c r="I3686" t="s">
        <v>101</v>
      </c>
      <c r="J3686">
        <v>70799.95</v>
      </c>
      <c r="K3686">
        <v>10000000</v>
      </c>
    </row>
    <row r="3687" spans="1:11" ht="15" customHeight="1" x14ac:dyDescent="0.2">
      <c r="A3687" t="s">
        <v>5400</v>
      </c>
      <c r="B3687" t="s">
        <v>9073</v>
      </c>
      <c r="C3687">
        <v>2024</v>
      </c>
      <c r="D3687">
        <v>2024</v>
      </c>
      <c r="E3687" s="7">
        <v>45554</v>
      </c>
      <c r="F3687" s="7">
        <v>45918</v>
      </c>
      <c r="G3687" t="s">
        <v>135</v>
      </c>
      <c r="H3687" t="s">
        <v>109</v>
      </c>
      <c r="I3687" t="s">
        <v>101</v>
      </c>
      <c r="J3687">
        <v>15399.12</v>
      </c>
      <c r="K3687">
        <v>2000000</v>
      </c>
    </row>
    <row r="3688" spans="1:11" ht="15" customHeight="1" x14ac:dyDescent="0.2">
      <c r="A3688" t="s">
        <v>5401</v>
      </c>
      <c r="B3688" t="s">
        <v>9074</v>
      </c>
      <c r="C3688">
        <v>2024</v>
      </c>
      <c r="D3688">
        <v>2024</v>
      </c>
      <c r="E3688" s="7">
        <v>45554</v>
      </c>
      <c r="F3688" s="7">
        <v>45918</v>
      </c>
      <c r="G3688" t="s">
        <v>135</v>
      </c>
      <c r="H3688" t="s">
        <v>108</v>
      </c>
      <c r="I3688" t="s">
        <v>104</v>
      </c>
      <c r="J3688">
        <v>3493.94</v>
      </c>
      <c r="K3688">
        <v>500000</v>
      </c>
    </row>
    <row r="3689" spans="1:11" ht="15" customHeight="1" x14ac:dyDescent="0.2">
      <c r="A3689" t="s">
        <v>5402</v>
      </c>
      <c r="B3689" t="s">
        <v>7289</v>
      </c>
      <c r="C3689">
        <v>2024</v>
      </c>
      <c r="D3689">
        <v>2024</v>
      </c>
      <c r="E3689" s="7">
        <v>45554</v>
      </c>
      <c r="F3689" s="7">
        <v>45918</v>
      </c>
      <c r="G3689" t="s">
        <v>135</v>
      </c>
      <c r="H3689" t="s">
        <v>102</v>
      </c>
      <c r="I3689" t="s">
        <v>104</v>
      </c>
      <c r="J3689">
        <v>3130.71</v>
      </c>
      <c r="K3689">
        <v>500000</v>
      </c>
    </row>
    <row r="3690" spans="1:11" ht="15" customHeight="1" x14ac:dyDescent="0.2">
      <c r="A3690" t="s">
        <v>5403</v>
      </c>
      <c r="B3690" t="s">
        <v>606</v>
      </c>
      <c r="C3690">
        <v>2024</v>
      </c>
      <c r="D3690">
        <v>2024</v>
      </c>
      <c r="E3690" s="7">
        <v>45554</v>
      </c>
      <c r="F3690" s="7">
        <v>45918</v>
      </c>
      <c r="G3690" t="s">
        <v>135</v>
      </c>
      <c r="H3690" t="s">
        <v>107</v>
      </c>
      <c r="I3690" t="s">
        <v>101</v>
      </c>
      <c r="J3690">
        <v>6555.34</v>
      </c>
      <c r="K3690">
        <v>1000000</v>
      </c>
    </row>
    <row r="3691" spans="1:11" ht="15" customHeight="1" x14ac:dyDescent="0.2">
      <c r="A3691" t="s">
        <v>5404</v>
      </c>
      <c r="B3691" t="s">
        <v>6980</v>
      </c>
      <c r="C3691">
        <v>2024</v>
      </c>
      <c r="D3691">
        <v>2024</v>
      </c>
      <c r="E3691" s="7">
        <v>45554</v>
      </c>
      <c r="F3691" s="7">
        <v>45918</v>
      </c>
      <c r="G3691" t="s">
        <v>135</v>
      </c>
      <c r="H3691" t="s">
        <v>102</v>
      </c>
      <c r="I3691" t="s">
        <v>101</v>
      </c>
      <c r="J3691">
        <v>3945.44</v>
      </c>
      <c r="K3691">
        <v>500000</v>
      </c>
    </row>
    <row r="3692" spans="1:11" ht="15" customHeight="1" x14ac:dyDescent="0.2">
      <c r="A3692" t="s">
        <v>5405</v>
      </c>
      <c r="B3692" t="s">
        <v>1016</v>
      </c>
      <c r="C3692">
        <v>2024</v>
      </c>
      <c r="D3692">
        <v>2024</v>
      </c>
      <c r="E3692" s="7">
        <v>45554</v>
      </c>
      <c r="F3692" s="7">
        <v>45918</v>
      </c>
      <c r="G3692" t="s">
        <v>135</v>
      </c>
      <c r="H3692" t="s">
        <v>112</v>
      </c>
      <c r="I3692" t="s">
        <v>104</v>
      </c>
      <c r="J3692">
        <v>68367.09</v>
      </c>
      <c r="K3692">
        <v>10000000</v>
      </c>
    </row>
    <row r="3693" spans="1:11" ht="15" customHeight="1" x14ac:dyDescent="0.2">
      <c r="A3693" t="s">
        <v>5406</v>
      </c>
      <c r="B3693" t="s">
        <v>9075</v>
      </c>
      <c r="C3693">
        <v>2024</v>
      </c>
      <c r="D3693">
        <v>2024</v>
      </c>
      <c r="E3693" s="7">
        <v>45554</v>
      </c>
      <c r="F3693" s="7">
        <v>45918</v>
      </c>
      <c r="G3693" t="s">
        <v>135</v>
      </c>
      <c r="H3693" t="s">
        <v>113</v>
      </c>
      <c r="I3693" t="s">
        <v>101</v>
      </c>
      <c r="J3693">
        <v>33073.199999999997</v>
      </c>
      <c r="K3693">
        <v>5000000</v>
      </c>
    </row>
    <row r="3694" spans="1:11" ht="15" customHeight="1" x14ac:dyDescent="0.2">
      <c r="A3694" t="s">
        <v>5407</v>
      </c>
      <c r="B3694" t="s">
        <v>1017</v>
      </c>
      <c r="C3694">
        <v>2024</v>
      </c>
      <c r="D3694">
        <v>2024</v>
      </c>
      <c r="E3694" s="7">
        <v>45554</v>
      </c>
      <c r="F3694" s="7">
        <v>45918</v>
      </c>
      <c r="G3694" t="s">
        <v>135</v>
      </c>
      <c r="H3694" t="s">
        <v>106</v>
      </c>
      <c r="I3694" t="s">
        <v>101</v>
      </c>
      <c r="J3694">
        <v>19101.52</v>
      </c>
      <c r="K3694">
        <v>2000000</v>
      </c>
    </row>
    <row r="3695" spans="1:11" ht="15" customHeight="1" x14ac:dyDescent="0.2">
      <c r="A3695" t="s">
        <v>5408</v>
      </c>
      <c r="B3695" t="s">
        <v>4101</v>
      </c>
      <c r="C3695">
        <v>2024</v>
      </c>
      <c r="D3695">
        <v>2024</v>
      </c>
      <c r="E3695" s="7">
        <v>45555</v>
      </c>
      <c r="F3695" s="7">
        <v>45919</v>
      </c>
      <c r="G3695" t="s">
        <v>99</v>
      </c>
      <c r="H3695" t="s">
        <v>106</v>
      </c>
      <c r="I3695" t="s">
        <v>104</v>
      </c>
      <c r="J3695">
        <v>11758.78</v>
      </c>
      <c r="K3695">
        <v>1500000</v>
      </c>
    </row>
    <row r="3696" spans="1:11" ht="15" customHeight="1" x14ac:dyDescent="0.2">
      <c r="A3696" t="s">
        <v>5409</v>
      </c>
      <c r="B3696" t="s">
        <v>1018</v>
      </c>
      <c r="C3696">
        <v>2024</v>
      </c>
      <c r="D3696">
        <v>2024</v>
      </c>
      <c r="E3696" s="7">
        <v>45555</v>
      </c>
      <c r="F3696" s="7">
        <v>45919</v>
      </c>
      <c r="G3696" t="s">
        <v>135</v>
      </c>
      <c r="H3696" t="s">
        <v>108</v>
      </c>
      <c r="I3696" t="s">
        <v>104</v>
      </c>
      <c r="J3696">
        <v>3934.57</v>
      </c>
      <c r="K3696">
        <v>500000</v>
      </c>
    </row>
    <row r="3697" spans="1:11" ht="15" customHeight="1" x14ac:dyDescent="0.2">
      <c r="A3697" t="s">
        <v>5410</v>
      </c>
      <c r="B3697" t="s">
        <v>6977</v>
      </c>
      <c r="C3697">
        <v>2024</v>
      </c>
      <c r="D3697">
        <v>2024</v>
      </c>
      <c r="E3697" s="7">
        <v>45555</v>
      </c>
      <c r="F3697" s="7">
        <v>45919</v>
      </c>
      <c r="G3697" t="s">
        <v>135</v>
      </c>
      <c r="H3697" t="s">
        <v>102</v>
      </c>
      <c r="I3697" t="s">
        <v>101</v>
      </c>
      <c r="J3697">
        <v>10896.04</v>
      </c>
      <c r="K3697">
        <v>1500000</v>
      </c>
    </row>
    <row r="3698" spans="1:11" ht="15" customHeight="1" x14ac:dyDescent="0.2">
      <c r="A3698" t="s">
        <v>5411</v>
      </c>
      <c r="B3698" t="s">
        <v>607</v>
      </c>
      <c r="C3698">
        <v>2024</v>
      </c>
      <c r="D3698">
        <v>2024</v>
      </c>
      <c r="E3698" s="7">
        <v>45555</v>
      </c>
      <c r="F3698" s="7">
        <v>45919</v>
      </c>
      <c r="G3698" t="s">
        <v>135</v>
      </c>
      <c r="H3698" t="s">
        <v>111</v>
      </c>
      <c r="I3698" t="s">
        <v>101</v>
      </c>
      <c r="J3698">
        <v>11367.41</v>
      </c>
      <c r="K3698">
        <v>1500000</v>
      </c>
    </row>
    <row r="3699" spans="1:11" ht="15" customHeight="1" x14ac:dyDescent="0.2">
      <c r="A3699" t="s">
        <v>5412</v>
      </c>
      <c r="B3699" t="s">
        <v>219</v>
      </c>
      <c r="C3699">
        <v>2024</v>
      </c>
      <c r="D3699">
        <v>2024</v>
      </c>
      <c r="E3699" s="7">
        <v>45555</v>
      </c>
      <c r="F3699" s="7">
        <v>45919</v>
      </c>
      <c r="G3699" t="s">
        <v>135</v>
      </c>
      <c r="H3699" t="s">
        <v>109</v>
      </c>
      <c r="I3699" t="s">
        <v>104</v>
      </c>
      <c r="J3699">
        <v>8748.08</v>
      </c>
      <c r="K3699">
        <v>1500000</v>
      </c>
    </row>
    <row r="3700" spans="1:11" ht="15" customHeight="1" x14ac:dyDescent="0.2">
      <c r="A3700" t="s">
        <v>5413</v>
      </c>
      <c r="B3700" t="s">
        <v>9076</v>
      </c>
      <c r="C3700">
        <v>2024</v>
      </c>
      <c r="D3700">
        <v>2024</v>
      </c>
      <c r="E3700" s="7">
        <v>45555</v>
      </c>
      <c r="F3700" s="7">
        <v>45919</v>
      </c>
      <c r="G3700" t="s">
        <v>135</v>
      </c>
      <c r="H3700" t="s">
        <v>102</v>
      </c>
      <c r="I3700" t="s">
        <v>101</v>
      </c>
      <c r="J3700">
        <v>3707.29</v>
      </c>
      <c r="K3700">
        <v>500000</v>
      </c>
    </row>
    <row r="3701" spans="1:11" ht="15" customHeight="1" x14ac:dyDescent="0.2">
      <c r="A3701" t="s">
        <v>5414</v>
      </c>
      <c r="B3701" t="s">
        <v>6956</v>
      </c>
      <c r="C3701">
        <v>2024</v>
      </c>
      <c r="D3701">
        <v>2024</v>
      </c>
      <c r="E3701" s="7">
        <v>45555</v>
      </c>
      <c r="F3701" s="7">
        <v>45919</v>
      </c>
      <c r="G3701" t="s">
        <v>135</v>
      </c>
      <c r="H3701" t="s">
        <v>108</v>
      </c>
      <c r="I3701" t="s">
        <v>101</v>
      </c>
      <c r="J3701">
        <v>9814.7099999999991</v>
      </c>
      <c r="K3701">
        <v>1000000</v>
      </c>
    </row>
    <row r="3702" spans="1:11" ht="15" customHeight="1" x14ac:dyDescent="0.2">
      <c r="A3702" t="s">
        <v>5415</v>
      </c>
      <c r="B3702" t="s">
        <v>4117</v>
      </c>
      <c r="C3702">
        <v>2024</v>
      </c>
      <c r="D3702">
        <v>2024</v>
      </c>
      <c r="E3702" s="7">
        <v>45556</v>
      </c>
      <c r="F3702" s="7">
        <v>45920</v>
      </c>
      <c r="G3702" t="s">
        <v>99</v>
      </c>
      <c r="H3702" t="s">
        <v>102</v>
      </c>
      <c r="I3702" t="s">
        <v>101</v>
      </c>
      <c r="J3702">
        <v>15044.67</v>
      </c>
      <c r="K3702">
        <v>2000000</v>
      </c>
    </row>
    <row r="3703" spans="1:11" ht="15" customHeight="1" x14ac:dyDescent="0.2">
      <c r="A3703" t="s">
        <v>5416</v>
      </c>
      <c r="B3703" t="s">
        <v>6979</v>
      </c>
      <c r="C3703">
        <v>2024</v>
      </c>
      <c r="D3703">
        <v>2024</v>
      </c>
      <c r="E3703" s="7">
        <v>45556</v>
      </c>
      <c r="F3703" s="7">
        <v>45920</v>
      </c>
      <c r="G3703" t="s">
        <v>135</v>
      </c>
      <c r="H3703" t="s">
        <v>108</v>
      </c>
      <c r="I3703" t="s">
        <v>101</v>
      </c>
      <c r="J3703">
        <v>12266.1</v>
      </c>
      <c r="K3703">
        <v>1500000</v>
      </c>
    </row>
    <row r="3704" spans="1:11" ht="15" customHeight="1" x14ac:dyDescent="0.2">
      <c r="A3704" t="s">
        <v>5417</v>
      </c>
      <c r="B3704" t="s">
        <v>7126</v>
      </c>
      <c r="C3704">
        <v>2024</v>
      </c>
      <c r="D3704">
        <v>2024</v>
      </c>
      <c r="E3704" s="7">
        <v>45556</v>
      </c>
      <c r="F3704" s="7">
        <v>45920</v>
      </c>
      <c r="G3704" t="s">
        <v>135</v>
      </c>
      <c r="H3704" t="s">
        <v>102</v>
      </c>
      <c r="I3704" t="s">
        <v>104</v>
      </c>
      <c r="J3704">
        <v>12303.77</v>
      </c>
      <c r="K3704">
        <v>2000000</v>
      </c>
    </row>
    <row r="3705" spans="1:11" ht="15" customHeight="1" x14ac:dyDescent="0.2">
      <c r="A3705" t="s">
        <v>5418</v>
      </c>
      <c r="B3705" t="s">
        <v>6948</v>
      </c>
      <c r="C3705">
        <v>2024</v>
      </c>
      <c r="D3705">
        <v>2024</v>
      </c>
      <c r="E3705" s="7">
        <v>45556</v>
      </c>
      <c r="F3705" s="7">
        <v>45920</v>
      </c>
      <c r="G3705" t="s">
        <v>135</v>
      </c>
      <c r="H3705" t="s">
        <v>110</v>
      </c>
      <c r="I3705" t="s">
        <v>104</v>
      </c>
      <c r="J3705">
        <v>6993.17</v>
      </c>
      <c r="K3705">
        <v>1000000</v>
      </c>
    </row>
    <row r="3706" spans="1:11" ht="15" customHeight="1" x14ac:dyDescent="0.2">
      <c r="A3706" t="s">
        <v>5419</v>
      </c>
      <c r="B3706" t="s">
        <v>9077</v>
      </c>
      <c r="C3706">
        <v>2024</v>
      </c>
      <c r="D3706">
        <v>2024</v>
      </c>
      <c r="E3706" s="7">
        <v>45556</v>
      </c>
      <c r="F3706" s="7">
        <v>45920</v>
      </c>
      <c r="G3706" t="s">
        <v>135</v>
      </c>
      <c r="H3706" t="s">
        <v>108</v>
      </c>
      <c r="I3706" t="s">
        <v>101</v>
      </c>
      <c r="J3706">
        <v>9419.32</v>
      </c>
      <c r="K3706">
        <v>1000000</v>
      </c>
    </row>
    <row r="3707" spans="1:11" ht="15" customHeight="1" x14ac:dyDescent="0.2">
      <c r="A3707" t="s">
        <v>5420</v>
      </c>
      <c r="B3707" t="s">
        <v>7055</v>
      </c>
      <c r="C3707">
        <v>2024</v>
      </c>
      <c r="D3707">
        <v>2024</v>
      </c>
      <c r="E3707" s="7">
        <v>45556</v>
      </c>
      <c r="F3707" s="7">
        <v>45920</v>
      </c>
      <c r="G3707" t="s">
        <v>135</v>
      </c>
      <c r="H3707" t="s">
        <v>102</v>
      </c>
      <c r="I3707" t="s">
        <v>104</v>
      </c>
      <c r="J3707">
        <v>2924.03</v>
      </c>
      <c r="K3707">
        <v>500000</v>
      </c>
    </row>
    <row r="3708" spans="1:11" ht="15" customHeight="1" x14ac:dyDescent="0.2">
      <c r="A3708" t="s">
        <v>5421</v>
      </c>
      <c r="B3708" t="s">
        <v>1020</v>
      </c>
      <c r="C3708">
        <v>2024</v>
      </c>
      <c r="D3708">
        <v>2024</v>
      </c>
      <c r="E3708" s="7">
        <v>45556</v>
      </c>
      <c r="F3708" s="7">
        <v>45920</v>
      </c>
      <c r="G3708" t="s">
        <v>135</v>
      </c>
      <c r="H3708" t="s">
        <v>108</v>
      </c>
      <c r="I3708" t="s">
        <v>101</v>
      </c>
      <c r="J3708">
        <v>97317.42</v>
      </c>
      <c r="K3708">
        <v>10000000</v>
      </c>
    </row>
    <row r="3709" spans="1:11" ht="15" customHeight="1" x14ac:dyDescent="0.2">
      <c r="A3709" t="s">
        <v>5422</v>
      </c>
      <c r="B3709" t="s">
        <v>377</v>
      </c>
      <c r="C3709">
        <v>2024</v>
      </c>
      <c r="D3709">
        <v>2024</v>
      </c>
      <c r="E3709" s="7">
        <v>45556</v>
      </c>
      <c r="F3709" s="7">
        <v>45920</v>
      </c>
      <c r="G3709" t="s">
        <v>135</v>
      </c>
      <c r="H3709" t="s">
        <v>106</v>
      </c>
      <c r="I3709" t="s">
        <v>101</v>
      </c>
      <c r="J3709">
        <v>4251.25</v>
      </c>
      <c r="K3709">
        <v>500000</v>
      </c>
    </row>
    <row r="3710" spans="1:11" ht="15" customHeight="1" x14ac:dyDescent="0.2">
      <c r="A3710" t="s">
        <v>5423</v>
      </c>
      <c r="B3710" t="s">
        <v>1021</v>
      </c>
      <c r="C3710">
        <v>2024</v>
      </c>
      <c r="D3710">
        <v>2024</v>
      </c>
      <c r="E3710" s="7">
        <v>45556</v>
      </c>
      <c r="F3710" s="7">
        <v>45920</v>
      </c>
      <c r="G3710" t="s">
        <v>135</v>
      </c>
      <c r="H3710" t="s">
        <v>106</v>
      </c>
      <c r="I3710" t="s">
        <v>104</v>
      </c>
      <c r="J3710">
        <v>3481.31</v>
      </c>
      <c r="K3710">
        <v>500000</v>
      </c>
    </row>
    <row r="3711" spans="1:11" ht="15" customHeight="1" x14ac:dyDescent="0.2">
      <c r="A3711" t="s">
        <v>5424</v>
      </c>
      <c r="B3711" t="s">
        <v>6976</v>
      </c>
      <c r="C3711">
        <v>2024</v>
      </c>
      <c r="D3711">
        <v>2024</v>
      </c>
      <c r="E3711" s="7">
        <v>45556</v>
      </c>
      <c r="F3711" s="7">
        <v>45920</v>
      </c>
      <c r="G3711" t="s">
        <v>135</v>
      </c>
      <c r="H3711" t="s">
        <v>106</v>
      </c>
      <c r="I3711" t="s">
        <v>101</v>
      </c>
      <c r="J3711">
        <v>4165.8100000000004</v>
      </c>
      <c r="K3711">
        <v>500000</v>
      </c>
    </row>
    <row r="3712" spans="1:11" ht="15" customHeight="1" x14ac:dyDescent="0.2">
      <c r="A3712" t="s">
        <v>5425</v>
      </c>
      <c r="B3712" t="s">
        <v>1019</v>
      </c>
      <c r="C3712">
        <v>2024</v>
      </c>
      <c r="D3712">
        <v>2024</v>
      </c>
      <c r="E3712" s="7">
        <v>45556</v>
      </c>
      <c r="F3712" s="7">
        <v>45920</v>
      </c>
      <c r="G3712" t="s">
        <v>135</v>
      </c>
      <c r="H3712" t="s">
        <v>6334</v>
      </c>
      <c r="I3712" t="s">
        <v>101</v>
      </c>
      <c r="J3712">
        <v>13439.2</v>
      </c>
      <c r="K3712">
        <v>2000000</v>
      </c>
    </row>
    <row r="3713" spans="1:11" ht="15" customHeight="1" x14ac:dyDescent="0.2">
      <c r="A3713" t="s">
        <v>5426</v>
      </c>
      <c r="B3713" t="s">
        <v>1022</v>
      </c>
      <c r="C3713">
        <v>2024</v>
      </c>
      <c r="D3713">
        <v>2024</v>
      </c>
      <c r="E3713" s="7">
        <v>45556</v>
      </c>
      <c r="F3713" s="7">
        <v>45920</v>
      </c>
      <c r="G3713" t="s">
        <v>135</v>
      </c>
      <c r="H3713" t="s">
        <v>102</v>
      </c>
      <c r="I3713" t="s">
        <v>101</v>
      </c>
      <c r="J3713">
        <v>6937.3</v>
      </c>
      <c r="K3713">
        <v>1000000</v>
      </c>
    </row>
    <row r="3714" spans="1:11" ht="15" customHeight="1" x14ac:dyDescent="0.2">
      <c r="A3714" t="s">
        <v>5427</v>
      </c>
      <c r="B3714" t="s">
        <v>4119</v>
      </c>
      <c r="C3714">
        <v>2024</v>
      </c>
      <c r="D3714">
        <v>2024</v>
      </c>
      <c r="E3714" s="7">
        <v>45557</v>
      </c>
      <c r="F3714" s="7">
        <v>45921</v>
      </c>
      <c r="G3714" t="s">
        <v>99</v>
      </c>
      <c r="H3714" t="s">
        <v>115</v>
      </c>
      <c r="I3714" t="s">
        <v>101</v>
      </c>
      <c r="J3714">
        <v>7419.2</v>
      </c>
      <c r="K3714">
        <v>1000000</v>
      </c>
    </row>
    <row r="3715" spans="1:11" ht="15" customHeight="1" x14ac:dyDescent="0.2">
      <c r="A3715" t="s">
        <v>5428</v>
      </c>
      <c r="B3715" t="s">
        <v>4120</v>
      </c>
      <c r="C3715">
        <v>2024</v>
      </c>
      <c r="D3715">
        <v>2024</v>
      </c>
      <c r="E3715" s="7">
        <v>45557</v>
      </c>
      <c r="F3715" s="7">
        <v>45921</v>
      </c>
      <c r="G3715" t="s">
        <v>99</v>
      </c>
      <c r="H3715" t="s">
        <v>102</v>
      </c>
      <c r="I3715" t="s">
        <v>101</v>
      </c>
      <c r="J3715">
        <v>13771.69</v>
      </c>
      <c r="K3715">
        <v>2000000</v>
      </c>
    </row>
    <row r="3716" spans="1:11" ht="15" customHeight="1" x14ac:dyDescent="0.2">
      <c r="A3716" t="s">
        <v>5429</v>
      </c>
      <c r="B3716" t="s">
        <v>4127</v>
      </c>
      <c r="C3716">
        <v>2024</v>
      </c>
      <c r="D3716">
        <v>2024</v>
      </c>
      <c r="E3716" s="7">
        <v>45557</v>
      </c>
      <c r="F3716" s="7">
        <v>45921</v>
      </c>
      <c r="G3716" t="s">
        <v>99</v>
      </c>
      <c r="H3716" t="s">
        <v>103</v>
      </c>
      <c r="I3716" t="s">
        <v>101</v>
      </c>
      <c r="J3716">
        <v>36322.33</v>
      </c>
      <c r="K3716">
        <v>5000000</v>
      </c>
    </row>
    <row r="3717" spans="1:11" ht="15" customHeight="1" x14ac:dyDescent="0.2">
      <c r="A3717" t="s">
        <v>5430</v>
      </c>
      <c r="B3717" t="s">
        <v>4129</v>
      </c>
      <c r="C3717">
        <v>2024</v>
      </c>
      <c r="D3717">
        <v>2024</v>
      </c>
      <c r="E3717" s="7">
        <v>45557</v>
      </c>
      <c r="F3717" s="7">
        <v>45921</v>
      </c>
      <c r="G3717" t="s">
        <v>99</v>
      </c>
      <c r="H3717" t="s">
        <v>112</v>
      </c>
      <c r="I3717" t="s">
        <v>104</v>
      </c>
      <c r="J3717">
        <v>11679.94</v>
      </c>
      <c r="K3717">
        <v>1500000</v>
      </c>
    </row>
    <row r="3718" spans="1:11" ht="15" customHeight="1" x14ac:dyDescent="0.2">
      <c r="A3718" t="s">
        <v>5431</v>
      </c>
      <c r="B3718" t="s">
        <v>4131</v>
      </c>
      <c r="C3718">
        <v>2024</v>
      </c>
      <c r="D3718">
        <v>2024</v>
      </c>
      <c r="E3718" s="7">
        <v>45557</v>
      </c>
      <c r="F3718" s="7">
        <v>45921</v>
      </c>
      <c r="G3718" t="s">
        <v>99</v>
      </c>
      <c r="H3718" t="s">
        <v>109</v>
      </c>
      <c r="I3718" t="s">
        <v>104</v>
      </c>
      <c r="J3718">
        <v>8318.5</v>
      </c>
      <c r="K3718">
        <v>1500000</v>
      </c>
    </row>
    <row r="3719" spans="1:11" ht="15" customHeight="1" x14ac:dyDescent="0.2">
      <c r="A3719" t="s">
        <v>5432</v>
      </c>
      <c r="B3719" t="s">
        <v>4142</v>
      </c>
      <c r="C3719">
        <v>2024</v>
      </c>
      <c r="D3719">
        <v>2024</v>
      </c>
      <c r="E3719" s="7">
        <v>45557</v>
      </c>
      <c r="F3719" s="7">
        <v>45921</v>
      </c>
      <c r="G3719" t="s">
        <v>99</v>
      </c>
      <c r="H3719" t="s">
        <v>106</v>
      </c>
      <c r="I3719" t="s">
        <v>104</v>
      </c>
      <c r="J3719">
        <v>7136.03</v>
      </c>
      <c r="K3719">
        <v>1000000</v>
      </c>
    </row>
    <row r="3720" spans="1:11" ht="15" customHeight="1" x14ac:dyDescent="0.2">
      <c r="A3720" t="s">
        <v>5433</v>
      </c>
      <c r="B3720" t="s">
        <v>130</v>
      </c>
      <c r="C3720">
        <v>2024</v>
      </c>
      <c r="D3720">
        <v>2024</v>
      </c>
      <c r="E3720" s="7">
        <v>45557</v>
      </c>
      <c r="F3720" s="7">
        <v>45921</v>
      </c>
      <c r="G3720" t="s">
        <v>135</v>
      </c>
      <c r="H3720" t="s">
        <v>115</v>
      </c>
      <c r="I3720" t="s">
        <v>104</v>
      </c>
      <c r="J3720">
        <v>9211.91</v>
      </c>
      <c r="K3720">
        <v>1500000</v>
      </c>
    </row>
    <row r="3721" spans="1:11" ht="15" customHeight="1" x14ac:dyDescent="0.2">
      <c r="A3721" t="s">
        <v>5434</v>
      </c>
      <c r="B3721" t="s">
        <v>9078</v>
      </c>
      <c r="C3721">
        <v>2024</v>
      </c>
      <c r="D3721">
        <v>2024</v>
      </c>
      <c r="E3721" s="7">
        <v>45557</v>
      </c>
      <c r="F3721" s="7">
        <v>45921</v>
      </c>
      <c r="G3721" t="s">
        <v>135</v>
      </c>
      <c r="H3721" t="s">
        <v>6348</v>
      </c>
      <c r="I3721" t="s">
        <v>101</v>
      </c>
      <c r="J3721">
        <v>33292.1</v>
      </c>
      <c r="K3721">
        <v>5000000</v>
      </c>
    </row>
    <row r="3722" spans="1:11" ht="15" customHeight="1" x14ac:dyDescent="0.2">
      <c r="A3722" t="s">
        <v>5435</v>
      </c>
      <c r="B3722" t="s">
        <v>1023</v>
      </c>
      <c r="C3722">
        <v>2024</v>
      </c>
      <c r="D3722">
        <v>2024</v>
      </c>
      <c r="E3722" s="7">
        <v>45557</v>
      </c>
      <c r="F3722" s="7">
        <v>45921</v>
      </c>
      <c r="G3722" t="s">
        <v>135</v>
      </c>
      <c r="H3722" t="s">
        <v>113</v>
      </c>
      <c r="I3722" t="s">
        <v>101</v>
      </c>
      <c r="J3722">
        <v>7499</v>
      </c>
      <c r="K3722">
        <v>1000000</v>
      </c>
    </row>
    <row r="3723" spans="1:11" ht="15" customHeight="1" x14ac:dyDescent="0.2">
      <c r="A3723" t="s">
        <v>5436</v>
      </c>
      <c r="B3723" t="s">
        <v>6959</v>
      </c>
      <c r="C3723">
        <v>2024</v>
      </c>
      <c r="D3723">
        <v>2024</v>
      </c>
      <c r="E3723" s="7">
        <v>45557</v>
      </c>
      <c r="F3723" s="7">
        <v>45921</v>
      </c>
      <c r="G3723" t="s">
        <v>135</v>
      </c>
      <c r="H3723" t="s">
        <v>106</v>
      </c>
      <c r="I3723" t="s">
        <v>104</v>
      </c>
      <c r="J3723">
        <v>6534.73</v>
      </c>
      <c r="K3723">
        <v>1000000</v>
      </c>
    </row>
    <row r="3724" spans="1:11" ht="15" customHeight="1" x14ac:dyDescent="0.2">
      <c r="A3724" t="s">
        <v>5437</v>
      </c>
      <c r="B3724" t="s">
        <v>9079</v>
      </c>
      <c r="C3724">
        <v>2024</v>
      </c>
      <c r="D3724">
        <v>2024</v>
      </c>
      <c r="E3724" s="7">
        <v>45557</v>
      </c>
      <c r="F3724" s="7">
        <v>45921</v>
      </c>
      <c r="G3724" t="s">
        <v>135</v>
      </c>
      <c r="H3724" t="s">
        <v>106</v>
      </c>
      <c r="I3724" t="s">
        <v>101</v>
      </c>
      <c r="J3724">
        <v>12988.22</v>
      </c>
      <c r="K3724">
        <v>1500000</v>
      </c>
    </row>
    <row r="3725" spans="1:11" ht="15" customHeight="1" x14ac:dyDescent="0.2">
      <c r="A3725" t="s">
        <v>5438</v>
      </c>
      <c r="B3725" t="s">
        <v>9080</v>
      </c>
      <c r="C3725">
        <v>2024</v>
      </c>
      <c r="D3725">
        <v>2024</v>
      </c>
      <c r="E3725" s="7">
        <v>45557</v>
      </c>
      <c r="F3725" s="7">
        <v>45921</v>
      </c>
      <c r="G3725" t="s">
        <v>135</v>
      </c>
      <c r="H3725" t="s">
        <v>102</v>
      </c>
      <c r="I3725" t="s">
        <v>101</v>
      </c>
      <c r="J3725">
        <v>15157.59</v>
      </c>
      <c r="K3725">
        <v>2000000</v>
      </c>
    </row>
    <row r="3726" spans="1:11" ht="15" customHeight="1" x14ac:dyDescent="0.2">
      <c r="A3726" t="s">
        <v>5439</v>
      </c>
      <c r="B3726" t="s">
        <v>6983</v>
      </c>
      <c r="C3726">
        <v>2024</v>
      </c>
      <c r="D3726">
        <v>2024</v>
      </c>
      <c r="E3726" s="7">
        <v>45557</v>
      </c>
      <c r="F3726" s="7">
        <v>45921</v>
      </c>
      <c r="G3726" t="s">
        <v>135</v>
      </c>
      <c r="H3726" t="s">
        <v>102</v>
      </c>
      <c r="I3726" t="s">
        <v>104</v>
      </c>
      <c r="J3726">
        <v>5938.01</v>
      </c>
      <c r="K3726">
        <v>1000000</v>
      </c>
    </row>
    <row r="3727" spans="1:11" ht="15" customHeight="1" x14ac:dyDescent="0.2">
      <c r="A3727" t="s">
        <v>5440</v>
      </c>
      <c r="B3727" t="s">
        <v>9081</v>
      </c>
      <c r="C3727">
        <v>2024</v>
      </c>
      <c r="D3727">
        <v>2024</v>
      </c>
      <c r="E3727" s="7">
        <v>45557</v>
      </c>
      <c r="F3727" s="7">
        <v>45921</v>
      </c>
      <c r="G3727" t="s">
        <v>135</v>
      </c>
      <c r="H3727" t="s">
        <v>109</v>
      </c>
      <c r="I3727" t="s">
        <v>104</v>
      </c>
      <c r="J3727">
        <v>55538.12</v>
      </c>
      <c r="K3727">
        <v>10000000</v>
      </c>
    </row>
    <row r="3728" spans="1:11" ht="15" customHeight="1" x14ac:dyDescent="0.2">
      <c r="A3728" t="s">
        <v>5441</v>
      </c>
      <c r="B3728" t="s">
        <v>608</v>
      </c>
      <c r="C3728">
        <v>2024</v>
      </c>
      <c r="D3728">
        <v>2024</v>
      </c>
      <c r="E3728" s="7">
        <v>45557</v>
      </c>
      <c r="F3728" s="7">
        <v>45921</v>
      </c>
      <c r="G3728" t="s">
        <v>135</v>
      </c>
      <c r="H3728" t="s">
        <v>113</v>
      </c>
      <c r="I3728" t="s">
        <v>104</v>
      </c>
      <c r="J3728">
        <v>11456.59</v>
      </c>
      <c r="K3728">
        <v>2000000</v>
      </c>
    </row>
    <row r="3729" spans="1:11" ht="15" customHeight="1" x14ac:dyDescent="0.2">
      <c r="A3729" t="s">
        <v>5442</v>
      </c>
      <c r="B3729" t="s">
        <v>609</v>
      </c>
      <c r="C3729">
        <v>2024</v>
      </c>
      <c r="D3729">
        <v>2024</v>
      </c>
      <c r="E3729" s="7">
        <v>45557</v>
      </c>
      <c r="F3729" s="7">
        <v>45921</v>
      </c>
      <c r="G3729" t="s">
        <v>135</v>
      </c>
      <c r="H3729" t="s">
        <v>108</v>
      </c>
      <c r="I3729" t="s">
        <v>104</v>
      </c>
      <c r="J3729">
        <v>7091.11</v>
      </c>
      <c r="K3729">
        <v>1000000</v>
      </c>
    </row>
    <row r="3730" spans="1:11" ht="15" customHeight="1" x14ac:dyDescent="0.2">
      <c r="A3730" t="s">
        <v>5443</v>
      </c>
      <c r="B3730" t="s">
        <v>6955</v>
      </c>
      <c r="C3730">
        <v>2024</v>
      </c>
      <c r="D3730">
        <v>2024</v>
      </c>
      <c r="E3730" s="7">
        <v>45558</v>
      </c>
      <c r="F3730" s="7">
        <v>45922</v>
      </c>
      <c r="G3730" t="s">
        <v>135</v>
      </c>
      <c r="H3730" t="s">
        <v>6334</v>
      </c>
      <c r="I3730" t="s">
        <v>101</v>
      </c>
      <c r="J3730">
        <v>9875.09</v>
      </c>
      <c r="K3730">
        <v>1500000</v>
      </c>
    </row>
    <row r="3731" spans="1:11" ht="15" customHeight="1" x14ac:dyDescent="0.2">
      <c r="A3731" t="s">
        <v>5444</v>
      </c>
      <c r="B3731" t="s">
        <v>9082</v>
      </c>
      <c r="C3731">
        <v>2024</v>
      </c>
      <c r="D3731">
        <v>2024</v>
      </c>
      <c r="E3731" s="7">
        <v>45558</v>
      </c>
      <c r="F3731" s="7">
        <v>45922</v>
      </c>
      <c r="G3731" t="s">
        <v>135</v>
      </c>
      <c r="H3731" t="s">
        <v>116</v>
      </c>
      <c r="I3731" t="s">
        <v>101</v>
      </c>
      <c r="J3731">
        <v>6601.24</v>
      </c>
      <c r="K3731">
        <v>1000000</v>
      </c>
    </row>
    <row r="3732" spans="1:11" ht="15" customHeight="1" x14ac:dyDescent="0.2">
      <c r="A3732" t="s">
        <v>5445</v>
      </c>
      <c r="B3732" t="s">
        <v>9083</v>
      </c>
      <c r="C3732">
        <v>2024</v>
      </c>
      <c r="D3732">
        <v>2024</v>
      </c>
      <c r="E3732" s="7">
        <v>45558</v>
      </c>
      <c r="F3732" s="7">
        <v>45922</v>
      </c>
      <c r="G3732" t="s">
        <v>135</v>
      </c>
      <c r="H3732" t="s">
        <v>107</v>
      </c>
      <c r="I3732" t="s">
        <v>101</v>
      </c>
      <c r="J3732">
        <v>10132.879999999999</v>
      </c>
      <c r="K3732">
        <v>1500000</v>
      </c>
    </row>
    <row r="3733" spans="1:11" ht="15" customHeight="1" x14ac:dyDescent="0.2">
      <c r="A3733" t="s">
        <v>5446</v>
      </c>
      <c r="B3733" t="s">
        <v>6993</v>
      </c>
      <c r="C3733">
        <v>2024</v>
      </c>
      <c r="D3733">
        <v>2024</v>
      </c>
      <c r="E3733" s="7">
        <v>45558</v>
      </c>
      <c r="F3733" s="7">
        <v>45922</v>
      </c>
      <c r="G3733" t="s">
        <v>135</v>
      </c>
      <c r="H3733" t="s">
        <v>106</v>
      </c>
      <c r="I3733" t="s">
        <v>101</v>
      </c>
      <c r="J3733">
        <v>13326.02</v>
      </c>
      <c r="K3733">
        <v>1500000</v>
      </c>
    </row>
    <row r="3734" spans="1:11" ht="15" customHeight="1" x14ac:dyDescent="0.2">
      <c r="A3734" t="s">
        <v>5447</v>
      </c>
      <c r="B3734" t="s">
        <v>1024</v>
      </c>
      <c r="C3734">
        <v>2024</v>
      </c>
      <c r="D3734">
        <v>2024</v>
      </c>
      <c r="E3734" s="7">
        <v>45558</v>
      </c>
      <c r="F3734" s="7">
        <v>45922</v>
      </c>
      <c r="G3734" t="s">
        <v>135</v>
      </c>
      <c r="H3734" t="s">
        <v>113</v>
      </c>
      <c r="I3734" t="s">
        <v>101</v>
      </c>
      <c r="J3734">
        <v>15003.73</v>
      </c>
      <c r="K3734">
        <v>2000000</v>
      </c>
    </row>
    <row r="3735" spans="1:11" ht="15" customHeight="1" x14ac:dyDescent="0.2">
      <c r="A3735" t="s">
        <v>5448</v>
      </c>
      <c r="B3735" t="s">
        <v>6962</v>
      </c>
      <c r="C3735">
        <v>2024</v>
      </c>
      <c r="D3735">
        <v>2024</v>
      </c>
      <c r="E3735" s="7">
        <v>45558</v>
      </c>
      <c r="F3735" s="7">
        <v>45922</v>
      </c>
      <c r="G3735" t="s">
        <v>135</v>
      </c>
      <c r="H3735" t="s">
        <v>106</v>
      </c>
      <c r="I3735" t="s">
        <v>104</v>
      </c>
      <c r="J3735">
        <v>38535.050000000003</v>
      </c>
      <c r="K3735">
        <v>5000000</v>
      </c>
    </row>
    <row r="3736" spans="1:11" ht="15" customHeight="1" x14ac:dyDescent="0.2">
      <c r="A3736" t="s">
        <v>5449</v>
      </c>
      <c r="B3736" t="s">
        <v>610</v>
      </c>
      <c r="C3736">
        <v>2024</v>
      </c>
      <c r="D3736">
        <v>2024</v>
      </c>
      <c r="E3736" s="7">
        <v>45558</v>
      </c>
      <c r="F3736" s="7">
        <v>45922</v>
      </c>
      <c r="G3736" t="s">
        <v>135</v>
      </c>
      <c r="H3736" t="s">
        <v>103</v>
      </c>
      <c r="I3736" t="s">
        <v>104</v>
      </c>
      <c r="J3736">
        <v>7815.04</v>
      </c>
      <c r="K3736">
        <v>1500000</v>
      </c>
    </row>
    <row r="3737" spans="1:11" ht="15" customHeight="1" x14ac:dyDescent="0.2">
      <c r="A3737" t="s">
        <v>5450</v>
      </c>
      <c r="B3737" t="s">
        <v>9084</v>
      </c>
      <c r="C3737">
        <v>2024</v>
      </c>
      <c r="D3737">
        <v>2024</v>
      </c>
      <c r="E3737" s="7">
        <v>45558</v>
      </c>
      <c r="F3737" s="7">
        <v>45922</v>
      </c>
      <c r="G3737" t="s">
        <v>135</v>
      </c>
      <c r="H3737" t="s">
        <v>6334</v>
      </c>
      <c r="I3737" t="s">
        <v>104</v>
      </c>
      <c r="J3737">
        <v>55526.3</v>
      </c>
      <c r="K3737">
        <v>10000000</v>
      </c>
    </row>
    <row r="3738" spans="1:11" ht="15" customHeight="1" x14ac:dyDescent="0.2">
      <c r="A3738" t="s">
        <v>5451</v>
      </c>
      <c r="B3738" t="s">
        <v>7057</v>
      </c>
      <c r="C3738">
        <v>2024</v>
      </c>
      <c r="D3738">
        <v>2024</v>
      </c>
      <c r="E3738" s="7">
        <v>45558</v>
      </c>
      <c r="F3738" s="7">
        <v>45922</v>
      </c>
      <c r="G3738" t="s">
        <v>135</v>
      </c>
      <c r="H3738" t="s">
        <v>6332</v>
      </c>
      <c r="I3738" t="s">
        <v>104</v>
      </c>
      <c r="J3738">
        <v>7800.01</v>
      </c>
      <c r="K3738">
        <v>1500000</v>
      </c>
    </row>
    <row r="3739" spans="1:11" ht="15" customHeight="1" x14ac:dyDescent="0.2">
      <c r="A3739" t="s">
        <v>5452</v>
      </c>
      <c r="B3739" t="s">
        <v>9085</v>
      </c>
      <c r="C3739">
        <v>2024</v>
      </c>
      <c r="D3739">
        <v>2024</v>
      </c>
      <c r="E3739" s="7">
        <v>45558</v>
      </c>
      <c r="F3739" s="7">
        <v>45922</v>
      </c>
      <c r="G3739" t="s">
        <v>135</v>
      </c>
      <c r="H3739" t="s">
        <v>106</v>
      </c>
      <c r="I3739" t="s">
        <v>104</v>
      </c>
      <c r="J3739">
        <v>7264.76</v>
      </c>
      <c r="K3739">
        <v>1000000</v>
      </c>
    </row>
    <row r="3740" spans="1:11" ht="15" customHeight="1" x14ac:dyDescent="0.2">
      <c r="A3740" t="s">
        <v>5453</v>
      </c>
      <c r="B3740" t="s">
        <v>9086</v>
      </c>
      <c r="C3740">
        <v>2024</v>
      </c>
      <c r="D3740">
        <v>2024</v>
      </c>
      <c r="E3740" s="7">
        <v>45558</v>
      </c>
      <c r="F3740" s="7">
        <v>45922</v>
      </c>
      <c r="G3740" t="s">
        <v>135</v>
      </c>
      <c r="H3740" t="s">
        <v>107</v>
      </c>
      <c r="I3740" t="s">
        <v>101</v>
      </c>
      <c r="J3740">
        <v>15330.95</v>
      </c>
      <c r="K3740">
        <v>2000000</v>
      </c>
    </row>
    <row r="3741" spans="1:11" ht="15" customHeight="1" x14ac:dyDescent="0.2">
      <c r="A3741" t="s">
        <v>5454</v>
      </c>
      <c r="B3741" t="s">
        <v>1025</v>
      </c>
      <c r="C3741">
        <v>2024</v>
      </c>
      <c r="D3741">
        <v>2024</v>
      </c>
      <c r="E3741" s="7">
        <v>45558</v>
      </c>
      <c r="F3741" s="7">
        <v>45922</v>
      </c>
      <c r="G3741" t="s">
        <v>135</v>
      </c>
      <c r="H3741" t="s">
        <v>109</v>
      </c>
      <c r="I3741" t="s">
        <v>101</v>
      </c>
      <c r="J3741">
        <v>7581.87</v>
      </c>
      <c r="K3741">
        <v>1000000</v>
      </c>
    </row>
    <row r="3742" spans="1:11" ht="15" customHeight="1" x14ac:dyDescent="0.2">
      <c r="A3742" t="s">
        <v>5455</v>
      </c>
      <c r="B3742" t="s">
        <v>4144</v>
      </c>
      <c r="C3742">
        <v>2024</v>
      </c>
      <c r="D3742">
        <v>2024</v>
      </c>
      <c r="E3742" s="7">
        <v>45559</v>
      </c>
      <c r="F3742" s="7">
        <v>45923</v>
      </c>
      <c r="G3742" t="s">
        <v>99</v>
      </c>
      <c r="H3742" t="s">
        <v>110</v>
      </c>
      <c r="I3742" t="s">
        <v>104</v>
      </c>
      <c r="J3742">
        <v>36438.730000000003</v>
      </c>
      <c r="K3742">
        <v>5000000</v>
      </c>
    </row>
    <row r="3743" spans="1:11" ht="15" customHeight="1" x14ac:dyDescent="0.2">
      <c r="A3743" t="s">
        <v>5456</v>
      </c>
      <c r="B3743" t="s">
        <v>4146</v>
      </c>
      <c r="C3743">
        <v>2024</v>
      </c>
      <c r="D3743">
        <v>2024</v>
      </c>
      <c r="E3743" s="7">
        <v>45559</v>
      </c>
      <c r="F3743" s="7">
        <v>45923</v>
      </c>
      <c r="G3743" t="s">
        <v>99</v>
      </c>
      <c r="H3743" t="s">
        <v>106</v>
      </c>
      <c r="I3743" t="s">
        <v>104</v>
      </c>
      <c r="J3743">
        <v>10541.76</v>
      </c>
      <c r="K3743">
        <v>1500000</v>
      </c>
    </row>
    <row r="3744" spans="1:11" ht="15" customHeight="1" x14ac:dyDescent="0.2">
      <c r="A3744" t="s">
        <v>5457</v>
      </c>
      <c r="B3744" t="s">
        <v>4148</v>
      </c>
      <c r="C3744">
        <v>2024</v>
      </c>
      <c r="D3744">
        <v>2024</v>
      </c>
      <c r="E3744" s="7">
        <v>45559</v>
      </c>
      <c r="F3744" s="7">
        <v>45923</v>
      </c>
      <c r="G3744" t="s">
        <v>99</v>
      </c>
      <c r="H3744" t="s">
        <v>102</v>
      </c>
      <c r="I3744" t="s">
        <v>101</v>
      </c>
      <c r="J3744">
        <v>10991.37</v>
      </c>
      <c r="K3744">
        <v>1500000</v>
      </c>
    </row>
    <row r="3745" spans="1:11" ht="15" customHeight="1" x14ac:dyDescent="0.2">
      <c r="A3745" t="s">
        <v>5458</v>
      </c>
      <c r="B3745" t="s">
        <v>4150</v>
      </c>
      <c r="C3745">
        <v>2024</v>
      </c>
      <c r="D3745">
        <v>2024</v>
      </c>
      <c r="E3745" s="7">
        <v>45559</v>
      </c>
      <c r="F3745" s="7">
        <v>45923</v>
      </c>
      <c r="G3745" t="s">
        <v>99</v>
      </c>
      <c r="H3745" t="s">
        <v>105</v>
      </c>
      <c r="I3745" t="s">
        <v>101</v>
      </c>
      <c r="J3745">
        <v>73680.61</v>
      </c>
      <c r="K3745">
        <v>10000000</v>
      </c>
    </row>
    <row r="3746" spans="1:11" ht="15" customHeight="1" x14ac:dyDescent="0.2">
      <c r="A3746" t="s">
        <v>5459</v>
      </c>
      <c r="B3746" t="s">
        <v>4152</v>
      </c>
      <c r="C3746">
        <v>2024</v>
      </c>
      <c r="D3746">
        <v>2024</v>
      </c>
      <c r="E3746" s="7">
        <v>45559</v>
      </c>
      <c r="F3746" s="7">
        <v>45923</v>
      </c>
      <c r="G3746" t="s">
        <v>99</v>
      </c>
      <c r="H3746" t="s">
        <v>6337</v>
      </c>
      <c r="I3746" t="s">
        <v>101</v>
      </c>
      <c r="J3746">
        <v>35155.24</v>
      </c>
      <c r="K3746">
        <v>5000000</v>
      </c>
    </row>
    <row r="3747" spans="1:11" ht="15" customHeight="1" x14ac:dyDescent="0.2">
      <c r="A3747" t="s">
        <v>5460</v>
      </c>
      <c r="B3747" t="s">
        <v>4162</v>
      </c>
      <c r="C3747">
        <v>2024</v>
      </c>
      <c r="D3747">
        <v>2024</v>
      </c>
      <c r="E3747" s="7">
        <v>45559</v>
      </c>
      <c r="F3747" s="7">
        <v>45923</v>
      </c>
      <c r="G3747" t="s">
        <v>99</v>
      </c>
      <c r="H3747" t="s">
        <v>109</v>
      </c>
      <c r="I3747" t="s">
        <v>104</v>
      </c>
      <c r="J3747">
        <v>12509.69</v>
      </c>
      <c r="K3747">
        <v>2000000</v>
      </c>
    </row>
    <row r="3748" spans="1:11" ht="15" customHeight="1" x14ac:dyDescent="0.2">
      <c r="A3748" t="s">
        <v>5461</v>
      </c>
      <c r="B3748" t="s">
        <v>4164</v>
      </c>
      <c r="C3748">
        <v>2024</v>
      </c>
      <c r="D3748">
        <v>2024</v>
      </c>
      <c r="E3748" s="7">
        <v>45559</v>
      </c>
      <c r="F3748" s="7">
        <v>45923</v>
      </c>
      <c r="G3748" t="s">
        <v>99</v>
      </c>
      <c r="H3748" t="s">
        <v>102</v>
      </c>
      <c r="I3748" t="s">
        <v>104</v>
      </c>
      <c r="J3748">
        <v>5445.07</v>
      </c>
      <c r="K3748">
        <v>1000000</v>
      </c>
    </row>
    <row r="3749" spans="1:11" ht="15" customHeight="1" x14ac:dyDescent="0.2">
      <c r="A3749" t="s">
        <v>5462</v>
      </c>
      <c r="B3749" t="s">
        <v>6965</v>
      </c>
      <c r="C3749">
        <v>2024</v>
      </c>
      <c r="D3749">
        <v>2024</v>
      </c>
      <c r="E3749" s="7">
        <v>45559</v>
      </c>
      <c r="F3749" s="7">
        <v>45923</v>
      </c>
      <c r="G3749" t="s">
        <v>135</v>
      </c>
      <c r="H3749" t="s">
        <v>105</v>
      </c>
      <c r="I3749" t="s">
        <v>104</v>
      </c>
      <c r="J3749">
        <v>11773.23</v>
      </c>
      <c r="K3749">
        <v>2000000</v>
      </c>
    </row>
    <row r="3750" spans="1:11" ht="15" customHeight="1" x14ac:dyDescent="0.2">
      <c r="A3750" t="s">
        <v>5463</v>
      </c>
      <c r="B3750" t="s">
        <v>1028</v>
      </c>
      <c r="C3750">
        <v>2024</v>
      </c>
      <c r="D3750">
        <v>2024</v>
      </c>
      <c r="E3750" s="7">
        <v>45559</v>
      </c>
      <c r="F3750" s="7">
        <v>45923</v>
      </c>
      <c r="G3750" t="s">
        <v>135</v>
      </c>
      <c r="H3750" t="s">
        <v>102</v>
      </c>
      <c r="I3750" t="s">
        <v>104</v>
      </c>
      <c r="J3750">
        <v>6305.62</v>
      </c>
      <c r="K3750">
        <v>1000000</v>
      </c>
    </row>
    <row r="3751" spans="1:11" ht="15" customHeight="1" x14ac:dyDescent="0.2">
      <c r="A3751" t="s">
        <v>5464</v>
      </c>
      <c r="B3751" t="s">
        <v>612</v>
      </c>
      <c r="C3751">
        <v>2024</v>
      </c>
      <c r="D3751">
        <v>2024</v>
      </c>
      <c r="E3751" s="7">
        <v>45559</v>
      </c>
      <c r="F3751" s="7">
        <v>45923</v>
      </c>
      <c r="G3751" t="s">
        <v>135</v>
      </c>
      <c r="H3751" t="s">
        <v>106</v>
      </c>
      <c r="I3751" t="s">
        <v>101</v>
      </c>
      <c r="J3751">
        <v>13257.7</v>
      </c>
      <c r="K3751">
        <v>1500000</v>
      </c>
    </row>
    <row r="3752" spans="1:11" ht="15" customHeight="1" x14ac:dyDescent="0.2">
      <c r="A3752" t="s">
        <v>5465</v>
      </c>
      <c r="B3752" t="s">
        <v>1026</v>
      </c>
      <c r="C3752">
        <v>2024</v>
      </c>
      <c r="D3752">
        <v>2024</v>
      </c>
      <c r="E3752" s="7">
        <v>45559</v>
      </c>
      <c r="F3752" s="7">
        <v>45923</v>
      </c>
      <c r="G3752" t="s">
        <v>135</v>
      </c>
      <c r="H3752" t="s">
        <v>114</v>
      </c>
      <c r="I3752" t="s">
        <v>101</v>
      </c>
      <c r="J3752">
        <v>6777.17</v>
      </c>
      <c r="K3752">
        <v>1000000</v>
      </c>
    </row>
    <row r="3753" spans="1:11" ht="15" customHeight="1" x14ac:dyDescent="0.2">
      <c r="A3753" t="s">
        <v>5466</v>
      </c>
      <c r="B3753" t="s">
        <v>7270</v>
      </c>
      <c r="C3753">
        <v>2024</v>
      </c>
      <c r="D3753">
        <v>2024</v>
      </c>
      <c r="E3753" s="7">
        <v>45559</v>
      </c>
      <c r="F3753" s="7">
        <v>45923</v>
      </c>
      <c r="G3753" t="s">
        <v>135</v>
      </c>
      <c r="H3753" t="s">
        <v>102</v>
      </c>
      <c r="I3753" t="s">
        <v>101</v>
      </c>
      <c r="J3753">
        <v>32843.75</v>
      </c>
      <c r="K3753">
        <v>5000000</v>
      </c>
    </row>
    <row r="3754" spans="1:11" ht="15" customHeight="1" x14ac:dyDescent="0.2">
      <c r="A3754" t="s">
        <v>5467</v>
      </c>
      <c r="B3754" t="s">
        <v>9087</v>
      </c>
      <c r="C3754">
        <v>2024</v>
      </c>
      <c r="D3754">
        <v>2024</v>
      </c>
      <c r="E3754" s="7">
        <v>45559</v>
      </c>
      <c r="F3754" s="7">
        <v>45923</v>
      </c>
      <c r="G3754" t="s">
        <v>135</v>
      </c>
      <c r="H3754" t="s">
        <v>106</v>
      </c>
      <c r="I3754" t="s">
        <v>101</v>
      </c>
      <c r="J3754">
        <v>19447.79</v>
      </c>
      <c r="K3754">
        <v>2000000</v>
      </c>
    </row>
    <row r="3755" spans="1:11" ht="15" customHeight="1" x14ac:dyDescent="0.2">
      <c r="A3755" t="s">
        <v>5468</v>
      </c>
      <c r="B3755" t="s">
        <v>9088</v>
      </c>
      <c r="C3755">
        <v>2024</v>
      </c>
      <c r="D3755">
        <v>2024</v>
      </c>
      <c r="E3755" s="7">
        <v>45559</v>
      </c>
      <c r="F3755" s="7">
        <v>45923</v>
      </c>
      <c r="G3755" t="s">
        <v>135</v>
      </c>
      <c r="H3755" t="s">
        <v>109</v>
      </c>
      <c r="I3755" t="s">
        <v>104</v>
      </c>
      <c r="J3755">
        <v>12103.5</v>
      </c>
      <c r="K3755">
        <v>2000000</v>
      </c>
    </row>
    <row r="3756" spans="1:11" ht="15" customHeight="1" x14ac:dyDescent="0.2">
      <c r="A3756" t="s">
        <v>5469</v>
      </c>
      <c r="B3756" t="s">
        <v>9089</v>
      </c>
      <c r="C3756">
        <v>2024</v>
      </c>
      <c r="D3756">
        <v>2024</v>
      </c>
      <c r="E3756" s="7">
        <v>45559</v>
      </c>
      <c r="F3756" s="7">
        <v>45923</v>
      </c>
      <c r="G3756" t="s">
        <v>135</v>
      </c>
      <c r="H3756" t="s">
        <v>107</v>
      </c>
      <c r="I3756" t="s">
        <v>101</v>
      </c>
      <c r="J3756">
        <v>6543.99</v>
      </c>
      <c r="K3756">
        <v>1000000</v>
      </c>
    </row>
    <row r="3757" spans="1:11" ht="15" customHeight="1" x14ac:dyDescent="0.2">
      <c r="A3757" t="s">
        <v>5470</v>
      </c>
      <c r="B3757" t="s">
        <v>9090</v>
      </c>
      <c r="C3757">
        <v>2024</v>
      </c>
      <c r="D3757">
        <v>2024</v>
      </c>
      <c r="E3757" s="7">
        <v>45559</v>
      </c>
      <c r="F3757" s="7">
        <v>45923</v>
      </c>
      <c r="G3757" t="s">
        <v>135</v>
      </c>
      <c r="H3757" t="s">
        <v>109</v>
      </c>
      <c r="I3757" t="s">
        <v>101</v>
      </c>
      <c r="J3757">
        <v>7261.51</v>
      </c>
      <c r="K3757">
        <v>1000000</v>
      </c>
    </row>
    <row r="3758" spans="1:11" ht="15" customHeight="1" x14ac:dyDescent="0.2">
      <c r="A3758" t="s">
        <v>5471</v>
      </c>
      <c r="B3758" t="s">
        <v>220</v>
      </c>
      <c r="C3758">
        <v>2024</v>
      </c>
      <c r="D3758">
        <v>2024</v>
      </c>
      <c r="E3758" s="7">
        <v>45559</v>
      </c>
      <c r="F3758" s="7">
        <v>45923</v>
      </c>
      <c r="G3758" t="s">
        <v>135</v>
      </c>
      <c r="H3758" t="s">
        <v>108</v>
      </c>
      <c r="I3758" t="s">
        <v>104</v>
      </c>
      <c r="J3758">
        <v>7116.14</v>
      </c>
      <c r="K3758">
        <v>1000000</v>
      </c>
    </row>
    <row r="3759" spans="1:11" ht="15" customHeight="1" x14ac:dyDescent="0.2">
      <c r="A3759" t="s">
        <v>5472</v>
      </c>
      <c r="B3759" t="s">
        <v>611</v>
      </c>
      <c r="C3759">
        <v>2024</v>
      </c>
      <c r="D3759">
        <v>2024</v>
      </c>
      <c r="E3759" s="7">
        <v>45559</v>
      </c>
      <c r="F3759" s="7">
        <v>45923</v>
      </c>
      <c r="G3759" t="s">
        <v>135</v>
      </c>
      <c r="H3759" t="s">
        <v>106</v>
      </c>
      <c r="I3759" t="s">
        <v>101</v>
      </c>
      <c r="J3759">
        <v>9696.2099999999991</v>
      </c>
      <c r="K3759">
        <v>1000000</v>
      </c>
    </row>
    <row r="3760" spans="1:11" ht="15" customHeight="1" x14ac:dyDescent="0.2">
      <c r="A3760" t="s">
        <v>5473</v>
      </c>
      <c r="B3760" t="s">
        <v>9091</v>
      </c>
      <c r="C3760">
        <v>2024</v>
      </c>
      <c r="D3760">
        <v>2024</v>
      </c>
      <c r="E3760" s="7">
        <v>45559</v>
      </c>
      <c r="F3760" s="7">
        <v>45923</v>
      </c>
      <c r="G3760" t="s">
        <v>135</v>
      </c>
      <c r="H3760" t="s">
        <v>102</v>
      </c>
      <c r="I3760" t="s">
        <v>101</v>
      </c>
      <c r="J3760">
        <v>3316.48</v>
      </c>
      <c r="K3760">
        <v>500000</v>
      </c>
    </row>
    <row r="3761" spans="1:11" ht="15" customHeight="1" x14ac:dyDescent="0.2">
      <c r="A3761" t="s">
        <v>5474</v>
      </c>
      <c r="B3761" t="s">
        <v>9092</v>
      </c>
      <c r="C3761">
        <v>2024</v>
      </c>
      <c r="D3761">
        <v>2024</v>
      </c>
      <c r="E3761" s="7">
        <v>45559</v>
      </c>
      <c r="F3761" s="7">
        <v>45923</v>
      </c>
      <c r="G3761" t="s">
        <v>135</v>
      </c>
      <c r="H3761" t="s">
        <v>105</v>
      </c>
      <c r="I3761" t="s">
        <v>101</v>
      </c>
      <c r="J3761">
        <v>13812.65</v>
      </c>
      <c r="K3761">
        <v>2000000</v>
      </c>
    </row>
    <row r="3762" spans="1:11" ht="15" customHeight="1" x14ac:dyDescent="0.2">
      <c r="A3762" t="s">
        <v>5475</v>
      </c>
      <c r="B3762" t="s">
        <v>6996</v>
      </c>
      <c r="C3762">
        <v>2024</v>
      </c>
      <c r="D3762">
        <v>2024</v>
      </c>
      <c r="E3762" s="7">
        <v>45559</v>
      </c>
      <c r="F3762" s="7">
        <v>45923</v>
      </c>
      <c r="G3762" t="s">
        <v>135</v>
      </c>
      <c r="H3762" t="s">
        <v>106</v>
      </c>
      <c r="I3762" t="s">
        <v>101</v>
      </c>
      <c r="J3762">
        <v>13910.58</v>
      </c>
      <c r="K3762">
        <v>1500000</v>
      </c>
    </row>
    <row r="3763" spans="1:11" ht="15" customHeight="1" x14ac:dyDescent="0.2">
      <c r="A3763" t="s">
        <v>5476</v>
      </c>
      <c r="B3763" t="s">
        <v>9093</v>
      </c>
      <c r="C3763">
        <v>2024</v>
      </c>
      <c r="D3763">
        <v>2024</v>
      </c>
      <c r="E3763" s="7">
        <v>45559</v>
      </c>
      <c r="F3763" s="7">
        <v>45923</v>
      </c>
      <c r="G3763" t="s">
        <v>135</v>
      </c>
      <c r="H3763" t="s">
        <v>102</v>
      </c>
      <c r="I3763" t="s">
        <v>101</v>
      </c>
      <c r="J3763">
        <v>3301.62</v>
      </c>
      <c r="K3763">
        <v>500000</v>
      </c>
    </row>
    <row r="3764" spans="1:11" ht="15" customHeight="1" x14ac:dyDescent="0.2">
      <c r="A3764" t="s">
        <v>5477</v>
      </c>
      <c r="B3764" t="s">
        <v>1029</v>
      </c>
      <c r="C3764">
        <v>2024</v>
      </c>
      <c r="D3764">
        <v>2024</v>
      </c>
      <c r="E3764" s="7">
        <v>45559</v>
      </c>
      <c r="F3764" s="7">
        <v>45923</v>
      </c>
      <c r="G3764" t="s">
        <v>135</v>
      </c>
      <c r="H3764" t="s">
        <v>6332</v>
      </c>
      <c r="I3764" t="s">
        <v>101</v>
      </c>
      <c r="J3764">
        <v>14105.51</v>
      </c>
      <c r="K3764">
        <v>2000000</v>
      </c>
    </row>
    <row r="3765" spans="1:11" ht="15" customHeight="1" x14ac:dyDescent="0.2">
      <c r="A3765" t="s">
        <v>5478</v>
      </c>
      <c r="B3765" t="s">
        <v>1027</v>
      </c>
      <c r="C3765">
        <v>2024</v>
      </c>
      <c r="D3765">
        <v>2024</v>
      </c>
      <c r="E3765" s="7">
        <v>45559</v>
      </c>
      <c r="F3765" s="7">
        <v>45923</v>
      </c>
      <c r="G3765" t="s">
        <v>135</v>
      </c>
      <c r="H3765" t="s">
        <v>114</v>
      </c>
      <c r="I3765" t="s">
        <v>101</v>
      </c>
      <c r="J3765">
        <v>7078.94</v>
      </c>
      <c r="K3765">
        <v>1000000</v>
      </c>
    </row>
    <row r="3766" spans="1:11" ht="15" customHeight="1" x14ac:dyDescent="0.2">
      <c r="A3766" t="s">
        <v>5479</v>
      </c>
      <c r="B3766" t="s">
        <v>9094</v>
      </c>
      <c r="C3766">
        <v>2024</v>
      </c>
      <c r="D3766">
        <v>2024</v>
      </c>
      <c r="E3766" s="7">
        <v>45559</v>
      </c>
      <c r="F3766" s="7">
        <v>45923</v>
      </c>
      <c r="G3766" t="s">
        <v>135</v>
      </c>
      <c r="H3766" t="s">
        <v>103</v>
      </c>
      <c r="I3766" t="s">
        <v>104</v>
      </c>
      <c r="J3766">
        <v>63110.66</v>
      </c>
      <c r="K3766">
        <v>10000000</v>
      </c>
    </row>
    <row r="3767" spans="1:11" ht="15" customHeight="1" x14ac:dyDescent="0.2">
      <c r="A3767" t="s">
        <v>5480</v>
      </c>
      <c r="B3767" t="s">
        <v>4166</v>
      </c>
      <c r="C3767">
        <v>2024</v>
      </c>
      <c r="D3767">
        <v>2024</v>
      </c>
      <c r="E3767" s="7">
        <v>45560</v>
      </c>
      <c r="F3767" s="7">
        <v>45924</v>
      </c>
      <c r="G3767" t="s">
        <v>99</v>
      </c>
      <c r="H3767" t="s">
        <v>102</v>
      </c>
      <c r="I3767" t="s">
        <v>101</v>
      </c>
      <c r="J3767">
        <v>11804.46</v>
      </c>
      <c r="K3767">
        <v>1500000</v>
      </c>
    </row>
    <row r="3768" spans="1:11" ht="15" customHeight="1" x14ac:dyDescent="0.2">
      <c r="A3768" t="s">
        <v>5481</v>
      </c>
      <c r="B3768" t="s">
        <v>4168</v>
      </c>
      <c r="C3768">
        <v>2024</v>
      </c>
      <c r="D3768">
        <v>2024</v>
      </c>
      <c r="E3768" s="7">
        <v>45560</v>
      </c>
      <c r="F3768" s="7">
        <v>45924</v>
      </c>
      <c r="G3768" t="s">
        <v>99</v>
      </c>
      <c r="H3768" t="s">
        <v>108</v>
      </c>
      <c r="I3768" t="s">
        <v>104</v>
      </c>
      <c r="J3768">
        <v>6564.16</v>
      </c>
      <c r="K3768">
        <v>1000000</v>
      </c>
    </row>
    <row r="3769" spans="1:11" ht="15" customHeight="1" x14ac:dyDescent="0.2">
      <c r="A3769" t="s">
        <v>5482</v>
      </c>
      <c r="B3769" t="s">
        <v>378</v>
      </c>
      <c r="C3769">
        <v>2024</v>
      </c>
      <c r="D3769">
        <v>2024</v>
      </c>
      <c r="E3769" s="7">
        <v>45560</v>
      </c>
      <c r="F3769" s="7">
        <v>45924</v>
      </c>
      <c r="G3769" t="s">
        <v>135</v>
      </c>
      <c r="H3769" t="s">
        <v>103</v>
      </c>
      <c r="I3769" t="s">
        <v>101</v>
      </c>
      <c r="J3769">
        <v>7449.03</v>
      </c>
      <c r="K3769">
        <v>1000000</v>
      </c>
    </row>
    <row r="3770" spans="1:11" ht="15" customHeight="1" x14ac:dyDescent="0.2">
      <c r="A3770" t="s">
        <v>5483</v>
      </c>
      <c r="B3770" t="s">
        <v>1030</v>
      </c>
      <c r="C3770">
        <v>2024</v>
      </c>
      <c r="D3770">
        <v>2024</v>
      </c>
      <c r="E3770" s="7">
        <v>45560</v>
      </c>
      <c r="F3770" s="7">
        <v>45924</v>
      </c>
      <c r="G3770" t="s">
        <v>135</v>
      </c>
      <c r="H3770" t="s">
        <v>109</v>
      </c>
      <c r="I3770" t="s">
        <v>101</v>
      </c>
      <c r="J3770">
        <v>7498.31</v>
      </c>
      <c r="K3770">
        <v>1000000</v>
      </c>
    </row>
    <row r="3771" spans="1:11" ht="15" customHeight="1" x14ac:dyDescent="0.2">
      <c r="A3771" t="s">
        <v>5484</v>
      </c>
      <c r="B3771" t="s">
        <v>379</v>
      </c>
      <c r="C3771">
        <v>2024</v>
      </c>
      <c r="D3771">
        <v>2024</v>
      </c>
      <c r="E3771" s="7">
        <v>45560</v>
      </c>
      <c r="F3771" s="7">
        <v>45924</v>
      </c>
      <c r="G3771" t="s">
        <v>135</v>
      </c>
      <c r="H3771" t="s">
        <v>107</v>
      </c>
      <c r="I3771" t="s">
        <v>101</v>
      </c>
      <c r="J3771">
        <v>38141.800000000003</v>
      </c>
      <c r="K3771">
        <v>5000000</v>
      </c>
    </row>
    <row r="3772" spans="1:11" ht="15" customHeight="1" x14ac:dyDescent="0.2">
      <c r="A3772" t="s">
        <v>5485</v>
      </c>
      <c r="B3772" t="s">
        <v>1032</v>
      </c>
      <c r="C3772">
        <v>2024</v>
      </c>
      <c r="D3772">
        <v>2024</v>
      </c>
      <c r="E3772" s="7">
        <v>45560</v>
      </c>
      <c r="F3772" s="7">
        <v>45924</v>
      </c>
      <c r="G3772" t="s">
        <v>135</v>
      </c>
      <c r="H3772" t="s">
        <v>102</v>
      </c>
      <c r="I3772" t="s">
        <v>104</v>
      </c>
      <c r="J3772">
        <v>6115.22</v>
      </c>
      <c r="K3772">
        <v>1000000</v>
      </c>
    </row>
    <row r="3773" spans="1:11" ht="15" customHeight="1" x14ac:dyDescent="0.2">
      <c r="A3773" t="s">
        <v>5486</v>
      </c>
      <c r="B3773" t="s">
        <v>6925</v>
      </c>
      <c r="C3773">
        <v>2024</v>
      </c>
      <c r="D3773">
        <v>2024</v>
      </c>
      <c r="E3773" s="7">
        <v>45560</v>
      </c>
      <c r="F3773" s="7">
        <v>45924</v>
      </c>
      <c r="G3773" t="s">
        <v>135</v>
      </c>
      <c r="H3773" t="s">
        <v>115</v>
      </c>
      <c r="I3773" t="s">
        <v>104</v>
      </c>
      <c r="J3773">
        <v>5611.58</v>
      </c>
      <c r="K3773">
        <v>1000000</v>
      </c>
    </row>
    <row r="3774" spans="1:11" ht="15" customHeight="1" x14ac:dyDescent="0.2">
      <c r="A3774" t="s">
        <v>5487</v>
      </c>
      <c r="B3774" t="s">
        <v>613</v>
      </c>
      <c r="C3774">
        <v>2024</v>
      </c>
      <c r="D3774">
        <v>2024</v>
      </c>
      <c r="E3774" s="7">
        <v>45560</v>
      </c>
      <c r="F3774" s="7">
        <v>45924</v>
      </c>
      <c r="G3774" t="s">
        <v>135</v>
      </c>
      <c r="H3774" t="s">
        <v>110</v>
      </c>
      <c r="I3774" t="s">
        <v>101</v>
      </c>
      <c r="J3774">
        <v>8231.3799999999992</v>
      </c>
      <c r="K3774">
        <v>1000000</v>
      </c>
    </row>
    <row r="3775" spans="1:11" ht="15" customHeight="1" x14ac:dyDescent="0.2">
      <c r="A3775" t="s">
        <v>5488</v>
      </c>
      <c r="B3775" t="s">
        <v>1031</v>
      </c>
      <c r="C3775">
        <v>2024</v>
      </c>
      <c r="D3775">
        <v>2024</v>
      </c>
      <c r="E3775" s="7">
        <v>45560</v>
      </c>
      <c r="F3775" s="7">
        <v>45924</v>
      </c>
      <c r="G3775" t="s">
        <v>135</v>
      </c>
      <c r="H3775" t="s">
        <v>6332</v>
      </c>
      <c r="I3775" t="s">
        <v>101</v>
      </c>
      <c r="J3775">
        <v>13631.57</v>
      </c>
      <c r="K3775">
        <v>2000000</v>
      </c>
    </row>
    <row r="3776" spans="1:11" ht="15" customHeight="1" x14ac:dyDescent="0.2">
      <c r="A3776" t="s">
        <v>5489</v>
      </c>
      <c r="B3776" t="s">
        <v>9095</v>
      </c>
      <c r="C3776">
        <v>2024</v>
      </c>
      <c r="D3776">
        <v>2024</v>
      </c>
      <c r="E3776" s="7">
        <v>45560</v>
      </c>
      <c r="F3776" s="7">
        <v>45924</v>
      </c>
      <c r="G3776" t="s">
        <v>135</v>
      </c>
      <c r="H3776" t="s">
        <v>106</v>
      </c>
      <c r="I3776" t="s">
        <v>104</v>
      </c>
      <c r="J3776">
        <v>6506.07</v>
      </c>
      <c r="K3776">
        <v>1000000</v>
      </c>
    </row>
    <row r="3777" spans="1:11" ht="15" customHeight="1" x14ac:dyDescent="0.2">
      <c r="A3777" t="s">
        <v>5490</v>
      </c>
      <c r="B3777" t="s">
        <v>6968</v>
      </c>
      <c r="C3777">
        <v>2024</v>
      </c>
      <c r="D3777">
        <v>2024</v>
      </c>
      <c r="E3777" s="7">
        <v>45561</v>
      </c>
      <c r="F3777" s="7">
        <v>45925</v>
      </c>
      <c r="G3777" t="s">
        <v>135</v>
      </c>
      <c r="H3777" t="s">
        <v>110</v>
      </c>
      <c r="I3777" t="s">
        <v>104</v>
      </c>
      <c r="J3777">
        <v>3889.16</v>
      </c>
      <c r="K3777">
        <v>500000</v>
      </c>
    </row>
    <row r="3778" spans="1:11" ht="15" customHeight="1" x14ac:dyDescent="0.2">
      <c r="A3778" t="s">
        <v>5491</v>
      </c>
      <c r="B3778" t="s">
        <v>614</v>
      </c>
      <c r="C3778">
        <v>2024</v>
      </c>
      <c r="D3778">
        <v>2024</v>
      </c>
      <c r="E3778" s="7">
        <v>45561</v>
      </c>
      <c r="F3778" s="7">
        <v>45925</v>
      </c>
      <c r="G3778" t="s">
        <v>135</v>
      </c>
      <c r="H3778" t="s">
        <v>115</v>
      </c>
      <c r="I3778" t="s">
        <v>104</v>
      </c>
      <c r="J3778">
        <v>5417.31</v>
      </c>
      <c r="K3778">
        <v>1000000</v>
      </c>
    </row>
    <row r="3779" spans="1:11" ht="15" customHeight="1" x14ac:dyDescent="0.2">
      <c r="A3779" t="s">
        <v>5492</v>
      </c>
      <c r="B3779" t="s">
        <v>9096</v>
      </c>
      <c r="C3779">
        <v>2024</v>
      </c>
      <c r="D3779">
        <v>2024</v>
      </c>
      <c r="E3779" s="7">
        <v>45561</v>
      </c>
      <c r="F3779" s="7">
        <v>45925</v>
      </c>
      <c r="G3779" t="s">
        <v>135</v>
      </c>
      <c r="H3779" t="s">
        <v>108</v>
      </c>
      <c r="I3779" t="s">
        <v>104</v>
      </c>
      <c r="J3779">
        <v>11157.07</v>
      </c>
      <c r="K3779">
        <v>1500000</v>
      </c>
    </row>
    <row r="3780" spans="1:11" ht="15" customHeight="1" x14ac:dyDescent="0.2">
      <c r="A3780" t="s">
        <v>5493</v>
      </c>
      <c r="B3780" t="s">
        <v>6922</v>
      </c>
      <c r="C3780">
        <v>2024</v>
      </c>
      <c r="D3780">
        <v>2024</v>
      </c>
      <c r="E3780" s="7">
        <v>45561</v>
      </c>
      <c r="F3780" s="7">
        <v>45925</v>
      </c>
      <c r="G3780" t="s">
        <v>135</v>
      </c>
      <c r="H3780" t="s">
        <v>6337</v>
      </c>
      <c r="I3780" t="s">
        <v>101</v>
      </c>
      <c r="J3780">
        <v>6722.15</v>
      </c>
      <c r="K3780">
        <v>1000000</v>
      </c>
    </row>
    <row r="3781" spans="1:11" ht="15" customHeight="1" x14ac:dyDescent="0.2">
      <c r="A3781" t="s">
        <v>5494</v>
      </c>
      <c r="B3781" t="s">
        <v>9097</v>
      </c>
      <c r="C3781">
        <v>2024</v>
      </c>
      <c r="D3781">
        <v>2024</v>
      </c>
      <c r="E3781" s="7">
        <v>45561</v>
      </c>
      <c r="F3781" s="7">
        <v>45925</v>
      </c>
      <c r="G3781" t="s">
        <v>135</v>
      </c>
      <c r="H3781" t="s">
        <v>106</v>
      </c>
      <c r="I3781" t="s">
        <v>101</v>
      </c>
      <c r="J3781">
        <v>48643.58</v>
      </c>
      <c r="K3781">
        <v>5000000</v>
      </c>
    </row>
    <row r="3782" spans="1:11" ht="15" customHeight="1" x14ac:dyDescent="0.2">
      <c r="A3782" t="s">
        <v>5495</v>
      </c>
      <c r="B3782" t="s">
        <v>6973</v>
      </c>
      <c r="C3782">
        <v>2024</v>
      </c>
      <c r="D3782">
        <v>2024</v>
      </c>
      <c r="E3782" s="7">
        <v>45561</v>
      </c>
      <c r="F3782" s="7">
        <v>45925</v>
      </c>
      <c r="G3782" t="s">
        <v>135</v>
      </c>
      <c r="H3782" t="s">
        <v>106</v>
      </c>
      <c r="I3782" t="s">
        <v>104</v>
      </c>
      <c r="J3782">
        <v>7126.37</v>
      </c>
      <c r="K3782">
        <v>1000000</v>
      </c>
    </row>
    <row r="3783" spans="1:11" ht="15" customHeight="1" x14ac:dyDescent="0.2">
      <c r="A3783" t="s">
        <v>5496</v>
      </c>
      <c r="B3783" t="s">
        <v>9098</v>
      </c>
      <c r="C3783">
        <v>2024</v>
      </c>
      <c r="D3783">
        <v>2024</v>
      </c>
      <c r="E3783" s="7">
        <v>45561</v>
      </c>
      <c r="F3783" s="7">
        <v>45925</v>
      </c>
      <c r="G3783" t="s">
        <v>135</v>
      </c>
      <c r="H3783" t="s">
        <v>115</v>
      </c>
      <c r="I3783" t="s">
        <v>104</v>
      </c>
      <c r="J3783">
        <v>9418.52</v>
      </c>
      <c r="K3783">
        <v>1500000</v>
      </c>
    </row>
    <row r="3784" spans="1:11" ht="15" customHeight="1" x14ac:dyDescent="0.2">
      <c r="A3784" t="s">
        <v>5497</v>
      </c>
      <c r="B3784" t="s">
        <v>615</v>
      </c>
      <c r="C3784">
        <v>2024</v>
      </c>
      <c r="D3784">
        <v>2024</v>
      </c>
      <c r="E3784" s="7">
        <v>45561</v>
      </c>
      <c r="F3784" s="7">
        <v>45925</v>
      </c>
      <c r="G3784" t="s">
        <v>135</v>
      </c>
      <c r="H3784" t="s">
        <v>110</v>
      </c>
      <c r="I3784" t="s">
        <v>101</v>
      </c>
      <c r="J3784">
        <v>8974.18</v>
      </c>
      <c r="K3784">
        <v>1000000</v>
      </c>
    </row>
    <row r="3785" spans="1:11" ht="15" customHeight="1" x14ac:dyDescent="0.2">
      <c r="A3785" t="s">
        <v>5498</v>
      </c>
      <c r="B3785" t="s">
        <v>6931</v>
      </c>
      <c r="C3785">
        <v>2024</v>
      </c>
      <c r="D3785">
        <v>2024</v>
      </c>
      <c r="E3785" s="7">
        <v>45561</v>
      </c>
      <c r="F3785" s="7">
        <v>45925</v>
      </c>
      <c r="G3785" t="s">
        <v>135</v>
      </c>
      <c r="H3785" t="s">
        <v>108</v>
      </c>
      <c r="I3785" t="s">
        <v>104</v>
      </c>
      <c r="J3785">
        <v>66095.009999999995</v>
      </c>
      <c r="K3785">
        <v>10000000</v>
      </c>
    </row>
    <row r="3786" spans="1:11" ht="15" customHeight="1" x14ac:dyDescent="0.2">
      <c r="A3786" t="s">
        <v>5499</v>
      </c>
      <c r="B3786" t="s">
        <v>7075</v>
      </c>
      <c r="C3786">
        <v>2024</v>
      </c>
      <c r="D3786">
        <v>2024</v>
      </c>
      <c r="E3786" s="7">
        <v>45561</v>
      </c>
      <c r="F3786" s="7">
        <v>45925</v>
      </c>
      <c r="G3786" t="s">
        <v>135</v>
      </c>
      <c r="H3786" t="s">
        <v>109</v>
      </c>
      <c r="I3786" t="s">
        <v>104</v>
      </c>
      <c r="J3786">
        <v>10648.28</v>
      </c>
      <c r="K3786">
        <v>2000000</v>
      </c>
    </row>
    <row r="3787" spans="1:11" ht="15" customHeight="1" x14ac:dyDescent="0.2">
      <c r="A3787" t="s">
        <v>5500</v>
      </c>
      <c r="B3787" t="s">
        <v>4170</v>
      </c>
      <c r="C3787">
        <v>2024</v>
      </c>
      <c r="D3787">
        <v>2024</v>
      </c>
      <c r="E3787" s="7">
        <v>45562</v>
      </c>
      <c r="F3787" s="7">
        <v>45926</v>
      </c>
      <c r="G3787" t="s">
        <v>99</v>
      </c>
      <c r="H3787" t="s">
        <v>105</v>
      </c>
      <c r="I3787" t="s">
        <v>104</v>
      </c>
      <c r="J3787">
        <v>55778.91</v>
      </c>
      <c r="K3787">
        <v>10000000</v>
      </c>
    </row>
    <row r="3788" spans="1:11" ht="15" customHeight="1" x14ac:dyDescent="0.2">
      <c r="A3788" t="s">
        <v>5501</v>
      </c>
      <c r="B3788" t="s">
        <v>4172</v>
      </c>
      <c r="C3788">
        <v>2024</v>
      </c>
      <c r="D3788">
        <v>2024</v>
      </c>
      <c r="E3788" s="7">
        <v>45562</v>
      </c>
      <c r="F3788" s="7">
        <v>45926</v>
      </c>
      <c r="G3788" t="s">
        <v>99</v>
      </c>
      <c r="H3788" t="s">
        <v>113</v>
      </c>
      <c r="I3788" t="s">
        <v>101</v>
      </c>
      <c r="J3788">
        <v>7882.73</v>
      </c>
      <c r="K3788">
        <v>1000000</v>
      </c>
    </row>
    <row r="3789" spans="1:11" ht="15" customHeight="1" x14ac:dyDescent="0.2">
      <c r="A3789" t="s">
        <v>5502</v>
      </c>
      <c r="B3789" t="s">
        <v>1034</v>
      </c>
      <c r="C3789">
        <v>2024</v>
      </c>
      <c r="D3789">
        <v>2024</v>
      </c>
      <c r="E3789" s="7">
        <v>45562</v>
      </c>
      <c r="F3789" s="7">
        <v>45926</v>
      </c>
      <c r="G3789" t="s">
        <v>135</v>
      </c>
      <c r="H3789" t="s">
        <v>108</v>
      </c>
      <c r="I3789" t="s">
        <v>104</v>
      </c>
      <c r="J3789">
        <v>38419.699999999997</v>
      </c>
      <c r="K3789">
        <v>5000000</v>
      </c>
    </row>
    <row r="3790" spans="1:11" ht="15" customHeight="1" x14ac:dyDescent="0.2">
      <c r="A3790" t="s">
        <v>5503</v>
      </c>
      <c r="B3790" t="s">
        <v>7007</v>
      </c>
      <c r="C3790">
        <v>2024</v>
      </c>
      <c r="D3790">
        <v>2024</v>
      </c>
      <c r="E3790" s="7">
        <v>45562</v>
      </c>
      <c r="F3790" s="7">
        <v>45926</v>
      </c>
      <c r="G3790" t="s">
        <v>135</v>
      </c>
      <c r="H3790" t="s">
        <v>107</v>
      </c>
      <c r="I3790" t="s">
        <v>101</v>
      </c>
      <c r="J3790">
        <v>11718.11</v>
      </c>
      <c r="K3790">
        <v>1500000</v>
      </c>
    </row>
    <row r="3791" spans="1:11" ht="15" customHeight="1" x14ac:dyDescent="0.2">
      <c r="A3791" t="s">
        <v>5504</v>
      </c>
      <c r="B3791" t="s">
        <v>1036</v>
      </c>
      <c r="C3791">
        <v>2024</v>
      </c>
      <c r="D3791">
        <v>2024</v>
      </c>
      <c r="E3791" s="7">
        <v>45562</v>
      </c>
      <c r="F3791" s="7">
        <v>45926</v>
      </c>
      <c r="G3791" t="s">
        <v>135</v>
      </c>
      <c r="H3791" t="s">
        <v>102</v>
      </c>
      <c r="I3791" t="s">
        <v>104</v>
      </c>
      <c r="J3791">
        <v>61332.69</v>
      </c>
      <c r="K3791">
        <v>10000000</v>
      </c>
    </row>
    <row r="3792" spans="1:11" ht="15" customHeight="1" x14ac:dyDescent="0.2">
      <c r="A3792" t="s">
        <v>5505</v>
      </c>
      <c r="B3792" t="s">
        <v>6975</v>
      </c>
      <c r="C3792">
        <v>2024</v>
      </c>
      <c r="D3792">
        <v>2024</v>
      </c>
      <c r="E3792" s="7">
        <v>45562</v>
      </c>
      <c r="F3792" s="7">
        <v>45926</v>
      </c>
      <c r="G3792" t="s">
        <v>135</v>
      </c>
      <c r="H3792" t="s">
        <v>107</v>
      </c>
      <c r="I3792" t="s">
        <v>104</v>
      </c>
      <c r="J3792">
        <v>9298.43</v>
      </c>
      <c r="K3792">
        <v>1500000</v>
      </c>
    </row>
    <row r="3793" spans="1:11" ht="15" customHeight="1" x14ac:dyDescent="0.2">
      <c r="A3793" t="s">
        <v>5506</v>
      </c>
      <c r="B3793" t="s">
        <v>380</v>
      </c>
      <c r="C3793">
        <v>2024</v>
      </c>
      <c r="D3793">
        <v>2024</v>
      </c>
      <c r="E3793" s="7">
        <v>45562</v>
      </c>
      <c r="F3793" s="7">
        <v>45926</v>
      </c>
      <c r="G3793" t="s">
        <v>135</v>
      </c>
      <c r="H3793" t="s">
        <v>110</v>
      </c>
      <c r="I3793" t="s">
        <v>101</v>
      </c>
      <c r="J3793">
        <v>9813.32</v>
      </c>
      <c r="K3793">
        <v>1000000</v>
      </c>
    </row>
    <row r="3794" spans="1:11" ht="15" customHeight="1" x14ac:dyDescent="0.2">
      <c r="A3794" t="s">
        <v>5507</v>
      </c>
      <c r="B3794" t="s">
        <v>7015</v>
      </c>
      <c r="C3794">
        <v>2024</v>
      </c>
      <c r="D3794">
        <v>2024</v>
      </c>
      <c r="E3794" s="7">
        <v>45562</v>
      </c>
      <c r="F3794" s="7">
        <v>45926</v>
      </c>
      <c r="G3794" t="s">
        <v>135</v>
      </c>
      <c r="H3794" t="s">
        <v>103</v>
      </c>
      <c r="I3794" t="s">
        <v>104</v>
      </c>
      <c r="J3794">
        <v>5925.88</v>
      </c>
      <c r="K3794">
        <v>1000000</v>
      </c>
    </row>
    <row r="3795" spans="1:11" ht="15" customHeight="1" x14ac:dyDescent="0.2">
      <c r="A3795" t="s">
        <v>5508</v>
      </c>
      <c r="B3795" t="s">
        <v>9099</v>
      </c>
      <c r="C3795">
        <v>2024</v>
      </c>
      <c r="D3795">
        <v>2024</v>
      </c>
      <c r="E3795" s="7">
        <v>45562</v>
      </c>
      <c r="F3795" s="7">
        <v>45926</v>
      </c>
      <c r="G3795" t="s">
        <v>135</v>
      </c>
      <c r="H3795" t="s">
        <v>113</v>
      </c>
      <c r="I3795" t="s">
        <v>101</v>
      </c>
      <c r="J3795">
        <v>3393.14</v>
      </c>
      <c r="K3795">
        <v>500000</v>
      </c>
    </row>
    <row r="3796" spans="1:11" ht="15" customHeight="1" x14ac:dyDescent="0.2">
      <c r="A3796" t="s">
        <v>5509</v>
      </c>
      <c r="B3796" t="s">
        <v>1033</v>
      </c>
      <c r="C3796">
        <v>2024</v>
      </c>
      <c r="D3796">
        <v>2024</v>
      </c>
      <c r="E3796" s="7">
        <v>45562</v>
      </c>
      <c r="F3796" s="7">
        <v>45926</v>
      </c>
      <c r="G3796" t="s">
        <v>135</v>
      </c>
      <c r="H3796" t="s">
        <v>108</v>
      </c>
      <c r="I3796" t="s">
        <v>101</v>
      </c>
      <c r="J3796">
        <v>4757.29</v>
      </c>
      <c r="K3796">
        <v>500000</v>
      </c>
    </row>
    <row r="3797" spans="1:11" ht="15" customHeight="1" x14ac:dyDescent="0.2">
      <c r="A3797" t="s">
        <v>5510</v>
      </c>
      <c r="B3797" t="s">
        <v>1035</v>
      </c>
      <c r="C3797">
        <v>2024</v>
      </c>
      <c r="D3797">
        <v>2024</v>
      </c>
      <c r="E3797" s="7">
        <v>45562</v>
      </c>
      <c r="F3797" s="7">
        <v>45926</v>
      </c>
      <c r="G3797" t="s">
        <v>135</v>
      </c>
      <c r="H3797" t="s">
        <v>102</v>
      </c>
      <c r="I3797" t="s">
        <v>101</v>
      </c>
      <c r="J3797">
        <v>7722.98</v>
      </c>
      <c r="K3797">
        <v>1000000</v>
      </c>
    </row>
    <row r="3798" spans="1:11" ht="15" customHeight="1" x14ac:dyDescent="0.2">
      <c r="A3798" t="s">
        <v>5511</v>
      </c>
      <c r="B3798" t="s">
        <v>9100</v>
      </c>
      <c r="C3798">
        <v>2024</v>
      </c>
      <c r="D3798">
        <v>2024</v>
      </c>
      <c r="E3798" s="7">
        <v>45562</v>
      </c>
      <c r="F3798" s="7">
        <v>45926</v>
      </c>
      <c r="G3798" t="s">
        <v>135</v>
      </c>
      <c r="H3798" t="s">
        <v>115</v>
      </c>
      <c r="I3798" t="s">
        <v>104</v>
      </c>
      <c r="J3798">
        <v>6133.56</v>
      </c>
      <c r="K3798">
        <v>1000000</v>
      </c>
    </row>
    <row r="3799" spans="1:11" ht="15" customHeight="1" x14ac:dyDescent="0.2">
      <c r="A3799" t="s">
        <v>5512</v>
      </c>
      <c r="B3799" t="s">
        <v>9101</v>
      </c>
      <c r="C3799">
        <v>2024</v>
      </c>
      <c r="D3799">
        <v>2024</v>
      </c>
      <c r="E3799" s="7">
        <v>45562</v>
      </c>
      <c r="F3799" s="7">
        <v>45926</v>
      </c>
      <c r="G3799" t="s">
        <v>135</v>
      </c>
      <c r="H3799" t="s">
        <v>111</v>
      </c>
      <c r="I3799" t="s">
        <v>104</v>
      </c>
      <c r="J3799">
        <v>28744.14</v>
      </c>
      <c r="K3799">
        <v>5000000</v>
      </c>
    </row>
    <row r="3800" spans="1:11" ht="15" customHeight="1" x14ac:dyDescent="0.2">
      <c r="A3800" t="s">
        <v>5513</v>
      </c>
      <c r="B3800" t="s">
        <v>6981</v>
      </c>
      <c r="C3800">
        <v>2024</v>
      </c>
      <c r="D3800">
        <v>2024</v>
      </c>
      <c r="E3800" s="7">
        <v>45562</v>
      </c>
      <c r="F3800" s="7">
        <v>45926</v>
      </c>
      <c r="G3800" t="s">
        <v>135</v>
      </c>
      <c r="H3800" t="s">
        <v>102</v>
      </c>
      <c r="I3800" t="s">
        <v>104</v>
      </c>
      <c r="J3800">
        <v>56474.86</v>
      </c>
      <c r="K3800">
        <v>10000000</v>
      </c>
    </row>
    <row r="3801" spans="1:11" ht="15" customHeight="1" x14ac:dyDescent="0.2">
      <c r="A3801" t="s">
        <v>5514</v>
      </c>
      <c r="B3801" t="s">
        <v>4188</v>
      </c>
      <c r="C3801">
        <v>2024</v>
      </c>
      <c r="D3801">
        <v>2024</v>
      </c>
      <c r="E3801" s="7">
        <v>45563</v>
      </c>
      <c r="F3801" s="7">
        <v>45927</v>
      </c>
      <c r="G3801" t="s">
        <v>99</v>
      </c>
      <c r="H3801" t="s">
        <v>102</v>
      </c>
      <c r="I3801" t="s">
        <v>101</v>
      </c>
      <c r="J3801">
        <v>66374.09</v>
      </c>
      <c r="K3801">
        <v>10000000</v>
      </c>
    </row>
    <row r="3802" spans="1:11" ht="15" customHeight="1" x14ac:dyDescent="0.2">
      <c r="A3802" t="s">
        <v>5515</v>
      </c>
      <c r="B3802" t="s">
        <v>4190</v>
      </c>
      <c r="C3802">
        <v>2024</v>
      </c>
      <c r="D3802">
        <v>2024</v>
      </c>
      <c r="E3802" s="7">
        <v>45563</v>
      </c>
      <c r="F3802" s="7">
        <v>45927</v>
      </c>
      <c r="G3802" t="s">
        <v>99</v>
      </c>
      <c r="H3802" t="s">
        <v>106</v>
      </c>
      <c r="I3802" t="s">
        <v>104</v>
      </c>
      <c r="J3802">
        <v>9808</v>
      </c>
      <c r="K3802">
        <v>1500000</v>
      </c>
    </row>
    <row r="3803" spans="1:11" ht="15" customHeight="1" x14ac:dyDescent="0.2">
      <c r="A3803" t="s">
        <v>5516</v>
      </c>
      <c r="B3803" t="s">
        <v>4192</v>
      </c>
      <c r="C3803">
        <v>2024</v>
      </c>
      <c r="D3803">
        <v>2024</v>
      </c>
      <c r="E3803" s="7">
        <v>45563</v>
      </c>
      <c r="F3803" s="7">
        <v>45927</v>
      </c>
      <c r="G3803" t="s">
        <v>99</v>
      </c>
      <c r="H3803" t="s">
        <v>106</v>
      </c>
      <c r="I3803" t="s">
        <v>101</v>
      </c>
      <c r="J3803">
        <v>17759.439999999999</v>
      </c>
      <c r="K3803">
        <v>2000000</v>
      </c>
    </row>
    <row r="3804" spans="1:11" ht="15" customHeight="1" x14ac:dyDescent="0.2">
      <c r="A3804" t="s">
        <v>5517</v>
      </c>
      <c r="B3804" t="s">
        <v>9102</v>
      </c>
      <c r="C3804">
        <v>2024</v>
      </c>
      <c r="D3804">
        <v>2024</v>
      </c>
      <c r="E3804" s="7">
        <v>45563</v>
      </c>
      <c r="F3804" s="7">
        <v>45927</v>
      </c>
      <c r="G3804" t="s">
        <v>135</v>
      </c>
      <c r="H3804" t="s">
        <v>108</v>
      </c>
      <c r="I3804" t="s">
        <v>104</v>
      </c>
      <c r="J3804">
        <v>3738.29</v>
      </c>
      <c r="K3804">
        <v>500000</v>
      </c>
    </row>
    <row r="3805" spans="1:11" ht="15" customHeight="1" x14ac:dyDescent="0.2">
      <c r="A3805" t="s">
        <v>5518</v>
      </c>
      <c r="B3805" t="s">
        <v>9103</v>
      </c>
      <c r="C3805">
        <v>2024</v>
      </c>
      <c r="D3805">
        <v>2024</v>
      </c>
      <c r="E3805" s="7">
        <v>45563</v>
      </c>
      <c r="F3805" s="7">
        <v>45927</v>
      </c>
      <c r="G3805" t="s">
        <v>135</v>
      </c>
      <c r="H3805" t="s">
        <v>110</v>
      </c>
      <c r="I3805" t="s">
        <v>104</v>
      </c>
      <c r="J3805">
        <v>7720.71</v>
      </c>
      <c r="K3805">
        <v>1000000</v>
      </c>
    </row>
    <row r="3806" spans="1:11" ht="15" customHeight="1" x14ac:dyDescent="0.2">
      <c r="A3806" t="s">
        <v>5519</v>
      </c>
      <c r="B3806" t="s">
        <v>9104</v>
      </c>
      <c r="C3806">
        <v>2024</v>
      </c>
      <c r="D3806">
        <v>2024</v>
      </c>
      <c r="E3806" s="7">
        <v>45563</v>
      </c>
      <c r="F3806" s="7">
        <v>45927</v>
      </c>
      <c r="G3806" t="s">
        <v>135</v>
      </c>
      <c r="H3806" t="s">
        <v>105</v>
      </c>
      <c r="I3806" t="s">
        <v>101</v>
      </c>
      <c r="J3806">
        <v>6734.74</v>
      </c>
      <c r="K3806">
        <v>1000000</v>
      </c>
    </row>
    <row r="3807" spans="1:11" ht="15" customHeight="1" x14ac:dyDescent="0.2">
      <c r="A3807" t="s">
        <v>5520</v>
      </c>
      <c r="B3807" t="s">
        <v>9105</v>
      </c>
      <c r="C3807">
        <v>2024</v>
      </c>
      <c r="D3807">
        <v>2024</v>
      </c>
      <c r="E3807" s="7">
        <v>45563</v>
      </c>
      <c r="F3807" s="7">
        <v>45927</v>
      </c>
      <c r="G3807" t="s">
        <v>135</v>
      </c>
      <c r="H3807" t="s">
        <v>108</v>
      </c>
      <c r="I3807" t="s">
        <v>101</v>
      </c>
      <c r="J3807">
        <v>9539.2900000000009</v>
      </c>
      <c r="K3807">
        <v>1000000</v>
      </c>
    </row>
    <row r="3808" spans="1:11" ht="15" customHeight="1" x14ac:dyDescent="0.2">
      <c r="A3808" t="s">
        <v>5521</v>
      </c>
      <c r="B3808" t="s">
        <v>381</v>
      </c>
      <c r="C3808">
        <v>2024</v>
      </c>
      <c r="D3808">
        <v>2024</v>
      </c>
      <c r="E3808" s="7">
        <v>45563</v>
      </c>
      <c r="F3808" s="7">
        <v>45927</v>
      </c>
      <c r="G3808" t="s">
        <v>135</v>
      </c>
      <c r="H3808" t="s">
        <v>106</v>
      </c>
      <c r="I3808" t="s">
        <v>101</v>
      </c>
      <c r="J3808">
        <v>19216.09</v>
      </c>
      <c r="K3808">
        <v>2000000</v>
      </c>
    </row>
    <row r="3809" spans="1:11" ht="15" customHeight="1" x14ac:dyDescent="0.2">
      <c r="A3809" t="s">
        <v>5522</v>
      </c>
      <c r="B3809" t="s">
        <v>9106</v>
      </c>
      <c r="C3809">
        <v>2024</v>
      </c>
      <c r="D3809">
        <v>2024</v>
      </c>
      <c r="E3809" s="7">
        <v>45563</v>
      </c>
      <c r="F3809" s="7">
        <v>45927</v>
      </c>
      <c r="G3809" t="s">
        <v>135</v>
      </c>
      <c r="H3809" t="s">
        <v>106</v>
      </c>
      <c r="I3809" t="s">
        <v>104</v>
      </c>
      <c r="J3809">
        <v>7666.49</v>
      </c>
      <c r="K3809">
        <v>1000000</v>
      </c>
    </row>
    <row r="3810" spans="1:11" ht="15" customHeight="1" x14ac:dyDescent="0.2">
      <c r="A3810" t="s">
        <v>5523</v>
      </c>
      <c r="B3810" t="s">
        <v>1037</v>
      </c>
      <c r="C3810">
        <v>2024</v>
      </c>
      <c r="D3810">
        <v>2024</v>
      </c>
      <c r="E3810" s="7">
        <v>45563</v>
      </c>
      <c r="F3810" s="7">
        <v>45927</v>
      </c>
      <c r="G3810" t="s">
        <v>135</v>
      </c>
      <c r="H3810" t="s">
        <v>6334</v>
      </c>
      <c r="I3810" t="s">
        <v>101</v>
      </c>
      <c r="J3810">
        <v>32476.59</v>
      </c>
      <c r="K3810">
        <v>5000000</v>
      </c>
    </row>
    <row r="3811" spans="1:11" ht="15" customHeight="1" x14ac:dyDescent="0.2">
      <c r="A3811" t="s">
        <v>5524</v>
      </c>
      <c r="B3811" t="s">
        <v>6943</v>
      </c>
      <c r="C3811">
        <v>2024</v>
      </c>
      <c r="D3811">
        <v>2024</v>
      </c>
      <c r="E3811" s="7">
        <v>45563</v>
      </c>
      <c r="F3811" s="7">
        <v>45927</v>
      </c>
      <c r="G3811" t="s">
        <v>135</v>
      </c>
      <c r="H3811" t="s">
        <v>108</v>
      </c>
      <c r="I3811" t="s">
        <v>104</v>
      </c>
      <c r="J3811">
        <v>6583.93</v>
      </c>
      <c r="K3811">
        <v>1000000</v>
      </c>
    </row>
    <row r="3812" spans="1:11" ht="15" customHeight="1" x14ac:dyDescent="0.2">
      <c r="A3812" t="s">
        <v>5525</v>
      </c>
      <c r="B3812" t="s">
        <v>9107</v>
      </c>
      <c r="C3812">
        <v>2024</v>
      </c>
      <c r="D3812">
        <v>2024</v>
      </c>
      <c r="E3812" s="7">
        <v>45563</v>
      </c>
      <c r="F3812" s="7">
        <v>45927</v>
      </c>
      <c r="G3812" t="s">
        <v>135</v>
      </c>
      <c r="H3812" t="s">
        <v>108</v>
      </c>
      <c r="I3812" t="s">
        <v>104</v>
      </c>
      <c r="J3812">
        <v>71999.789999999994</v>
      </c>
      <c r="K3812">
        <v>10000000</v>
      </c>
    </row>
    <row r="3813" spans="1:11" ht="15" customHeight="1" x14ac:dyDescent="0.2">
      <c r="A3813" t="s">
        <v>5526</v>
      </c>
      <c r="B3813" t="s">
        <v>4194</v>
      </c>
      <c r="C3813">
        <v>2024</v>
      </c>
      <c r="D3813">
        <v>2024</v>
      </c>
      <c r="E3813" s="7">
        <v>45564</v>
      </c>
      <c r="F3813" s="7">
        <v>45928</v>
      </c>
      <c r="G3813" t="s">
        <v>99</v>
      </c>
      <c r="H3813" t="s">
        <v>108</v>
      </c>
      <c r="I3813" t="s">
        <v>104</v>
      </c>
      <c r="J3813">
        <v>3855.5</v>
      </c>
      <c r="K3813">
        <v>500000</v>
      </c>
    </row>
    <row r="3814" spans="1:11" ht="15" customHeight="1" x14ac:dyDescent="0.2">
      <c r="A3814" t="s">
        <v>5527</v>
      </c>
      <c r="B3814" t="s">
        <v>4196</v>
      </c>
      <c r="C3814">
        <v>2024</v>
      </c>
      <c r="D3814">
        <v>2024</v>
      </c>
      <c r="E3814" s="7">
        <v>45564</v>
      </c>
      <c r="F3814" s="7">
        <v>45928</v>
      </c>
      <c r="G3814" t="s">
        <v>99</v>
      </c>
      <c r="H3814" t="s">
        <v>110</v>
      </c>
      <c r="I3814" t="s">
        <v>104</v>
      </c>
      <c r="J3814">
        <v>7428</v>
      </c>
      <c r="K3814">
        <v>1000000</v>
      </c>
    </row>
    <row r="3815" spans="1:11" ht="15" customHeight="1" x14ac:dyDescent="0.2">
      <c r="A3815" t="s">
        <v>5528</v>
      </c>
      <c r="B3815" t="s">
        <v>4213</v>
      </c>
      <c r="C3815">
        <v>2024</v>
      </c>
      <c r="D3815">
        <v>2024</v>
      </c>
      <c r="E3815" s="7">
        <v>45564</v>
      </c>
      <c r="F3815" s="7">
        <v>45928</v>
      </c>
      <c r="G3815" t="s">
        <v>99</v>
      </c>
      <c r="H3815" t="s">
        <v>112</v>
      </c>
      <c r="I3815" t="s">
        <v>101</v>
      </c>
      <c r="J3815">
        <v>46776.52</v>
      </c>
      <c r="K3815">
        <v>5000000</v>
      </c>
    </row>
    <row r="3816" spans="1:11" ht="15" customHeight="1" x14ac:dyDescent="0.2">
      <c r="A3816" t="s">
        <v>5529</v>
      </c>
      <c r="B3816" t="s">
        <v>4215</v>
      </c>
      <c r="C3816">
        <v>2024</v>
      </c>
      <c r="D3816">
        <v>2024</v>
      </c>
      <c r="E3816" s="7">
        <v>45564</v>
      </c>
      <c r="F3816" s="7">
        <v>45928</v>
      </c>
      <c r="G3816" t="s">
        <v>99</v>
      </c>
      <c r="H3816" t="s">
        <v>116</v>
      </c>
      <c r="I3816" t="s">
        <v>101</v>
      </c>
      <c r="J3816">
        <v>15119.94</v>
      </c>
      <c r="K3816">
        <v>2000000</v>
      </c>
    </row>
    <row r="3817" spans="1:11" ht="15" customHeight="1" x14ac:dyDescent="0.2">
      <c r="A3817" t="s">
        <v>5530</v>
      </c>
      <c r="B3817" t="s">
        <v>9108</v>
      </c>
      <c r="C3817">
        <v>2024</v>
      </c>
      <c r="D3817">
        <v>2024</v>
      </c>
      <c r="E3817" s="7">
        <v>45564</v>
      </c>
      <c r="F3817" s="7">
        <v>45928</v>
      </c>
      <c r="G3817" t="s">
        <v>135</v>
      </c>
      <c r="H3817" t="s">
        <v>112</v>
      </c>
      <c r="I3817" t="s">
        <v>101</v>
      </c>
      <c r="J3817">
        <v>40583.629999999997</v>
      </c>
      <c r="K3817">
        <v>5000000</v>
      </c>
    </row>
    <row r="3818" spans="1:11" ht="15" customHeight="1" x14ac:dyDescent="0.2">
      <c r="A3818" t="s">
        <v>5531</v>
      </c>
      <c r="B3818" t="s">
        <v>9109</v>
      </c>
      <c r="C3818">
        <v>2024</v>
      </c>
      <c r="D3818">
        <v>2024</v>
      </c>
      <c r="E3818" s="7">
        <v>45564</v>
      </c>
      <c r="F3818" s="7">
        <v>45928</v>
      </c>
      <c r="G3818" t="s">
        <v>135</v>
      </c>
      <c r="H3818" t="s">
        <v>106</v>
      </c>
      <c r="I3818" t="s">
        <v>101</v>
      </c>
      <c r="J3818">
        <v>44179.94</v>
      </c>
      <c r="K3818">
        <v>5000000</v>
      </c>
    </row>
    <row r="3819" spans="1:11" ht="15" customHeight="1" x14ac:dyDescent="0.2">
      <c r="A3819" t="s">
        <v>5532</v>
      </c>
      <c r="B3819" t="s">
        <v>9110</v>
      </c>
      <c r="C3819">
        <v>2024</v>
      </c>
      <c r="D3819">
        <v>2024</v>
      </c>
      <c r="E3819" s="7">
        <v>45564</v>
      </c>
      <c r="F3819" s="7">
        <v>45928</v>
      </c>
      <c r="G3819" t="s">
        <v>135</v>
      </c>
      <c r="H3819" t="s">
        <v>106</v>
      </c>
      <c r="I3819" t="s">
        <v>104</v>
      </c>
      <c r="J3819">
        <v>74473.08</v>
      </c>
      <c r="K3819">
        <v>10000000</v>
      </c>
    </row>
    <row r="3820" spans="1:11" ht="15" customHeight="1" x14ac:dyDescent="0.2">
      <c r="A3820" t="s">
        <v>5533</v>
      </c>
      <c r="B3820" t="s">
        <v>172</v>
      </c>
      <c r="C3820">
        <v>2024</v>
      </c>
      <c r="D3820">
        <v>2024</v>
      </c>
      <c r="E3820" s="7">
        <v>45564</v>
      </c>
      <c r="F3820" s="7">
        <v>45928</v>
      </c>
      <c r="G3820" t="s">
        <v>135</v>
      </c>
      <c r="H3820" t="s">
        <v>107</v>
      </c>
      <c r="I3820" t="s">
        <v>104</v>
      </c>
      <c r="J3820">
        <v>27207.14</v>
      </c>
      <c r="K3820">
        <v>5000000</v>
      </c>
    </row>
    <row r="3821" spans="1:11" ht="15" customHeight="1" x14ac:dyDescent="0.2">
      <c r="A3821" t="s">
        <v>5534</v>
      </c>
      <c r="B3821" t="s">
        <v>4224</v>
      </c>
      <c r="C3821">
        <v>2024</v>
      </c>
      <c r="D3821">
        <v>2024</v>
      </c>
      <c r="E3821" s="7">
        <v>45565</v>
      </c>
      <c r="F3821" s="7">
        <v>45929</v>
      </c>
      <c r="G3821" t="s">
        <v>99</v>
      </c>
      <c r="H3821" t="s">
        <v>116</v>
      </c>
      <c r="I3821" t="s">
        <v>104</v>
      </c>
      <c r="J3821">
        <v>8016.07</v>
      </c>
      <c r="K3821">
        <v>1500000</v>
      </c>
    </row>
    <row r="3822" spans="1:11" ht="15" customHeight="1" x14ac:dyDescent="0.2">
      <c r="A3822" t="s">
        <v>5535</v>
      </c>
      <c r="B3822" t="s">
        <v>4226</v>
      </c>
      <c r="C3822">
        <v>2024</v>
      </c>
      <c r="D3822">
        <v>2024</v>
      </c>
      <c r="E3822" s="7">
        <v>45565</v>
      </c>
      <c r="F3822" s="7">
        <v>45929</v>
      </c>
      <c r="G3822" t="s">
        <v>99</v>
      </c>
      <c r="H3822" t="s">
        <v>100</v>
      </c>
      <c r="I3822" t="s">
        <v>104</v>
      </c>
      <c r="J3822">
        <v>11350.08</v>
      </c>
      <c r="K3822">
        <v>2000000</v>
      </c>
    </row>
    <row r="3823" spans="1:11" ht="15" customHeight="1" x14ac:dyDescent="0.2">
      <c r="A3823" t="s">
        <v>5536</v>
      </c>
      <c r="B3823" t="s">
        <v>4227</v>
      </c>
      <c r="C3823">
        <v>2024</v>
      </c>
      <c r="D3823">
        <v>2024</v>
      </c>
      <c r="E3823" s="7">
        <v>45565</v>
      </c>
      <c r="F3823" s="7">
        <v>45929</v>
      </c>
      <c r="G3823" t="s">
        <v>99</v>
      </c>
      <c r="H3823" t="s">
        <v>106</v>
      </c>
      <c r="I3823" t="s">
        <v>104</v>
      </c>
      <c r="J3823">
        <v>68844.149999999994</v>
      </c>
      <c r="K3823">
        <v>10000000</v>
      </c>
    </row>
    <row r="3824" spans="1:11" ht="15" customHeight="1" x14ac:dyDescent="0.2">
      <c r="A3824" t="s">
        <v>5537</v>
      </c>
      <c r="B3824" t="s">
        <v>4230</v>
      </c>
      <c r="C3824">
        <v>2024</v>
      </c>
      <c r="D3824">
        <v>2024</v>
      </c>
      <c r="E3824" s="7">
        <v>45565</v>
      </c>
      <c r="F3824" s="7">
        <v>45929</v>
      </c>
      <c r="G3824" t="s">
        <v>99</v>
      </c>
      <c r="H3824" t="s">
        <v>105</v>
      </c>
      <c r="I3824" t="s">
        <v>101</v>
      </c>
      <c r="J3824">
        <v>11549.69</v>
      </c>
      <c r="K3824">
        <v>1500000</v>
      </c>
    </row>
    <row r="3825" spans="1:11" ht="15" customHeight="1" x14ac:dyDescent="0.2">
      <c r="A3825" t="s">
        <v>5538</v>
      </c>
      <c r="B3825" t="s">
        <v>382</v>
      </c>
      <c r="C3825">
        <v>2024</v>
      </c>
      <c r="D3825">
        <v>2024</v>
      </c>
      <c r="E3825" s="7">
        <v>45565</v>
      </c>
      <c r="F3825" s="7">
        <v>45929</v>
      </c>
      <c r="G3825" t="s">
        <v>135</v>
      </c>
      <c r="H3825" t="s">
        <v>107</v>
      </c>
      <c r="I3825" t="s">
        <v>104</v>
      </c>
      <c r="J3825">
        <v>10888.49</v>
      </c>
      <c r="K3825">
        <v>2000000</v>
      </c>
    </row>
    <row r="3826" spans="1:11" ht="15" customHeight="1" x14ac:dyDescent="0.2">
      <c r="A3826" t="s">
        <v>5539</v>
      </c>
      <c r="B3826" t="s">
        <v>9111</v>
      </c>
      <c r="C3826">
        <v>2024</v>
      </c>
      <c r="D3826">
        <v>2024</v>
      </c>
      <c r="E3826" s="7">
        <v>45565</v>
      </c>
      <c r="F3826" s="7">
        <v>45929</v>
      </c>
      <c r="G3826" t="s">
        <v>135</v>
      </c>
      <c r="H3826" t="s">
        <v>109</v>
      </c>
      <c r="I3826" t="s">
        <v>101</v>
      </c>
      <c r="J3826">
        <v>78384</v>
      </c>
      <c r="K3826">
        <v>10000000</v>
      </c>
    </row>
    <row r="3827" spans="1:11" ht="15" customHeight="1" x14ac:dyDescent="0.2">
      <c r="A3827" t="s">
        <v>5540</v>
      </c>
      <c r="B3827" t="s">
        <v>9112</v>
      </c>
      <c r="C3827">
        <v>2024</v>
      </c>
      <c r="D3827">
        <v>2024</v>
      </c>
      <c r="E3827" s="7">
        <v>45565</v>
      </c>
      <c r="F3827" s="7">
        <v>45929</v>
      </c>
      <c r="G3827" t="s">
        <v>135</v>
      </c>
      <c r="H3827" t="s">
        <v>110</v>
      </c>
      <c r="I3827" t="s">
        <v>101</v>
      </c>
      <c r="J3827">
        <v>9333.92</v>
      </c>
      <c r="K3827">
        <v>1000000</v>
      </c>
    </row>
    <row r="3828" spans="1:11" ht="15" customHeight="1" x14ac:dyDescent="0.2">
      <c r="A3828" t="s">
        <v>5541</v>
      </c>
      <c r="B3828" t="s">
        <v>6995</v>
      </c>
      <c r="C3828">
        <v>2024</v>
      </c>
      <c r="D3828">
        <v>2024</v>
      </c>
      <c r="E3828" s="7">
        <v>45565</v>
      </c>
      <c r="F3828" s="7">
        <v>45929</v>
      </c>
      <c r="G3828" t="s">
        <v>135</v>
      </c>
      <c r="H3828" t="s">
        <v>103</v>
      </c>
      <c r="I3828" t="s">
        <v>101</v>
      </c>
      <c r="J3828">
        <v>14334.17</v>
      </c>
      <c r="K3828">
        <v>2000000</v>
      </c>
    </row>
    <row r="3829" spans="1:11" ht="15" customHeight="1" x14ac:dyDescent="0.2">
      <c r="A3829" t="s">
        <v>5542</v>
      </c>
      <c r="B3829" t="s">
        <v>7072</v>
      </c>
      <c r="C3829">
        <v>2024</v>
      </c>
      <c r="D3829">
        <v>2024</v>
      </c>
      <c r="E3829" s="7">
        <v>45565</v>
      </c>
      <c r="F3829" s="7">
        <v>45929</v>
      </c>
      <c r="G3829" t="s">
        <v>135</v>
      </c>
      <c r="H3829" t="s">
        <v>107</v>
      </c>
      <c r="I3829" t="s">
        <v>101</v>
      </c>
      <c r="J3829">
        <v>11640.02</v>
      </c>
      <c r="K3829">
        <v>1500000</v>
      </c>
    </row>
    <row r="3830" spans="1:11" ht="15" customHeight="1" x14ac:dyDescent="0.2">
      <c r="A3830" t="s">
        <v>5543</v>
      </c>
      <c r="B3830" t="s">
        <v>7016</v>
      </c>
      <c r="C3830">
        <v>2024</v>
      </c>
      <c r="D3830">
        <v>2024</v>
      </c>
      <c r="E3830" s="7">
        <v>45565</v>
      </c>
      <c r="F3830" s="7">
        <v>45929</v>
      </c>
      <c r="G3830" t="s">
        <v>135</v>
      </c>
      <c r="H3830" t="s">
        <v>102</v>
      </c>
      <c r="I3830" t="s">
        <v>104</v>
      </c>
      <c r="J3830">
        <v>5922.85</v>
      </c>
      <c r="K3830">
        <v>1000000</v>
      </c>
    </row>
    <row r="3831" spans="1:11" ht="15" customHeight="1" x14ac:dyDescent="0.2">
      <c r="A3831" t="s">
        <v>5544</v>
      </c>
      <c r="B3831" t="s">
        <v>1039</v>
      </c>
      <c r="C3831">
        <v>2024</v>
      </c>
      <c r="D3831">
        <v>2024</v>
      </c>
      <c r="E3831" s="7">
        <v>45565</v>
      </c>
      <c r="F3831" s="7">
        <v>45929</v>
      </c>
      <c r="G3831" t="s">
        <v>135</v>
      </c>
      <c r="H3831" t="s">
        <v>110</v>
      </c>
      <c r="I3831" t="s">
        <v>101</v>
      </c>
      <c r="J3831">
        <v>16386.75</v>
      </c>
      <c r="K3831">
        <v>2000000</v>
      </c>
    </row>
    <row r="3832" spans="1:11" ht="15" customHeight="1" x14ac:dyDescent="0.2">
      <c r="A3832" t="s">
        <v>5545</v>
      </c>
      <c r="B3832" t="s">
        <v>9113</v>
      </c>
      <c r="C3832">
        <v>2024</v>
      </c>
      <c r="D3832">
        <v>2024</v>
      </c>
      <c r="E3832" s="7">
        <v>45565</v>
      </c>
      <c r="F3832" s="7">
        <v>45929</v>
      </c>
      <c r="G3832" t="s">
        <v>135</v>
      </c>
      <c r="H3832" t="s">
        <v>106</v>
      </c>
      <c r="I3832" t="s">
        <v>104</v>
      </c>
      <c r="J3832">
        <v>6798.4</v>
      </c>
      <c r="K3832">
        <v>1000000</v>
      </c>
    </row>
    <row r="3833" spans="1:11" ht="15" customHeight="1" x14ac:dyDescent="0.2">
      <c r="A3833" t="s">
        <v>5546</v>
      </c>
      <c r="B3833" t="s">
        <v>9114</v>
      </c>
      <c r="C3833">
        <v>2024</v>
      </c>
      <c r="D3833">
        <v>2024</v>
      </c>
      <c r="E3833" s="7">
        <v>45565</v>
      </c>
      <c r="F3833" s="7">
        <v>45929</v>
      </c>
      <c r="G3833" t="s">
        <v>135</v>
      </c>
      <c r="H3833" t="s">
        <v>109</v>
      </c>
      <c r="I3833" t="s">
        <v>101</v>
      </c>
      <c r="J3833">
        <v>10363</v>
      </c>
      <c r="K3833">
        <v>1500000</v>
      </c>
    </row>
    <row r="3834" spans="1:11" ht="15" customHeight="1" x14ac:dyDescent="0.2">
      <c r="A3834" t="s">
        <v>5547</v>
      </c>
      <c r="B3834" t="s">
        <v>7034</v>
      </c>
      <c r="C3834">
        <v>2024</v>
      </c>
      <c r="D3834">
        <v>2024</v>
      </c>
      <c r="E3834" s="7">
        <v>45565</v>
      </c>
      <c r="F3834" s="7">
        <v>45929</v>
      </c>
      <c r="G3834" t="s">
        <v>135</v>
      </c>
      <c r="H3834" t="s">
        <v>106</v>
      </c>
      <c r="I3834" t="s">
        <v>104</v>
      </c>
      <c r="J3834">
        <v>38081.32</v>
      </c>
      <c r="K3834">
        <v>5000000</v>
      </c>
    </row>
    <row r="3835" spans="1:11" ht="15" customHeight="1" x14ac:dyDescent="0.2">
      <c r="A3835" t="s">
        <v>5548</v>
      </c>
      <c r="B3835" t="s">
        <v>1038</v>
      </c>
      <c r="C3835">
        <v>2024</v>
      </c>
      <c r="D3835">
        <v>2024</v>
      </c>
      <c r="E3835" s="7">
        <v>45565</v>
      </c>
      <c r="F3835" s="7">
        <v>45929</v>
      </c>
      <c r="G3835" t="s">
        <v>135</v>
      </c>
      <c r="H3835" t="s">
        <v>102</v>
      </c>
      <c r="I3835" t="s">
        <v>104</v>
      </c>
      <c r="J3835">
        <v>27349.99</v>
      </c>
      <c r="K3835">
        <v>5000000</v>
      </c>
    </row>
    <row r="3836" spans="1:11" ht="15" customHeight="1" x14ac:dyDescent="0.2">
      <c r="A3836" t="s">
        <v>5549</v>
      </c>
      <c r="B3836" t="s">
        <v>9115</v>
      </c>
      <c r="C3836">
        <v>2024</v>
      </c>
      <c r="D3836">
        <v>2024</v>
      </c>
      <c r="E3836" s="7">
        <v>45565</v>
      </c>
      <c r="F3836" s="7">
        <v>45929</v>
      </c>
      <c r="G3836" t="s">
        <v>135</v>
      </c>
      <c r="H3836" t="s">
        <v>6332</v>
      </c>
      <c r="I3836" t="s">
        <v>101</v>
      </c>
      <c r="J3836">
        <v>11801.96</v>
      </c>
      <c r="K3836">
        <v>1500000</v>
      </c>
    </row>
    <row r="3837" spans="1:11" ht="15" customHeight="1" x14ac:dyDescent="0.2">
      <c r="A3837" t="s">
        <v>5550</v>
      </c>
      <c r="B3837" t="s">
        <v>7024</v>
      </c>
      <c r="C3837">
        <v>2024</v>
      </c>
      <c r="D3837">
        <v>2024</v>
      </c>
      <c r="E3837" s="7">
        <v>45565</v>
      </c>
      <c r="F3837" s="7">
        <v>45929</v>
      </c>
      <c r="G3837" t="s">
        <v>135</v>
      </c>
      <c r="H3837" t="s">
        <v>106</v>
      </c>
      <c r="I3837" t="s">
        <v>101</v>
      </c>
      <c r="J3837">
        <v>4849.1099999999997</v>
      </c>
      <c r="K3837">
        <v>500000</v>
      </c>
    </row>
    <row r="3838" spans="1:11" ht="15" customHeight="1" x14ac:dyDescent="0.2">
      <c r="A3838" t="s">
        <v>5551</v>
      </c>
      <c r="B3838" t="s">
        <v>9116</v>
      </c>
      <c r="C3838">
        <v>2024</v>
      </c>
      <c r="D3838">
        <v>2024</v>
      </c>
      <c r="E3838" s="7">
        <v>45565</v>
      </c>
      <c r="F3838" s="7">
        <v>45929</v>
      </c>
      <c r="G3838" t="s">
        <v>135</v>
      </c>
      <c r="H3838" t="s">
        <v>105</v>
      </c>
      <c r="I3838" t="s">
        <v>101</v>
      </c>
      <c r="J3838">
        <v>3743.08</v>
      </c>
      <c r="K3838">
        <v>500000</v>
      </c>
    </row>
    <row r="3839" spans="1:11" ht="15" customHeight="1" x14ac:dyDescent="0.2">
      <c r="A3839" t="s">
        <v>5552</v>
      </c>
      <c r="B3839" t="s">
        <v>9117</v>
      </c>
      <c r="C3839">
        <v>2024</v>
      </c>
      <c r="D3839">
        <v>2024</v>
      </c>
      <c r="E3839" s="7">
        <v>45565</v>
      </c>
      <c r="F3839" s="7">
        <v>45929</v>
      </c>
      <c r="G3839" t="s">
        <v>135</v>
      </c>
      <c r="H3839" t="s">
        <v>103</v>
      </c>
      <c r="I3839" t="s">
        <v>101</v>
      </c>
      <c r="J3839">
        <v>13721.83</v>
      </c>
      <c r="K3839">
        <v>2000000</v>
      </c>
    </row>
    <row r="3840" spans="1:11" ht="15" customHeight="1" x14ac:dyDescent="0.2">
      <c r="A3840" t="s">
        <v>5553</v>
      </c>
      <c r="B3840" t="s">
        <v>4241</v>
      </c>
      <c r="C3840">
        <v>2024</v>
      </c>
      <c r="D3840">
        <v>2024</v>
      </c>
      <c r="E3840" s="7">
        <v>45566</v>
      </c>
      <c r="F3840" s="7">
        <v>45930</v>
      </c>
      <c r="G3840" t="s">
        <v>99</v>
      </c>
      <c r="H3840" t="s">
        <v>102</v>
      </c>
      <c r="I3840" t="s">
        <v>101</v>
      </c>
      <c r="J3840">
        <v>14737.74</v>
      </c>
      <c r="K3840">
        <v>2000000</v>
      </c>
    </row>
    <row r="3841" spans="1:11" ht="15" customHeight="1" x14ac:dyDescent="0.2">
      <c r="A3841" t="s">
        <v>5554</v>
      </c>
      <c r="B3841" t="s">
        <v>4249</v>
      </c>
      <c r="C3841">
        <v>2024</v>
      </c>
      <c r="D3841">
        <v>2024</v>
      </c>
      <c r="E3841" s="7">
        <v>45566</v>
      </c>
      <c r="F3841" s="7">
        <v>45930</v>
      </c>
      <c r="G3841" t="s">
        <v>99</v>
      </c>
      <c r="H3841" t="s">
        <v>107</v>
      </c>
      <c r="I3841" t="s">
        <v>101</v>
      </c>
      <c r="J3841">
        <v>13241.38</v>
      </c>
      <c r="K3841">
        <v>2000000</v>
      </c>
    </row>
    <row r="3842" spans="1:11" ht="15" customHeight="1" x14ac:dyDescent="0.2">
      <c r="A3842" t="s">
        <v>5555</v>
      </c>
      <c r="B3842" t="s">
        <v>4251</v>
      </c>
      <c r="C3842">
        <v>2024</v>
      </c>
      <c r="D3842">
        <v>2024</v>
      </c>
      <c r="E3842" s="7">
        <v>45566</v>
      </c>
      <c r="F3842" s="7">
        <v>45930</v>
      </c>
      <c r="G3842" t="s">
        <v>99</v>
      </c>
      <c r="H3842" t="s">
        <v>115</v>
      </c>
      <c r="I3842" t="s">
        <v>104</v>
      </c>
      <c r="J3842">
        <v>7849.06</v>
      </c>
      <c r="K3842">
        <v>1500000</v>
      </c>
    </row>
    <row r="3843" spans="1:11" ht="15" customHeight="1" x14ac:dyDescent="0.2">
      <c r="A3843" t="s">
        <v>5556</v>
      </c>
      <c r="B3843" t="s">
        <v>4253</v>
      </c>
      <c r="C3843">
        <v>2024</v>
      </c>
      <c r="D3843">
        <v>2024</v>
      </c>
      <c r="E3843" s="7">
        <v>45566</v>
      </c>
      <c r="F3843" s="7">
        <v>45930</v>
      </c>
      <c r="G3843" t="s">
        <v>99</v>
      </c>
      <c r="H3843" t="s">
        <v>102</v>
      </c>
      <c r="I3843" t="s">
        <v>104</v>
      </c>
      <c r="J3843">
        <v>26927.74</v>
      </c>
      <c r="K3843">
        <v>5000000</v>
      </c>
    </row>
    <row r="3844" spans="1:11" ht="15" customHeight="1" x14ac:dyDescent="0.2">
      <c r="A3844" t="s">
        <v>5557</v>
      </c>
      <c r="B3844" t="s">
        <v>7025</v>
      </c>
      <c r="C3844">
        <v>2024</v>
      </c>
      <c r="D3844">
        <v>2024</v>
      </c>
      <c r="E3844" s="7">
        <v>45566</v>
      </c>
      <c r="F3844" s="7">
        <v>45930</v>
      </c>
      <c r="G3844" t="s">
        <v>135</v>
      </c>
      <c r="H3844" t="s">
        <v>6334</v>
      </c>
      <c r="I3844" t="s">
        <v>104</v>
      </c>
      <c r="J3844">
        <v>9147.6200000000008</v>
      </c>
      <c r="K3844">
        <v>1500000</v>
      </c>
    </row>
    <row r="3845" spans="1:11" ht="15" customHeight="1" x14ac:dyDescent="0.2">
      <c r="A3845" t="s">
        <v>5558</v>
      </c>
      <c r="B3845" t="s">
        <v>9118</v>
      </c>
      <c r="C3845">
        <v>2024</v>
      </c>
      <c r="D3845">
        <v>2024</v>
      </c>
      <c r="E3845" s="7">
        <v>45566</v>
      </c>
      <c r="F3845" s="7">
        <v>45930</v>
      </c>
      <c r="G3845" t="s">
        <v>135</v>
      </c>
      <c r="H3845" t="s">
        <v>102</v>
      </c>
      <c r="I3845" t="s">
        <v>101</v>
      </c>
      <c r="J3845">
        <v>6613.97</v>
      </c>
      <c r="K3845">
        <v>1000000</v>
      </c>
    </row>
    <row r="3846" spans="1:11" ht="15" customHeight="1" x14ac:dyDescent="0.2">
      <c r="A3846" t="s">
        <v>5559</v>
      </c>
      <c r="B3846" t="s">
        <v>1042</v>
      </c>
      <c r="C3846">
        <v>2024</v>
      </c>
      <c r="D3846">
        <v>2024</v>
      </c>
      <c r="E3846" s="7">
        <v>45566</v>
      </c>
      <c r="F3846" s="7">
        <v>45930</v>
      </c>
      <c r="G3846" t="s">
        <v>135</v>
      </c>
      <c r="H3846" t="s">
        <v>106</v>
      </c>
      <c r="I3846" t="s">
        <v>104</v>
      </c>
      <c r="J3846">
        <v>3580.25</v>
      </c>
      <c r="K3846">
        <v>500000</v>
      </c>
    </row>
    <row r="3847" spans="1:11" ht="15" customHeight="1" x14ac:dyDescent="0.2">
      <c r="A3847" t="s">
        <v>5560</v>
      </c>
      <c r="B3847" t="s">
        <v>7254</v>
      </c>
      <c r="C3847">
        <v>2024</v>
      </c>
      <c r="D3847">
        <v>2024</v>
      </c>
      <c r="E3847" s="7">
        <v>45566</v>
      </c>
      <c r="F3847" s="7">
        <v>45930</v>
      </c>
      <c r="G3847" t="s">
        <v>135</v>
      </c>
      <c r="H3847" t="s">
        <v>108</v>
      </c>
      <c r="I3847" t="s">
        <v>104</v>
      </c>
      <c r="J3847">
        <v>10920.52</v>
      </c>
      <c r="K3847">
        <v>1500000</v>
      </c>
    </row>
    <row r="3848" spans="1:11" ht="15" customHeight="1" x14ac:dyDescent="0.2">
      <c r="A3848" t="s">
        <v>5561</v>
      </c>
      <c r="B3848" t="s">
        <v>7074</v>
      </c>
      <c r="C3848">
        <v>2024</v>
      </c>
      <c r="D3848">
        <v>2024</v>
      </c>
      <c r="E3848" s="7">
        <v>45566</v>
      </c>
      <c r="F3848" s="7">
        <v>45930</v>
      </c>
      <c r="G3848" t="s">
        <v>135</v>
      </c>
      <c r="H3848" t="s">
        <v>111</v>
      </c>
      <c r="I3848" t="s">
        <v>104</v>
      </c>
      <c r="J3848">
        <v>26067.89</v>
      </c>
      <c r="K3848">
        <v>5000000</v>
      </c>
    </row>
    <row r="3849" spans="1:11" ht="15" customHeight="1" x14ac:dyDescent="0.2">
      <c r="A3849" t="s">
        <v>5562</v>
      </c>
      <c r="B3849" t="s">
        <v>1040</v>
      </c>
      <c r="C3849">
        <v>2024</v>
      </c>
      <c r="D3849">
        <v>2024</v>
      </c>
      <c r="E3849" s="7">
        <v>45566</v>
      </c>
      <c r="F3849" s="7">
        <v>45930</v>
      </c>
      <c r="G3849" t="s">
        <v>135</v>
      </c>
      <c r="H3849" t="s">
        <v>102</v>
      </c>
      <c r="I3849" t="s">
        <v>104</v>
      </c>
      <c r="J3849">
        <v>10788.87</v>
      </c>
      <c r="K3849">
        <v>2000000</v>
      </c>
    </row>
    <row r="3850" spans="1:11" ht="15" customHeight="1" x14ac:dyDescent="0.2">
      <c r="A3850" t="s">
        <v>5563</v>
      </c>
      <c r="B3850" t="s">
        <v>1043</v>
      </c>
      <c r="C3850">
        <v>2024</v>
      </c>
      <c r="D3850">
        <v>2024</v>
      </c>
      <c r="E3850" s="7">
        <v>45566</v>
      </c>
      <c r="F3850" s="7">
        <v>45930</v>
      </c>
      <c r="G3850" t="s">
        <v>135</v>
      </c>
      <c r="H3850" t="s">
        <v>106</v>
      </c>
      <c r="I3850" t="s">
        <v>101</v>
      </c>
      <c r="J3850">
        <v>96712.08</v>
      </c>
      <c r="K3850">
        <v>10000000</v>
      </c>
    </row>
    <row r="3851" spans="1:11" ht="15" customHeight="1" x14ac:dyDescent="0.2">
      <c r="A3851" t="s">
        <v>5564</v>
      </c>
      <c r="B3851" t="s">
        <v>616</v>
      </c>
      <c r="C3851">
        <v>2024</v>
      </c>
      <c r="D3851">
        <v>2024</v>
      </c>
      <c r="E3851" s="7">
        <v>45566</v>
      </c>
      <c r="F3851" s="7">
        <v>45930</v>
      </c>
      <c r="G3851" t="s">
        <v>135</v>
      </c>
      <c r="H3851" t="s">
        <v>102</v>
      </c>
      <c r="I3851" t="s">
        <v>101</v>
      </c>
      <c r="J3851">
        <v>11126.27</v>
      </c>
      <c r="K3851">
        <v>1500000</v>
      </c>
    </row>
    <row r="3852" spans="1:11" ht="15" customHeight="1" x14ac:dyDescent="0.2">
      <c r="A3852" t="s">
        <v>5565</v>
      </c>
      <c r="B3852" t="s">
        <v>9119</v>
      </c>
      <c r="C3852">
        <v>2024</v>
      </c>
      <c r="D3852">
        <v>2024</v>
      </c>
      <c r="E3852" s="7">
        <v>45566</v>
      </c>
      <c r="F3852" s="7">
        <v>45930</v>
      </c>
      <c r="G3852" t="s">
        <v>135</v>
      </c>
      <c r="H3852" t="s">
        <v>103</v>
      </c>
      <c r="I3852" t="s">
        <v>104</v>
      </c>
      <c r="J3852">
        <v>11924.8</v>
      </c>
      <c r="K3852">
        <v>2000000</v>
      </c>
    </row>
    <row r="3853" spans="1:11" ht="15" customHeight="1" x14ac:dyDescent="0.2">
      <c r="A3853" t="s">
        <v>5566</v>
      </c>
      <c r="B3853" t="s">
        <v>1041</v>
      </c>
      <c r="C3853">
        <v>2024</v>
      </c>
      <c r="D3853">
        <v>2024</v>
      </c>
      <c r="E3853" s="7">
        <v>45566</v>
      </c>
      <c r="F3853" s="7">
        <v>45930</v>
      </c>
      <c r="G3853" t="s">
        <v>135</v>
      </c>
      <c r="H3853" t="s">
        <v>105</v>
      </c>
      <c r="I3853" t="s">
        <v>101</v>
      </c>
      <c r="J3853">
        <v>3329.73</v>
      </c>
      <c r="K3853">
        <v>500000</v>
      </c>
    </row>
    <row r="3854" spans="1:11" ht="15" customHeight="1" x14ac:dyDescent="0.2">
      <c r="A3854" t="s">
        <v>5567</v>
      </c>
      <c r="B3854" t="s">
        <v>9120</v>
      </c>
      <c r="C3854">
        <v>2024</v>
      </c>
      <c r="D3854">
        <v>2024</v>
      </c>
      <c r="E3854" s="7">
        <v>45567</v>
      </c>
      <c r="F3854" s="7">
        <v>45931</v>
      </c>
      <c r="G3854" t="s">
        <v>135</v>
      </c>
      <c r="H3854" t="s">
        <v>111</v>
      </c>
      <c r="I3854" t="s">
        <v>101</v>
      </c>
      <c r="J3854">
        <v>10401.02</v>
      </c>
      <c r="K3854">
        <v>1500000</v>
      </c>
    </row>
    <row r="3855" spans="1:11" ht="15" customHeight="1" x14ac:dyDescent="0.2">
      <c r="A3855" t="s">
        <v>5568</v>
      </c>
      <c r="B3855" t="s">
        <v>9121</v>
      </c>
      <c r="C3855">
        <v>2024</v>
      </c>
      <c r="D3855">
        <v>2024</v>
      </c>
      <c r="E3855" s="7">
        <v>45567</v>
      </c>
      <c r="F3855" s="7">
        <v>45931</v>
      </c>
      <c r="G3855" t="s">
        <v>135</v>
      </c>
      <c r="H3855" t="s">
        <v>116</v>
      </c>
      <c r="I3855" t="s">
        <v>101</v>
      </c>
      <c r="J3855">
        <v>11019.23</v>
      </c>
      <c r="K3855">
        <v>1500000</v>
      </c>
    </row>
    <row r="3856" spans="1:11" ht="15" customHeight="1" x14ac:dyDescent="0.2">
      <c r="A3856" t="s">
        <v>5569</v>
      </c>
      <c r="B3856" t="s">
        <v>9122</v>
      </c>
      <c r="C3856">
        <v>2024</v>
      </c>
      <c r="D3856">
        <v>2024</v>
      </c>
      <c r="E3856" s="7">
        <v>45567</v>
      </c>
      <c r="F3856" s="7">
        <v>45931</v>
      </c>
      <c r="G3856" t="s">
        <v>135</v>
      </c>
      <c r="H3856" t="s">
        <v>6332</v>
      </c>
      <c r="I3856" t="s">
        <v>101</v>
      </c>
      <c r="J3856">
        <v>35071.480000000003</v>
      </c>
      <c r="K3856">
        <v>5000000</v>
      </c>
    </row>
    <row r="3857" spans="1:11" ht="15" customHeight="1" x14ac:dyDescent="0.2">
      <c r="A3857" t="s">
        <v>5570</v>
      </c>
      <c r="B3857" t="s">
        <v>9123</v>
      </c>
      <c r="C3857">
        <v>2024</v>
      </c>
      <c r="D3857">
        <v>2024</v>
      </c>
      <c r="E3857" s="7">
        <v>45567</v>
      </c>
      <c r="F3857" s="7">
        <v>45931</v>
      </c>
      <c r="G3857" t="s">
        <v>135</v>
      </c>
      <c r="H3857" t="s">
        <v>110</v>
      </c>
      <c r="I3857" t="s">
        <v>101</v>
      </c>
      <c r="J3857">
        <v>8297.42</v>
      </c>
      <c r="K3857">
        <v>1000000</v>
      </c>
    </row>
    <row r="3858" spans="1:11" ht="15" customHeight="1" x14ac:dyDescent="0.2">
      <c r="A3858" t="s">
        <v>5571</v>
      </c>
      <c r="B3858" t="s">
        <v>6987</v>
      </c>
      <c r="C3858">
        <v>2024</v>
      </c>
      <c r="D3858">
        <v>2024</v>
      </c>
      <c r="E3858" s="7">
        <v>45567</v>
      </c>
      <c r="F3858" s="7">
        <v>45931</v>
      </c>
      <c r="G3858" t="s">
        <v>135</v>
      </c>
      <c r="H3858" t="s">
        <v>106</v>
      </c>
      <c r="I3858" t="s">
        <v>101</v>
      </c>
      <c r="J3858">
        <v>12486.95</v>
      </c>
      <c r="K3858">
        <v>1500000</v>
      </c>
    </row>
    <row r="3859" spans="1:11" ht="15" customHeight="1" x14ac:dyDescent="0.2">
      <c r="A3859" t="s">
        <v>5572</v>
      </c>
      <c r="B3859" t="s">
        <v>9124</v>
      </c>
      <c r="C3859">
        <v>2024</v>
      </c>
      <c r="D3859">
        <v>2024</v>
      </c>
      <c r="E3859" s="7">
        <v>45567</v>
      </c>
      <c r="F3859" s="7">
        <v>45931</v>
      </c>
      <c r="G3859" t="s">
        <v>135</v>
      </c>
      <c r="H3859" t="s">
        <v>116</v>
      </c>
      <c r="I3859" t="s">
        <v>101</v>
      </c>
      <c r="J3859">
        <v>37135.35</v>
      </c>
      <c r="K3859">
        <v>5000000</v>
      </c>
    </row>
    <row r="3860" spans="1:11" ht="15" customHeight="1" x14ac:dyDescent="0.2">
      <c r="A3860" t="s">
        <v>5573</v>
      </c>
      <c r="B3860" t="s">
        <v>6992</v>
      </c>
      <c r="C3860">
        <v>2024</v>
      </c>
      <c r="D3860">
        <v>2024</v>
      </c>
      <c r="E3860" s="7">
        <v>45567</v>
      </c>
      <c r="F3860" s="7">
        <v>45931</v>
      </c>
      <c r="G3860" t="s">
        <v>135</v>
      </c>
      <c r="H3860" t="s">
        <v>102</v>
      </c>
      <c r="I3860" t="s">
        <v>101</v>
      </c>
      <c r="J3860">
        <v>6467.33</v>
      </c>
      <c r="K3860">
        <v>1000000</v>
      </c>
    </row>
    <row r="3861" spans="1:11" ht="15" customHeight="1" x14ac:dyDescent="0.2">
      <c r="A3861" t="s">
        <v>5574</v>
      </c>
      <c r="B3861" t="s">
        <v>6984</v>
      </c>
      <c r="C3861">
        <v>2024</v>
      </c>
      <c r="D3861">
        <v>2024</v>
      </c>
      <c r="E3861" s="7">
        <v>45567</v>
      </c>
      <c r="F3861" s="7">
        <v>45931</v>
      </c>
      <c r="G3861" t="s">
        <v>135</v>
      </c>
      <c r="H3861" t="s">
        <v>106</v>
      </c>
      <c r="I3861" t="s">
        <v>101</v>
      </c>
      <c r="J3861">
        <v>17066</v>
      </c>
      <c r="K3861">
        <v>2000000</v>
      </c>
    </row>
    <row r="3862" spans="1:11" ht="15" customHeight="1" x14ac:dyDescent="0.2">
      <c r="A3862" t="s">
        <v>5575</v>
      </c>
      <c r="B3862" t="s">
        <v>7003</v>
      </c>
      <c r="C3862">
        <v>2024</v>
      </c>
      <c r="D3862">
        <v>2024</v>
      </c>
      <c r="E3862" s="7">
        <v>45567</v>
      </c>
      <c r="F3862" s="7">
        <v>45931</v>
      </c>
      <c r="G3862" t="s">
        <v>135</v>
      </c>
      <c r="H3862" t="s">
        <v>109</v>
      </c>
      <c r="I3862" t="s">
        <v>104</v>
      </c>
      <c r="J3862">
        <v>9161.2199999999993</v>
      </c>
      <c r="K3862">
        <v>1500000</v>
      </c>
    </row>
    <row r="3863" spans="1:11" ht="15" customHeight="1" x14ac:dyDescent="0.2">
      <c r="A3863" t="s">
        <v>5576</v>
      </c>
      <c r="B3863" t="s">
        <v>4255</v>
      </c>
      <c r="C3863">
        <v>2024</v>
      </c>
      <c r="D3863">
        <v>2024</v>
      </c>
      <c r="E3863" s="7">
        <v>45568</v>
      </c>
      <c r="F3863" s="7">
        <v>45932</v>
      </c>
      <c r="G3863" t="s">
        <v>99</v>
      </c>
      <c r="H3863" t="s">
        <v>110</v>
      </c>
      <c r="I3863" t="s">
        <v>101</v>
      </c>
      <c r="J3863">
        <v>8832.73</v>
      </c>
      <c r="K3863">
        <v>1000000</v>
      </c>
    </row>
    <row r="3864" spans="1:11" ht="15" customHeight="1" x14ac:dyDescent="0.2">
      <c r="A3864" t="s">
        <v>5577</v>
      </c>
      <c r="B3864" t="s">
        <v>4265</v>
      </c>
      <c r="C3864">
        <v>2024</v>
      </c>
      <c r="D3864">
        <v>2024</v>
      </c>
      <c r="E3864" s="7">
        <v>45568</v>
      </c>
      <c r="F3864" s="7">
        <v>45932</v>
      </c>
      <c r="G3864" t="s">
        <v>99</v>
      </c>
      <c r="H3864" t="s">
        <v>110</v>
      </c>
      <c r="I3864" t="s">
        <v>101</v>
      </c>
      <c r="J3864">
        <v>18490.419999999998</v>
      </c>
      <c r="K3864">
        <v>2000000</v>
      </c>
    </row>
    <row r="3865" spans="1:11" ht="15" customHeight="1" x14ac:dyDescent="0.2">
      <c r="A3865" t="s">
        <v>5578</v>
      </c>
      <c r="B3865" t="s">
        <v>617</v>
      </c>
      <c r="C3865">
        <v>2024</v>
      </c>
      <c r="D3865">
        <v>2024</v>
      </c>
      <c r="E3865" s="7">
        <v>45568</v>
      </c>
      <c r="F3865" s="7">
        <v>45932</v>
      </c>
      <c r="G3865" t="s">
        <v>135</v>
      </c>
      <c r="H3865" t="s">
        <v>102</v>
      </c>
      <c r="I3865" t="s">
        <v>101</v>
      </c>
      <c r="J3865">
        <v>71568.31</v>
      </c>
      <c r="K3865">
        <v>10000000</v>
      </c>
    </row>
    <row r="3866" spans="1:11" ht="15" customHeight="1" x14ac:dyDescent="0.2">
      <c r="A3866" t="s">
        <v>5579</v>
      </c>
      <c r="B3866" t="s">
        <v>1044</v>
      </c>
      <c r="C3866">
        <v>2024</v>
      </c>
      <c r="D3866">
        <v>2024</v>
      </c>
      <c r="E3866" s="7">
        <v>45568</v>
      </c>
      <c r="F3866" s="7">
        <v>45932</v>
      </c>
      <c r="G3866" t="s">
        <v>135</v>
      </c>
      <c r="H3866" t="s">
        <v>107</v>
      </c>
      <c r="I3866" t="s">
        <v>104</v>
      </c>
      <c r="J3866">
        <v>8504.2900000000009</v>
      </c>
      <c r="K3866">
        <v>1500000</v>
      </c>
    </row>
    <row r="3867" spans="1:11" ht="15" customHeight="1" x14ac:dyDescent="0.2">
      <c r="A3867" t="s">
        <v>5580</v>
      </c>
      <c r="B3867" t="s">
        <v>9125</v>
      </c>
      <c r="C3867">
        <v>2024</v>
      </c>
      <c r="D3867">
        <v>2024</v>
      </c>
      <c r="E3867" s="7">
        <v>45568</v>
      </c>
      <c r="F3867" s="7">
        <v>45932</v>
      </c>
      <c r="G3867" t="s">
        <v>135</v>
      </c>
      <c r="H3867" t="s">
        <v>115</v>
      </c>
      <c r="I3867" t="s">
        <v>101</v>
      </c>
      <c r="J3867">
        <v>10220.31</v>
      </c>
      <c r="K3867">
        <v>1500000</v>
      </c>
    </row>
    <row r="3868" spans="1:11" ht="15" customHeight="1" x14ac:dyDescent="0.2">
      <c r="A3868" t="s">
        <v>5581</v>
      </c>
      <c r="B3868" t="s">
        <v>9126</v>
      </c>
      <c r="C3868">
        <v>2024</v>
      </c>
      <c r="D3868">
        <v>2024</v>
      </c>
      <c r="E3868" s="7">
        <v>45568</v>
      </c>
      <c r="F3868" s="7">
        <v>45932</v>
      </c>
      <c r="G3868" t="s">
        <v>135</v>
      </c>
      <c r="H3868" t="s">
        <v>108</v>
      </c>
      <c r="I3868" t="s">
        <v>101</v>
      </c>
      <c r="J3868">
        <v>8234.44</v>
      </c>
      <c r="K3868">
        <v>1000000</v>
      </c>
    </row>
    <row r="3869" spans="1:11" ht="15" customHeight="1" x14ac:dyDescent="0.2">
      <c r="A3869" t="s">
        <v>5582</v>
      </c>
      <c r="B3869" t="s">
        <v>9127</v>
      </c>
      <c r="C3869">
        <v>2024</v>
      </c>
      <c r="D3869">
        <v>2024</v>
      </c>
      <c r="E3869" s="7">
        <v>45568</v>
      </c>
      <c r="F3869" s="7">
        <v>45932</v>
      </c>
      <c r="G3869" t="s">
        <v>135</v>
      </c>
      <c r="H3869" t="s">
        <v>106</v>
      </c>
      <c r="I3869" t="s">
        <v>104</v>
      </c>
      <c r="J3869">
        <v>15684.1</v>
      </c>
      <c r="K3869">
        <v>2000000</v>
      </c>
    </row>
    <row r="3870" spans="1:11" ht="15" customHeight="1" x14ac:dyDescent="0.2">
      <c r="A3870" t="s">
        <v>5583</v>
      </c>
      <c r="B3870" t="s">
        <v>618</v>
      </c>
      <c r="C3870">
        <v>2024</v>
      </c>
      <c r="D3870">
        <v>2024</v>
      </c>
      <c r="E3870" s="7">
        <v>45568</v>
      </c>
      <c r="F3870" s="7">
        <v>45932</v>
      </c>
      <c r="G3870" t="s">
        <v>135</v>
      </c>
      <c r="H3870" t="s">
        <v>109</v>
      </c>
      <c r="I3870" t="s">
        <v>104</v>
      </c>
      <c r="J3870">
        <v>58297.8</v>
      </c>
      <c r="K3870">
        <v>10000000</v>
      </c>
    </row>
    <row r="3871" spans="1:11" ht="15" customHeight="1" x14ac:dyDescent="0.2">
      <c r="A3871" t="s">
        <v>5584</v>
      </c>
      <c r="B3871" t="s">
        <v>9128</v>
      </c>
      <c r="C3871">
        <v>2024</v>
      </c>
      <c r="D3871">
        <v>2024</v>
      </c>
      <c r="E3871" s="7">
        <v>45568</v>
      </c>
      <c r="F3871" s="7">
        <v>45932</v>
      </c>
      <c r="G3871" t="s">
        <v>135</v>
      </c>
      <c r="H3871" t="s">
        <v>115</v>
      </c>
      <c r="I3871" t="s">
        <v>101</v>
      </c>
      <c r="J3871">
        <v>14390.64</v>
      </c>
      <c r="K3871">
        <v>2000000</v>
      </c>
    </row>
    <row r="3872" spans="1:11" ht="15" customHeight="1" x14ac:dyDescent="0.2">
      <c r="A3872" t="s">
        <v>5585</v>
      </c>
      <c r="B3872" t="s">
        <v>9129</v>
      </c>
      <c r="C3872">
        <v>2024</v>
      </c>
      <c r="D3872">
        <v>2024</v>
      </c>
      <c r="E3872" s="7">
        <v>45568</v>
      </c>
      <c r="F3872" s="7">
        <v>45932</v>
      </c>
      <c r="G3872" t="s">
        <v>135</v>
      </c>
      <c r="H3872" t="s">
        <v>107</v>
      </c>
      <c r="I3872" t="s">
        <v>101</v>
      </c>
      <c r="J3872">
        <v>15670.36</v>
      </c>
      <c r="K3872">
        <v>2000000</v>
      </c>
    </row>
    <row r="3873" spans="1:11" ht="15" customHeight="1" x14ac:dyDescent="0.2">
      <c r="A3873" t="s">
        <v>5586</v>
      </c>
      <c r="B3873" t="s">
        <v>6945</v>
      </c>
      <c r="C3873">
        <v>2024</v>
      </c>
      <c r="D3873">
        <v>2024</v>
      </c>
      <c r="E3873" s="7">
        <v>45568</v>
      </c>
      <c r="F3873" s="7">
        <v>45932</v>
      </c>
      <c r="G3873" t="s">
        <v>135</v>
      </c>
      <c r="H3873" t="s">
        <v>112</v>
      </c>
      <c r="I3873" t="s">
        <v>101</v>
      </c>
      <c r="J3873">
        <v>4440.09</v>
      </c>
      <c r="K3873">
        <v>500000</v>
      </c>
    </row>
    <row r="3874" spans="1:11" ht="15" customHeight="1" x14ac:dyDescent="0.2">
      <c r="A3874" t="s">
        <v>5587</v>
      </c>
      <c r="B3874" t="s">
        <v>9130</v>
      </c>
      <c r="C3874">
        <v>2024</v>
      </c>
      <c r="D3874">
        <v>2024</v>
      </c>
      <c r="E3874" s="7">
        <v>45568</v>
      </c>
      <c r="F3874" s="7">
        <v>45932</v>
      </c>
      <c r="G3874" t="s">
        <v>135</v>
      </c>
      <c r="H3874" t="s">
        <v>113</v>
      </c>
      <c r="I3874" t="s">
        <v>104</v>
      </c>
      <c r="J3874">
        <v>11881.4</v>
      </c>
      <c r="K3874">
        <v>2000000</v>
      </c>
    </row>
    <row r="3875" spans="1:11" ht="15" customHeight="1" x14ac:dyDescent="0.2">
      <c r="A3875" t="s">
        <v>5588</v>
      </c>
      <c r="B3875" t="s">
        <v>4267</v>
      </c>
      <c r="C3875">
        <v>2024</v>
      </c>
      <c r="D3875">
        <v>2024</v>
      </c>
      <c r="E3875" s="7">
        <v>45569</v>
      </c>
      <c r="F3875" s="7">
        <v>45933</v>
      </c>
      <c r="G3875" t="s">
        <v>99</v>
      </c>
      <c r="H3875" t="s">
        <v>110</v>
      </c>
      <c r="I3875" t="s">
        <v>104</v>
      </c>
      <c r="J3875">
        <v>14520.27</v>
      </c>
      <c r="K3875">
        <v>2000000</v>
      </c>
    </row>
    <row r="3876" spans="1:11" ht="15" customHeight="1" x14ac:dyDescent="0.2">
      <c r="A3876" t="s">
        <v>5589</v>
      </c>
      <c r="B3876" t="s">
        <v>4269</v>
      </c>
      <c r="C3876">
        <v>2024</v>
      </c>
      <c r="D3876">
        <v>2024</v>
      </c>
      <c r="E3876" s="7">
        <v>45569</v>
      </c>
      <c r="F3876" s="7">
        <v>45933</v>
      </c>
      <c r="G3876" t="s">
        <v>99</v>
      </c>
      <c r="H3876" t="s">
        <v>107</v>
      </c>
      <c r="I3876" t="s">
        <v>101</v>
      </c>
      <c r="J3876">
        <v>11587.14</v>
      </c>
      <c r="K3876">
        <v>1500000</v>
      </c>
    </row>
    <row r="3877" spans="1:11" ht="15" customHeight="1" x14ac:dyDescent="0.2">
      <c r="A3877" t="s">
        <v>5590</v>
      </c>
      <c r="B3877" t="s">
        <v>4272</v>
      </c>
      <c r="C3877">
        <v>2024</v>
      </c>
      <c r="D3877">
        <v>2024</v>
      </c>
      <c r="E3877" s="7">
        <v>45569</v>
      </c>
      <c r="F3877" s="7">
        <v>45933</v>
      </c>
      <c r="G3877" t="s">
        <v>99</v>
      </c>
      <c r="H3877" t="s">
        <v>113</v>
      </c>
      <c r="I3877" t="s">
        <v>104</v>
      </c>
      <c r="J3877">
        <v>8614.0499999999993</v>
      </c>
      <c r="K3877">
        <v>1500000</v>
      </c>
    </row>
    <row r="3878" spans="1:11" ht="15" customHeight="1" x14ac:dyDescent="0.2">
      <c r="A3878" t="s">
        <v>5591</v>
      </c>
      <c r="B3878" t="s">
        <v>4274</v>
      </c>
      <c r="C3878">
        <v>2024</v>
      </c>
      <c r="D3878">
        <v>2024</v>
      </c>
      <c r="E3878" s="7">
        <v>45569</v>
      </c>
      <c r="F3878" s="7">
        <v>45933</v>
      </c>
      <c r="G3878" t="s">
        <v>99</v>
      </c>
      <c r="H3878" t="s">
        <v>107</v>
      </c>
      <c r="I3878" t="s">
        <v>104</v>
      </c>
      <c r="J3878">
        <v>12334.35</v>
      </c>
      <c r="K3878">
        <v>2000000</v>
      </c>
    </row>
    <row r="3879" spans="1:11" ht="15" customHeight="1" x14ac:dyDescent="0.2">
      <c r="A3879" t="s">
        <v>5592</v>
      </c>
      <c r="B3879" t="s">
        <v>619</v>
      </c>
      <c r="C3879">
        <v>2024</v>
      </c>
      <c r="D3879">
        <v>2024</v>
      </c>
      <c r="E3879" s="7">
        <v>45569</v>
      </c>
      <c r="F3879" s="7">
        <v>45933</v>
      </c>
      <c r="G3879" t="s">
        <v>135</v>
      </c>
      <c r="H3879" t="s">
        <v>116</v>
      </c>
      <c r="I3879" t="s">
        <v>104</v>
      </c>
      <c r="J3879">
        <v>8666.81</v>
      </c>
      <c r="K3879">
        <v>1500000</v>
      </c>
    </row>
    <row r="3880" spans="1:11" ht="15" customHeight="1" x14ac:dyDescent="0.2">
      <c r="A3880" t="s">
        <v>5593</v>
      </c>
      <c r="B3880" t="s">
        <v>1045</v>
      </c>
      <c r="C3880">
        <v>2024</v>
      </c>
      <c r="D3880">
        <v>2024</v>
      </c>
      <c r="E3880" s="7">
        <v>45569</v>
      </c>
      <c r="F3880" s="7">
        <v>45933</v>
      </c>
      <c r="G3880" t="s">
        <v>135</v>
      </c>
      <c r="H3880" t="s">
        <v>110</v>
      </c>
      <c r="I3880" t="s">
        <v>101</v>
      </c>
      <c r="J3880">
        <v>8500.75</v>
      </c>
      <c r="K3880">
        <v>1000000</v>
      </c>
    </row>
    <row r="3881" spans="1:11" ht="15" customHeight="1" x14ac:dyDescent="0.2">
      <c r="A3881" t="s">
        <v>5594</v>
      </c>
      <c r="B3881" t="s">
        <v>9131</v>
      </c>
      <c r="C3881">
        <v>2024</v>
      </c>
      <c r="D3881">
        <v>2024</v>
      </c>
      <c r="E3881" s="7">
        <v>45569</v>
      </c>
      <c r="F3881" s="7">
        <v>45933</v>
      </c>
      <c r="G3881" t="s">
        <v>135</v>
      </c>
      <c r="H3881" t="s">
        <v>102</v>
      </c>
      <c r="I3881" t="s">
        <v>101</v>
      </c>
      <c r="J3881">
        <v>35438.76</v>
      </c>
      <c r="K3881">
        <v>5000000</v>
      </c>
    </row>
    <row r="3882" spans="1:11" ht="15" customHeight="1" x14ac:dyDescent="0.2">
      <c r="A3882" t="s">
        <v>5595</v>
      </c>
      <c r="B3882" t="s">
        <v>9132</v>
      </c>
      <c r="C3882">
        <v>2024</v>
      </c>
      <c r="D3882">
        <v>2024</v>
      </c>
      <c r="E3882" s="7">
        <v>45569</v>
      </c>
      <c r="F3882" s="7">
        <v>45933</v>
      </c>
      <c r="G3882" t="s">
        <v>135</v>
      </c>
      <c r="H3882" t="s">
        <v>109</v>
      </c>
      <c r="I3882" t="s">
        <v>101</v>
      </c>
      <c r="J3882">
        <v>68366.899999999994</v>
      </c>
      <c r="K3882">
        <v>10000000</v>
      </c>
    </row>
    <row r="3883" spans="1:11" ht="15" customHeight="1" x14ac:dyDescent="0.2">
      <c r="A3883" t="s">
        <v>5596</v>
      </c>
      <c r="B3883" t="s">
        <v>9133</v>
      </c>
      <c r="C3883">
        <v>2024</v>
      </c>
      <c r="D3883">
        <v>2024</v>
      </c>
      <c r="E3883" s="7">
        <v>45569</v>
      </c>
      <c r="F3883" s="7">
        <v>45933</v>
      </c>
      <c r="G3883" t="s">
        <v>135</v>
      </c>
      <c r="H3883" t="s">
        <v>116</v>
      </c>
      <c r="I3883" t="s">
        <v>101</v>
      </c>
      <c r="J3883">
        <v>73662.77</v>
      </c>
      <c r="K3883">
        <v>10000000</v>
      </c>
    </row>
    <row r="3884" spans="1:11" ht="15" customHeight="1" x14ac:dyDescent="0.2">
      <c r="A3884" t="s">
        <v>5597</v>
      </c>
      <c r="B3884" t="s">
        <v>9134</v>
      </c>
      <c r="C3884">
        <v>2024</v>
      </c>
      <c r="D3884">
        <v>2024</v>
      </c>
      <c r="E3884" s="7">
        <v>45569</v>
      </c>
      <c r="F3884" s="7">
        <v>45933</v>
      </c>
      <c r="G3884" t="s">
        <v>135</v>
      </c>
      <c r="H3884" t="s">
        <v>6334</v>
      </c>
      <c r="I3884" t="s">
        <v>104</v>
      </c>
      <c r="J3884">
        <v>6164.53</v>
      </c>
      <c r="K3884">
        <v>1000000</v>
      </c>
    </row>
    <row r="3885" spans="1:11" ht="15" customHeight="1" x14ac:dyDescent="0.2">
      <c r="A3885" t="s">
        <v>5598</v>
      </c>
      <c r="B3885" t="s">
        <v>6954</v>
      </c>
      <c r="C3885">
        <v>2024</v>
      </c>
      <c r="D3885">
        <v>2024</v>
      </c>
      <c r="E3885" s="7">
        <v>45569</v>
      </c>
      <c r="F3885" s="7">
        <v>45933</v>
      </c>
      <c r="G3885" t="s">
        <v>135</v>
      </c>
      <c r="H3885" t="s">
        <v>102</v>
      </c>
      <c r="I3885" t="s">
        <v>101</v>
      </c>
      <c r="J3885">
        <v>37536.92</v>
      </c>
      <c r="K3885">
        <v>5000000</v>
      </c>
    </row>
    <row r="3886" spans="1:11" ht="15" customHeight="1" x14ac:dyDescent="0.2">
      <c r="A3886" t="s">
        <v>5599</v>
      </c>
      <c r="B3886" t="s">
        <v>9135</v>
      </c>
      <c r="C3886">
        <v>2024</v>
      </c>
      <c r="D3886">
        <v>2024</v>
      </c>
      <c r="E3886" s="7">
        <v>45569</v>
      </c>
      <c r="F3886" s="7">
        <v>45933</v>
      </c>
      <c r="G3886" t="s">
        <v>135</v>
      </c>
      <c r="H3886" t="s">
        <v>111</v>
      </c>
      <c r="I3886" t="s">
        <v>101</v>
      </c>
      <c r="J3886">
        <v>6806.2</v>
      </c>
      <c r="K3886">
        <v>1000000</v>
      </c>
    </row>
    <row r="3887" spans="1:11" ht="15" customHeight="1" x14ac:dyDescent="0.2">
      <c r="A3887" t="s">
        <v>5600</v>
      </c>
      <c r="B3887" t="s">
        <v>4287</v>
      </c>
      <c r="C3887">
        <v>2024</v>
      </c>
      <c r="D3887">
        <v>2024</v>
      </c>
      <c r="E3887" s="7">
        <v>45570</v>
      </c>
      <c r="F3887" s="7">
        <v>45934</v>
      </c>
      <c r="G3887" t="s">
        <v>99</v>
      </c>
      <c r="H3887" t="s">
        <v>6337</v>
      </c>
      <c r="I3887" t="s">
        <v>104</v>
      </c>
      <c r="J3887">
        <v>11398.46</v>
      </c>
      <c r="K3887">
        <v>2000000</v>
      </c>
    </row>
    <row r="3888" spans="1:11" ht="15" customHeight="1" x14ac:dyDescent="0.2">
      <c r="A3888" t="s">
        <v>5601</v>
      </c>
      <c r="B3888" t="s">
        <v>620</v>
      </c>
      <c r="C3888">
        <v>2024</v>
      </c>
      <c r="D3888">
        <v>2024</v>
      </c>
      <c r="E3888" s="7">
        <v>45570</v>
      </c>
      <c r="F3888" s="7">
        <v>45934</v>
      </c>
      <c r="G3888" t="s">
        <v>135</v>
      </c>
      <c r="H3888" t="s">
        <v>108</v>
      </c>
      <c r="I3888" t="s">
        <v>101</v>
      </c>
      <c r="J3888">
        <v>9409.08</v>
      </c>
      <c r="K3888">
        <v>1000000</v>
      </c>
    </row>
    <row r="3889" spans="1:11" ht="15" customHeight="1" x14ac:dyDescent="0.2">
      <c r="A3889" t="s">
        <v>5602</v>
      </c>
      <c r="B3889" t="s">
        <v>9136</v>
      </c>
      <c r="C3889">
        <v>2024</v>
      </c>
      <c r="D3889">
        <v>2024</v>
      </c>
      <c r="E3889" s="7">
        <v>45570</v>
      </c>
      <c r="F3889" s="7">
        <v>45934</v>
      </c>
      <c r="G3889" t="s">
        <v>135</v>
      </c>
      <c r="H3889" t="s">
        <v>113</v>
      </c>
      <c r="I3889" t="s">
        <v>104</v>
      </c>
      <c r="J3889">
        <v>9186.5499999999993</v>
      </c>
      <c r="K3889">
        <v>1500000</v>
      </c>
    </row>
    <row r="3890" spans="1:11" ht="15" customHeight="1" x14ac:dyDescent="0.2">
      <c r="A3890" t="s">
        <v>5603</v>
      </c>
      <c r="B3890" t="s">
        <v>9137</v>
      </c>
      <c r="C3890">
        <v>2024</v>
      </c>
      <c r="D3890">
        <v>2024</v>
      </c>
      <c r="E3890" s="7">
        <v>45570</v>
      </c>
      <c r="F3890" s="7">
        <v>45934</v>
      </c>
      <c r="G3890" t="s">
        <v>135</v>
      </c>
      <c r="H3890" t="s">
        <v>102</v>
      </c>
      <c r="I3890" t="s">
        <v>101</v>
      </c>
      <c r="J3890">
        <v>33154.160000000003</v>
      </c>
      <c r="K3890">
        <v>5000000</v>
      </c>
    </row>
    <row r="3891" spans="1:11" ht="15" customHeight="1" x14ac:dyDescent="0.2">
      <c r="A3891" t="s">
        <v>5604</v>
      </c>
      <c r="B3891" t="s">
        <v>9138</v>
      </c>
      <c r="C3891">
        <v>2024</v>
      </c>
      <c r="D3891">
        <v>2024</v>
      </c>
      <c r="E3891" s="7">
        <v>45570</v>
      </c>
      <c r="F3891" s="7">
        <v>45934</v>
      </c>
      <c r="G3891" t="s">
        <v>135</v>
      </c>
      <c r="H3891" t="s">
        <v>109</v>
      </c>
      <c r="I3891" t="s">
        <v>101</v>
      </c>
      <c r="J3891">
        <v>3357.71</v>
      </c>
      <c r="K3891">
        <v>500000</v>
      </c>
    </row>
    <row r="3892" spans="1:11" ht="15" customHeight="1" x14ac:dyDescent="0.2">
      <c r="A3892" t="s">
        <v>5605</v>
      </c>
      <c r="B3892" t="s">
        <v>9139</v>
      </c>
      <c r="C3892">
        <v>2024</v>
      </c>
      <c r="D3892">
        <v>2024</v>
      </c>
      <c r="E3892" s="7">
        <v>45570</v>
      </c>
      <c r="F3892" s="7">
        <v>45934</v>
      </c>
      <c r="G3892" t="s">
        <v>135</v>
      </c>
      <c r="H3892" t="s">
        <v>102</v>
      </c>
      <c r="I3892" t="s">
        <v>104</v>
      </c>
      <c r="J3892">
        <v>5280.79</v>
      </c>
      <c r="K3892">
        <v>1000000</v>
      </c>
    </row>
    <row r="3893" spans="1:11" ht="15" customHeight="1" x14ac:dyDescent="0.2">
      <c r="A3893" t="s">
        <v>5606</v>
      </c>
      <c r="B3893" t="s">
        <v>6991</v>
      </c>
      <c r="C3893">
        <v>2024</v>
      </c>
      <c r="D3893">
        <v>2024</v>
      </c>
      <c r="E3893" s="7">
        <v>45570</v>
      </c>
      <c r="F3893" s="7">
        <v>45934</v>
      </c>
      <c r="G3893" t="s">
        <v>135</v>
      </c>
      <c r="H3893" t="s">
        <v>102</v>
      </c>
      <c r="I3893" t="s">
        <v>104</v>
      </c>
      <c r="J3893">
        <v>26312.04</v>
      </c>
      <c r="K3893">
        <v>5000000</v>
      </c>
    </row>
    <row r="3894" spans="1:11" ht="15" customHeight="1" x14ac:dyDescent="0.2">
      <c r="A3894" t="s">
        <v>5607</v>
      </c>
      <c r="B3894" t="s">
        <v>621</v>
      </c>
      <c r="C3894">
        <v>2024</v>
      </c>
      <c r="D3894">
        <v>2024</v>
      </c>
      <c r="E3894" s="7">
        <v>45570</v>
      </c>
      <c r="F3894" s="7">
        <v>45934</v>
      </c>
      <c r="G3894" t="s">
        <v>135</v>
      </c>
      <c r="H3894" t="s">
        <v>109</v>
      </c>
      <c r="I3894" t="s">
        <v>101</v>
      </c>
      <c r="J3894">
        <v>15242.77</v>
      </c>
      <c r="K3894">
        <v>2000000</v>
      </c>
    </row>
    <row r="3895" spans="1:11" ht="15" customHeight="1" x14ac:dyDescent="0.2">
      <c r="A3895" t="s">
        <v>5608</v>
      </c>
      <c r="B3895" t="s">
        <v>7041</v>
      </c>
      <c r="C3895">
        <v>2024</v>
      </c>
      <c r="D3895">
        <v>2024</v>
      </c>
      <c r="E3895" s="7">
        <v>45570</v>
      </c>
      <c r="F3895" s="7">
        <v>45934</v>
      </c>
      <c r="G3895" t="s">
        <v>135</v>
      </c>
      <c r="H3895" t="s">
        <v>106</v>
      </c>
      <c r="I3895" t="s">
        <v>104</v>
      </c>
      <c r="J3895">
        <v>10004.040000000001</v>
      </c>
      <c r="K3895">
        <v>1500000</v>
      </c>
    </row>
    <row r="3896" spans="1:11" ht="15" customHeight="1" x14ac:dyDescent="0.2">
      <c r="A3896" t="s">
        <v>5609</v>
      </c>
      <c r="B3896" t="s">
        <v>4289</v>
      </c>
      <c r="C3896">
        <v>2024</v>
      </c>
      <c r="D3896">
        <v>2024</v>
      </c>
      <c r="E3896" s="7">
        <v>45571</v>
      </c>
      <c r="F3896" s="7">
        <v>45935</v>
      </c>
      <c r="G3896" t="s">
        <v>99</v>
      </c>
      <c r="H3896" t="s">
        <v>111</v>
      </c>
      <c r="I3896" t="s">
        <v>101</v>
      </c>
      <c r="J3896">
        <v>12952.45</v>
      </c>
      <c r="K3896">
        <v>2000000</v>
      </c>
    </row>
    <row r="3897" spans="1:11" ht="15" customHeight="1" x14ac:dyDescent="0.2">
      <c r="A3897" t="s">
        <v>5610</v>
      </c>
      <c r="B3897" t="s">
        <v>4291</v>
      </c>
      <c r="C3897">
        <v>2024</v>
      </c>
      <c r="D3897">
        <v>2024</v>
      </c>
      <c r="E3897" s="7">
        <v>45571</v>
      </c>
      <c r="F3897" s="7">
        <v>45935</v>
      </c>
      <c r="G3897" t="s">
        <v>99</v>
      </c>
      <c r="H3897" t="s">
        <v>105</v>
      </c>
      <c r="I3897" t="s">
        <v>101</v>
      </c>
      <c r="J3897">
        <v>66970.78</v>
      </c>
      <c r="K3897">
        <v>10000000</v>
      </c>
    </row>
    <row r="3898" spans="1:11" ht="15" customHeight="1" x14ac:dyDescent="0.2">
      <c r="A3898" t="s">
        <v>5611</v>
      </c>
      <c r="B3898" t="s">
        <v>4300</v>
      </c>
      <c r="C3898">
        <v>2024</v>
      </c>
      <c r="D3898">
        <v>2024</v>
      </c>
      <c r="E3898" s="7">
        <v>45571</v>
      </c>
      <c r="F3898" s="7">
        <v>45935</v>
      </c>
      <c r="G3898" t="s">
        <v>99</v>
      </c>
      <c r="H3898" t="s">
        <v>106</v>
      </c>
      <c r="I3898" t="s">
        <v>104</v>
      </c>
      <c r="J3898">
        <v>6661.14</v>
      </c>
      <c r="K3898">
        <v>1000000</v>
      </c>
    </row>
    <row r="3899" spans="1:11" ht="15" customHeight="1" x14ac:dyDescent="0.2">
      <c r="A3899" t="s">
        <v>5612</v>
      </c>
      <c r="B3899" t="s">
        <v>622</v>
      </c>
      <c r="C3899">
        <v>2024</v>
      </c>
      <c r="D3899">
        <v>2024</v>
      </c>
      <c r="E3899" s="7">
        <v>45571</v>
      </c>
      <c r="F3899" s="7">
        <v>45935</v>
      </c>
      <c r="G3899" t="s">
        <v>135</v>
      </c>
      <c r="H3899" t="s">
        <v>102</v>
      </c>
      <c r="I3899" t="s">
        <v>104</v>
      </c>
      <c r="J3899">
        <v>9328.07</v>
      </c>
      <c r="K3899">
        <v>1500000</v>
      </c>
    </row>
    <row r="3900" spans="1:11" ht="15" customHeight="1" x14ac:dyDescent="0.2">
      <c r="A3900" t="s">
        <v>5613</v>
      </c>
      <c r="B3900" t="s">
        <v>9140</v>
      </c>
      <c r="C3900">
        <v>2024</v>
      </c>
      <c r="D3900">
        <v>2024</v>
      </c>
      <c r="E3900" s="7">
        <v>45571</v>
      </c>
      <c r="F3900" s="7">
        <v>45935</v>
      </c>
      <c r="G3900" t="s">
        <v>135</v>
      </c>
      <c r="H3900" t="s">
        <v>6334</v>
      </c>
      <c r="I3900" t="s">
        <v>101</v>
      </c>
      <c r="J3900">
        <v>7449.88</v>
      </c>
      <c r="K3900">
        <v>1000000</v>
      </c>
    </row>
    <row r="3901" spans="1:11" ht="15" customHeight="1" x14ac:dyDescent="0.2">
      <c r="A3901" t="s">
        <v>5614</v>
      </c>
      <c r="B3901" t="s">
        <v>9141</v>
      </c>
      <c r="C3901">
        <v>2024</v>
      </c>
      <c r="D3901">
        <v>2024</v>
      </c>
      <c r="E3901" s="7">
        <v>45571</v>
      </c>
      <c r="F3901" s="7">
        <v>45935</v>
      </c>
      <c r="G3901" t="s">
        <v>135</v>
      </c>
      <c r="H3901" t="s">
        <v>107</v>
      </c>
      <c r="I3901" t="s">
        <v>101</v>
      </c>
      <c r="J3901">
        <v>10334.06</v>
      </c>
      <c r="K3901">
        <v>1500000</v>
      </c>
    </row>
    <row r="3902" spans="1:11" ht="15" customHeight="1" x14ac:dyDescent="0.2">
      <c r="A3902" t="s">
        <v>5615</v>
      </c>
      <c r="B3902" t="s">
        <v>9142</v>
      </c>
      <c r="C3902">
        <v>2024</v>
      </c>
      <c r="D3902">
        <v>2024</v>
      </c>
      <c r="E3902" s="7">
        <v>45571</v>
      </c>
      <c r="F3902" s="7">
        <v>45935</v>
      </c>
      <c r="G3902" t="s">
        <v>135</v>
      </c>
      <c r="H3902" t="s">
        <v>6348</v>
      </c>
      <c r="I3902" t="s">
        <v>104</v>
      </c>
      <c r="J3902">
        <v>53914.13</v>
      </c>
      <c r="K3902">
        <v>10000000</v>
      </c>
    </row>
    <row r="3903" spans="1:11" ht="15" customHeight="1" x14ac:dyDescent="0.2">
      <c r="A3903" t="s">
        <v>5616</v>
      </c>
      <c r="B3903" t="s">
        <v>9143</v>
      </c>
      <c r="C3903">
        <v>2024</v>
      </c>
      <c r="D3903">
        <v>2024</v>
      </c>
      <c r="E3903" s="7">
        <v>45571</v>
      </c>
      <c r="F3903" s="7">
        <v>45935</v>
      </c>
      <c r="G3903" t="s">
        <v>135</v>
      </c>
      <c r="H3903" t="s">
        <v>105</v>
      </c>
      <c r="I3903" t="s">
        <v>104</v>
      </c>
      <c r="J3903">
        <v>7775.16</v>
      </c>
      <c r="K3903">
        <v>1500000</v>
      </c>
    </row>
    <row r="3904" spans="1:11" ht="15" customHeight="1" x14ac:dyDescent="0.2">
      <c r="A3904" t="s">
        <v>5617</v>
      </c>
      <c r="B3904" t="s">
        <v>9144</v>
      </c>
      <c r="C3904">
        <v>2024</v>
      </c>
      <c r="D3904">
        <v>2024</v>
      </c>
      <c r="E3904" s="7">
        <v>45571</v>
      </c>
      <c r="F3904" s="7">
        <v>45935</v>
      </c>
      <c r="G3904" t="s">
        <v>135</v>
      </c>
      <c r="H3904" t="s">
        <v>102</v>
      </c>
      <c r="I3904" t="s">
        <v>101</v>
      </c>
      <c r="J3904">
        <v>39235.79</v>
      </c>
      <c r="K3904">
        <v>5000000</v>
      </c>
    </row>
    <row r="3905" spans="1:11" ht="15" customHeight="1" x14ac:dyDescent="0.2">
      <c r="A3905" t="s">
        <v>5618</v>
      </c>
      <c r="B3905" t="s">
        <v>9145</v>
      </c>
      <c r="C3905">
        <v>2024</v>
      </c>
      <c r="D3905">
        <v>2024</v>
      </c>
      <c r="E3905" s="7">
        <v>45571</v>
      </c>
      <c r="F3905" s="7">
        <v>45935</v>
      </c>
      <c r="G3905" t="s">
        <v>135</v>
      </c>
      <c r="H3905" t="s">
        <v>107</v>
      </c>
      <c r="I3905" t="s">
        <v>101</v>
      </c>
      <c r="J3905">
        <v>71158.460000000006</v>
      </c>
      <c r="K3905">
        <v>10000000</v>
      </c>
    </row>
    <row r="3906" spans="1:11" ht="15" customHeight="1" x14ac:dyDescent="0.2">
      <c r="A3906" t="s">
        <v>5619</v>
      </c>
      <c r="B3906" t="s">
        <v>9146</v>
      </c>
      <c r="C3906">
        <v>2024</v>
      </c>
      <c r="D3906">
        <v>2024</v>
      </c>
      <c r="E3906" s="7">
        <v>45571</v>
      </c>
      <c r="F3906" s="7">
        <v>45935</v>
      </c>
      <c r="G3906" t="s">
        <v>135</v>
      </c>
      <c r="H3906" t="s">
        <v>100</v>
      </c>
      <c r="I3906" t="s">
        <v>101</v>
      </c>
      <c r="J3906">
        <v>7011.55</v>
      </c>
      <c r="K3906">
        <v>1000000</v>
      </c>
    </row>
    <row r="3907" spans="1:11" ht="15" customHeight="1" x14ac:dyDescent="0.2">
      <c r="A3907" t="s">
        <v>5620</v>
      </c>
      <c r="B3907" t="s">
        <v>6997</v>
      </c>
      <c r="C3907">
        <v>2024</v>
      </c>
      <c r="D3907">
        <v>2024</v>
      </c>
      <c r="E3907" s="7">
        <v>45571</v>
      </c>
      <c r="F3907" s="7">
        <v>45935</v>
      </c>
      <c r="G3907" t="s">
        <v>135</v>
      </c>
      <c r="H3907" t="s">
        <v>6334</v>
      </c>
      <c r="I3907" t="s">
        <v>101</v>
      </c>
      <c r="J3907">
        <v>9692.4500000000007</v>
      </c>
      <c r="K3907">
        <v>1500000</v>
      </c>
    </row>
    <row r="3908" spans="1:11" ht="15" customHeight="1" x14ac:dyDescent="0.2">
      <c r="A3908" t="s">
        <v>5621</v>
      </c>
      <c r="B3908" t="s">
        <v>4302</v>
      </c>
      <c r="C3908">
        <v>2024</v>
      </c>
      <c r="D3908">
        <v>2024</v>
      </c>
      <c r="E3908" s="7">
        <v>45572</v>
      </c>
      <c r="F3908" s="7">
        <v>45936</v>
      </c>
      <c r="G3908" t="s">
        <v>99</v>
      </c>
      <c r="H3908" t="s">
        <v>100</v>
      </c>
      <c r="I3908" t="s">
        <v>101</v>
      </c>
      <c r="J3908">
        <v>35960.01</v>
      </c>
      <c r="K3908">
        <v>5000000</v>
      </c>
    </row>
    <row r="3909" spans="1:11" ht="15" customHeight="1" x14ac:dyDescent="0.2">
      <c r="A3909" t="s">
        <v>5622</v>
      </c>
      <c r="B3909" t="s">
        <v>9147</v>
      </c>
      <c r="C3909">
        <v>2024</v>
      </c>
      <c r="D3909">
        <v>2024</v>
      </c>
      <c r="E3909" s="7">
        <v>45572</v>
      </c>
      <c r="F3909" s="7">
        <v>45936</v>
      </c>
      <c r="G3909" t="s">
        <v>135</v>
      </c>
      <c r="H3909" t="s">
        <v>113</v>
      </c>
      <c r="I3909" t="s">
        <v>104</v>
      </c>
      <c r="J3909">
        <v>12580.76</v>
      </c>
      <c r="K3909">
        <v>2000000</v>
      </c>
    </row>
    <row r="3910" spans="1:11" ht="15" customHeight="1" x14ac:dyDescent="0.2">
      <c r="A3910" t="s">
        <v>5623</v>
      </c>
      <c r="B3910" t="s">
        <v>6957</v>
      </c>
      <c r="C3910">
        <v>2024</v>
      </c>
      <c r="D3910">
        <v>2024</v>
      </c>
      <c r="E3910" s="7">
        <v>45572</v>
      </c>
      <c r="F3910" s="7">
        <v>45936</v>
      </c>
      <c r="G3910" t="s">
        <v>135</v>
      </c>
      <c r="H3910" t="s">
        <v>107</v>
      </c>
      <c r="I3910" t="s">
        <v>104</v>
      </c>
      <c r="J3910">
        <v>54667.96</v>
      </c>
      <c r="K3910">
        <v>10000000</v>
      </c>
    </row>
    <row r="3911" spans="1:11" ht="15" customHeight="1" x14ac:dyDescent="0.2">
      <c r="A3911" t="s">
        <v>5624</v>
      </c>
      <c r="B3911" t="s">
        <v>7099</v>
      </c>
      <c r="C3911">
        <v>2024</v>
      </c>
      <c r="D3911">
        <v>2024</v>
      </c>
      <c r="E3911" s="7">
        <v>45572</v>
      </c>
      <c r="F3911" s="7">
        <v>45936</v>
      </c>
      <c r="G3911" t="s">
        <v>135</v>
      </c>
      <c r="H3911" t="s">
        <v>103</v>
      </c>
      <c r="I3911" t="s">
        <v>104</v>
      </c>
      <c r="J3911">
        <v>5780.07</v>
      </c>
      <c r="K3911">
        <v>1000000</v>
      </c>
    </row>
    <row r="3912" spans="1:11" ht="15" customHeight="1" x14ac:dyDescent="0.2">
      <c r="A3912" t="s">
        <v>5625</v>
      </c>
      <c r="B3912" t="s">
        <v>383</v>
      </c>
      <c r="C3912">
        <v>2024</v>
      </c>
      <c r="D3912">
        <v>2024</v>
      </c>
      <c r="E3912" s="7">
        <v>45572</v>
      </c>
      <c r="F3912" s="7">
        <v>45936</v>
      </c>
      <c r="G3912" t="s">
        <v>135</v>
      </c>
      <c r="H3912" t="s">
        <v>102</v>
      </c>
      <c r="I3912" t="s">
        <v>104</v>
      </c>
      <c r="J3912">
        <v>58085.99</v>
      </c>
      <c r="K3912">
        <v>10000000</v>
      </c>
    </row>
    <row r="3913" spans="1:11" ht="15" customHeight="1" x14ac:dyDescent="0.2">
      <c r="A3913" t="s">
        <v>5626</v>
      </c>
      <c r="B3913" t="s">
        <v>624</v>
      </c>
      <c r="C3913">
        <v>2024</v>
      </c>
      <c r="D3913">
        <v>2024</v>
      </c>
      <c r="E3913" s="7">
        <v>45572</v>
      </c>
      <c r="F3913" s="7">
        <v>45936</v>
      </c>
      <c r="G3913" t="s">
        <v>135</v>
      </c>
      <c r="H3913" t="s">
        <v>107</v>
      </c>
      <c r="I3913" t="s">
        <v>104</v>
      </c>
      <c r="J3913">
        <v>60540.6</v>
      </c>
      <c r="K3913">
        <v>10000000</v>
      </c>
    </row>
    <row r="3914" spans="1:11" ht="15" customHeight="1" x14ac:dyDescent="0.2">
      <c r="A3914" t="s">
        <v>5627</v>
      </c>
      <c r="B3914" t="s">
        <v>1046</v>
      </c>
      <c r="C3914">
        <v>2024</v>
      </c>
      <c r="D3914">
        <v>2024</v>
      </c>
      <c r="E3914" s="7">
        <v>45572</v>
      </c>
      <c r="F3914" s="7">
        <v>45936</v>
      </c>
      <c r="G3914" t="s">
        <v>135</v>
      </c>
      <c r="H3914" t="s">
        <v>105</v>
      </c>
      <c r="I3914" t="s">
        <v>104</v>
      </c>
      <c r="J3914">
        <v>61463.74</v>
      </c>
      <c r="K3914">
        <v>10000000</v>
      </c>
    </row>
    <row r="3915" spans="1:11" ht="15" customHeight="1" x14ac:dyDescent="0.2">
      <c r="A3915" t="s">
        <v>5628</v>
      </c>
      <c r="B3915" t="s">
        <v>6999</v>
      </c>
      <c r="C3915">
        <v>2024</v>
      </c>
      <c r="D3915">
        <v>2024</v>
      </c>
      <c r="E3915" s="7">
        <v>45572</v>
      </c>
      <c r="F3915" s="7">
        <v>45936</v>
      </c>
      <c r="G3915" t="s">
        <v>135</v>
      </c>
      <c r="H3915" t="s">
        <v>103</v>
      </c>
      <c r="I3915" t="s">
        <v>101</v>
      </c>
      <c r="J3915">
        <v>7766.13</v>
      </c>
      <c r="K3915">
        <v>1000000</v>
      </c>
    </row>
    <row r="3916" spans="1:11" ht="15" customHeight="1" x14ac:dyDescent="0.2">
      <c r="A3916" t="s">
        <v>5629</v>
      </c>
      <c r="B3916" t="s">
        <v>1048</v>
      </c>
      <c r="C3916">
        <v>2024</v>
      </c>
      <c r="D3916">
        <v>2024</v>
      </c>
      <c r="E3916" s="7">
        <v>45572</v>
      </c>
      <c r="F3916" s="7">
        <v>45936</v>
      </c>
      <c r="G3916" t="s">
        <v>135</v>
      </c>
      <c r="H3916" t="s">
        <v>103</v>
      </c>
      <c r="I3916" t="s">
        <v>101</v>
      </c>
      <c r="J3916">
        <v>7847.89</v>
      </c>
      <c r="K3916">
        <v>1000000</v>
      </c>
    </row>
    <row r="3917" spans="1:11" ht="15" customHeight="1" x14ac:dyDescent="0.2">
      <c r="A3917" t="s">
        <v>5630</v>
      </c>
      <c r="B3917" t="s">
        <v>9148</v>
      </c>
      <c r="C3917">
        <v>2024</v>
      </c>
      <c r="D3917">
        <v>2024</v>
      </c>
      <c r="E3917" s="7">
        <v>45572</v>
      </c>
      <c r="F3917" s="7">
        <v>45936</v>
      </c>
      <c r="G3917" t="s">
        <v>135</v>
      </c>
      <c r="H3917" t="s">
        <v>111</v>
      </c>
      <c r="I3917" t="s">
        <v>104</v>
      </c>
      <c r="J3917">
        <v>5201.04</v>
      </c>
      <c r="K3917">
        <v>1000000</v>
      </c>
    </row>
    <row r="3918" spans="1:11" ht="15" customHeight="1" x14ac:dyDescent="0.2">
      <c r="A3918" t="s">
        <v>5631</v>
      </c>
      <c r="B3918" t="s">
        <v>1050</v>
      </c>
      <c r="C3918">
        <v>2024</v>
      </c>
      <c r="D3918">
        <v>2024</v>
      </c>
      <c r="E3918" s="7">
        <v>45572</v>
      </c>
      <c r="F3918" s="7">
        <v>45936</v>
      </c>
      <c r="G3918" t="s">
        <v>135</v>
      </c>
      <c r="H3918" t="s">
        <v>102</v>
      </c>
      <c r="I3918" t="s">
        <v>101</v>
      </c>
      <c r="J3918">
        <v>78103.899999999994</v>
      </c>
      <c r="K3918">
        <v>10000000</v>
      </c>
    </row>
    <row r="3919" spans="1:11" ht="15" customHeight="1" x14ac:dyDescent="0.2">
      <c r="A3919" t="s">
        <v>5632</v>
      </c>
      <c r="B3919" t="s">
        <v>9149</v>
      </c>
      <c r="C3919">
        <v>2024</v>
      </c>
      <c r="D3919">
        <v>2024</v>
      </c>
      <c r="E3919" s="7">
        <v>45572</v>
      </c>
      <c r="F3919" s="7">
        <v>45936</v>
      </c>
      <c r="G3919" t="s">
        <v>135</v>
      </c>
      <c r="H3919" t="s">
        <v>107</v>
      </c>
      <c r="I3919" t="s">
        <v>101</v>
      </c>
      <c r="J3919">
        <v>33599.67</v>
      </c>
      <c r="K3919">
        <v>5000000</v>
      </c>
    </row>
    <row r="3920" spans="1:11" ht="15" customHeight="1" x14ac:dyDescent="0.2">
      <c r="A3920" t="s">
        <v>5633</v>
      </c>
      <c r="B3920" t="s">
        <v>9150</v>
      </c>
      <c r="C3920">
        <v>2024</v>
      </c>
      <c r="D3920">
        <v>2024</v>
      </c>
      <c r="E3920" s="7">
        <v>45572</v>
      </c>
      <c r="F3920" s="7">
        <v>45936</v>
      </c>
      <c r="G3920" t="s">
        <v>135</v>
      </c>
      <c r="H3920" t="s">
        <v>106</v>
      </c>
      <c r="I3920" t="s">
        <v>104</v>
      </c>
      <c r="J3920">
        <v>15402.8</v>
      </c>
      <c r="K3920">
        <v>2000000</v>
      </c>
    </row>
    <row r="3921" spans="1:11" ht="15" customHeight="1" x14ac:dyDescent="0.2">
      <c r="A3921" t="s">
        <v>5634</v>
      </c>
      <c r="B3921" t="s">
        <v>7067</v>
      </c>
      <c r="C3921">
        <v>2024</v>
      </c>
      <c r="D3921">
        <v>2024</v>
      </c>
      <c r="E3921" s="7">
        <v>45572</v>
      </c>
      <c r="F3921" s="7">
        <v>45936</v>
      </c>
      <c r="G3921" t="s">
        <v>135</v>
      </c>
      <c r="H3921" t="s">
        <v>116</v>
      </c>
      <c r="I3921" t="s">
        <v>101</v>
      </c>
      <c r="J3921">
        <v>10765.38</v>
      </c>
      <c r="K3921">
        <v>1500000</v>
      </c>
    </row>
    <row r="3922" spans="1:11" ht="15" customHeight="1" x14ac:dyDescent="0.2">
      <c r="A3922" t="s">
        <v>5635</v>
      </c>
      <c r="B3922" t="s">
        <v>6998</v>
      </c>
      <c r="C3922">
        <v>2024</v>
      </c>
      <c r="D3922">
        <v>2024</v>
      </c>
      <c r="E3922" s="7">
        <v>45572</v>
      </c>
      <c r="F3922" s="7">
        <v>45936</v>
      </c>
      <c r="G3922" t="s">
        <v>135</v>
      </c>
      <c r="H3922" t="s">
        <v>108</v>
      </c>
      <c r="I3922" t="s">
        <v>104</v>
      </c>
      <c r="J3922">
        <v>11726.73</v>
      </c>
      <c r="K3922">
        <v>1500000</v>
      </c>
    </row>
    <row r="3923" spans="1:11" ht="15" customHeight="1" x14ac:dyDescent="0.2">
      <c r="A3923" t="s">
        <v>5636</v>
      </c>
      <c r="B3923" t="s">
        <v>7097</v>
      </c>
      <c r="C3923">
        <v>2024</v>
      </c>
      <c r="D3923">
        <v>2024</v>
      </c>
      <c r="E3923" s="7">
        <v>45572</v>
      </c>
      <c r="F3923" s="7">
        <v>45936</v>
      </c>
      <c r="G3923" t="s">
        <v>135</v>
      </c>
      <c r="H3923" t="s">
        <v>107</v>
      </c>
      <c r="I3923" t="s">
        <v>101</v>
      </c>
      <c r="J3923">
        <v>76828</v>
      </c>
      <c r="K3923">
        <v>10000000</v>
      </c>
    </row>
    <row r="3924" spans="1:11" ht="15" customHeight="1" x14ac:dyDescent="0.2">
      <c r="A3924" t="s">
        <v>5637</v>
      </c>
      <c r="B3924" t="s">
        <v>7012</v>
      </c>
      <c r="C3924">
        <v>2024</v>
      </c>
      <c r="D3924">
        <v>2024</v>
      </c>
      <c r="E3924" s="7">
        <v>45572</v>
      </c>
      <c r="F3924" s="7">
        <v>45936</v>
      </c>
      <c r="G3924" t="s">
        <v>135</v>
      </c>
      <c r="H3924" t="s">
        <v>102</v>
      </c>
      <c r="I3924" t="s">
        <v>101</v>
      </c>
      <c r="J3924">
        <v>10984.77</v>
      </c>
      <c r="K3924">
        <v>1500000</v>
      </c>
    </row>
    <row r="3925" spans="1:11" ht="15" customHeight="1" x14ac:dyDescent="0.2">
      <c r="A3925" t="s">
        <v>5638</v>
      </c>
      <c r="B3925" t="s">
        <v>1047</v>
      </c>
      <c r="C3925">
        <v>2024</v>
      </c>
      <c r="D3925">
        <v>2024</v>
      </c>
      <c r="E3925" s="7">
        <v>45572</v>
      </c>
      <c r="F3925" s="7">
        <v>45936</v>
      </c>
      <c r="G3925" t="s">
        <v>135</v>
      </c>
      <c r="H3925" t="s">
        <v>102</v>
      </c>
      <c r="I3925" t="s">
        <v>101</v>
      </c>
      <c r="J3925">
        <v>7293.45</v>
      </c>
      <c r="K3925">
        <v>1000000</v>
      </c>
    </row>
    <row r="3926" spans="1:11" ht="15" customHeight="1" x14ac:dyDescent="0.2">
      <c r="A3926" t="s">
        <v>5639</v>
      </c>
      <c r="B3926" t="s">
        <v>1049</v>
      </c>
      <c r="C3926">
        <v>2024</v>
      </c>
      <c r="D3926">
        <v>2024</v>
      </c>
      <c r="E3926" s="7">
        <v>45572</v>
      </c>
      <c r="F3926" s="7">
        <v>45936</v>
      </c>
      <c r="G3926" t="s">
        <v>135</v>
      </c>
      <c r="H3926" t="s">
        <v>105</v>
      </c>
      <c r="I3926" t="s">
        <v>104</v>
      </c>
      <c r="J3926">
        <v>10625.14</v>
      </c>
      <c r="K3926">
        <v>2000000</v>
      </c>
    </row>
    <row r="3927" spans="1:11" ht="15" customHeight="1" x14ac:dyDescent="0.2">
      <c r="A3927" t="s">
        <v>5640</v>
      </c>
      <c r="B3927" t="s">
        <v>7009</v>
      </c>
      <c r="C3927">
        <v>2024</v>
      </c>
      <c r="D3927">
        <v>2024</v>
      </c>
      <c r="E3927" s="7">
        <v>45572</v>
      </c>
      <c r="F3927" s="7">
        <v>45936</v>
      </c>
      <c r="G3927" t="s">
        <v>135</v>
      </c>
      <c r="H3927" t="s">
        <v>6332</v>
      </c>
      <c r="I3927" t="s">
        <v>101</v>
      </c>
      <c r="J3927">
        <v>7182.28</v>
      </c>
      <c r="K3927">
        <v>1000000</v>
      </c>
    </row>
    <row r="3928" spans="1:11" ht="15" customHeight="1" x14ac:dyDescent="0.2">
      <c r="A3928" t="s">
        <v>5641</v>
      </c>
      <c r="B3928" t="s">
        <v>1052</v>
      </c>
      <c r="C3928">
        <v>2024</v>
      </c>
      <c r="D3928">
        <v>2024</v>
      </c>
      <c r="E3928" s="7">
        <v>45573</v>
      </c>
      <c r="F3928" s="7">
        <v>45937</v>
      </c>
      <c r="G3928" t="s">
        <v>135</v>
      </c>
      <c r="H3928" t="s">
        <v>115</v>
      </c>
      <c r="I3928" t="s">
        <v>104</v>
      </c>
      <c r="J3928">
        <v>5631.44</v>
      </c>
      <c r="K3928">
        <v>1000000</v>
      </c>
    </row>
    <row r="3929" spans="1:11" ht="15" customHeight="1" x14ac:dyDescent="0.2">
      <c r="A3929" t="s">
        <v>5642</v>
      </c>
      <c r="B3929" t="s">
        <v>625</v>
      </c>
      <c r="C3929">
        <v>2024</v>
      </c>
      <c r="D3929">
        <v>2024</v>
      </c>
      <c r="E3929" s="7">
        <v>45573</v>
      </c>
      <c r="F3929" s="7">
        <v>45937</v>
      </c>
      <c r="G3929" t="s">
        <v>135</v>
      </c>
      <c r="H3929" t="s">
        <v>106</v>
      </c>
      <c r="I3929" t="s">
        <v>104</v>
      </c>
      <c r="J3929">
        <v>73066.559999999998</v>
      </c>
      <c r="K3929">
        <v>10000000</v>
      </c>
    </row>
    <row r="3930" spans="1:11" ht="15" customHeight="1" x14ac:dyDescent="0.2">
      <c r="A3930" t="s">
        <v>5643</v>
      </c>
      <c r="B3930" t="s">
        <v>7001</v>
      </c>
      <c r="C3930">
        <v>2024</v>
      </c>
      <c r="D3930">
        <v>2024</v>
      </c>
      <c r="E3930" s="7">
        <v>45573</v>
      </c>
      <c r="F3930" s="7">
        <v>45937</v>
      </c>
      <c r="G3930" t="s">
        <v>135</v>
      </c>
      <c r="H3930" t="s">
        <v>6348</v>
      </c>
      <c r="I3930" t="s">
        <v>104</v>
      </c>
      <c r="J3930">
        <v>56225.87</v>
      </c>
      <c r="K3930">
        <v>10000000</v>
      </c>
    </row>
    <row r="3931" spans="1:11" ht="15" customHeight="1" x14ac:dyDescent="0.2">
      <c r="A3931" t="s">
        <v>5644</v>
      </c>
      <c r="B3931" t="s">
        <v>384</v>
      </c>
      <c r="C3931">
        <v>2024</v>
      </c>
      <c r="D3931">
        <v>2024</v>
      </c>
      <c r="E3931" s="7">
        <v>45573</v>
      </c>
      <c r="F3931" s="7">
        <v>45937</v>
      </c>
      <c r="G3931" t="s">
        <v>135</v>
      </c>
      <c r="H3931" t="s">
        <v>105</v>
      </c>
      <c r="I3931" t="s">
        <v>101</v>
      </c>
      <c r="J3931">
        <v>15618.8</v>
      </c>
      <c r="K3931">
        <v>2000000</v>
      </c>
    </row>
    <row r="3932" spans="1:11" ht="15" customHeight="1" x14ac:dyDescent="0.2">
      <c r="A3932" t="s">
        <v>5645</v>
      </c>
      <c r="B3932" t="s">
        <v>7002</v>
      </c>
      <c r="C3932">
        <v>2024</v>
      </c>
      <c r="D3932">
        <v>2024</v>
      </c>
      <c r="E3932" s="7">
        <v>45573</v>
      </c>
      <c r="F3932" s="7">
        <v>45937</v>
      </c>
      <c r="G3932" t="s">
        <v>135</v>
      </c>
      <c r="H3932" t="s">
        <v>103</v>
      </c>
      <c r="I3932" t="s">
        <v>101</v>
      </c>
      <c r="J3932">
        <v>7288.7</v>
      </c>
      <c r="K3932">
        <v>1000000</v>
      </c>
    </row>
    <row r="3933" spans="1:11" ht="15" customHeight="1" x14ac:dyDescent="0.2">
      <c r="A3933" t="s">
        <v>5646</v>
      </c>
      <c r="B3933" t="s">
        <v>7004</v>
      </c>
      <c r="C3933">
        <v>2024</v>
      </c>
      <c r="D3933">
        <v>2024</v>
      </c>
      <c r="E3933" s="7">
        <v>45573</v>
      </c>
      <c r="F3933" s="7">
        <v>45937</v>
      </c>
      <c r="G3933" t="s">
        <v>135</v>
      </c>
      <c r="H3933" t="s">
        <v>102</v>
      </c>
      <c r="I3933" t="s">
        <v>101</v>
      </c>
      <c r="J3933">
        <v>7332.03</v>
      </c>
      <c r="K3933">
        <v>1000000</v>
      </c>
    </row>
    <row r="3934" spans="1:11" ht="15" customHeight="1" x14ac:dyDescent="0.2">
      <c r="A3934" t="s">
        <v>5647</v>
      </c>
      <c r="B3934" t="s">
        <v>7000</v>
      </c>
      <c r="C3934">
        <v>2024</v>
      </c>
      <c r="D3934">
        <v>2024</v>
      </c>
      <c r="E3934" s="7">
        <v>45573</v>
      </c>
      <c r="F3934" s="7">
        <v>45937</v>
      </c>
      <c r="G3934" t="s">
        <v>135</v>
      </c>
      <c r="H3934" t="s">
        <v>102</v>
      </c>
      <c r="I3934" t="s">
        <v>104</v>
      </c>
      <c r="J3934">
        <v>2762.62</v>
      </c>
      <c r="K3934">
        <v>500000</v>
      </c>
    </row>
    <row r="3935" spans="1:11" ht="15" customHeight="1" x14ac:dyDescent="0.2">
      <c r="A3935" t="s">
        <v>5648</v>
      </c>
      <c r="B3935" t="s">
        <v>173</v>
      </c>
      <c r="C3935">
        <v>2024</v>
      </c>
      <c r="D3935">
        <v>2024</v>
      </c>
      <c r="E3935" s="7">
        <v>45573</v>
      </c>
      <c r="F3935" s="7">
        <v>45937</v>
      </c>
      <c r="G3935" t="s">
        <v>135</v>
      </c>
      <c r="H3935" t="s">
        <v>108</v>
      </c>
      <c r="I3935" t="s">
        <v>104</v>
      </c>
      <c r="J3935">
        <v>33385.64</v>
      </c>
      <c r="K3935">
        <v>5000000</v>
      </c>
    </row>
    <row r="3936" spans="1:11" ht="15" customHeight="1" x14ac:dyDescent="0.2">
      <c r="A3936" t="s">
        <v>5649</v>
      </c>
      <c r="B3936" t="s">
        <v>9151</v>
      </c>
      <c r="C3936">
        <v>2024</v>
      </c>
      <c r="D3936">
        <v>2024</v>
      </c>
      <c r="E3936" s="7">
        <v>45573</v>
      </c>
      <c r="F3936" s="7">
        <v>45937</v>
      </c>
      <c r="G3936" t="s">
        <v>135</v>
      </c>
      <c r="H3936" t="s">
        <v>105</v>
      </c>
      <c r="I3936" t="s">
        <v>101</v>
      </c>
      <c r="J3936">
        <v>12974.48</v>
      </c>
      <c r="K3936">
        <v>2000000</v>
      </c>
    </row>
    <row r="3937" spans="1:11" ht="15" customHeight="1" x14ac:dyDescent="0.2">
      <c r="A3937" t="s">
        <v>5650</v>
      </c>
      <c r="B3937" t="s">
        <v>7083</v>
      </c>
      <c r="C3937">
        <v>2024</v>
      </c>
      <c r="D3937">
        <v>2024</v>
      </c>
      <c r="E3937" s="7">
        <v>45573</v>
      </c>
      <c r="F3937" s="7">
        <v>45937</v>
      </c>
      <c r="G3937" t="s">
        <v>135</v>
      </c>
      <c r="H3937" t="s">
        <v>105</v>
      </c>
      <c r="I3937" t="s">
        <v>101</v>
      </c>
      <c r="J3937">
        <v>3559.63</v>
      </c>
      <c r="K3937">
        <v>500000</v>
      </c>
    </row>
    <row r="3938" spans="1:11" ht="15" customHeight="1" x14ac:dyDescent="0.2">
      <c r="A3938" t="s">
        <v>5651</v>
      </c>
      <c r="B3938" t="s">
        <v>7051</v>
      </c>
      <c r="C3938">
        <v>2024</v>
      </c>
      <c r="D3938">
        <v>2024</v>
      </c>
      <c r="E3938" s="7">
        <v>45573</v>
      </c>
      <c r="F3938" s="7">
        <v>45937</v>
      </c>
      <c r="G3938" t="s">
        <v>135</v>
      </c>
      <c r="H3938" t="s">
        <v>102</v>
      </c>
      <c r="I3938" t="s">
        <v>104</v>
      </c>
      <c r="J3938">
        <v>8720.34</v>
      </c>
      <c r="K3938">
        <v>1500000</v>
      </c>
    </row>
    <row r="3939" spans="1:11" ht="15" customHeight="1" x14ac:dyDescent="0.2">
      <c r="A3939" t="s">
        <v>5652</v>
      </c>
      <c r="B3939" t="s">
        <v>7124</v>
      </c>
      <c r="C3939">
        <v>2024</v>
      </c>
      <c r="D3939">
        <v>2024</v>
      </c>
      <c r="E3939" s="7">
        <v>45573</v>
      </c>
      <c r="F3939" s="7">
        <v>45937</v>
      </c>
      <c r="G3939" t="s">
        <v>135</v>
      </c>
      <c r="H3939" t="s">
        <v>102</v>
      </c>
      <c r="I3939" t="s">
        <v>104</v>
      </c>
      <c r="J3939">
        <v>6044.16</v>
      </c>
      <c r="K3939">
        <v>1000000</v>
      </c>
    </row>
    <row r="3940" spans="1:11" ht="15" customHeight="1" x14ac:dyDescent="0.2">
      <c r="A3940" t="s">
        <v>5653</v>
      </c>
      <c r="B3940" t="s">
        <v>1051</v>
      </c>
      <c r="C3940">
        <v>2024</v>
      </c>
      <c r="D3940">
        <v>2024</v>
      </c>
      <c r="E3940" s="7">
        <v>45573</v>
      </c>
      <c r="F3940" s="7">
        <v>45937</v>
      </c>
      <c r="G3940" t="s">
        <v>135</v>
      </c>
      <c r="H3940" t="s">
        <v>108</v>
      </c>
      <c r="I3940" t="s">
        <v>104</v>
      </c>
      <c r="J3940">
        <v>33297.65</v>
      </c>
      <c r="K3940">
        <v>5000000</v>
      </c>
    </row>
    <row r="3941" spans="1:11" ht="15" customHeight="1" x14ac:dyDescent="0.2">
      <c r="A3941" t="s">
        <v>5654</v>
      </c>
      <c r="B3941" t="s">
        <v>9152</v>
      </c>
      <c r="C3941">
        <v>2024</v>
      </c>
      <c r="D3941">
        <v>2024</v>
      </c>
      <c r="E3941" s="7">
        <v>45573</v>
      </c>
      <c r="F3941" s="7">
        <v>45937</v>
      </c>
      <c r="G3941" t="s">
        <v>135</v>
      </c>
      <c r="H3941" t="s">
        <v>112</v>
      </c>
      <c r="I3941" t="s">
        <v>101</v>
      </c>
      <c r="J3941">
        <v>13481.51</v>
      </c>
      <c r="K3941">
        <v>1500000</v>
      </c>
    </row>
    <row r="3942" spans="1:11" ht="15" customHeight="1" x14ac:dyDescent="0.2">
      <c r="A3942" t="s">
        <v>5655</v>
      </c>
      <c r="B3942" t="s">
        <v>9153</v>
      </c>
      <c r="C3942">
        <v>2024</v>
      </c>
      <c r="D3942">
        <v>2024</v>
      </c>
      <c r="E3942" s="7">
        <v>45573</v>
      </c>
      <c r="F3942" s="7">
        <v>45937</v>
      </c>
      <c r="G3942" t="s">
        <v>135</v>
      </c>
      <c r="H3942" t="s">
        <v>107</v>
      </c>
      <c r="I3942" t="s">
        <v>101</v>
      </c>
      <c r="J3942">
        <v>14352.43</v>
      </c>
      <c r="K3942">
        <v>2000000</v>
      </c>
    </row>
    <row r="3943" spans="1:11" ht="15" customHeight="1" x14ac:dyDescent="0.2">
      <c r="A3943" t="s">
        <v>5656</v>
      </c>
      <c r="B3943" t="s">
        <v>9154</v>
      </c>
      <c r="C3943">
        <v>2024</v>
      </c>
      <c r="D3943">
        <v>2024</v>
      </c>
      <c r="E3943" s="7">
        <v>45573</v>
      </c>
      <c r="F3943" s="7">
        <v>45937</v>
      </c>
      <c r="G3943" t="s">
        <v>135</v>
      </c>
      <c r="H3943" t="s">
        <v>108</v>
      </c>
      <c r="I3943" t="s">
        <v>101</v>
      </c>
      <c r="J3943">
        <v>17387.72</v>
      </c>
      <c r="K3943">
        <v>2000000</v>
      </c>
    </row>
    <row r="3944" spans="1:11" ht="15" customHeight="1" x14ac:dyDescent="0.2">
      <c r="A3944" t="s">
        <v>5657</v>
      </c>
      <c r="B3944" t="s">
        <v>7054</v>
      </c>
      <c r="C3944">
        <v>2024</v>
      </c>
      <c r="D3944">
        <v>2024</v>
      </c>
      <c r="E3944" s="7">
        <v>45573</v>
      </c>
      <c r="F3944" s="7">
        <v>45937</v>
      </c>
      <c r="G3944" t="s">
        <v>135</v>
      </c>
      <c r="H3944" t="s">
        <v>110</v>
      </c>
      <c r="I3944" t="s">
        <v>104</v>
      </c>
      <c r="J3944">
        <v>7427.33</v>
      </c>
      <c r="K3944">
        <v>1000000</v>
      </c>
    </row>
    <row r="3945" spans="1:11" ht="15" customHeight="1" x14ac:dyDescent="0.2">
      <c r="A3945" t="s">
        <v>5658</v>
      </c>
      <c r="B3945" t="s">
        <v>385</v>
      </c>
      <c r="C3945">
        <v>2024</v>
      </c>
      <c r="D3945">
        <v>2024</v>
      </c>
      <c r="E3945" s="7">
        <v>45573</v>
      </c>
      <c r="F3945" s="7">
        <v>45937</v>
      </c>
      <c r="G3945" t="s">
        <v>135</v>
      </c>
      <c r="H3945" t="s">
        <v>113</v>
      </c>
      <c r="I3945" t="s">
        <v>104</v>
      </c>
      <c r="J3945">
        <v>5511.27</v>
      </c>
      <c r="K3945">
        <v>1000000</v>
      </c>
    </row>
    <row r="3946" spans="1:11" ht="15" customHeight="1" x14ac:dyDescent="0.2">
      <c r="A3946" t="s">
        <v>5659</v>
      </c>
      <c r="B3946" t="s">
        <v>4304</v>
      </c>
      <c r="C3946">
        <v>2024</v>
      </c>
      <c r="D3946">
        <v>2024</v>
      </c>
      <c r="E3946" s="7">
        <v>45574</v>
      </c>
      <c r="F3946" s="7">
        <v>45938</v>
      </c>
      <c r="G3946" t="s">
        <v>99</v>
      </c>
      <c r="H3946" t="s">
        <v>106</v>
      </c>
      <c r="I3946" t="s">
        <v>104</v>
      </c>
      <c r="J3946">
        <v>11519.4</v>
      </c>
      <c r="K3946">
        <v>1500000</v>
      </c>
    </row>
    <row r="3947" spans="1:11" ht="15" customHeight="1" x14ac:dyDescent="0.2">
      <c r="A3947" t="s">
        <v>5660</v>
      </c>
      <c r="B3947" t="s">
        <v>4320</v>
      </c>
      <c r="C3947">
        <v>2024</v>
      </c>
      <c r="D3947">
        <v>2024</v>
      </c>
      <c r="E3947" s="7">
        <v>45574</v>
      </c>
      <c r="F3947" s="7">
        <v>45938</v>
      </c>
      <c r="G3947" t="s">
        <v>99</v>
      </c>
      <c r="H3947" t="s">
        <v>108</v>
      </c>
      <c r="I3947" t="s">
        <v>104</v>
      </c>
      <c r="J3947">
        <v>3605.69</v>
      </c>
      <c r="K3947">
        <v>500000</v>
      </c>
    </row>
    <row r="3948" spans="1:11" ht="15" customHeight="1" x14ac:dyDescent="0.2">
      <c r="A3948" t="s">
        <v>5661</v>
      </c>
      <c r="B3948" t="s">
        <v>4322</v>
      </c>
      <c r="C3948">
        <v>2024</v>
      </c>
      <c r="D3948">
        <v>2024</v>
      </c>
      <c r="E3948" s="7">
        <v>45574</v>
      </c>
      <c r="F3948" s="7">
        <v>45938</v>
      </c>
      <c r="G3948" t="s">
        <v>99</v>
      </c>
      <c r="H3948" t="s">
        <v>113</v>
      </c>
      <c r="I3948" t="s">
        <v>101</v>
      </c>
      <c r="J3948">
        <v>65431.11</v>
      </c>
      <c r="K3948">
        <v>10000000</v>
      </c>
    </row>
    <row r="3949" spans="1:11" ht="15" customHeight="1" x14ac:dyDescent="0.2">
      <c r="A3949" t="s">
        <v>5662</v>
      </c>
      <c r="B3949" t="s">
        <v>9155</v>
      </c>
      <c r="C3949">
        <v>2024</v>
      </c>
      <c r="D3949">
        <v>2024</v>
      </c>
      <c r="E3949" s="7">
        <v>45574</v>
      </c>
      <c r="F3949" s="7">
        <v>45938</v>
      </c>
      <c r="G3949" t="s">
        <v>135</v>
      </c>
      <c r="H3949" t="s">
        <v>106</v>
      </c>
      <c r="I3949" t="s">
        <v>104</v>
      </c>
      <c r="J3949">
        <v>3280.54</v>
      </c>
      <c r="K3949">
        <v>500000</v>
      </c>
    </row>
    <row r="3950" spans="1:11" ht="15" customHeight="1" x14ac:dyDescent="0.2">
      <c r="A3950" t="s">
        <v>5663</v>
      </c>
      <c r="B3950" t="s">
        <v>626</v>
      </c>
      <c r="C3950">
        <v>2024</v>
      </c>
      <c r="D3950">
        <v>2024</v>
      </c>
      <c r="E3950" s="7">
        <v>45574</v>
      </c>
      <c r="F3950" s="7">
        <v>45938</v>
      </c>
      <c r="G3950" t="s">
        <v>135</v>
      </c>
      <c r="H3950" t="s">
        <v>6334</v>
      </c>
      <c r="I3950" t="s">
        <v>101</v>
      </c>
      <c r="J3950">
        <v>69776.11</v>
      </c>
      <c r="K3950">
        <v>10000000</v>
      </c>
    </row>
    <row r="3951" spans="1:11" ht="15" customHeight="1" x14ac:dyDescent="0.2">
      <c r="A3951" t="s">
        <v>5664</v>
      </c>
      <c r="B3951" t="s">
        <v>6958</v>
      </c>
      <c r="C3951">
        <v>2024</v>
      </c>
      <c r="D3951">
        <v>2024</v>
      </c>
      <c r="E3951" s="7">
        <v>45574</v>
      </c>
      <c r="F3951" s="7">
        <v>45938</v>
      </c>
      <c r="G3951" t="s">
        <v>135</v>
      </c>
      <c r="H3951" t="s">
        <v>106</v>
      </c>
      <c r="I3951" t="s">
        <v>101</v>
      </c>
      <c r="J3951">
        <v>44190.78</v>
      </c>
      <c r="K3951">
        <v>5000000</v>
      </c>
    </row>
    <row r="3952" spans="1:11" ht="15" customHeight="1" x14ac:dyDescent="0.2">
      <c r="A3952" t="s">
        <v>5665</v>
      </c>
      <c r="B3952" t="s">
        <v>7134</v>
      </c>
      <c r="C3952">
        <v>2024</v>
      </c>
      <c r="D3952">
        <v>2024</v>
      </c>
      <c r="E3952" s="7">
        <v>45574</v>
      </c>
      <c r="F3952" s="7">
        <v>45938</v>
      </c>
      <c r="G3952" t="s">
        <v>135</v>
      </c>
      <c r="H3952" t="s">
        <v>106</v>
      </c>
      <c r="I3952" t="s">
        <v>104</v>
      </c>
      <c r="J3952">
        <v>14111.31</v>
      </c>
      <c r="K3952">
        <v>2000000</v>
      </c>
    </row>
    <row r="3953" spans="1:11" ht="15" customHeight="1" x14ac:dyDescent="0.2">
      <c r="A3953" t="s">
        <v>5666</v>
      </c>
      <c r="B3953" t="s">
        <v>9156</v>
      </c>
      <c r="C3953">
        <v>2024</v>
      </c>
      <c r="D3953">
        <v>2024</v>
      </c>
      <c r="E3953" s="7">
        <v>45574</v>
      </c>
      <c r="F3953" s="7">
        <v>45938</v>
      </c>
      <c r="G3953" t="s">
        <v>135</v>
      </c>
      <c r="H3953" t="s">
        <v>111</v>
      </c>
      <c r="I3953" t="s">
        <v>101</v>
      </c>
      <c r="J3953">
        <v>78477.039999999994</v>
      </c>
      <c r="K3953">
        <v>10000000</v>
      </c>
    </row>
    <row r="3954" spans="1:11" ht="15" customHeight="1" x14ac:dyDescent="0.2">
      <c r="A3954" t="s">
        <v>5667</v>
      </c>
      <c r="B3954" t="s">
        <v>9157</v>
      </c>
      <c r="C3954">
        <v>2024</v>
      </c>
      <c r="D3954">
        <v>2024</v>
      </c>
      <c r="E3954" s="7">
        <v>45574</v>
      </c>
      <c r="F3954" s="7">
        <v>45938</v>
      </c>
      <c r="G3954" t="s">
        <v>135</v>
      </c>
      <c r="H3954" t="s">
        <v>106</v>
      </c>
      <c r="I3954" t="s">
        <v>104</v>
      </c>
      <c r="J3954">
        <v>3862.2</v>
      </c>
      <c r="K3954">
        <v>500000</v>
      </c>
    </row>
    <row r="3955" spans="1:11" ht="15" customHeight="1" x14ac:dyDescent="0.2">
      <c r="A3955" t="s">
        <v>5668</v>
      </c>
      <c r="B3955" t="s">
        <v>9158</v>
      </c>
      <c r="C3955">
        <v>2024</v>
      </c>
      <c r="D3955">
        <v>2024</v>
      </c>
      <c r="E3955" s="7">
        <v>45575</v>
      </c>
      <c r="F3955" s="7">
        <v>45939</v>
      </c>
      <c r="G3955" t="s">
        <v>135</v>
      </c>
      <c r="H3955" t="s">
        <v>103</v>
      </c>
      <c r="I3955" t="s">
        <v>101</v>
      </c>
      <c r="J3955">
        <v>11104.78</v>
      </c>
      <c r="K3955">
        <v>1500000</v>
      </c>
    </row>
    <row r="3956" spans="1:11" ht="15" customHeight="1" x14ac:dyDescent="0.2">
      <c r="A3956" t="s">
        <v>5669</v>
      </c>
      <c r="B3956" t="s">
        <v>7184</v>
      </c>
      <c r="C3956">
        <v>2024</v>
      </c>
      <c r="D3956">
        <v>2024</v>
      </c>
      <c r="E3956" s="7">
        <v>45575</v>
      </c>
      <c r="F3956" s="7">
        <v>45939</v>
      </c>
      <c r="G3956" t="s">
        <v>135</v>
      </c>
      <c r="H3956" t="s">
        <v>110</v>
      </c>
      <c r="I3956" t="s">
        <v>101</v>
      </c>
      <c r="J3956">
        <v>9055.36</v>
      </c>
      <c r="K3956">
        <v>1000000</v>
      </c>
    </row>
    <row r="3957" spans="1:11" ht="15" customHeight="1" x14ac:dyDescent="0.2">
      <c r="A3957" t="s">
        <v>5670</v>
      </c>
      <c r="B3957" t="s">
        <v>9159</v>
      </c>
      <c r="C3957">
        <v>2024</v>
      </c>
      <c r="D3957">
        <v>2024</v>
      </c>
      <c r="E3957" s="7">
        <v>45575</v>
      </c>
      <c r="F3957" s="7">
        <v>45939</v>
      </c>
      <c r="G3957" t="s">
        <v>135</v>
      </c>
      <c r="H3957" t="s">
        <v>106</v>
      </c>
      <c r="I3957" t="s">
        <v>104</v>
      </c>
      <c r="J3957">
        <v>11237.17</v>
      </c>
      <c r="K3957">
        <v>1500000</v>
      </c>
    </row>
    <row r="3958" spans="1:11" ht="15" customHeight="1" x14ac:dyDescent="0.2">
      <c r="A3958" t="s">
        <v>5671</v>
      </c>
      <c r="B3958" t="s">
        <v>386</v>
      </c>
      <c r="C3958">
        <v>2024</v>
      </c>
      <c r="D3958">
        <v>2024</v>
      </c>
      <c r="E3958" s="7">
        <v>45575</v>
      </c>
      <c r="F3958" s="7">
        <v>45939</v>
      </c>
      <c r="G3958" t="s">
        <v>135</v>
      </c>
      <c r="H3958" t="s">
        <v>6348</v>
      </c>
      <c r="I3958" t="s">
        <v>104</v>
      </c>
      <c r="J3958">
        <v>2742.24</v>
      </c>
      <c r="K3958">
        <v>500000</v>
      </c>
    </row>
    <row r="3959" spans="1:11" ht="15" customHeight="1" x14ac:dyDescent="0.2">
      <c r="A3959" t="s">
        <v>5672</v>
      </c>
      <c r="B3959" t="s">
        <v>9160</v>
      </c>
      <c r="C3959">
        <v>2024</v>
      </c>
      <c r="D3959">
        <v>2024</v>
      </c>
      <c r="E3959" s="7">
        <v>45575</v>
      </c>
      <c r="F3959" s="7">
        <v>45939</v>
      </c>
      <c r="G3959" t="s">
        <v>135</v>
      </c>
      <c r="H3959" t="s">
        <v>113</v>
      </c>
      <c r="I3959" t="s">
        <v>101</v>
      </c>
      <c r="J3959">
        <v>7364.91</v>
      </c>
      <c r="K3959">
        <v>1000000</v>
      </c>
    </row>
    <row r="3960" spans="1:11" ht="15" customHeight="1" x14ac:dyDescent="0.2">
      <c r="A3960" t="s">
        <v>5673</v>
      </c>
      <c r="B3960" t="s">
        <v>7005</v>
      </c>
      <c r="C3960">
        <v>2024</v>
      </c>
      <c r="D3960">
        <v>2024</v>
      </c>
      <c r="E3960" s="7">
        <v>45575</v>
      </c>
      <c r="F3960" s="7">
        <v>45939</v>
      </c>
      <c r="G3960" t="s">
        <v>135</v>
      </c>
      <c r="H3960" t="s">
        <v>102</v>
      </c>
      <c r="I3960" t="s">
        <v>101</v>
      </c>
      <c r="J3960">
        <v>10753.14</v>
      </c>
      <c r="K3960">
        <v>1500000</v>
      </c>
    </row>
    <row r="3961" spans="1:11" ht="15" customHeight="1" x14ac:dyDescent="0.2">
      <c r="A3961" t="s">
        <v>5674</v>
      </c>
      <c r="B3961" t="s">
        <v>9161</v>
      </c>
      <c r="C3961">
        <v>2024</v>
      </c>
      <c r="D3961">
        <v>2024</v>
      </c>
      <c r="E3961" s="7">
        <v>45575</v>
      </c>
      <c r="F3961" s="7">
        <v>45939</v>
      </c>
      <c r="G3961" t="s">
        <v>135</v>
      </c>
      <c r="H3961" t="s">
        <v>110</v>
      </c>
      <c r="I3961" t="s">
        <v>101</v>
      </c>
      <c r="J3961">
        <v>18859.28</v>
      </c>
      <c r="K3961">
        <v>2000000</v>
      </c>
    </row>
    <row r="3962" spans="1:11" ht="15" customHeight="1" x14ac:dyDescent="0.2">
      <c r="A3962" t="s">
        <v>5675</v>
      </c>
      <c r="B3962" t="s">
        <v>1053</v>
      </c>
      <c r="C3962">
        <v>2024</v>
      </c>
      <c r="D3962">
        <v>2024</v>
      </c>
      <c r="E3962" s="7">
        <v>45575</v>
      </c>
      <c r="F3962" s="7">
        <v>45939</v>
      </c>
      <c r="G3962" t="s">
        <v>135</v>
      </c>
      <c r="H3962" t="s">
        <v>109</v>
      </c>
      <c r="I3962" t="s">
        <v>104</v>
      </c>
      <c r="J3962">
        <v>5760.49</v>
      </c>
      <c r="K3962">
        <v>1000000</v>
      </c>
    </row>
    <row r="3963" spans="1:11" ht="15" customHeight="1" x14ac:dyDescent="0.2">
      <c r="A3963" t="s">
        <v>5676</v>
      </c>
      <c r="B3963" t="s">
        <v>9162</v>
      </c>
      <c r="C3963">
        <v>2024</v>
      </c>
      <c r="D3963">
        <v>2024</v>
      </c>
      <c r="E3963" s="7">
        <v>45575</v>
      </c>
      <c r="F3963" s="7">
        <v>45939</v>
      </c>
      <c r="G3963" t="s">
        <v>135</v>
      </c>
      <c r="H3963" t="s">
        <v>107</v>
      </c>
      <c r="I3963" t="s">
        <v>104</v>
      </c>
      <c r="J3963">
        <v>8889.09</v>
      </c>
      <c r="K3963">
        <v>1500000</v>
      </c>
    </row>
    <row r="3964" spans="1:11" ht="15" customHeight="1" x14ac:dyDescent="0.2">
      <c r="A3964" t="s">
        <v>5677</v>
      </c>
      <c r="B3964" t="s">
        <v>1054</v>
      </c>
      <c r="C3964">
        <v>2024</v>
      </c>
      <c r="D3964">
        <v>2024</v>
      </c>
      <c r="E3964" s="7">
        <v>45575</v>
      </c>
      <c r="F3964" s="7">
        <v>45939</v>
      </c>
      <c r="G3964" t="s">
        <v>135</v>
      </c>
      <c r="H3964" t="s">
        <v>102</v>
      </c>
      <c r="I3964" t="s">
        <v>104</v>
      </c>
      <c r="J3964">
        <v>28876.27</v>
      </c>
      <c r="K3964">
        <v>5000000</v>
      </c>
    </row>
    <row r="3965" spans="1:11" ht="15" customHeight="1" x14ac:dyDescent="0.2">
      <c r="A3965" t="s">
        <v>5678</v>
      </c>
      <c r="B3965" t="s">
        <v>1056</v>
      </c>
      <c r="C3965">
        <v>2024</v>
      </c>
      <c r="D3965">
        <v>2024</v>
      </c>
      <c r="E3965" s="7">
        <v>45575</v>
      </c>
      <c r="F3965" s="7">
        <v>45939</v>
      </c>
      <c r="G3965" t="s">
        <v>135</v>
      </c>
      <c r="H3965" t="s">
        <v>102</v>
      </c>
      <c r="I3965" t="s">
        <v>101</v>
      </c>
      <c r="J3965">
        <v>14962.38</v>
      </c>
      <c r="K3965">
        <v>2000000</v>
      </c>
    </row>
    <row r="3966" spans="1:11" ht="15" customHeight="1" x14ac:dyDescent="0.2">
      <c r="A3966" t="s">
        <v>5679</v>
      </c>
      <c r="B3966" t="s">
        <v>1055</v>
      </c>
      <c r="C3966">
        <v>2024</v>
      </c>
      <c r="D3966">
        <v>2024</v>
      </c>
      <c r="E3966" s="7">
        <v>45575</v>
      </c>
      <c r="F3966" s="7">
        <v>45939</v>
      </c>
      <c r="G3966" t="s">
        <v>135</v>
      </c>
      <c r="H3966" t="s">
        <v>105</v>
      </c>
      <c r="I3966" t="s">
        <v>101</v>
      </c>
      <c r="J3966">
        <v>7004.27</v>
      </c>
      <c r="K3966">
        <v>1000000</v>
      </c>
    </row>
    <row r="3967" spans="1:11" ht="15" customHeight="1" x14ac:dyDescent="0.2">
      <c r="A3967" t="s">
        <v>5680</v>
      </c>
      <c r="B3967" t="s">
        <v>4333</v>
      </c>
      <c r="C3967">
        <v>2024</v>
      </c>
      <c r="D3967">
        <v>2024</v>
      </c>
      <c r="E3967" s="7">
        <v>45576</v>
      </c>
      <c r="F3967" s="7">
        <v>45940</v>
      </c>
      <c r="G3967" t="s">
        <v>99</v>
      </c>
      <c r="H3967" t="s">
        <v>110</v>
      </c>
      <c r="I3967" t="s">
        <v>101</v>
      </c>
      <c r="J3967">
        <v>13664.85</v>
      </c>
      <c r="K3967">
        <v>1500000</v>
      </c>
    </row>
    <row r="3968" spans="1:11" ht="15" customHeight="1" x14ac:dyDescent="0.2">
      <c r="A3968" t="s">
        <v>5681</v>
      </c>
      <c r="B3968" t="s">
        <v>7143</v>
      </c>
      <c r="C3968">
        <v>2024</v>
      </c>
      <c r="D3968">
        <v>2024</v>
      </c>
      <c r="E3968" s="7">
        <v>45576</v>
      </c>
      <c r="F3968" s="7">
        <v>45940</v>
      </c>
      <c r="G3968" t="s">
        <v>135</v>
      </c>
      <c r="H3968" t="s">
        <v>107</v>
      </c>
      <c r="I3968" t="s">
        <v>101</v>
      </c>
      <c r="J3968">
        <v>14842.25</v>
      </c>
      <c r="K3968">
        <v>2000000</v>
      </c>
    </row>
    <row r="3969" spans="1:11" ht="15" customHeight="1" x14ac:dyDescent="0.2">
      <c r="A3969" t="s">
        <v>5682</v>
      </c>
      <c r="B3969" t="s">
        <v>9163</v>
      </c>
      <c r="C3969">
        <v>2024</v>
      </c>
      <c r="D3969">
        <v>2024</v>
      </c>
      <c r="E3969" s="7">
        <v>45576</v>
      </c>
      <c r="F3969" s="7">
        <v>45940</v>
      </c>
      <c r="G3969" t="s">
        <v>135</v>
      </c>
      <c r="H3969" t="s">
        <v>106</v>
      </c>
      <c r="I3969" t="s">
        <v>104</v>
      </c>
      <c r="J3969">
        <v>3577.72</v>
      </c>
      <c r="K3969">
        <v>500000</v>
      </c>
    </row>
    <row r="3970" spans="1:11" ht="15" customHeight="1" x14ac:dyDescent="0.2">
      <c r="A3970" t="s">
        <v>5683</v>
      </c>
      <c r="B3970" t="s">
        <v>7066</v>
      </c>
      <c r="C3970">
        <v>2024</v>
      </c>
      <c r="D3970">
        <v>2024</v>
      </c>
      <c r="E3970" s="7">
        <v>45576</v>
      </c>
      <c r="F3970" s="7">
        <v>45940</v>
      </c>
      <c r="G3970" t="s">
        <v>135</v>
      </c>
      <c r="H3970" t="s">
        <v>110</v>
      </c>
      <c r="I3970" t="s">
        <v>101</v>
      </c>
      <c r="J3970">
        <v>9117.33</v>
      </c>
      <c r="K3970">
        <v>1000000</v>
      </c>
    </row>
    <row r="3971" spans="1:11" ht="15" customHeight="1" x14ac:dyDescent="0.2">
      <c r="A3971" t="s">
        <v>5684</v>
      </c>
      <c r="B3971" t="s">
        <v>6960</v>
      </c>
      <c r="C3971">
        <v>2024</v>
      </c>
      <c r="D3971">
        <v>2024</v>
      </c>
      <c r="E3971" s="7">
        <v>45576</v>
      </c>
      <c r="F3971" s="7">
        <v>45940</v>
      </c>
      <c r="G3971" t="s">
        <v>135</v>
      </c>
      <c r="H3971" t="s">
        <v>107</v>
      </c>
      <c r="I3971" t="s">
        <v>104</v>
      </c>
      <c r="J3971">
        <v>9085.0300000000007</v>
      </c>
      <c r="K3971">
        <v>1500000</v>
      </c>
    </row>
    <row r="3972" spans="1:11" ht="15" customHeight="1" x14ac:dyDescent="0.2">
      <c r="A3972" t="s">
        <v>5685</v>
      </c>
      <c r="B3972" t="s">
        <v>387</v>
      </c>
      <c r="C3972">
        <v>2024</v>
      </c>
      <c r="D3972">
        <v>2024</v>
      </c>
      <c r="E3972" s="7">
        <v>45576</v>
      </c>
      <c r="F3972" s="7">
        <v>45940</v>
      </c>
      <c r="G3972" t="s">
        <v>135</v>
      </c>
      <c r="H3972" t="s">
        <v>6337</v>
      </c>
      <c r="I3972" t="s">
        <v>104</v>
      </c>
      <c r="J3972">
        <v>8599.2900000000009</v>
      </c>
      <c r="K3972">
        <v>1500000</v>
      </c>
    </row>
    <row r="3973" spans="1:11" ht="15" customHeight="1" x14ac:dyDescent="0.2">
      <c r="A3973" t="s">
        <v>5686</v>
      </c>
      <c r="B3973" t="s">
        <v>9164</v>
      </c>
      <c r="C3973">
        <v>2024</v>
      </c>
      <c r="D3973">
        <v>2024</v>
      </c>
      <c r="E3973" s="7">
        <v>45576</v>
      </c>
      <c r="F3973" s="7">
        <v>45940</v>
      </c>
      <c r="G3973" t="s">
        <v>135</v>
      </c>
      <c r="H3973" t="s">
        <v>6337</v>
      </c>
      <c r="I3973" t="s">
        <v>104</v>
      </c>
      <c r="J3973">
        <v>9307.68</v>
      </c>
      <c r="K3973">
        <v>1500000</v>
      </c>
    </row>
    <row r="3974" spans="1:11" ht="15" customHeight="1" x14ac:dyDescent="0.2">
      <c r="A3974" t="s">
        <v>5687</v>
      </c>
      <c r="B3974" t="s">
        <v>9165</v>
      </c>
      <c r="C3974">
        <v>2024</v>
      </c>
      <c r="D3974">
        <v>2024</v>
      </c>
      <c r="E3974" s="7">
        <v>45576</v>
      </c>
      <c r="F3974" s="7">
        <v>45940</v>
      </c>
      <c r="G3974" t="s">
        <v>135</v>
      </c>
      <c r="H3974" t="s">
        <v>102</v>
      </c>
      <c r="I3974" t="s">
        <v>101</v>
      </c>
      <c r="J3974">
        <v>7071.31</v>
      </c>
      <c r="K3974">
        <v>1000000</v>
      </c>
    </row>
    <row r="3975" spans="1:11" ht="15" customHeight="1" x14ac:dyDescent="0.2">
      <c r="A3975" t="s">
        <v>5688</v>
      </c>
      <c r="B3975" t="s">
        <v>9166</v>
      </c>
      <c r="C3975">
        <v>2024</v>
      </c>
      <c r="D3975">
        <v>2024</v>
      </c>
      <c r="E3975" s="7">
        <v>45576</v>
      </c>
      <c r="F3975" s="7">
        <v>45940</v>
      </c>
      <c r="G3975" t="s">
        <v>135</v>
      </c>
      <c r="H3975" t="s">
        <v>102</v>
      </c>
      <c r="I3975" t="s">
        <v>101</v>
      </c>
      <c r="J3975">
        <v>13292.02</v>
      </c>
      <c r="K3975">
        <v>2000000</v>
      </c>
    </row>
    <row r="3976" spans="1:11" ht="15" customHeight="1" x14ac:dyDescent="0.2">
      <c r="A3976" t="s">
        <v>5689</v>
      </c>
      <c r="B3976" t="s">
        <v>9167</v>
      </c>
      <c r="C3976">
        <v>2024</v>
      </c>
      <c r="D3976">
        <v>2024</v>
      </c>
      <c r="E3976" s="7">
        <v>45576</v>
      </c>
      <c r="F3976" s="7">
        <v>45940</v>
      </c>
      <c r="G3976" t="s">
        <v>135</v>
      </c>
      <c r="H3976" t="s">
        <v>106</v>
      </c>
      <c r="I3976" t="s">
        <v>101</v>
      </c>
      <c r="J3976">
        <v>18597.03</v>
      </c>
      <c r="K3976">
        <v>2000000</v>
      </c>
    </row>
    <row r="3977" spans="1:11" ht="15" customHeight="1" x14ac:dyDescent="0.2">
      <c r="A3977" t="s">
        <v>5690</v>
      </c>
      <c r="B3977" t="s">
        <v>9168</v>
      </c>
      <c r="C3977">
        <v>2024</v>
      </c>
      <c r="D3977">
        <v>2024</v>
      </c>
      <c r="E3977" s="7">
        <v>45577</v>
      </c>
      <c r="F3977" s="7">
        <v>45941</v>
      </c>
      <c r="G3977" t="s">
        <v>135</v>
      </c>
      <c r="H3977" t="s">
        <v>109</v>
      </c>
      <c r="I3977" t="s">
        <v>101</v>
      </c>
      <c r="J3977">
        <v>7200.6</v>
      </c>
      <c r="K3977">
        <v>1000000</v>
      </c>
    </row>
    <row r="3978" spans="1:11" ht="15" customHeight="1" x14ac:dyDescent="0.2">
      <c r="A3978" t="s">
        <v>5691</v>
      </c>
      <c r="B3978" t="s">
        <v>9169</v>
      </c>
      <c r="C3978">
        <v>2024</v>
      </c>
      <c r="D3978">
        <v>2024</v>
      </c>
      <c r="E3978" s="7">
        <v>45577</v>
      </c>
      <c r="F3978" s="7">
        <v>45941</v>
      </c>
      <c r="G3978" t="s">
        <v>135</v>
      </c>
      <c r="H3978" t="s">
        <v>106</v>
      </c>
      <c r="I3978" t="s">
        <v>104</v>
      </c>
      <c r="J3978">
        <v>11617.67</v>
      </c>
      <c r="K3978">
        <v>1500000</v>
      </c>
    </row>
    <row r="3979" spans="1:11" ht="15" customHeight="1" x14ac:dyDescent="0.2">
      <c r="A3979" t="s">
        <v>5692</v>
      </c>
      <c r="B3979" t="s">
        <v>9170</v>
      </c>
      <c r="C3979">
        <v>2024</v>
      </c>
      <c r="D3979">
        <v>2024</v>
      </c>
      <c r="E3979" s="7">
        <v>45577</v>
      </c>
      <c r="F3979" s="7">
        <v>45941</v>
      </c>
      <c r="G3979" t="s">
        <v>135</v>
      </c>
      <c r="H3979" t="s">
        <v>102</v>
      </c>
      <c r="I3979" t="s">
        <v>101</v>
      </c>
      <c r="J3979">
        <v>3675.86</v>
      </c>
      <c r="K3979">
        <v>500000</v>
      </c>
    </row>
    <row r="3980" spans="1:11" ht="15" customHeight="1" x14ac:dyDescent="0.2">
      <c r="A3980" t="s">
        <v>5693</v>
      </c>
      <c r="B3980" t="s">
        <v>628</v>
      </c>
      <c r="C3980">
        <v>2024</v>
      </c>
      <c r="D3980">
        <v>2024</v>
      </c>
      <c r="E3980" s="7">
        <v>45577</v>
      </c>
      <c r="F3980" s="7">
        <v>45941</v>
      </c>
      <c r="G3980" t="s">
        <v>135</v>
      </c>
      <c r="H3980" t="s">
        <v>108</v>
      </c>
      <c r="I3980" t="s">
        <v>104</v>
      </c>
      <c r="J3980">
        <v>7576.51</v>
      </c>
      <c r="K3980">
        <v>1000000</v>
      </c>
    </row>
    <row r="3981" spans="1:11" ht="15" customHeight="1" x14ac:dyDescent="0.2">
      <c r="A3981" t="s">
        <v>5694</v>
      </c>
      <c r="B3981" t="s">
        <v>627</v>
      </c>
      <c r="C3981">
        <v>2024</v>
      </c>
      <c r="D3981">
        <v>2024</v>
      </c>
      <c r="E3981" s="7">
        <v>45577</v>
      </c>
      <c r="F3981" s="7">
        <v>45941</v>
      </c>
      <c r="G3981" t="s">
        <v>135</v>
      </c>
      <c r="H3981" t="s">
        <v>6334</v>
      </c>
      <c r="I3981" t="s">
        <v>104</v>
      </c>
      <c r="J3981">
        <v>6069.94</v>
      </c>
      <c r="K3981">
        <v>1000000</v>
      </c>
    </row>
    <row r="3982" spans="1:11" ht="15" customHeight="1" x14ac:dyDescent="0.2">
      <c r="A3982" t="s">
        <v>5695</v>
      </c>
      <c r="B3982" t="s">
        <v>9171</v>
      </c>
      <c r="C3982">
        <v>2024</v>
      </c>
      <c r="D3982">
        <v>2024</v>
      </c>
      <c r="E3982" s="7">
        <v>45577</v>
      </c>
      <c r="F3982" s="7">
        <v>45941</v>
      </c>
      <c r="G3982" t="s">
        <v>135</v>
      </c>
      <c r="H3982" t="s">
        <v>108</v>
      </c>
      <c r="I3982" t="s">
        <v>101</v>
      </c>
      <c r="J3982">
        <v>48717.61</v>
      </c>
      <c r="K3982">
        <v>5000000</v>
      </c>
    </row>
    <row r="3983" spans="1:11" ht="15" customHeight="1" x14ac:dyDescent="0.2">
      <c r="A3983" t="s">
        <v>5696</v>
      </c>
      <c r="B3983" t="s">
        <v>4335</v>
      </c>
      <c r="C3983">
        <v>2024</v>
      </c>
      <c r="D3983">
        <v>2024</v>
      </c>
      <c r="E3983" s="7">
        <v>45578</v>
      </c>
      <c r="F3983" s="7">
        <v>45942</v>
      </c>
      <c r="G3983" t="s">
        <v>99</v>
      </c>
      <c r="H3983" t="s">
        <v>110</v>
      </c>
      <c r="I3983" t="s">
        <v>104</v>
      </c>
      <c r="J3983">
        <v>6584.58</v>
      </c>
      <c r="K3983">
        <v>1000000</v>
      </c>
    </row>
    <row r="3984" spans="1:11" ht="15" customHeight="1" x14ac:dyDescent="0.2">
      <c r="A3984" t="s">
        <v>5697</v>
      </c>
      <c r="B3984" t="s">
        <v>4337</v>
      </c>
      <c r="C3984">
        <v>2024</v>
      </c>
      <c r="D3984">
        <v>2024</v>
      </c>
      <c r="E3984" s="7">
        <v>45578</v>
      </c>
      <c r="F3984" s="7">
        <v>45942</v>
      </c>
      <c r="G3984" t="s">
        <v>99</v>
      </c>
      <c r="H3984" t="s">
        <v>102</v>
      </c>
      <c r="I3984" t="s">
        <v>101</v>
      </c>
      <c r="J3984">
        <v>7890.12</v>
      </c>
      <c r="K3984">
        <v>1000000</v>
      </c>
    </row>
    <row r="3985" spans="1:11" ht="15" customHeight="1" x14ac:dyDescent="0.2">
      <c r="A3985" t="s">
        <v>5698</v>
      </c>
      <c r="B3985" t="s">
        <v>4339</v>
      </c>
      <c r="C3985">
        <v>2024</v>
      </c>
      <c r="D3985">
        <v>2024</v>
      </c>
      <c r="E3985" s="7">
        <v>45578</v>
      </c>
      <c r="F3985" s="7">
        <v>45942</v>
      </c>
      <c r="G3985" t="s">
        <v>99</v>
      </c>
      <c r="H3985" t="s">
        <v>112</v>
      </c>
      <c r="I3985" t="s">
        <v>101</v>
      </c>
      <c r="J3985">
        <v>8596.48</v>
      </c>
      <c r="K3985">
        <v>1000000</v>
      </c>
    </row>
    <row r="3986" spans="1:11" ht="15" customHeight="1" x14ac:dyDescent="0.2">
      <c r="A3986" t="s">
        <v>5699</v>
      </c>
      <c r="B3986" t="s">
        <v>4349</v>
      </c>
      <c r="C3986">
        <v>2024</v>
      </c>
      <c r="D3986">
        <v>2024</v>
      </c>
      <c r="E3986" s="7">
        <v>45578</v>
      </c>
      <c r="F3986" s="7">
        <v>45942</v>
      </c>
      <c r="G3986" t="s">
        <v>99</v>
      </c>
      <c r="H3986" t="s">
        <v>102</v>
      </c>
      <c r="I3986" t="s">
        <v>101</v>
      </c>
      <c r="J3986">
        <v>14390.14</v>
      </c>
      <c r="K3986">
        <v>2000000</v>
      </c>
    </row>
    <row r="3987" spans="1:11" ht="15" customHeight="1" x14ac:dyDescent="0.2">
      <c r="A3987" t="s">
        <v>5700</v>
      </c>
      <c r="B3987" t="s">
        <v>4362</v>
      </c>
      <c r="C3987">
        <v>2024</v>
      </c>
      <c r="D3987">
        <v>2024</v>
      </c>
      <c r="E3987" s="7">
        <v>45578</v>
      </c>
      <c r="F3987" s="7">
        <v>45942</v>
      </c>
      <c r="G3987" t="s">
        <v>99</v>
      </c>
      <c r="H3987" t="s">
        <v>113</v>
      </c>
      <c r="I3987" t="s">
        <v>101</v>
      </c>
      <c r="J3987">
        <v>77993.73</v>
      </c>
      <c r="K3987">
        <v>10000000</v>
      </c>
    </row>
    <row r="3988" spans="1:11" ht="15" customHeight="1" x14ac:dyDescent="0.2">
      <c r="A3988" t="s">
        <v>5701</v>
      </c>
      <c r="B3988" t="s">
        <v>4364</v>
      </c>
      <c r="C3988">
        <v>2024</v>
      </c>
      <c r="D3988">
        <v>2024</v>
      </c>
      <c r="E3988" s="7">
        <v>45578</v>
      </c>
      <c r="F3988" s="7">
        <v>45942</v>
      </c>
      <c r="G3988" t="s">
        <v>99</v>
      </c>
      <c r="H3988" t="s">
        <v>113</v>
      </c>
      <c r="I3988" t="s">
        <v>104</v>
      </c>
      <c r="J3988">
        <v>5928.94</v>
      </c>
      <c r="K3988">
        <v>1000000</v>
      </c>
    </row>
    <row r="3989" spans="1:11" ht="15" customHeight="1" x14ac:dyDescent="0.2">
      <c r="A3989" t="s">
        <v>5702</v>
      </c>
      <c r="B3989" t="s">
        <v>4366</v>
      </c>
      <c r="C3989">
        <v>2024</v>
      </c>
      <c r="D3989">
        <v>2024</v>
      </c>
      <c r="E3989" s="7">
        <v>45578</v>
      </c>
      <c r="F3989" s="7">
        <v>45942</v>
      </c>
      <c r="G3989" t="s">
        <v>99</v>
      </c>
      <c r="H3989" t="s">
        <v>113</v>
      </c>
      <c r="I3989" t="s">
        <v>104</v>
      </c>
      <c r="J3989">
        <v>6299.22</v>
      </c>
      <c r="K3989">
        <v>1000000</v>
      </c>
    </row>
    <row r="3990" spans="1:11" ht="15" customHeight="1" x14ac:dyDescent="0.2">
      <c r="A3990" t="s">
        <v>5703</v>
      </c>
      <c r="B3990" t="s">
        <v>221</v>
      </c>
      <c r="C3990">
        <v>2024</v>
      </c>
      <c r="D3990">
        <v>2024</v>
      </c>
      <c r="E3990" s="7">
        <v>45578</v>
      </c>
      <c r="F3990" s="7">
        <v>45942</v>
      </c>
      <c r="G3990" t="s">
        <v>135</v>
      </c>
      <c r="H3990" t="s">
        <v>116</v>
      </c>
      <c r="I3990" t="s">
        <v>104</v>
      </c>
      <c r="J3990">
        <v>8641.19</v>
      </c>
      <c r="K3990">
        <v>1500000</v>
      </c>
    </row>
    <row r="3991" spans="1:11" ht="15" customHeight="1" x14ac:dyDescent="0.2">
      <c r="A3991" t="s">
        <v>5704</v>
      </c>
      <c r="B3991" t="s">
        <v>9172</v>
      </c>
      <c r="C3991">
        <v>2024</v>
      </c>
      <c r="D3991">
        <v>2024</v>
      </c>
      <c r="E3991" s="7">
        <v>45578</v>
      </c>
      <c r="F3991" s="7">
        <v>45942</v>
      </c>
      <c r="G3991" t="s">
        <v>135</v>
      </c>
      <c r="H3991" t="s">
        <v>108</v>
      </c>
      <c r="I3991" t="s">
        <v>104</v>
      </c>
      <c r="J3991">
        <v>6729.77</v>
      </c>
      <c r="K3991">
        <v>1000000</v>
      </c>
    </row>
    <row r="3992" spans="1:11" ht="15" customHeight="1" x14ac:dyDescent="0.2">
      <c r="A3992" t="s">
        <v>5705</v>
      </c>
      <c r="B3992" t="s">
        <v>7031</v>
      </c>
      <c r="C3992">
        <v>2024</v>
      </c>
      <c r="D3992">
        <v>2024</v>
      </c>
      <c r="E3992" s="7">
        <v>45578</v>
      </c>
      <c r="F3992" s="7">
        <v>45942</v>
      </c>
      <c r="G3992" t="s">
        <v>135</v>
      </c>
      <c r="H3992" t="s">
        <v>102</v>
      </c>
      <c r="I3992" t="s">
        <v>101</v>
      </c>
      <c r="J3992">
        <v>74904.63</v>
      </c>
      <c r="K3992">
        <v>10000000</v>
      </c>
    </row>
    <row r="3993" spans="1:11" ht="15" customHeight="1" x14ac:dyDescent="0.2">
      <c r="A3993" t="s">
        <v>5706</v>
      </c>
      <c r="B3993" t="s">
        <v>9173</v>
      </c>
      <c r="C3993">
        <v>2024</v>
      </c>
      <c r="D3993">
        <v>2024</v>
      </c>
      <c r="E3993" s="7">
        <v>45578</v>
      </c>
      <c r="F3993" s="7">
        <v>45942</v>
      </c>
      <c r="G3993" t="s">
        <v>135</v>
      </c>
      <c r="H3993" t="s">
        <v>6348</v>
      </c>
      <c r="I3993" t="s">
        <v>104</v>
      </c>
      <c r="J3993">
        <v>5575.77</v>
      </c>
      <c r="K3993">
        <v>1000000</v>
      </c>
    </row>
    <row r="3994" spans="1:11" ht="15" customHeight="1" x14ac:dyDescent="0.2">
      <c r="A3994" t="s">
        <v>5707</v>
      </c>
      <c r="B3994" t="s">
        <v>629</v>
      </c>
      <c r="C3994">
        <v>2024</v>
      </c>
      <c r="D3994">
        <v>2024</v>
      </c>
      <c r="E3994" s="7">
        <v>45578</v>
      </c>
      <c r="F3994" s="7">
        <v>45942</v>
      </c>
      <c r="G3994" t="s">
        <v>135</v>
      </c>
      <c r="H3994" t="s">
        <v>105</v>
      </c>
      <c r="I3994" t="s">
        <v>101</v>
      </c>
      <c r="J3994">
        <v>70440.960000000006</v>
      </c>
      <c r="K3994">
        <v>10000000</v>
      </c>
    </row>
    <row r="3995" spans="1:11" ht="15" customHeight="1" x14ac:dyDescent="0.2">
      <c r="A3995" t="s">
        <v>5708</v>
      </c>
      <c r="B3995" t="s">
        <v>7281</v>
      </c>
      <c r="C3995">
        <v>2024</v>
      </c>
      <c r="D3995">
        <v>2024</v>
      </c>
      <c r="E3995" s="7">
        <v>45578</v>
      </c>
      <c r="F3995" s="7">
        <v>45942</v>
      </c>
      <c r="G3995" t="s">
        <v>135</v>
      </c>
      <c r="H3995" t="s">
        <v>114</v>
      </c>
      <c r="I3995" t="s">
        <v>101</v>
      </c>
      <c r="J3995">
        <v>7741.93</v>
      </c>
      <c r="K3995">
        <v>1000000</v>
      </c>
    </row>
    <row r="3996" spans="1:11" ht="15" customHeight="1" x14ac:dyDescent="0.2">
      <c r="A3996" t="s">
        <v>5709</v>
      </c>
      <c r="B3996" t="s">
        <v>7153</v>
      </c>
      <c r="C3996">
        <v>2024</v>
      </c>
      <c r="D3996">
        <v>2024</v>
      </c>
      <c r="E3996" s="7">
        <v>45578</v>
      </c>
      <c r="F3996" s="7">
        <v>45942</v>
      </c>
      <c r="G3996" t="s">
        <v>135</v>
      </c>
      <c r="H3996" t="s">
        <v>108</v>
      </c>
      <c r="I3996" t="s">
        <v>101</v>
      </c>
      <c r="J3996">
        <v>13962.5</v>
      </c>
      <c r="K3996">
        <v>1500000</v>
      </c>
    </row>
    <row r="3997" spans="1:11" ht="15" customHeight="1" x14ac:dyDescent="0.2">
      <c r="A3997" t="s">
        <v>5710</v>
      </c>
      <c r="B3997" t="s">
        <v>7011</v>
      </c>
      <c r="C3997">
        <v>2024</v>
      </c>
      <c r="D3997">
        <v>2024</v>
      </c>
      <c r="E3997" s="7">
        <v>45578</v>
      </c>
      <c r="F3997" s="7">
        <v>45942</v>
      </c>
      <c r="G3997" t="s">
        <v>135</v>
      </c>
      <c r="H3997" t="s">
        <v>103</v>
      </c>
      <c r="I3997" t="s">
        <v>101</v>
      </c>
      <c r="J3997">
        <v>33896.19</v>
      </c>
      <c r="K3997">
        <v>5000000</v>
      </c>
    </row>
    <row r="3998" spans="1:11" ht="15" customHeight="1" x14ac:dyDescent="0.2">
      <c r="A3998" t="s">
        <v>5711</v>
      </c>
      <c r="B3998" t="s">
        <v>6967</v>
      </c>
      <c r="C3998">
        <v>2024</v>
      </c>
      <c r="D3998">
        <v>2024</v>
      </c>
      <c r="E3998" s="7">
        <v>45578</v>
      </c>
      <c r="F3998" s="7">
        <v>45942</v>
      </c>
      <c r="G3998" t="s">
        <v>135</v>
      </c>
      <c r="H3998" t="s">
        <v>6332</v>
      </c>
      <c r="I3998" t="s">
        <v>101</v>
      </c>
      <c r="J3998">
        <v>6960.53</v>
      </c>
      <c r="K3998">
        <v>1000000</v>
      </c>
    </row>
    <row r="3999" spans="1:11" ht="15" customHeight="1" x14ac:dyDescent="0.2">
      <c r="A3999" t="s">
        <v>5712</v>
      </c>
      <c r="B3999" t="s">
        <v>9174</v>
      </c>
      <c r="C3999">
        <v>2024</v>
      </c>
      <c r="D3999">
        <v>2024</v>
      </c>
      <c r="E3999" s="7">
        <v>45578</v>
      </c>
      <c r="F3999" s="7">
        <v>45942</v>
      </c>
      <c r="G3999" t="s">
        <v>135</v>
      </c>
      <c r="H3999" t="s">
        <v>103</v>
      </c>
      <c r="I3999" t="s">
        <v>101</v>
      </c>
      <c r="J3999">
        <v>13869.65</v>
      </c>
      <c r="K3999">
        <v>2000000</v>
      </c>
    </row>
    <row r="4000" spans="1:11" ht="15" customHeight="1" x14ac:dyDescent="0.2">
      <c r="A4000" t="s">
        <v>5713</v>
      </c>
      <c r="B4000" t="s">
        <v>4368</v>
      </c>
      <c r="C4000">
        <v>2024</v>
      </c>
      <c r="D4000">
        <v>2024</v>
      </c>
      <c r="E4000" s="7">
        <v>45579</v>
      </c>
      <c r="F4000" s="7">
        <v>45943</v>
      </c>
      <c r="G4000" t="s">
        <v>99</v>
      </c>
      <c r="H4000" t="s">
        <v>106</v>
      </c>
      <c r="I4000" t="s">
        <v>101</v>
      </c>
      <c r="J4000">
        <v>19357.8</v>
      </c>
      <c r="K4000">
        <v>2000000</v>
      </c>
    </row>
    <row r="4001" spans="1:11" ht="15" customHeight="1" x14ac:dyDescent="0.2">
      <c r="A4001" t="s">
        <v>5714</v>
      </c>
      <c r="B4001" t="s">
        <v>4370</v>
      </c>
      <c r="C4001">
        <v>2024</v>
      </c>
      <c r="D4001">
        <v>2024</v>
      </c>
      <c r="E4001" s="7">
        <v>45579</v>
      </c>
      <c r="F4001" s="7">
        <v>45943</v>
      </c>
      <c r="G4001" t="s">
        <v>99</v>
      </c>
      <c r="H4001" t="s">
        <v>105</v>
      </c>
      <c r="I4001" t="s">
        <v>101</v>
      </c>
      <c r="J4001">
        <v>3689.99</v>
      </c>
      <c r="K4001">
        <v>500000</v>
      </c>
    </row>
    <row r="4002" spans="1:11" ht="15" customHeight="1" x14ac:dyDescent="0.2">
      <c r="A4002" t="s">
        <v>5715</v>
      </c>
      <c r="B4002" t="s">
        <v>4372</v>
      </c>
      <c r="C4002">
        <v>2024</v>
      </c>
      <c r="D4002">
        <v>2024</v>
      </c>
      <c r="E4002" s="7">
        <v>45579</v>
      </c>
      <c r="F4002" s="7">
        <v>45943</v>
      </c>
      <c r="G4002" t="s">
        <v>99</v>
      </c>
      <c r="H4002" t="s">
        <v>109</v>
      </c>
      <c r="I4002" t="s">
        <v>101</v>
      </c>
      <c r="J4002">
        <v>7572.21</v>
      </c>
      <c r="K4002">
        <v>1000000</v>
      </c>
    </row>
    <row r="4003" spans="1:11" ht="15" customHeight="1" x14ac:dyDescent="0.2">
      <c r="A4003" t="s">
        <v>5716</v>
      </c>
      <c r="B4003" t="s">
        <v>9175</v>
      </c>
      <c r="C4003">
        <v>2024</v>
      </c>
      <c r="D4003">
        <v>2024</v>
      </c>
      <c r="E4003" s="7">
        <v>45579</v>
      </c>
      <c r="F4003" s="7">
        <v>45943</v>
      </c>
      <c r="G4003" t="s">
        <v>135</v>
      </c>
      <c r="H4003" t="s">
        <v>113</v>
      </c>
      <c r="I4003" t="s">
        <v>104</v>
      </c>
      <c r="J4003">
        <v>30469.02</v>
      </c>
      <c r="K4003">
        <v>5000000</v>
      </c>
    </row>
    <row r="4004" spans="1:11" ht="15" customHeight="1" x14ac:dyDescent="0.2">
      <c r="A4004" t="s">
        <v>5717</v>
      </c>
      <c r="B4004" t="s">
        <v>630</v>
      </c>
      <c r="C4004">
        <v>2024</v>
      </c>
      <c r="D4004">
        <v>2024</v>
      </c>
      <c r="E4004" s="7">
        <v>45579</v>
      </c>
      <c r="F4004" s="7">
        <v>45943</v>
      </c>
      <c r="G4004" t="s">
        <v>135</v>
      </c>
      <c r="H4004" t="s">
        <v>107</v>
      </c>
      <c r="I4004" t="s">
        <v>104</v>
      </c>
      <c r="J4004">
        <v>11530.29</v>
      </c>
      <c r="K4004">
        <v>2000000</v>
      </c>
    </row>
    <row r="4005" spans="1:11" ht="15" customHeight="1" x14ac:dyDescent="0.2">
      <c r="A4005" t="s">
        <v>5718</v>
      </c>
      <c r="B4005" t="s">
        <v>7063</v>
      </c>
      <c r="C4005">
        <v>2024</v>
      </c>
      <c r="D4005">
        <v>2024</v>
      </c>
      <c r="E4005" s="7">
        <v>45579</v>
      </c>
      <c r="F4005" s="7">
        <v>45943</v>
      </c>
      <c r="G4005" t="s">
        <v>135</v>
      </c>
      <c r="H4005" t="s">
        <v>113</v>
      </c>
      <c r="I4005" t="s">
        <v>101</v>
      </c>
      <c r="J4005">
        <v>3574.37</v>
      </c>
      <c r="K4005">
        <v>500000</v>
      </c>
    </row>
    <row r="4006" spans="1:11" ht="15" customHeight="1" x14ac:dyDescent="0.2">
      <c r="A4006" t="s">
        <v>5719</v>
      </c>
      <c r="B4006" t="s">
        <v>6970</v>
      </c>
      <c r="C4006">
        <v>2024</v>
      </c>
      <c r="D4006">
        <v>2024</v>
      </c>
      <c r="E4006" s="7">
        <v>45579</v>
      </c>
      <c r="F4006" s="7">
        <v>45943</v>
      </c>
      <c r="G4006" t="s">
        <v>135</v>
      </c>
      <c r="H4006" t="s">
        <v>107</v>
      </c>
      <c r="I4006" t="s">
        <v>104</v>
      </c>
      <c r="J4006">
        <v>56936.34</v>
      </c>
      <c r="K4006">
        <v>10000000</v>
      </c>
    </row>
    <row r="4007" spans="1:11" ht="15" customHeight="1" x14ac:dyDescent="0.2">
      <c r="A4007" t="s">
        <v>5720</v>
      </c>
      <c r="B4007" t="s">
        <v>7033</v>
      </c>
      <c r="C4007">
        <v>2024</v>
      </c>
      <c r="D4007">
        <v>2024</v>
      </c>
      <c r="E4007" s="7">
        <v>45579</v>
      </c>
      <c r="F4007" s="7">
        <v>45943</v>
      </c>
      <c r="G4007" t="s">
        <v>135</v>
      </c>
      <c r="H4007" t="s">
        <v>102</v>
      </c>
      <c r="I4007" t="s">
        <v>101</v>
      </c>
      <c r="J4007">
        <v>32805.06</v>
      </c>
      <c r="K4007">
        <v>5000000</v>
      </c>
    </row>
    <row r="4008" spans="1:11" ht="15" customHeight="1" x14ac:dyDescent="0.2">
      <c r="A4008" t="s">
        <v>5721</v>
      </c>
      <c r="B4008" t="s">
        <v>9176</v>
      </c>
      <c r="C4008">
        <v>2024</v>
      </c>
      <c r="D4008">
        <v>2024</v>
      </c>
      <c r="E4008" s="7">
        <v>45579</v>
      </c>
      <c r="F4008" s="7">
        <v>45943</v>
      </c>
      <c r="G4008" t="s">
        <v>135</v>
      </c>
      <c r="H4008" t="s">
        <v>102</v>
      </c>
      <c r="I4008" t="s">
        <v>104</v>
      </c>
      <c r="J4008">
        <v>2834.48</v>
      </c>
      <c r="K4008">
        <v>500000</v>
      </c>
    </row>
    <row r="4009" spans="1:11" ht="15" customHeight="1" x14ac:dyDescent="0.2">
      <c r="A4009" t="s">
        <v>5722</v>
      </c>
      <c r="B4009" t="s">
        <v>9177</v>
      </c>
      <c r="C4009">
        <v>2024</v>
      </c>
      <c r="D4009">
        <v>2024</v>
      </c>
      <c r="E4009" s="7">
        <v>45579</v>
      </c>
      <c r="F4009" s="7">
        <v>45943</v>
      </c>
      <c r="G4009" t="s">
        <v>135</v>
      </c>
      <c r="H4009" t="s">
        <v>113</v>
      </c>
      <c r="I4009" t="s">
        <v>104</v>
      </c>
      <c r="J4009">
        <v>5265.44</v>
      </c>
      <c r="K4009">
        <v>1000000</v>
      </c>
    </row>
    <row r="4010" spans="1:11" ht="15" customHeight="1" x14ac:dyDescent="0.2">
      <c r="A4010" t="s">
        <v>5723</v>
      </c>
      <c r="B4010" t="s">
        <v>9178</v>
      </c>
      <c r="C4010">
        <v>2024</v>
      </c>
      <c r="D4010">
        <v>2024</v>
      </c>
      <c r="E4010" s="7">
        <v>45579</v>
      </c>
      <c r="F4010" s="7">
        <v>45943</v>
      </c>
      <c r="G4010" t="s">
        <v>135</v>
      </c>
      <c r="H4010" t="s">
        <v>108</v>
      </c>
      <c r="I4010" t="s">
        <v>104</v>
      </c>
      <c r="J4010">
        <v>14658.7</v>
      </c>
      <c r="K4010">
        <v>2000000</v>
      </c>
    </row>
    <row r="4011" spans="1:11" ht="15" customHeight="1" x14ac:dyDescent="0.2">
      <c r="A4011" t="s">
        <v>5724</v>
      </c>
      <c r="B4011" t="s">
        <v>9179</v>
      </c>
      <c r="C4011">
        <v>2024</v>
      </c>
      <c r="D4011">
        <v>2024</v>
      </c>
      <c r="E4011" s="7">
        <v>45579</v>
      </c>
      <c r="F4011" s="7">
        <v>45943</v>
      </c>
      <c r="G4011" t="s">
        <v>135</v>
      </c>
      <c r="H4011" t="s">
        <v>102</v>
      </c>
      <c r="I4011" t="s">
        <v>101</v>
      </c>
      <c r="J4011">
        <v>14219.9</v>
      </c>
      <c r="K4011">
        <v>2000000</v>
      </c>
    </row>
    <row r="4012" spans="1:11" ht="15" customHeight="1" x14ac:dyDescent="0.2">
      <c r="A4012" t="s">
        <v>5725</v>
      </c>
      <c r="B4012" t="s">
        <v>7092</v>
      </c>
      <c r="C4012">
        <v>2024</v>
      </c>
      <c r="D4012">
        <v>2024</v>
      </c>
      <c r="E4012" s="7">
        <v>45579</v>
      </c>
      <c r="F4012" s="7">
        <v>45943</v>
      </c>
      <c r="G4012" t="s">
        <v>135</v>
      </c>
      <c r="H4012" t="s">
        <v>107</v>
      </c>
      <c r="I4012" t="s">
        <v>101</v>
      </c>
      <c r="J4012">
        <v>7603.54</v>
      </c>
      <c r="K4012">
        <v>1000000</v>
      </c>
    </row>
    <row r="4013" spans="1:11" ht="15" customHeight="1" x14ac:dyDescent="0.2">
      <c r="A4013" t="s">
        <v>5726</v>
      </c>
      <c r="B4013" t="s">
        <v>9180</v>
      </c>
      <c r="C4013">
        <v>2024</v>
      </c>
      <c r="D4013">
        <v>2024</v>
      </c>
      <c r="E4013" s="7">
        <v>45579</v>
      </c>
      <c r="F4013" s="7">
        <v>45943</v>
      </c>
      <c r="G4013" t="s">
        <v>135</v>
      </c>
      <c r="H4013" t="s">
        <v>105</v>
      </c>
      <c r="I4013" t="s">
        <v>104</v>
      </c>
      <c r="J4013">
        <v>12569.23</v>
      </c>
      <c r="K4013">
        <v>2000000</v>
      </c>
    </row>
    <row r="4014" spans="1:11" ht="15" customHeight="1" x14ac:dyDescent="0.2">
      <c r="A4014" t="s">
        <v>5727</v>
      </c>
      <c r="B4014" t="s">
        <v>9181</v>
      </c>
      <c r="C4014">
        <v>2024</v>
      </c>
      <c r="D4014">
        <v>2024</v>
      </c>
      <c r="E4014" s="7">
        <v>45579</v>
      </c>
      <c r="F4014" s="7">
        <v>45943</v>
      </c>
      <c r="G4014" t="s">
        <v>135</v>
      </c>
      <c r="H4014" t="s">
        <v>106</v>
      </c>
      <c r="I4014" t="s">
        <v>101</v>
      </c>
      <c r="J4014">
        <v>4089.45</v>
      </c>
      <c r="K4014">
        <v>500000</v>
      </c>
    </row>
    <row r="4015" spans="1:11" ht="15" customHeight="1" x14ac:dyDescent="0.2">
      <c r="A4015" t="s">
        <v>5728</v>
      </c>
      <c r="B4015" t="s">
        <v>4380</v>
      </c>
      <c r="C4015">
        <v>2024</v>
      </c>
      <c r="D4015">
        <v>2024</v>
      </c>
      <c r="E4015" s="7">
        <v>45580</v>
      </c>
      <c r="F4015" s="7">
        <v>45944</v>
      </c>
      <c r="G4015" t="s">
        <v>99</v>
      </c>
      <c r="H4015" t="s">
        <v>6334</v>
      </c>
      <c r="I4015" t="s">
        <v>104</v>
      </c>
      <c r="J4015">
        <v>8335.33</v>
      </c>
      <c r="K4015">
        <v>1500000</v>
      </c>
    </row>
    <row r="4016" spans="1:11" ht="15" customHeight="1" x14ac:dyDescent="0.2">
      <c r="A4016" t="s">
        <v>5729</v>
      </c>
      <c r="B4016" t="s">
        <v>4382</v>
      </c>
      <c r="C4016">
        <v>2024</v>
      </c>
      <c r="D4016">
        <v>2024</v>
      </c>
      <c r="E4016" s="7">
        <v>45580</v>
      </c>
      <c r="F4016" s="7">
        <v>45944</v>
      </c>
      <c r="G4016" t="s">
        <v>99</v>
      </c>
      <c r="H4016" t="s">
        <v>106</v>
      </c>
      <c r="I4016" t="s">
        <v>101</v>
      </c>
      <c r="J4016">
        <v>86289.94</v>
      </c>
      <c r="K4016">
        <v>10000000</v>
      </c>
    </row>
    <row r="4017" spans="1:11" ht="15" customHeight="1" x14ac:dyDescent="0.2">
      <c r="A4017" t="s">
        <v>5730</v>
      </c>
      <c r="B4017" t="s">
        <v>4384</v>
      </c>
      <c r="C4017">
        <v>2024</v>
      </c>
      <c r="D4017">
        <v>2024</v>
      </c>
      <c r="E4017" s="7">
        <v>45580</v>
      </c>
      <c r="F4017" s="7">
        <v>45944</v>
      </c>
      <c r="G4017" t="s">
        <v>99</v>
      </c>
      <c r="H4017" t="s">
        <v>105</v>
      </c>
      <c r="I4017" t="s">
        <v>101</v>
      </c>
      <c r="J4017">
        <v>13558.69</v>
      </c>
      <c r="K4017">
        <v>2000000</v>
      </c>
    </row>
    <row r="4018" spans="1:11" ht="15" customHeight="1" x14ac:dyDescent="0.2">
      <c r="A4018" t="s">
        <v>5731</v>
      </c>
      <c r="B4018" t="s">
        <v>9182</v>
      </c>
      <c r="C4018">
        <v>2024</v>
      </c>
      <c r="D4018">
        <v>2024</v>
      </c>
      <c r="E4018" s="7">
        <v>45580</v>
      </c>
      <c r="F4018" s="7">
        <v>45944</v>
      </c>
      <c r="G4018" t="s">
        <v>135</v>
      </c>
      <c r="H4018" t="s">
        <v>115</v>
      </c>
      <c r="I4018" t="s">
        <v>104</v>
      </c>
      <c r="J4018">
        <v>10640.51</v>
      </c>
      <c r="K4018">
        <v>2000000</v>
      </c>
    </row>
    <row r="4019" spans="1:11" ht="15" customHeight="1" x14ac:dyDescent="0.2">
      <c r="A4019" t="s">
        <v>5732</v>
      </c>
      <c r="B4019" t="s">
        <v>631</v>
      </c>
      <c r="C4019">
        <v>2024</v>
      </c>
      <c r="D4019">
        <v>2024</v>
      </c>
      <c r="E4019" s="7">
        <v>45580</v>
      </c>
      <c r="F4019" s="7">
        <v>45944</v>
      </c>
      <c r="G4019" t="s">
        <v>135</v>
      </c>
      <c r="H4019" t="s">
        <v>103</v>
      </c>
      <c r="I4019" t="s">
        <v>104</v>
      </c>
      <c r="J4019">
        <v>5203.8900000000003</v>
      </c>
      <c r="K4019">
        <v>1000000</v>
      </c>
    </row>
    <row r="4020" spans="1:11" ht="15" customHeight="1" x14ac:dyDescent="0.2">
      <c r="A4020" t="s">
        <v>5733</v>
      </c>
      <c r="B4020" t="s">
        <v>9183</v>
      </c>
      <c r="C4020">
        <v>2024</v>
      </c>
      <c r="D4020">
        <v>2024</v>
      </c>
      <c r="E4020" s="7">
        <v>45580</v>
      </c>
      <c r="F4020" s="7">
        <v>45944</v>
      </c>
      <c r="G4020" t="s">
        <v>135</v>
      </c>
      <c r="H4020" t="s">
        <v>109</v>
      </c>
      <c r="I4020" t="s">
        <v>101</v>
      </c>
      <c r="J4020">
        <v>15586.69</v>
      </c>
      <c r="K4020">
        <v>2000000</v>
      </c>
    </row>
    <row r="4021" spans="1:11" ht="15" customHeight="1" x14ac:dyDescent="0.2">
      <c r="A4021" t="s">
        <v>5734</v>
      </c>
      <c r="B4021" t="s">
        <v>9184</v>
      </c>
      <c r="C4021">
        <v>2024</v>
      </c>
      <c r="D4021">
        <v>2024</v>
      </c>
      <c r="E4021" s="7">
        <v>45580</v>
      </c>
      <c r="F4021" s="7">
        <v>45944</v>
      </c>
      <c r="G4021" t="s">
        <v>135</v>
      </c>
      <c r="H4021" t="s">
        <v>6337</v>
      </c>
      <c r="I4021" t="s">
        <v>101</v>
      </c>
      <c r="J4021">
        <v>10443.99</v>
      </c>
      <c r="K4021">
        <v>1500000</v>
      </c>
    </row>
    <row r="4022" spans="1:11" ht="15" customHeight="1" x14ac:dyDescent="0.2">
      <c r="A4022" t="s">
        <v>5735</v>
      </c>
      <c r="B4022" t="s">
        <v>222</v>
      </c>
      <c r="C4022">
        <v>2024</v>
      </c>
      <c r="D4022">
        <v>2024</v>
      </c>
      <c r="E4022" s="7">
        <v>45580</v>
      </c>
      <c r="F4022" s="7">
        <v>45944</v>
      </c>
      <c r="G4022" t="s">
        <v>135</v>
      </c>
      <c r="H4022" t="s">
        <v>106</v>
      </c>
      <c r="I4022" t="s">
        <v>101</v>
      </c>
      <c r="J4022">
        <v>19023.22</v>
      </c>
      <c r="K4022">
        <v>2000000</v>
      </c>
    </row>
    <row r="4023" spans="1:11" ht="15" customHeight="1" x14ac:dyDescent="0.2">
      <c r="A4023" t="s">
        <v>5736</v>
      </c>
      <c r="B4023" t="s">
        <v>1058</v>
      </c>
      <c r="C4023">
        <v>2024</v>
      </c>
      <c r="D4023">
        <v>2024</v>
      </c>
      <c r="E4023" s="7">
        <v>45580</v>
      </c>
      <c r="F4023" s="7">
        <v>45944</v>
      </c>
      <c r="G4023" t="s">
        <v>135</v>
      </c>
      <c r="H4023" t="s">
        <v>6334</v>
      </c>
      <c r="I4023" t="s">
        <v>101</v>
      </c>
      <c r="J4023">
        <v>15781.46</v>
      </c>
      <c r="K4023">
        <v>2000000</v>
      </c>
    </row>
    <row r="4024" spans="1:11" ht="15" customHeight="1" x14ac:dyDescent="0.2">
      <c r="A4024" t="s">
        <v>5737</v>
      </c>
      <c r="B4024" t="s">
        <v>7205</v>
      </c>
      <c r="C4024">
        <v>2024</v>
      </c>
      <c r="D4024">
        <v>2024</v>
      </c>
      <c r="E4024" s="7">
        <v>45580</v>
      </c>
      <c r="F4024" s="7">
        <v>45944</v>
      </c>
      <c r="G4024" t="s">
        <v>135</v>
      </c>
      <c r="H4024" t="s">
        <v>110</v>
      </c>
      <c r="I4024" t="s">
        <v>104</v>
      </c>
      <c r="J4024">
        <v>6516.36</v>
      </c>
      <c r="K4024">
        <v>1000000</v>
      </c>
    </row>
    <row r="4025" spans="1:11" ht="15" customHeight="1" x14ac:dyDescent="0.2">
      <c r="A4025" t="s">
        <v>5738</v>
      </c>
      <c r="B4025" t="s">
        <v>1059</v>
      </c>
      <c r="C4025">
        <v>2024</v>
      </c>
      <c r="D4025">
        <v>2024</v>
      </c>
      <c r="E4025" s="7">
        <v>45580</v>
      </c>
      <c r="F4025" s="7">
        <v>45944</v>
      </c>
      <c r="G4025" t="s">
        <v>135</v>
      </c>
      <c r="H4025" t="s">
        <v>107</v>
      </c>
      <c r="I4025" t="s">
        <v>104</v>
      </c>
      <c r="J4025">
        <v>54568.91</v>
      </c>
      <c r="K4025">
        <v>10000000</v>
      </c>
    </row>
    <row r="4026" spans="1:11" ht="15" customHeight="1" x14ac:dyDescent="0.2">
      <c r="A4026" t="s">
        <v>5739</v>
      </c>
      <c r="B4026" t="s">
        <v>7019</v>
      </c>
      <c r="C4026">
        <v>2024</v>
      </c>
      <c r="D4026">
        <v>2024</v>
      </c>
      <c r="E4026" s="7">
        <v>45580</v>
      </c>
      <c r="F4026" s="7">
        <v>45944</v>
      </c>
      <c r="G4026" t="s">
        <v>135</v>
      </c>
      <c r="H4026" t="s">
        <v>108</v>
      </c>
      <c r="I4026" t="s">
        <v>101</v>
      </c>
      <c r="J4026">
        <v>4533.42</v>
      </c>
      <c r="K4026">
        <v>500000</v>
      </c>
    </row>
    <row r="4027" spans="1:11" ht="15" customHeight="1" x14ac:dyDescent="0.2">
      <c r="A4027" t="s">
        <v>5740</v>
      </c>
      <c r="B4027" t="s">
        <v>1057</v>
      </c>
      <c r="C4027">
        <v>2024</v>
      </c>
      <c r="D4027">
        <v>2024</v>
      </c>
      <c r="E4027" s="7">
        <v>45580</v>
      </c>
      <c r="F4027" s="7">
        <v>45944</v>
      </c>
      <c r="G4027" t="s">
        <v>135</v>
      </c>
      <c r="H4027" t="s">
        <v>109</v>
      </c>
      <c r="I4027" t="s">
        <v>104</v>
      </c>
      <c r="J4027">
        <v>11611.89</v>
      </c>
      <c r="K4027">
        <v>2000000</v>
      </c>
    </row>
    <row r="4028" spans="1:11" ht="15" customHeight="1" x14ac:dyDescent="0.2">
      <c r="A4028" t="s">
        <v>5741</v>
      </c>
      <c r="B4028" t="s">
        <v>7018</v>
      </c>
      <c r="C4028">
        <v>2024</v>
      </c>
      <c r="D4028">
        <v>2024</v>
      </c>
      <c r="E4028" s="7">
        <v>45580</v>
      </c>
      <c r="F4028" s="7">
        <v>45944</v>
      </c>
      <c r="G4028" t="s">
        <v>135</v>
      </c>
      <c r="H4028" t="s">
        <v>102</v>
      </c>
      <c r="I4028" t="s">
        <v>101</v>
      </c>
      <c r="J4028">
        <v>37317.089999999997</v>
      </c>
      <c r="K4028">
        <v>5000000</v>
      </c>
    </row>
    <row r="4029" spans="1:11" ht="15" customHeight="1" x14ac:dyDescent="0.2">
      <c r="A4029" t="s">
        <v>5742</v>
      </c>
      <c r="B4029" t="s">
        <v>9185</v>
      </c>
      <c r="C4029">
        <v>2024</v>
      </c>
      <c r="D4029">
        <v>2024</v>
      </c>
      <c r="E4029" s="7">
        <v>45580</v>
      </c>
      <c r="F4029" s="7">
        <v>45944</v>
      </c>
      <c r="G4029" t="s">
        <v>135</v>
      </c>
      <c r="H4029" t="s">
        <v>108</v>
      </c>
      <c r="I4029" t="s">
        <v>104</v>
      </c>
      <c r="J4029">
        <v>7411.09</v>
      </c>
      <c r="K4029">
        <v>1000000</v>
      </c>
    </row>
    <row r="4030" spans="1:11" ht="15" customHeight="1" x14ac:dyDescent="0.2">
      <c r="A4030" t="s">
        <v>5743</v>
      </c>
      <c r="B4030" t="s">
        <v>7156</v>
      </c>
      <c r="C4030">
        <v>2024</v>
      </c>
      <c r="D4030">
        <v>2024</v>
      </c>
      <c r="E4030" s="7">
        <v>45580</v>
      </c>
      <c r="F4030" s="7">
        <v>45944</v>
      </c>
      <c r="G4030" t="s">
        <v>135</v>
      </c>
      <c r="H4030" t="s">
        <v>115</v>
      </c>
      <c r="I4030" t="s">
        <v>104</v>
      </c>
      <c r="J4030">
        <v>3020.14</v>
      </c>
      <c r="K4030">
        <v>500000</v>
      </c>
    </row>
    <row r="4031" spans="1:11" ht="15" customHeight="1" x14ac:dyDescent="0.2">
      <c r="A4031" t="s">
        <v>5744</v>
      </c>
      <c r="B4031" t="s">
        <v>9186</v>
      </c>
      <c r="C4031">
        <v>2024</v>
      </c>
      <c r="D4031">
        <v>2024</v>
      </c>
      <c r="E4031" s="7">
        <v>45580</v>
      </c>
      <c r="F4031" s="7">
        <v>45944</v>
      </c>
      <c r="G4031" t="s">
        <v>135</v>
      </c>
      <c r="H4031" t="s">
        <v>107</v>
      </c>
      <c r="I4031" t="s">
        <v>101</v>
      </c>
      <c r="J4031">
        <v>7597.69</v>
      </c>
      <c r="K4031">
        <v>1000000</v>
      </c>
    </row>
    <row r="4032" spans="1:11" ht="15" customHeight="1" x14ac:dyDescent="0.2">
      <c r="A4032" t="s">
        <v>5745</v>
      </c>
      <c r="B4032" t="s">
        <v>9187</v>
      </c>
      <c r="C4032">
        <v>2024</v>
      </c>
      <c r="D4032">
        <v>2024</v>
      </c>
      <c r="E4032" s="7">
        <v>45580</v>
      </c>
      <c r="F4032" s="7">
        <v>45944</v>
      </c>
      <c r="G4032" t="s">
        <v>135</v>
      </c>
      <c r="H4032" t="s">
        <v>114</v>
      </c>
      <c r="I4032" t="s">
        <v>104</v>
      </c>
      <c r="J4032">
        <v>5982.68</v>
      </c>
      <c r="K4032">
        <v>1000000</v>
      </c>
    </row>
    <row r="4033" spans="1:11" ht="15" customHeight="1" x14ac:dyDescent="0.2">
      <c r="A4033" t="s">
        <v>5746</v>
      </c>
      <c r="B4033" t="s">
        <v>4386</v>
      </c>
      <c r="C4033">
        <v>2024</v>
      </c>
      <c r="D4033">
        <v>2024</v>
      </c>
      <c r="E4033" s="7">
        <v>45581</v>
      </c>
      <c r="F4033" s="7">
        <v>45945</v>
      </c>
      <c r="G4033" t="s">
        <v>99</v>
      </c>
      <c r="H4033" t="s">
        <v>102</v>
      </c>
      <c r="I4033" t="s">
        <v>101</v>
      </c>
      <c r="J4033">
        <v>72047.98</v>
      </c>
      <c r="K4033">
        <v>10000000</v>
      </c>
    </row>
    <row r="4034" spans="1:11" ht="15" customHeight="1" x14ac:dyDescent="0.2">
      <c r="A4034" t="s">
        <v>5747</v>
      </c>
      <c r="B4034" t="s">
        <v>4388</v>
      </c>
      <c r="C4034">
        <v>2024</v>
      </c>
      <c r="D4034">
        <v>2024</v>
      </c>
      <c r="E4034" s="7">
        <v>45581</v>
      </c>
      <c r="F4034" s="7">
        <v>45945</v>
      </c>
      <c r="G4034" t="s">
        <v>99</v>
      </c>
      <c r="H4034" t="s">
        <v>105</v>
      </c>
      <c r="I4034" t="s">
        <v>104</v>
      </c>
      <c r="J4034">
        <v>5249.83</v>
      </c>
      <c r="K4034">
        <v>1000000</v>
      </c>
    </row>
    <row r="4035" spans="1:11" ht="15" customHeight="1" x14ac:dyDescent="0.2">
      <c r="A4035" t="s">
        <v>5748</v>
      </c>
      <c r="B4035" t="s">
        <v>4403</v>
      </c>
      <c r="C4035">
        <v>2024</v>
      </c>
      <c r="D4035">
        <v>2024</v>
      </c>
      <c r="E4035" s="7">
        <v>45581</v>
      </c>
      <c r="F4035" s="7">
        <v>45945</v>
      </c>
      <c r="G4035" t="s">
        <v>99</v>
      </c>
      <c r="H4035" t="s">
        <v>105</v>
      </c>
      <c r="I4035" t="s">
        <v>101</v>
      </c>
      <c r="J4035">
        <v>7828.15</v>
      </c>
      <c r="K4035">
        <v>1000000</v>
      </c>
    </row>
    <row r="4036" spans="1:11" ht="15" customHeight="1" x14ac:dyDescent="0.2">
      <c r="A4036" t="s">
        <v>5749</v>
      </c>
      <c r="B4036" t="s">
        <v>9188</v>
      </c>
      <c r="C4036">
        <v>2024</v>
      </c>
      <c r="D4036">
        <v>2024</v>
      </c>
      <c r="E4036" s="7">
        <v>45581</v>
      </c>
      <c r="F4036" s="7">
        <v>45945</v>
      </c>
      <c r="G4036" t="s">
        <v>135</v>
      </c>
      <c r="H4036" t="s">
        <v>107</v>
      </c>
      <c r="I4036" t="s">
        <v>101</v>
      </c>
      <c r="J4036">
        <v>13011.65</v>
      </c>
      <c r="K4036">
        <v>2000000</v>
      </c>
    </row>
    <row r="4037" spans="1:11" ht="15" customHeight="1" x14ac:dyDescent="0.2">
      <c r="A4037" t="s">
        <v>5750</v>
      </c>
      <c r="B4037" t="s">
        <v>1062</v>
      </c>
      <c r="C4037">
        <v>2024</v>
      </c>
      <c r="D4037">
        <v>2024</v>
      </c>
      <c r="E4037" s="7">
        <v>45581</v>
      </c>
      <c r="F4037" s="7">
        <v>45945</v>
      </c>
      <c r="G4037" t="s">
        <v>135</v>
      </c>
      <c r="H4037" t="s">
        <v>106</v>
      </c>
      <c r="I4037" t="s">
        <v>104</v>
      </c>
      <c r="J4037">
        <v>77913.02</v>
      </c>
      <c r="K4037">
        <v>10000000</v>
      </c>
    </row>
    <row r="4038" spans="1:11" ht="15" customHeight="1" x14ac:dyDescent="0.2">
      <c r="A4038" t="s">
        <v>5751</v>
      </c>
      <c r="B4038" t="s">
        <v>7161</v>
      </c>
      <c r="C4038">
        <v>2024</v>
      </c>
      <c r="D4038">
        <v>2024</v>
      </c>
      <c r="E4038" s="7">
        <v>45581</v>
      </c>
      <c r="F4038" s="7">
        <v>45945</v>
      </c>
      <c r="G4038" t="s">
        <v>135</v>
      </c>
      <c r="H4038" t="s">
        <v>106</v>
      </c>
      <c r="I4038" t="s">
        <v>104</v>
      </c>
      <c r="J4038">
        <v>3748.24</v>
      </c>
      <c r="K4038">
        <v>500000</v>
      </c>
    </row>
    <row r="4039" spans="1:11" ht="15" customHeight="1" x14ac:dyDescent="0.2">
      <c r="A4039" t="s">
        <v>5752</v>
      </c>
      <c r="B4039" t="s">
        <v>632</v>
      </c>
      <c r="C4039">
        <v>2024</v>
      </c>
      <c r="D4039">
        <v>2024</v>
      </c>
      <c r="E4039" s="7">
        <v>45581</v>
      </c>
      <c r="F4039" s="7">
        <v>45945</v>
      </c>
      <c r="G4039" t="s">
        <v>135</v>
      </c>
      <c r="H4039" t="s">
        <v>112</v>
      </c>
      <c r="I4039" t="s">
        <v>101</v>
      </c>
      <c r="J4039">
        <v>12209.56</v>
      </c>
      <c r="K4039">
        <v>1500000</v>
      </c>
    </row>
    <row r="4040" spans="1:11" ht="15" customHeight="1" x14ac:dyDescent="0.2">
      <c r="A4040" t="s">
        <v>5753</v>
      </c>
      <c r="B4040" t="s">
        <v>7017</v>
      </c>
      <c r="C4040">
        <v>2024</v>
      </c>
      <c r="D4040">
        <v>2024</v>
      </c>
      <c r="E4040" s="7">
        <v>45581</v>
      </c>
      <c r="F4040" s="7">
        <v>45945</v>
      </c>
      <c r="G4040" t="s">
        <v>135</v>
      </c>
      <c r="H4040" t="s">
        <v>102</v>
      </c>
      <c r="I4040" t="s">
        <v>101</v>
      </c>
      <c r="J4040">
        <v>6642.11</v>
      </c>
      <c r="K4040">
        <v>1000000</v>
      </c>
    </row>
    <row r="4041" spans="1:11" ht="15" customHeight="1" x14ac:dyDescent="0.2">
      <c r="A4041" t="s">
        <v>5754</v>
      </c>
      <c r="B4041" t="s">
        <v>9189</v>
      </c>
      <c r="C4041">
        <v>2024</v>
      </c>
      <c r="D4041">
        <v>2024</v>
      </c>
      <c r="E4041" s="7">
        <v>45581</v>
      </c>
      <c r="F4041" s="7">
        <v>45945</v>
      </c>
      <c r="G4041" t="s">
        <v>135</v>
      </c>
      <c r="H4041" t="s">
        <v>6348</v>
      </c>
      <c r="I4041" t="s">
        <v>101</v>
      </c>
      <c r="J4041">
        <v>7802.75</v>
      </c>
      <c r="K4041">
        <v>1000000</v>
      </c>
    </row>
    <row r="4042" spans="1:11" ht="15" customHeight="1" x14ac:dyDescent="0.2">
      <c r="A4042" t="s">
        <v>5755</v>
      </c>
      <c r="B4042" t="s">
        <v>1060</v>
      </c>
      <c r="C4042">
        <v>2024</v>
      </c>
      <c r="D4042">
        <v>2024</v>
      </c>
      <c r="E4042" s="7">
        <v>45581</v>
      </c>
      <c r="F4042" s="7">
        <v>45945</v>
      </c>
      <c r="G4042" t="s">
        <v>135</v>
      </c>
      <c r="H4042" t="s">
        <v>106</v>
      </c>
      <c r="I4042" t="s">
        <v>104</v>
      </c>
      <c r="J4042">
        <v>6531.73</v>
      </c>
      <c r="K4042">
        <v>1000000</v>
      </c>
    </row>
    <row r="4043" spans="1:11" ht="15" customHeight="1" x14ac:dyDescent="0.2">
      <c r="A4043" t="s">
        <v>5756</v>
      </c>
      <c r="B4043" t="s">
        <v>9190</v>
      </c>
      <c r="C4043">
        <v>2024</v>
      </c>
      <c r="D4043">
        <v>2024</v>
      </c>
      <c r="E4043" s="7">
        <v>45581</v>
      </c>
      <c r="F4043" s="7">
        <v>45945</v>
      </c>
      <c r="G4043" t="s">
        <v>135</v>
      </c>
      <c r="H4043" t="s">
        <v>109</v>
      </c>
      <c r="I4043" t="s">
        <v>104</v>
      </c>
      <c r="J4043">
        <v>6187.47</v>
      </c>
      <c r="K4043">
        <v>1000000</v>
      </c>
    </row>
    <row r="4044" spans="1:11" ht="15" customHeight="1" x14ac:dyDescent="0.2">
      <c r="A4044" t="s">
        <v>5757</v>
      </c>
      <c r="B4044" t="s">
        <v>9191</v>
      </c>
      <c r="C4044">
        <v>2024</v>
      </c>
      <c r="D4044">
        <v>2024</v>
      </c>
      <c r="E4044" s="7">
        <v>45581</v>
      </c>
      <c r="F4044" s="7">
        <v>45945</v>
      </c>
      <c r="G4044" t="s">
        <v>135</v>
      </c>
      <c r="H4044" t="s">
        <v>105</v>
      </c>
      <c r="I4044" t="s">
        <v>101</v>
      </c>
      <c r="J4044">
        <v>9803.99</v>
      </c>
      <c r="K4044">
        <v>1500000</v>
      </c>
    </row>
    <row r="4045" spans="1:11" ht="15" customHeight="1" x14ac:dyDescent="0.2">
      <c r="A4045" t="s">
        <v>5758</v>
      </c>
      <c r="B4045" t="s">
        <v>9192</v>
      </c>
      <c r="C4045">
        <v>2024</v>
      </c>
      <c r="D4045">
        <v>2024</v>
      </c>
      <c r="E4045" s="7">
        <v>45581</v>
      </c>
      <c r="F4045" s="7">
        <v>45945</v>
      </c>
      <c r="G4045" t="s">
        <v>135</v>
      </c>
      <c r="H4045" t="s">
        <v>113</v>
      </c>
      <c r="I4045" t="s">
        <v>104</v>
      </c>
      <c r="J4045">
        <v>8362.6200000000008</v>
      </c>
      <c r="K4045">
        <v>1500000</v>
      </c>
    </row>
    <row r="4046" spans="1:11" ht="15" customHeight="1" x14ac:dyDescent="0.2">
      <c r="A4046" t="s">
        <v>5759</v>
      </c>
      <c r="B4046" t="s">
        <v>1063</v>
      </c>
      <c r="C4046">
        <v>2024</v>
      </c>
      <c r="D4046">
        <v>2024</v>
      </c>
      <c r="E4046" s="7">
        <v>45581</v>
      </c>
      <c r="F4046" s="7">
        <v>45945</v>
      </c>
      <c r="G4046" t="s">
        <v>135</v>
      </c>
      <c r="H4046" t="s">
        <v>102</v>
      </c>
      <c r="I4046" t="s">
        <v>101</v>
      </c>
      <c r="J4046">
        <v>75592.149999999994</v>
      </c>
      <c r="K4046">
        <v>10000000</v>
      </c>
    </row>
    <row r="4047" spans="1:11" ht="15" customHeight="1" x14ac:dyDescent="0.2">
      <c r="A4047" t="s">
        <v>5760</v>
      </c>
      <c r="B4047" t="s">
        <v>1061</v>
      </c>
      <c r="C4047">
        <v>2024</v>
      </c>
      <c r="D4047">
        <v>2024</v>
      </c>
      <c r="E4047" s="7">
        <v>45581</v>
      </c>
      <c r="F4047" s="7">
        <v>45945</v>
      </c>
      <c r="G4047" t="s">
        <v>135</v>
      </c>
      <c r="H4047" t="s">
        <v>107</v>
      </c>
      <c r="I4047" t="s">
        <v>101</v>
      </c>
      <c r="J4047">
        <v>10638.32</v>
      </c>
      <c r="K4047">
        <v>1500000</v>
      </c>
    </row>
    <row r="4048" spans="1:11" ht="15" customHeight="1" x14ac:dyDescent="0.2">
      <c r="A4048" t="s">
        <v>5761</v>
      </c>
      <c r="B4048" t="s">
        <v>4405</v>
      </c>
      <c r="C4048">
        <v>2024</v>
      </c>
      <c r="D4048">
        <v>2024</v>
      </c>
      <c r="E4048" s="7">
        <v>45582</v>
      </c>
      <c r="F4048" s="7">
        <v>45946</v>
      </c>
      <c r="G4048" t="s">
        <v>99</v>
      </c>
      <c r="H4048" t="s">
        <v>102</v>
      </c>
      <c r="I4048" t="s">
        <v>101</v>
      </c>
      <c r="J4048">
        <v>15248.42</v>
      </c>
      <c r="K4048">
        <v>2000000</v>
      </c>
    </row>
    <row r="4049" spans="1:11" ht="15" customHeight="1" x14ac:dyDescent="0.2">
      <c r="A4049" t="s">
        <v>5762</v>
      </c>
      <c r="B4049" t="s">
        <v>7021</v>
      </c>
      <c r="C4049">
        <v>2024</v>
      </c>
      <c r="D4049">
        <v>2024</v>
      </c>
      <c r="E4049" s="7">
        <v>45582</v>
      </c>
      <c r="F4049" s="7">
        <v>45946</v>
      </c>
      <c r="G4049" t="s">
        <v>135</v>
      </c>
      <c r="H4049" t="s">
        <v>111</v>
      </c>
      <c r="I4049" t="s">
        <v>104</v>
      </c>
      <c r="J4049">
        <v>6279.16</v>
      </c>
      <c r="K4049">
        <v>1000000</v>
      </c>
    </row>
    <row r="4050" spans="1:11" ht="15" customHeight="1" x14ac:dyDescent="0.2">
      <c r="A4050" t="s">
        <v>5763</v>
      </c>
      <c r="B4050" t="s">
        <v>6971</v>
      </c>
      <c r="C4050">
        <v>2024</v>
      </c>
      <c r="D4050">
        <v>2024</v>
      </c>
      <c r="E4050" s="7">
        <v>45582</v>
      </c>
      <c r="F4050" s="7">
        <v>45946</v>
      </c>
      <c r="G4050" t="s">
        <v>135</v>
      </c>
      <c r="H4050" t="s">
        <v>110</v>
      </c>
      <c r="I4050" t="s">
        <v>101</v>
      </c>
      <c r="J4050">
        <v>18982.650000000001</v>
      </c>
      <c r="K4050">
        <v>2000000</v>
      </c>
    </row>
    <row r="4051" spans="1:11" ht="15" customHeight="1" x14ac:dyDescent="0.2">
      <c r="A4051" t="s">
        <v>5764</v>
      </c>
      <c r="B4051" t="s">
        <v>9193</v>
      </c>
      <c r="C4051">
        <v>2024</v>
      </c>
      <c r="D4051">
        <v>2024</v>
      </c>
      <c r="E4051" s="7">
        <v>45582</v>
      </c>
      <c r="F4051" s="7">
        <v>45946</v>
      </c>
      <c r="G4051" t="s">
        <v>135</v>
      </c>
      <c r="H4051" t="s">
        <v>108</v>
      </c>
      <c r="I4051" t="s">
        <v>104</v>
      </c>
      <c r="J4051">
        <v>7632.43</v>
      </c>
      <c r="K4051">
        <v>1000000</v>
      </c>
    </row>
    <row r="4052" spans="1:11" ht="15" customHeight="1" x14ac:dyDescent="0.2">
      <c r="A4052" t="s">
        <v>5765</v>
      </c>
      <c r="B4052" t="s">
        <v>7118</v>
      </c>
      <c r="C4052">
        <v>2024</v>
      </c>
      <c r="D4052">
        <v>2024</v>
      </c>
      <c r="E4052" s="7">
        <v>45582</v>
      </c>
      <c r="F4052" s="7">
        <v>45946</v>
      </c>
      <c r="G4052" t="s">
        <v>135</v>
      </c>
      <c r="H4052" t="s">
        <v>6334</v>
      </c>
      <c r="I4052" t="s">
        <v>104</v>
      </c>
      <c r="J4052">
        <v>11625.58</v>
      </c>
      <c r="K4052">
        <v>2000000</v>
      </c>
    </row>
    <row r="4053" spans="1:11" ht="15" customHeight="1" x14ac:dyDescent="0.2">
      <c r="A4053" t="s">
        <v>5766</v>
      </c>
      <c r="B4053" t="s">
        <v>7040</v>
      </c>
      <c r="C4053">
        <v>2024</v>
      </c>
      <c r="D4053">
        <v>2024</v>
      </c>
      <c r="E4053" s="7">
        <v>45582</v>
      </c>
      <c r="F4053" s="7">
        <v>45946</v>
      </c>
      <c r="G4053" t="s">
        <v>135</v>
      </c>
      <c r="H4053" t="s">
        <v>107</v>
      </c>
      <c r="I4053" t="s">
        <v>101</v>
      </c>
      <c r="J4053">
        <v>7101.36</v>
      </c>
      <c r="K4053">
        <v>1000000</v>
      </c>
    </row>
    <row r="4054" spans="1:11" ht="15" customHeight="1" x14ac:dyDescent="0.2">
      <c r="A4054" t="s">
        <v>5767</v>
      </c>
      <c r="B4054" t="s">
        <v>7114</v>
      </c>
      <c r="C4054">
        <v>2024</v>
      </c>
      <c r="D4054">
        <v>2024</v>
      </c>
      <c r="E4054" s="7">
        <v>45582</v>
      </c>
      <c r="F4054" s="7">
        <v>45946</v>
      </c>
      <c r="G4054" t="s">
        <v>135</v>
      </c>
      <c r="H4054" t="s">
        <v>110</v>
      </c>
      <c r="I4054" t="s">
        <v>101</v>
      </c>
      <c r="J4054">
        <v>18425.38</v>
      </c>
      <c r="K4054">
        <v>2000000</v>
      </c>
    </row>
    <row r="4055" spans="1:11" ht="15" customHeight="1" x14ac:dyDescent="0.2">
      <c r="A4055" t="s">
        <v>5768</v>
      </c>
      <c r="B4055" t="s">
        <v>7020</v>
      </c>
      <c r="C4055">
        <v>2024</v>
      </c>
      <c r="D4055">
        <v>2024</v>
      </c>
      <c r="E4055" s="7">
        <v>45582</v>
      </c>
      <c r="F4055" s="7">
        <v>45946</v>
      </c>
      <c r="G4055" t="s">
        <v>135</v>
      </c>
      <c r="H4055" t="s">
        <v>108</v>
      </c>
      <c r="I4055" t="s">
        <v>104</v>
      </c>
      <c r="J4055">
        <v>7785.98</v>
      </c>
      <c r="K4055">
        <v>1000000</v>
      </c>
    </row>
    <row r="4056" spans="1:11" ht="15" customHeight="1" x14ac:dyDescent="0.2">
      <c r="A4056" t="s">
        <v>5769</v>
      </c>
      <c r="B4056" t="s">
        <v>7081</v>
      </c>
      <c r="C4056">
        <v>2024</v>
      </c>
      <c r="D4056">
        <v>2024</v>
      </c>
      <c r="E4056" s="7">
        <v>45582</v>
      </c>
      <c r="F4056" s="7">
        <v>45946</v>
      </c>
      <c r="G4056" t="s">
        <v>135</v>
      </c>
      <c r="H4056" t="s">
        <v>108</v>
      </c>
      <c r="I4056" t="s">
        <v>104</v>
      </c>
      <c r="J4056">
        <v>13500.57</v>
      </c>
      <c r="K4056">
        <v>2000000</v>
      </c>
    </row>
    <row r="4057" spans="1:11" ht="15" customHeight="1" x14ac:dyDescent="0.2">
      <c r="A4057" t="s">
        <v>5770</v>
      </c>
      <c r="B4057" t="s">
        <v>9194</v>
      </c>
      <c r="C4057">
        <v>2024</v>
      </c>
      <c r="D4057">
        <v>2024</v>
      </c>
      <c r="E4057" s="7">
        <v>45582</v>
      </c>
      <c r="F4057" s="7">
        <v>45946</v>
      </c>
      <c r="G4057" t="s">
        <v>135</v>
      </c>
      <c r="H4057" t="s">
        <v>6332</v>
      </c>
      <c r="I4057" t="s">
        <v>101</v>
      </c>
      <c r="J4057">
        <v>6602.19</v>
      </c>
      <c r="K4057">
        <v>1000000</v>
      </c>
    </row>
    <row r="4058" spans="1:11" ht="15" customHeight="1" x14ac:dyDescent="0.2">
      <c r="A4058" t="s">
        <v>5771</v>
      </c>
      <c r="B4058" t="s">
        <v>9195</v>
      </c>
      <c r="C4058">
        <v>2024</v>
      </c>
      <c r="D4058">
        <v>2024</v>
      </c>
      <c r="E4058" s="7">
        <v>45582</v>
      </c>
      <c r="F4058" s="7">
        <v>45946</v>
      </c>
      <c r="G4058" t="s">
        <v>135</v>
      </c>
      <c r="H4058" t="s">
        <v>102</v>
      </c>
      <c r="I4058" t="s">
        <v>104</v>
      </c>
      <c r="J4058">
        <v>8901.68</v>
      </c>
      <c r="K4058">
        <v>1500000</v>
      </c>
    </row>
    <row r="4059" spans="1:11" ht="15" customHeight="1" x14ac:dyDescent="0.2">
      <c r="A4059" t="s">
        <v>5772</v>
      </c>
      <c r="B4059" t="s">
        <v>9196</v>
      </c>
      <c r="C4059">
        <v>2024</v>
      </c>
      <c r="D4059">
        <v>2024</v>
      </c>
      <c r="E4059" s="7">
        <v>45582</v>
      </c>
      <c r="F4059" s="7">
        <v>45946</v>
      </c>
      <c r="G4059" t="s">
        <v>135</v>
      </c>
      <c r="H4059" t="s">
        <v>102</v>
      </c>
      <c r="I4059" t="s">
        <v>101</v>
      </c>
      <c r="J4059">
        <v>13110.34</v>
      </c>
      <c r="K4059">
        <v>2000000</v>
      </c>
    </row>
    <row r="4060" spans="1:11" ht="15" customHeight="1" x14ac:dyDescent="0.2">
      <c r="A4060" t="s">
        <v>5773</v>
      </c>
      <c r="B4060" t="s">
        <v>9197</v>
      </c>
      <c r="C4060">
        <v>2024</v>
      </c>
      <c r="D4060">
        <v>2024</v>
      </c>
      <c r="E4060" s="7">
        <v>45582</v>
      </c>
      <c r="F4060" s="7">
        <v>45946</v>
      </c>
      <c r="G4060" t="s">
        <v>135</v>
      </c>
      <c r="H4060" t="s">
        <v>112</v>
      </c>
      <c r="I4060" t="s">
        <v>101</v>
      </c>
      <c r="J4060">
        <v>93274.89</v>
      </c>
      <c r="K4060">
        <v>10000000</v>
      </c>
    </row>
    <row r="4061" spans="1:11" ht="15" customHeight="1" x14ac:dyDescent="0.2">
      <c r="A4061" t="s">
        <v>5774</v>
      </c>
      <c r="B4061" t="s">
        <v>4407</v>
      </c>
      <c r="C4061">
        <v>2024</v>
      </c>
      <c r="D4061">
        <v>2024</v>
      </c>
      <c r="E4061" s="7">
        <v>45583</v>
      </c>
      <c r="F4061" s="7">
        <v>45947</v>
      </c>
      <c r="G4061" t="s">
        <v>99</v>
      </c>
      <c r="H4061" t="s">
        <v>102</v>
      </c>
      <c r="I4061" t="s">
        <v>101</v>
      </c>
      <c r="J4061">
        <v>11136.3</v>
      </c>
      <c r="K4061">
        <v>1500000</v>
      </c>
    </row>
    <row r="4062" spans="1:11" ht="15" customHeight="1" x14ac:dyDescent="0.2">
      <c r="A4062" t="s">
        <v>5775</v>
      </c>
      <c r="B4062" t="s">
        <v>4409</v>
      </c>
      <c r="C4062">
        <v>2024</v>
      </c>
      <c r="D4062">
        <v>2024</v>
      </c>
      <c r="E4062" s="7">
        <v>45583</v>
      </c>
      <c r="F4062" s="7">
        <v>45947</v>
      </c>
      <c r="G4062" t="s">
        <v>99</v>
      </c>
      <c r="H4062" t="s">
        <v>107</v>
      </c>
      <c r="I4062" t="s">
        <v>104</v>
      </c>
      <c r="J4062">
        <v>6050.86</v>
      </c>
      <c r="K4062">
        <v>1000000</v>
      </c>
    </row>
    <row r="4063" spans="1:11" ht="15" customHeight="1" x14ac:dyDescent="0.2">
      <c r="A4063" t="s">
        <v>5776</v>
      </c>
      <c r="B4063" t="s">
        <v>388</v>
      </c>
      <c r="C4063">
        <v>2024</v>
      </c>
      <c r="D4063">
        <v>2024</v>
      </c>
      <c r="E4063" s="7">
        <v>45583</v>
      </c>
      <c r="F4063" s="7">
        <v>45947</v>
      </c>
      <c r="G4063" t="s">
        <v>135</v>
      </c>
      <c r="H4063" t="s">
        <v>105</v>
      </c>
      <c r="I4063" t="s">
        <v>104</v>
      </c>
      <c r="J4063">
        <v>5604.77</v>
      </c>
      <c r="K4063">
        <v>1000000</v>
      </c>
    </row>
    <row r="4064" spans="1:11" ht="15" customHeight="1" x14ac:dyDescent="0.2">
      <c r="A4064" t="s">
        <v>5777</v>
      </c>
      <c r="B4064" t="s">
        <v>7080</v>
      </c>
      <c r="C4064">
        <v>2024</v>
      </c>
      <c r="D4064">
        <v>2024</v>
      </c>
      <c r="E4064" s="7">
        <v>45583</v>
      </c>
      <c r="F4064" s="7">
        <v>45947</v>
      </c>
      <c r="G4064" t="s">
        <v>135</v>
      </c>
      <c r="H4064" t="s">
        <v>107</v>
      </c>
      <c r="I4064" t="s">
        <v>101</v>
      </c>
      <c r="J4064">
        <v>10636.45</v>
      </c>
      <c r="K4064">
        <v>1500000</v>
      </c>
    </row>
    <row r="4065" spans="1:11" ht="15" customHeight="1" x14ac:dyDescent="0.2">
      <c r="A4065" t="s">
        <v>5778</v>
      </c>
      <c r="B4065" t="s">
        <v>9198</v>
      </c>
      <c r="C4065">
        <v>2024</v>
      </c>
      <c r="D4065">
        <v>2024</v>
      </c>
      <c r="E4065" s="7">
        <v>45583</v>
      </c>
      <c r="F4065" s="7">
        <v>45947</v>
      </c>
      <c r="G4065" t="s">
        <v>135</v>
      </c>
      <c r="H4065" t="s">
        <v>6337</v>
      </c>
      <c r="I4065" t="s">
        <v>104</v>
      </c>
      <c r="J4065">
        <v>27154.62</v>
      </c>
      <c r="K4065">
        <v>5000000</v>
      </c>
    </row>
    <row r="4066" spans="1:11" ht="15" customHeight="1" x14ac:dyDescent="0.2">
      <c r="A4066" t="s">
        <v>5779</v>
      </c>
      <c r="B4066" t="s">
        <v>9199</v>
      </c>
      <c r="C4066">
        <v>2024</v>
      </c>
      <c r="D4066">
        <v>2024</v>
      </c>
      <c r="E4066" s="7">
        <v>45583</v>
      </c>
      <c r="F4066" s="7">
        <v>45947</v>
      </c>
      <c r="G4066" t="s">
        <v>135</v>
      </c>
      <c r="H4066" t="s">
        <v>6332</v>
      </c>
      <c r="I4066" t="s">
        <v>101</v>
      </c>
      <c r="J4066">
        <v>7600.87</v>
      </c>
      <c r="K4066">
        <v>1000000</v>
      </c>
    </row>
    <row r="4067" spans="1:11" ht="15" customHeight="1" x14ac:dyDescent="0.2">
      <c r="A4067" t="s">
        <v>5780</v>
      </c>
      <c r="B4067" t="s">
        <v>9200</v>
      </c>
      <c r="C4067">
        <v>2024</v>
      </c>
      <c r="D4067">
        <v>2024</v>
      </c>
      <c r="E4067" s="7">
        <v>45583</v>
      </c>
      <c r="F4067" s="7">
        <v>45947</v>
      </c>
      <c r="G4067" t="s">
        <v>135</v>
      </c>
      <c r="H4067" t="s">
        <v>106</v>
      </c>
      <c r="I4067" t="s">
        <v>101</v>
      </c>
      <c r="J4067">
        <v>13117.18</v>
      </c>
      <c r="K4067">
        <v>1500000</v>
      </c>
    </row>
    <row r="4068" spans="1:11" ht="15" customHeight="1" x14ac:dyDescent="0.2">
      <c r="A4068" t="s">
        <v>5781</v>
      </c>
      <c r="B4068" t="s">
        <v>1064</v>
      </c>
      <c r="C4068">
        <v>2024</v>
      </c>
      <c r="D4068">
        <v>2024</v>
      </c>
      <c r="E4068" s="7">
        <v>45583</v>
      </c>
      <c r="F4068" s="7">
        <v>45947</v>
      </c>
      <c r="G4068" t="s">
        <v>135</v>
      </c>
      <c r="H4068" t="s">
        <v>108</v>
      </c>
      <c r="I4068" t="s">
        <v>104</v>
      </c>
      <c r="J4068">
        <v>36689.96</v>
      </c>
      <c r="K4068">
        <v>5000000</v>
      </c>
    </row>
    <row r="4069" spans="1:11" ht="15" customHeight="1" x14ac:dyDescent="0.2">
      <c r="A4069" t="s">
        <v>5782</v>
      </c>
      <c r="B4069" t="s">
        <v>1065</v>
      </c>
      <c r="C4069">
        <v>2024</v>
      </c>
      <c r="D4069">
        <v>2024</v>
      </c>
      <c r="E4069" s="7">
        <v>45583</v>
      </c>
      <c r="F4069" s="7">
        <v>45947</v>
      </c>
      <c r="G4069" t="s">
        <v>135</v>
      </c>
      <c r="H4069" t="s">
        <v>6348</v>
      </c>
      <c r="I4069" t="s">
        <v>101</v>
      </c>
      <c r="J4069">
        <v>32873.18</v>
      </c>
      <c r="K4069">
        <v>5000000</v>
      </c>
    </row>
    <row r="4070" spans="1:11" ht="15" customHeight="1" x14ac:dyDescent="0.2">
      <c r="A4070" t="s">
        <v>5783</v>
      </c>
      <c r="B4070" t="s">
        <v>633</v>
      </c>
      <c r="C4070">
        <v>2024</v>
      </c>
      <c r="D4070">
        <v>2024</v>
      </c>
      <c r="E4070" s="7">
        <v>45583</v>
      </c>
      <c r="F4070" s="7">
        <v>45947</v>
      </c>
      <c r="G4070" t="s">
        <v>135</v>
      </c>
      <c r="H4070" t="s">
        <v>108</v>
      </c>
      <c r="I4070" t="s">
        <v>104</v>
      </c>
      <c r="J4070">
        <v>7632.28</v>
      </c>
      <c r="K4070">
        <v>1000000</v>
      </c>
    </row>
    <row r="4071" spans="1:11" ht="15" customHeight="1" x14ac:dyDescent="0.2">
      <c r="A4071" t="s">
        <v>5784</v>
      </c>
      <c r="B4071" t="s">
        <v>9201</v>
      </c>
      <c r="C4071">
        <v>2024</v>
      </c>
      <c r="D4071">
        <v>2024</v>
      </c>
      <c r="E4071" s="7">
        <v>45583</v>
      </c>
      <c r="F4071" s="7">
        <v>45947</v>
      </c>
      <c r="G4071" t="s">
        <v>135</v>
      </c>
      <c r="H4071" t="s">
        <v>106</v>
      </c>
      <c r="I4071" t="s">
        <v>104</v>
      </c>
      <c r="J4071">
        <v>7846.35</v>
      </c>
      <c r="K4071">
        <v>1000000</v>
      </c>
    </row>
    <row r="4072" spans="1:11" ht="15" customHeight="1" x14ac:dyDescent="0.2">
      <c r="A4072" t="s">
        <v>5785</v>
      </c>
      <c r="B4072" t="s">
        <v>9202</v>
      </c>
      <c r="C4072">
        <v>2024</v>
      </c>
      <c r="D4072">
        <v>2024</v>
      </c>
      <c r="E4072" s="7">
        <v>45583</v>
      </c>
      <c r="F4072" s="7">
        <v>45947</v>
      </c>
      <c r="G4072" t="s">
        <v>135</v>
      </c>
      <c r="H4072" t="s">
        <v>102</v>
      </c>
      <c r="I4072" t="s">
        <v>104</v>
      </c>
      <c r="J4072">
        <v>5889.62</v>
      </c>
      <c r="K4072">
        <v>1000000</v>
      </c>
    </row>
    <row r="4073" spans="1:11" ht="15" customHeight="1" x14ac:dyDescent="0.2">
      <c r="A4073" t="s">
        <v>5786</v>
      </c>
      <c r="B4073" t="s">
        <v>7022</v>
      </c>
      <c r="C4073">
        <v>2024</v>
      </c>
      <c r="D4073">
        <v>2024</v>
      </c>
      <c r="E4073" s="7">
        <v>45583</v>
      </c>
      <c r="F4073" s="7">
        <v>45947</v>
      </c>
      <c r="G4073" t="s">
        <v>135</v>
      </c>
      <c r="H4073" t="s">
        <v>106</v>
      </c>
      <c r="I4073" t="s">
        <v>101</v>
      </c>
      <c r="J4073">
        <v>16771.11</v>
      </c>
      <c r="K4073">
        <v>2000000</v>
      </c>
    </row>
    <row r="4074" spans="1:11" ht="15" customHeight="1" x14ac:dyDescent="0.2">
      <c r="A4074" t="s">
        <v>5787</v>
      </c>
      <c r="B4074" t="s">
        <v>7023</v>
      </c>
      <c r="C4074">
        <v>2024</v>
      </c>
      <c r="D4074">
        <v>2024</v>
      </c>
      <c r="E4074" s="7">
        <v>45583</v>
      </c>
      <c r="F4074" s="7">
        <v>45947</v>
      </c>
      <c r="G4074" t="s">
        <v>135</v>
      </c>
      <c r="H4074" t="s">
        <v>113</v>
      </c>
      <c r="I4074" t="s">
        <v>104</v>
      </c>
      <c r="J4074">
        <v>59587.45</v>
      </c>
      <c r="K4074">
        <v>10000000</v>
      </c>
    </row>
    <row r="4075" spans="1:11" ht="15" customHeight="1" x14ac:dyDescent="0.2">
      <c r="A4075" t="s">
        <v>5788</v>
      </c>
      <c r="B4075" t="s">
        <v>9203</v>
      </c>
      <c r="C4075">
        <v>2024</v>
      </c>
      <c r="D4075">
        <v>2024</v>
      </c>
      <c r="E4075" s="7">
        <v>45583</v>
      </c>
      <c r="F4075" s="7">
        <v>45947</v>
      </c>
      <c r="G4075" t="s">
        <v>135</v>
      </c>
      <c r="H4075" t="s">
        <v>107</v>
      </c>
      <c r="I4075" t="s">
        <v>101</v>
      </c>
      <c r="J4075">
        <v>78717.34</v>
      </c>
      <c r="K4075">
        <v>10000000</v>
      </c>
    </row>
    <row r="4076" spans="1:11" ht="15" customHeight="1" x14ac:dyDescent="0.2">
      <c r="A4076" t="s">
        <v>5789</v>
      </c>
      <c r="B4076" t="s">
        <v>4411</v>
      </c>
      <c r="C4076">
        <v>2024</v>
      </c>
      <c r="D4076">
        <v>2024</v>
      </c>
      <c r="E4076" s="7">
        <v>45584</v>
      </c>
      <c r="F4076" s="7">
        <v>45948</v>
      </c>
      <c r="G4076" t="s">
        <v>99</v>
      </c>
      <c r="H4076" t="s">
        <v>108</v>
      </c>
      <c r="I4076" t="s">
        <v>104</v>
      </c>
      <c r="J4076">
        <v>3438.25</v>
      </c>
      <c r="K4076">
        <v>500000</v>
      </c>
    </row>
    <row r="4077" spans="1:11" ht="15" customHeight="1" x14ac:dyDescent="0.2">
      <c r="A4077" t="s">
        <v>5790</v>
      </c>
      <c r="B4077" t="s">
        <v>4413</v>
      </c>
      <c r="C4077">
        <v>2024</v>
      </c>
      <c r="D4077">
        <v>2024</v>
      </c>
      <c r="E4077" s="7">
        <v>45584</v>
      </c>
      <c r="F4077" s="7">
        <v>45948</v>
      </c>
      <c r="G4077" t="s">
        <v>99</v>
      </c>
      <c r="H4077" t="s">
        <v>110</v>
      </c>
      <c r="I4077" t="s">
        <v>101</v>
      </c>
      <c r="J4077">
        <v>16677.55</v>
      </c>
      <c r="K4077">
        <v>2000000</v>
      </c>
    </row>
    <row r="4078" spans="1:11" ht="15" customHeight="1" x14ac:dyDescent="0.2">
      <c r="A4078" t="s">
        <v>5791</v>
      </c>
      <c r="B4078" t="s">
        <v>223</v>
      </c>
      <c r="C4078">
        <v>2024</v>
      </c>
      <c r="D4078">
        <v>2024</v>
      </c>
      <c r="E4078" s="7">
        <v>45584</v>
      </c>
      <c r="F4078" s="7">
        <v>45948</v>
      </c>
      <c r="G4078" t="s">
        <v>135</v>
      </c>
      <c r="H4078" t="s">
        <v>6334</v>
      </c>
      <c r="I4078" t="s">
        <v>104</v>
      </c>
      <c r="J4078">
        <v>8492.6200000000008</v>
      </c>
      <c r="K4078">
        <v>1500000</v>
      </c>
    </row>
    <row r="4079" spans="1:11" ht="15" customHeight="1" x14ac:dyDescent="0.2">
      <c r="A4079" t="s">
        <v>5792</v>
      </c>
      <c r="B4079" t="s">
        <v>7026</v>
      </c>
      <c r="C4079">
        <v>2024</v>
      </c>
      <c r="D4079">
        <v>2024</v>
      </c>
      <c r="E4079" s="7">
        <v>45584</v>
      </c>
      <c r="F4079" s="7">
        <v>45948</v>
      </c>
      <c r="G4079" t="s">
        <v>135</v>
      </c>
      <c r="H4079" t="s">
        <v>107</v>
      </c>
      <c r="I4079" t="s">
        <v>101</v>
      </c>
      <c r="J4079">
        <v>6564.35</v>
      </c>
      <c r="K4079">
        <v>1000000</v>
      </c>
    </row>
    <row r="4080" spans="1:11" ht="15" customHeight="1" x14ac:dyDescent="0.2">
      <c r="A4080" t="s">
        <v>5793</v>
      </c>
      <c r="B4080" t="s">
        <v>390</v>
      </c>
      <c r="C4080">
        <v>2024</v>
      </c>
      <c r="D4080">
        <v>2024</v>
      </c>
      <c r="E4080" s="7">
        <v>45584</v>
      </c>
      <c r="F4080" s="7">
        <v>45948</v>
      </c>
      <c r="G4080" t="s">
        <v>135</v>
      </c>
      <c r="H4080" t="s">
        <v>103</v>
      </c>
      <c r="I4080" t="s">
        <v>104</v>
      </c>
      <c r="J4080">
        <v>25930.41</v>
      </c>
      <c r="K4080">
        <v>5000000</v>
      </c>
    </row>
    <row r="4081" spans="1:11" ht="15" customHeight="1" x14ac:dyDescent="0.2">
      <c r="A4081" t="s">
        <v>5794</v>
      </c>
      <c r="B4081" t="s">
        <v>389</v>
      </c>
      <c r="C4081">
        <v>2024</v>
      </c>
      <c r="D4081">
        <v>2024</v>
      </c>
      <c r="E4081" s="7">
        <v>45584</v>
      </c>
      <c r="F4081" s="7">
        <v>45948</v>
      </c>
      <c r="G4081" t="s">
        <v>135</v>
      </c>
      <c r="H4081" t="s">
        <v>6348</v>
      </c>
      <c r="I4081" t="s">
        <v>104</v>
      </c>
      <c r="J4081">
        <v>8194.59</v>
      </c>
      <c r="K4081">
        <v>1500000</v>
      </c>
    </row>
    <row r="4082" spans="1:11" ht="15" customHeight="1" x14ac:dyDescent="0.2">
      <c r="A4082" t="s">
        <v>5795</v>
      </c>
      <c r="B4082" t="s">
        <v>1067</v>
      </c>
      <c r="C4082">
        <v>2024</v>
      </c>
      <c r="D4082">
        <v>2024</v>
      </c>
      <c r="E4082" s="7">
        <v>45584</v>
      </c>
      <c r="F4082" s="7">
        <v>45948</v>
      </c>
      <c r="G4082" t="s">
        <v>135</v>
      </c>
      <c r="H4082" t="s">
        <v>106</v>
      </c>
      <c r="I4082" t="s">
        <v>104</v>
      </c>
      <c r="J4082">
        <v>7073.37</v>
      </c>
      <c r="K4082">
        <v>1000000</v>
      </c>
    </row>
    <row r="4083" spans="1:11" ht="15" customHeight="1" x14ac:dyDescent="0.2">
      <c r="A4083" t="s">
        <v>5796</v>
      </c>
      <c r="B4083" t="s">
        <v>7096</v>
      </c>
      <c r="C4083">
        <v>2024</v>
      </c>
      <c r="D4083">
        <v>2024</v>
      </c>
      <c r="E4083" s="7">
        <v>45584</v>
      </c>
      <c r="F4083" s="7">
        <v>45948</v>
      </c>
      <c r="G4083" t="s">
        <v>135</v>
      </c>
      <c r="H4083" t="s">
        <v>102</v>
      </c>
      <c r="I4083" t="s">
        <v>104</v>
      </c>
      <c r="J4083">
        <v>9429.48</v>
      </c>
      <c r="K4083">
        <v>1500000</v>
      </c>
    </row>
    <row r="4084" spans="1:11" ht="15" customHeight="1" x14ac:dyDescent="0.2">
      <c r="A4084" t="s">
        <v>5797</v>
      </c>
      <c r="B4084" t="s">
        <v>1066</v>
      </c>
      <c r="C4084">
        <v>2024</v>
      </c>
      <c r="D4084">
        <v>2024</v>
      </c>
      <c r="E4084" s="7">
        <v>45584</v>
      </c>
      <c r="F4084" s="7">
        <v>45948</v>
      </c>
      <c r="G4084" t="s">
        <v>135</v>
      </c>
      <c r="H4084" t="s">
        <v>113</v>
      </c>
      <c r="I4084" t="s">
        <v>104</v>
      </c>
      <c r="J4084">
        <v>10741.16</v>
      </c>
      <c r="K4084">
        <v>2000000</v>
      </c>
    </row>
    <row r="4085" spans="1:11" ht="15" customHeight="1" x14ac:dyDescent="0.2">
      <c r="A4085" t="s">
        <v>5798</v>
      </c>
      <c r="B4085" t="s">
        <v>7042</v>
      </c>
      <c r="C4085">
        <v>2024</v>
      </c>
      <c r="D4085">
        <v>2024</v>
      </c>
      <c r="E4085" s="7">
        <v>45584</v>
      </c>
      <c r="F4085" s="7">
        <v>45948</v>
      </c>
      <c r="G4085" t="s">
        <v>135</v>
      </c>
      <c r="H4085" t="s">
        <v>102</v>
      </c>
      <c r="I4085" t="s">
        <v>104</v>
      </c>
      <c r="J4085">
        <v>6203.41</v>
      </c>
      <c r="K4085">
        <v>1000000</v>
      </c>
    </row>
    <row r="4086" spans="1:11" ht="15" customHeight="1" x14ac:dyDescent="0.2">
      <c r="A4086" t="s">
        <v>5799</v>
      </c>
      <c r="B4086" t="s">
        <v>9204</v>
      </c>
      <c r="C4086">
        <v>2024</v>
      </c>
      <c r="D4086">
        <v>2024</v>
      </c>
      <c r="E4086" s="7">
        <v>45584</v>
      </c>
      <c r="F4086" s="7">
        <v>45948</v>
      </c>
      <c r="G4086" t="s">
        <v>135</v>
      </c>
      <c r="H4086" t="s">
        <v>110</v>
      </c>
      <c r="I4086" t="s">
        <v>104</v>
      </c>
      <c r="J4086">
        <v>7870.14</v>
      </c>
      <c r="K4086">
        <v>1000000</v>
      </c>
    </row>
    <row r="4087" spans="1:11" ht="15" customHeight="1" x14ac:dyDescent="0.2">
      <c r="A4087" t="s">
        <v>5800</v>
      </c>
      <c r="B4087" t="s">
        <v>7123</v>
      </c>
      <c r="C4087">
        <v>2024</v>
      </c>
      <c r="D4087">
        <v>2024</v>
      </c>
      <c r="E4087" s="7">
        <v>45584</v>
      </c>
      <c r="F4087" s="7">
        <v>45948</v>
      </c>
      <c r="G4087" t="s">
        <v>135</v>
      </c>
      <c r="H4087" t="s">
        <v>106</v>
      </c>
      <c r="I4087" t="s">
        <v>104</v>
      </c>
      <c r="J4087">
        <v>6461.42</v>
      </c>
      <c r="K4087">
        <v>1000000</v>
      </c>
    </row>
    <row r="4088" spans="1:11" ht="15" customHeight="1" x14ac:dyDescent="0.2">
      <c r="A4088" t="s">
        <v>5801</v>
      </c>
      <c r="B4088" t="s">
        <v>4415</v>
      </c>
      <c r="C4088">
        <v>2024</v>
      </c>
      <c r="D4088">
        <v>2024</v>
      </c>
      <c r="E4088" s="7">
        <v>45585</v>
      </c>
      <c r="F4088" s="7">
        <v>45949</v>
      </c>
      <c r="G4088" t="s">
        <v>99</v>
      </c>
      <c r="H4088" t="s">
        <v>102</v>
      </c>
      <c r="I4088" t="s">
        <v>101</v>
      </c>
      <c r="J4088">
        <v>7654.14</v>
      </c>
      <c r="K4088">
        <v>1000000</v>
      </c>
    </row>
    <row r="4089" spans="1:11" ht="15" customHeight="1" x14ac:dyDescent="0.2">
      <c r="A4089" t="s">
        <v>5802</v>
      </c>
      <c r="B4089" t="s">
        <v>4417</v>
      </c>
      <c r="C4089">
        <v>2024</v>
      </c>
      <c r="D4089">
        <v>2024</v>
      </c>
      <c r="E4089" s="7">
        <v>45585</v>
      </c>
      <c r="F4089" s="7">
        <v>45949</v>
      </c>
      <c r="G4089" t="s">
        <v>99</v>
      </c>
      <c r="H4089" t="s">
        <v>102</v>
      </c>
      <c r="I4089" t="s">
        <v>101</v>
      </c>
      <c r="J4089">
        <v>7170.93</v>
      </c>
      <c r="K4089">
        <v>1000000</v>
      </c>
    </row>
    <row r="4090" spans="1:11" ht="15" customHeight="1" x14ac:dyDescent="0.2">
      <c r="A4090" t="s">
        <v>5803</v>
      </c>
      <c r="B4090" t="s">
        <v>4429</v>
      </c>
      <c r="C4090">
        <v>2024</v>
      </c>
      <c r="D4090">
        <v>2024</v>
      </c>
      <c r="E4090" s="7">
        <v>45585</v>
      </c>
      <c r="F4090" s="7">
        <v>45949</v>
      </c>
      <c r="G4090" t="s">
        <v>99</v>
      </c>
      <c r="H4090" t="s">
        <v>108</v>
      </c>
      <c r="I4090" t="s">
        <v>104</v>
      </c>
      <c r="J4090">
        <v>6548.58</v>
      </c>
      <c r="K4090">
        <v>1000000</v>
      </c>
    </row>
    <row r="4091" spans="1:11" ht="15" customHeight="1" x14ac:dyDescent="0.2">
      <c r="A4091" t="s">
        <v>5804</v>
      </c>
      <c r="B4091" t="s">
        <v>4431</v>
      </c>
      <c r="C4091">
        <v>2024</v>
      </c>
      <c r="D4091">
        <v>2024</v>
      </c>
      <c r="E4091" s="7">
        <v>45585</v>
      </c>
      <c r="F4091" s="7">
        <v>45949</v>
      </c>
      <c r="G4091" t="s">
        <v>99</v>
      </c>
      <c r="H4091" t="s">
        <v>113</v>
      </c>
      <c r="I4091" t="s">
        <v>101</v>
      </c>
      <c r="J4091">
        <v>15585.46</v>
      </c>
      <c r="K4091">
        <v>2000000</v>
      </c>
    </row>
    <row r="4092" spans="1:11" ht="15" customHeight="1" x14ac:dyDescent="0.2">
      <c r="A4092" t="s">
        <v>5805</v>
      </c>
      <c r="B4092" t="s">
        <v>1070</v>
      </c>
      <c r="C4092">
        <v>2024</v>
      </c>
      <c r="D4092">
        <v>2024</v>
      </c>
      <c r="E4092" s="7">
        <v>45585</v>
      </c>
      <c r="F4092" s="7">
        <v>45949</v>
      </c>
      <c r="G4092" t="s">
        <v>135</v>
      </c>
      <c r="H4092" t="s">
        <v>107</v>
      </c>
      <c r="I4092" t="s">
        <v>101</v>
      </c>
      <c r="J4092">
        <v>73964.55</v>
      </c>
      <c r="K4092">
        <v>10000000</v>
      </c>
    </row>
    <row r="4093" spans="1:11" ht="15" customHeight="1" x14ac:dyDescent="0.2">
      <c r="A4093" t="s">
        <v>5806</v>
      </c>
      <c r="B4093" t="s">
        <v>391</v>
      </c>
      <c r="C4093">
        <v>2024</v>
      </c>
      <c r="D4093">
        <v>2024</v>
      </c>
      <c r="E4093" s="7">
        <v>45585</v>
      </c>
      <c r="F4093" s="7">
        <v>45949</v>
      </c>
      <c r="G4093" t="s">
        <v>135</v>
      </c>
      <c r="H4093" t="s">
        <v>108</v>
      </c>
      <c r="I4093" t="s">
        <v>104</v>
      </c>
      <c r="J4093">
        <v>6527.29</v>
      </c>
      <c r="K4093">
        <v>1000000</v>
      </c>
    </row>
    <row r="4094" spans="1:11" ht="15" customHeight="1" x14ac:dyDescent="0.2">
      <c r="A4094" t="s">
        <v>5807</v>
      </c>
      <c r="B4094" t="s">
        <v>1068</v>
      </c>
      <c r="C4094">
        <v>2024</v>
      </c>
      <c r="D4094">
        <v>2024</v>
      </c>
      <c r="E4094" s="7">
        <v>45585</v>
      </c>
      <c r="F4094" s="7">
        <v>45949</v>
      </c>
      <c r="G4094" t="s">
        <v>135</v>
      </c>
      <c r="H4094" t="s">
        <v>113</v>
      </c>
      <c r="I4094" t="s">
        <v>101</v>
      </c>
      <c r="J4094">
        <v>77054.080000000002</v>
      </c>
      <c r="K4094">
        <v>10000000</v>
      </c>
    </row>
    <row r="4095" spans="1:11" ht="15" customHeight="1" x14ac:dyDescent="0.2">
      <c r="A4095" t="s">
        <v>5808</v>
      </c>
      <c r="B4095" t="s">
        <v>9205</v>
      </c>
      <c r="C4095">
        <v>2024</v>
      </c>
      <c r="D4095">
        <v>2024</v>
      </c>
      <c r="E4095" s="7">
        <v>45585</v>
      </c>
      <c r="F4095" s="7">
        <v>45949</v>
      </c>
      <c r="G4095" t="s">
        <v>135</v>
      </c>
      <c r="H4095" t="s">
        <v>100</v>
      </c>
      <c r="I4095" t="s">
        <v>104</v>
      </c>
      <c r="J4095">
        <v>27361.01</v>
      </c>
      <c r="K4095">
        <v>5000000</v>
      </c>
    </row>
    <row r="4096" spans="1:11" ht="15" customHeight="1" x14ac:dyDescent="0.2">
      <c r="A4096" t="s">
        <v>5809</v>
      </c>
      <c r="B4096" t="s">
        <v>9206</v>
      </c>
      <c r="C4096">
        <v>2024</v>
      </c>
      <c r="D4096">
        <v>2024</v>
      </c>
      <c r="E4096" s="7">
        <v>45585</v>
      </c>
      <c r="F4096" s="7">
        <v>45949</v>
      </c>
      <c r="G4096" t="s">
        <v>135</v>
      </c>
      <c r="H4096" t="s">
        <v>113</v>
      </c>
      <c r="I4096" t="s">
        <v>104</v>
      </c>
      <c r="J4096">
        <v>59255.16</v>
      </c>
      <c r="K4096">
        <v>10000000</v>
      </c>
    </row>
    <row r="4097" spans="1:11" ht="15" customHeight="1" x14ac:dyDescent="0.2">
      <c r="A4097" t="s">
        <v>5810</v>
      </c>
      <c r="B4097" t="s">
        <v>9207</v>
      </c>
      <c r="C4097">
        <v>2024</v>
      </c>
      <c r="D4097">
        <v>2024</v>
      </c>
      <c r="E4097" s="7">
        <v>45585</v>
      </c>
      <c r="F4097" s="7">
        <v>45949</v>
      </c>
      <c r="G4097" t="s">
        <v>135</v>
      </c>
      <c r="H4097" t="s">
        <v>107</v>
      </c>
      <c r="I4097" t="s">
        <v>101</v>
      </c>
      <c r="J4097">
        <v>15284.72</v>
      </c>
      <c r="K4097">
        <v>2000000</v>
      </c>
    </row>
    <row r="4098" spans="1:11" ht="15" customHeight="1" x14ac:dyDescent="0.2">
      <c r="A4098" t="s">
        <v>5811</v>
      </c>
      <c r="B4098" t="s">
        <v>9208</v>
      </c>
      <c r="C4098">
        <v>2024</v>
      </c>
      <c r="D4098">
        <v>2024</v>
      </c>
      <c r="E4098" s="7">
        <v>45585</v>
      </c>
      <c r="F4098" s="7">
        <v>45949</v>
      </c>
      <c r="G4098" t="s">
        <v>135</v>
      </c>
      <c r="H4098" t="s">
        <v>102</v>
      </c>
      <c r="I4098" t="s">
        <v>104</v>
      </c>
      <c r="J4098">
        <v>9123.34</v>
      </c>
      <c r="K4098">
        <v>1500000</v>
      </c>
    </row>
    <row r="4099" spans="1:11" ht="15" customHeight="1" x14ac:dyDescent="0.2">
      <c r="A4099" t="s">
        <v>5812</v>
      </c>
      <c r="B4099" t="s">
        <v>1069</v>
      </c>
      <c r="C4099">
        <v>2024</v>
      </c>
      <c r="D4099">
        <v>2024</v>
      </c>
      <c r="E4099" s="7">
        <v>45585</v>
      </c>
      <c r="F4099" s="7">
        <v>45949</v>
      </c>
      <c r="G4099" t="s">
        <v>135</v>
      </c>
      <c r="H4099" t="s">
        <v>110</v>
      </c>
      <c r="I4099" t="s">
        <v>101</v>
      </c>
      <c r="J4099">
        <v>12953.64</v>
      </c>
      <c r="K4099">
        <v>1500000</v>
      </c>
    </row>
    <row r="4100" spans="1:11" ht="15" customHeight="1" x14ac:dyDescent="0.2">
      <c r="A4100" t="s">
        <v>5813</v>
      </c>
      <c r="B4100" t="s">
        <v>392</v>
      </c>
      <c r="C4100">
        <v>2024</v>
      </c>
      <c r="D4100">
        <v>2024</v>
      </c>
      <c r="E4100" s="7">
        <v>45585</v>
      </c>
      <c r="F4100" s="7">
        <v>45949</v>
      </c>
      <c r="G4100" t="s">
        <v>135</v>
      </c>
      <c r="H4100" t="s">
        <v>102</v>
      </c>
      <c r="I4100" t="s">
        <v>104</v>
      </c>
      <c r="J4100">
        <v>5443.13</v>
      </c>
      <c r="K4100">
        <v>1000000</v>
      </c>
    </row>
    <row r="4101" spans="1:11" ht="15" customHeight="1" x14ac:dyDescent="0.2">
      <c r="A4101" t="s">
        <v>5814</v>
      </c>
      <c r="B4101" t="s">
        <v>9209</v>
      </c>
      <c r="C4101">
        <v>2024</v>
      </c>
      <c r="D4101">
        <v>2024</v>
      </c>
      <c r="E4101" s="7">
        <v>45585</v>
      </c>
      <c r="F4101" s="7">
        <v>45949</v>
      </c>
      <c r="G4101" t="s">
        <v>135</v>
      </c>
      <c r="H4101" t="s">
        <v>109</v>
      </c>
      <c r="I4101" t="s">
        <v>101</v>
      </c>
      <c r="J4101">
        <v>6818.82</v>
      </c>
      <c r="K4101">
        <v>1000000</v>
      </c>
    </row>
    <row r="4102" spans="1:11" ht="15" customHeight="1" x14ac:dyDescent="0.2">
      <c r="A4102" t="s">
        <v>5815</v>
      </c>
      <c r="B4102" t="s">
        <v>4433</v>
      </c>
      <c r="C4102">
        <v>2024</v>
      </c>
      <c r="D4102">
        <v>2024</v>
      </c>
      <c r="E4102" s="7">
        <v>45586</v>
      </c>
      <c r="F4102" s="7">
        <v>45950</v>
      </c>
      <c r="G4102" t="s">
        <v>99</v>
      </c>
      <c r="H4102" t="s">
        <v>107</v>
      </c>
      <c r="I4102" t="s">
        <v>104</v>
      </c>
      <c r="J4102">
        <v>12368.67</v>
      </c>
      <c r="K4102">
        <v>2000000</v>
      </c>
    </row>
    <row r="4103" spans="1:11" ht="15" customHeight="1" x14ac:dyDescent="0.2">
      <c r="A4103" t="s">
        <v>5816</v>
      </c>
      <c r="B4103" t="s">
        <v>7029</v>
      </c>
      <c r="C4103">
        <v>2024</v>
      </c>
      <c r="D4103">
        <v>2024</v>
      </c>
      <c r="E4103" s="7">
        <v>45586</v>
      </c>
      <c r="F4103" s="7">
        <v>45950</v>
      </c>
      <c r="G4103" t="s">
        <v>135</v>
      </c>
      <c r="H4103" t="s">
        <v>107</v>
      </c>
      <c r="I4103" t="s">
        <v>104</v>
      </c>
      <c r="J4103">
        <v>5334.64</v>
      </c>
      <c r="K4103">
        <v>1000000</v>
      </c>
    </row>
    <row r="4104" spans="1:11" ht="15" customHeight="1" x14ac:dyDescent="0.2">
      <c r="A4104" t="s">
        <v>5817</v>
      </c>
      <c r="B4104" t="s">
        <v>9210</v>
      </c>
      <c r="C4104">
        <v>2024</v>
      </c>
      <c r="D4104">
        <v>2024</v>
      </c>
      <c r="E4104" s="7">
        <v>45586</v>
      </c>
      <c r="F4104" s="7">
        <v>45950</v>
      </c>
      <c r="G4104" t="s">
        <v>135</v>
      </c>
      <c r="H4104" t="s">
        <v>107</v>
      </c>
      <c r="I4104" t="s">
        <v>101</v>
      </c>
      <c r="J4104">
        <v>38682.199999999997</v>
      </c>
      <c r="K4104">
        <v>5000000</v>
      </c>
    </row>
    <row r="4105" spans="1:11" ht="15" customHeight="1" x14ac:dyDescent="0.2">
      <c r="A4105" t="s">
        <v>5818</v>
      </c>
      <c r="B4105" t="s">
        <v>131</v>
      </c>
      <c r="C4105">
        <v>2024</v>
      </c>
      <c r="D4105">
        <v>2024</v>
      </c>
      <c r="E4105" s="7">
        <v>45586</v>
      </c>
      <c r="F4105" s="7">
        <v>45950</v>
      </c>
      <c r="G4105" t="s">
        <v>135</v>
      </c>
      <c r="H4105" t="s">
        <v>108</v>
      </c>
      <c r="I4105" t="s">
        <v>101</v>
      </c>
      <c r="J4105">
        <v>8194.1299999999992</v>
      </c>
      <c r="K4105">
        <v>1000000</v>
      </c>
    </row>
    <row r="4106" spans="1:11" ht="15" customHeight="1" x14ac:dyDescent="0.2">
      <c r="A4106" t="s">
        <v>5819</v>
      </c>
      <c r="B4106" t="s">
        <v>9211</v>
      </c>
      <c r="C4106">
        <v>2024</v>
      </c>
      <c r="D4106">
        <v>2024</v>
      </c>
      <c r="E4106" s="7">
        <v>45586</v>
      </c>
      <c r="F4106" s="7">
        <v>45950</v>
      </c>
      <c r="G4106" t="s">
        <v>135</v>
      </c>
      <c r="H4106" t="s">
        <v>108</v>
      </c>
      <c r="I4106" t="s">
        <v>104</v>
      </c>
      <c r="J4106">
        <v>15365.87</v>
      </c>
      <c r="K4106">
        <v>2000000</v>
      </c>
    </row>
    <row r="4107" spans="1:11" ht="15" customHeight="1" x14ac:dyDescent="0.2">
      <c r="A4107" t="s">
        <v>5820</v>
      </c>
      <c r="B4107" t="s">
        <v>393</v>
      </c>
      <c r="C4107">
        <v>2024</v>
      </c>
      <c r="D4107">
        <v>2024</v>
      </c>
      <c r="E4107" s="7">
        <v>45586</v>
      </c>
      <c r="F4107" s="7">
        <v>45950</v>
      </c>
      <c r="G4107" t="s">
        <v>135</v>
      </c>
      <c r="H4107" t="s">
        <v>102</v>
      </c>
      <c r="I4107" t="s">
        <v>104</v>
      </c>
      <c r="J4107">
        <v>10359.34</v>
      </c>
      <c r="K4107">
        <v>2000000</v>
      </c>
    </row>
    <row r="4108" spans="1:11" ht="15" customHeight="1" x14ac:dyDescent="0.2">
      <c r="A4108" t="s">
        <v>5821</v>
      </c>
      <c r="B4108" t="s">
        <v>7132</v>
      </c>
      <c r="C4108">
        <v>2024</v>
      </c>
      <c r="D4108">
        <v>2024</v>
      </c>
      <c r="E4108" s="7">
        <v>45586</v>
      </c>
      <c r="F4108" s="7">
        <v>45950</v>
      </c>
      <c r="G4108" t="s">
        <v>135</v>
      </c>
      <c r="H4108" t="s">
        <v>111</v>
      </c>
      <c r="I4108" t="s">
        <v>101</v>
      </c>
      <c r="J4108">
        <v>78077.83</v>
      </c>
      <c r="K4108">
        <v>10000000</v>
      </c>
    </row>
    <row r="4109" spans="1:11" ht="15" customHeight="1" x14ac:dyDescent="0.2">
      <c r="A4109" t="s">
        <v>5822</v>
      </c>
      <c r="B4109" t="s">
        <v>1071</v>
      </c>
      <c r="C4109">
        <v>2024</v>
      </c>
      <c r="D4109">
        <v>2024</v>
      </c>
      <c r="E4109" s="7">
        <v>45586</v>
      </c>
      <c r="F4109" s="7">
        <v>45950</v>
      </c>
      <c r="G4109" t="s">
        <v>135</v>
      </c>
      <c r="H4109" t="s">
        <v>102</v>
      </c>
      <c r="I4109" t="s">
        <v>104</v>
      </c>
      <c r="J4109">
        <v>2945.41</v>
      </c>
      <c r="K4109">
        <v>500000</v>
      </c>
    </row>
    <row r="4110" spans="1:11" ht="15" customHeight="1" x14ac:dyDescent="0.2">
      <c r="A4110" t="s">
        <v>5823</v>
      </c>
      <c r="B4110" t="s">
        <v>9212</v>
      </c>
      <c r="C4110">
        <v>2024</v>
      </c>
      <c r="D4110">
        <v>2024</v>
      </c>
      <c r="E4110" s="7">
        <v>45586</v>
      </c>
      <c r="F4110" s="7">
        <v>45950</v>
      </c>
      <c r="G4110" t="s">
        <v>135</v>
      </c>
      <c r="H4110" t="s">
        <v>106</v>
      </c>
      <c r="I4110" t="s">
        <v>104</v>
      </c>
      <c r="J4110">
        <v>10656.27</v>
      </c>
      <c r="K4110">
        <v>1500000</v>
      </c>
    </row>
    <row r="4111" spans="1:11" ht="15" customHeight="1" x14ac:dyDescent="0.2">
      <c r="A4111" t="s">
        <v>5824</v>
      </c>
      <c r="B4111" t="s">
        <v>6985</v>
      </c>
      <c r="C4111">
        <v>2024</v>
      </c>
      <c r="D4111">
        <v>2024</v>
      </c>
      <c r="E4111" s="7">
        <v>45586</v>
      </c>
      <c r="F4111" s="7">
        <v>45950</v>
      </c>
      <c r="G4111" t="s">
        <v>135</v>
      </c>
      <c r="H4111" t="s">
        <v>114</v>
      </c>
      <c r="I4111" t="s">
        <v>101</v>
      </c>
      <c r="J4111">
        <v>14613.41</v>
      </c>
      <c r="K4111">
        <v>2000000</v>
      </c>
    </row>
    <row r="4112" spans="1:11" ht="15" customHeight="1" x14ac:dyDescent="0.2">
      <c r="A4112" t="s">
        <v>5825</v>
      </c>
      <c r="B4112" t="s">
        <v>7086</v>
      </c>
      <c r="C4112">
        <v>2024</v>
      </c>
      <c r="D4112">
        <v>2024</v>
      </c>
      <c r="E4112" s="7">
        <v>45586</v>
      </c>
      <c r="F4112" s="7">
        <v>45950</v>
      </c>
      <c r="G4112" t="s">
        <v>135</v>
      </c>
      <c r="H4112" t="s">
        <v>102</v>
      </c>
      <c r="I4112" t="s">
        <v>104</v>
      </c>
      <c r="J4112">
        <v>8667.14</v>
      </c>
      <c r="K4112">
        <v>1500000</v>
      </c>
    </row>
    <row r="4113" spans="1:11" ht="15" customHeight="1" x14ac:dyDescent="0.2">
      <c r="A4113" t="s">
        <v>5826</v>
      </c>
      <c r="B4113" t="s">
        <v>4435</v>
      </c>
      <c r="C4113">
        <v>2024</v>
      </c>
      <c r="D4113">
        <v>2024</v>
      </c>
      <c r="E4113" s="7">
        <v>45587</v>
      </c>
      <c r="F4113" s="7">
        <v>45951</v>
      </c>
      <c r="G4113" t="s">
        <v>99</v>
      </c>
      <c r="H4113" t="s">
        <v>106</v>
      </c>
      <c r="I4113" t="s">
        <v>101</v>
      </c>
      <c r="J4113">
        <v>8590.26</v>
      </c>
      <c r="K4113">
        <v>1000000</v>
      </c>
    </row>
    <row r="4114" spans="1:11" ht="15" customHeight="1" x14ac:dyDescent="0.2">
      <c r="A4114" t="s">
        <v>5827</v>
      </c>
      <c r="B4114" t="s">
        <v>7174</v>
      </c>
      <c r="C4114">
        <v>2024</v>
      </c>
      <c r="D4114">
        <v>2024</v>
      </c>
      <c r="E4114" s="7">
        <v>45587</v>
      </c>
      <c r="F4114" s="7">
        <v>45951</v>
      </c>
      <c r="G4114" t="s">
        <v>135</v>
      </c>
      <c r="H4114" t="s">
        <v>115</v>
      </c>
      <c r="I4114" t="s">
        <v>101</v>
      </c>
      <c r="J4114">
        <v>7294.15</v>
      </c>
      <c r="K4114">
        <v>1000000</v>
      </c>
    </row>
    <row r="4115" spans="1:11" ht="15" customHeight="1" x14ac:dyDescent="0.2">
      <c r="A4115" t="s">
        <v>5828</v>
      </c>
      <c r="B4115" t="s">
        <v>395</v>
      </c>
      <c r="C4115">
        <v>2024</v>
      </c>
      <c r="D4115">
        <v>2024</v>
      </c>
      <c r="E4115" s="7">
        <v>45587</v>
      </c>
      <c r="F4115" s="7">
        <v>45951</v>
      </c>
      <c r="G4115" t="s">
        <v>135</v>
      </c>
      <c r="H4115" t="s">
        <v>109</v>
      </c>
      <c r="I4115" t="s">
        <v>104</v>
      </c>
      <c r="J4115">
        <v>8184.87</v>
      </c>
      <c r="K4115">
        <v>1500000</v>
      </c>
    </row>
    <row r="4116" spans="1:11" ht="15" customHeight="1" x14ac:dyDescent="0.2">
      <c r="A4116" t="s">
        <v>5829</v>
      </c>
      <c r="B4116" t="s">
        <v>394</v>
      </c>
      <c r="C4116">
        <v>2024</v>
      </c>
      <c r="D4116">
        <v>2024</v>
      </c>
      <c r="E4116" s="7">
        <v>45587</v>
      </c>
      <c r="F4116" s="7">
        <v>45951</v>
      </c>
      <c r="G4116" t="s">
        <v>135</v>
      </c>
      <c r="H4116" t="s">
        <v>110</v>
      </c>
      <c r="I4116" t="s">
        <v>104</v>
      </c>
      <c r="J4116">
        <v>6741.29</v>
      </c>
      <c r="K4116">
        <v>1000000</v>
      </c>
    </row>
    <row r="4117" spans="1:11" ht="15" customHeight="1" x14ac:dyDescent="0.2">
      <c r="A4117" t="s">
        <v>5830</v>
      </c>
      <c r="B4117" t="s">
        <v>224</v>
      </c>
      <c r="C4117">
        <v>2024</v>
      </c>
      <c r="D4117">
        <v>2024</v>
      </c>
      <c r="E4117" s="7">
        <v>45587</v>
      </c>
      <c r="F4117" s="7">
        <v>45951</v>
      </c>
      <c r="G4117" t="s">
        <v>135</v>
      </c>
      <c r="H4117" t="s">
        <v>108</v>
      </c>
      <c r="I4117" t="s">
        <v>104</v>
      </c>
      <c r="J4117">
        <v>7263.53</v>
      </c>
      <c r="K4117">
        <v>1000000</v>
      </c>
    </row>
    <row r="4118" spans="1:11" ht="15" customHeight="1" x14ac:dyDescent="0.2">
      <c r="A4118" t="s">
        <v>5831</v>
      </c>
      <c r="B4118" t="s">
        <v>7104</v>
      </c>
      <c r="C4118">
        <v>2024</v>
      </c>
      <c r="D4118">
        <v>2024</v>
      </c>
      <c r="E4118" s="7">
        <v>45587</v>
      </c>
      <c r="F4118" s="7">
        <v>45951</v>
      </c>
      <c r="G4118" t="s">
        <v>135</v>
      </c>
      <c r="H4118" t="s">
        <v>102</v>
      </c>
      <c r="I4118" t="s">
        <v>101</v>
      </c>
      <c r="J4118">
        <v>9921.7999999999993</v>
      </c>
      <c r="K4118">
        <v>1500000</v>
      </c>
    </row>
    <row r="4119" spans="1:11" ht="15" customHeight="1" x14ac:dyDescent="0.2">
      <c r="A4119" t="s">
        <v>5832</v>
      </c>
      <c r="B4119" t="s">
        <v>9214</v>
      </c>
      <c r="C4119">
        <v>2024</v>
      </c>
      <c r="D4119">
        <v>2024</v>
      </c>
      <c r="E4119" s="7">
        <v>45587</v>
      </c>
      <c r="F4119" s="7">
        <v>45951</v>
      </c>
      <c r="G4119" t="s">
        <v>135</v>
      </c>
      <c r="H4119" t="s">
        <v>102</v>
      </c>
      <c r="I4119" t="s">
        <v>101</v>
      </c>
      <c r="J4119">
        <v>15315.79</v>
      </c>
      <c r="K4119">
        <v>2000000</v>
      </c>
    </row>
    <row r="4120" spans="1:11" ht="15" customHeight="1" x14ac:dyDescent="0.2">
      <c r="A4120" t="s">
        <v>5833</v>
      </c>
      <c r="B4120" t="s">
        <v>9215</v>
      </c>
      <c r="C4120">
        <v>2024</v>
      </c>
      <c r="D4120">
        <v>2024</v>
      </c>
      <c r="E4120" s="7">
        <v>45587</v>
      </c>
      <c r="F4120" s="7">
        <v>45951</v>
      </c>
      <c r="G4120" t="s">
        <v>135</v>
      </c>
      <c r="H4120" t="s">
        <v>106</v>
      </c>
      <c r="I4120" t="s">
        <v>101</v>
      </c>
      <c r="J4120">
        <v>9671.58</v>
      </c>
      <c r="K4120">
        <v>1000000</v>
      </c>
    </row>
    <row r="4121" spans="1:11" ht="15" customHeight="1" x14ac:dyDescent="0.2">
      <c r="A4121" t="s">
        <v>5834</v>
      </c>
      <c r="B4121" t="s">
        <v>9216</v>
      </c>
      <c r="C4121">
        <v>2024</v>
      </c>
      <c r="D4121">
        <v>2024</v>
      </c>
      <c r="E4121" s="7">
        <v>45587</v>
      </c>
      <c r="F4121" s="7">
        <v>45951</v>
      </c>
      <c r="G4121" t="s">
        <v>135</v>
      </c>
      <c r="H4121" t="s">
        <v>106</v>
      </c>
      <c r="I4121" t="s">
        <v>101</v>
      </c>
      <c r="J4121">
        <v>8672.76</v>
      </c>
      <c r="K4121">
        <v>1000000</v>
      </c>
    </row>
    <row r="4122" spans="1:11" ht="15" customHeight="1" x14ac:dyDescent="0.2">
      <c r="A4122" t="s">
        <v>5835</v>
      </c>
      <c r="B4122" t="s">
        <v>7090</v>
      </c>
      <c r="C4122">
        <v>2024</v>
      </c>
      <c r="D4122">
        <v>2024</v>
      </c>
      <c r="E4122" s="7">
        <v>45587</v>
      </c>
      <c r="F4122" s="7">
        <v>45951</v>
      </c>
      <c r="G4122" t="s">
        <v>135</v>
      </c>
      <c r="H4122" t="s">
        <v>115</v>
      </c>
      <c r="I4122" t="s">
        <v>101</v>
      </c>
      <c r="J4122">
        <v>7841.69</v>
      </c>
      <c r="K4122">
        <v>1000000</v>
      </c>
    </row>
    <row r="4123" spans="1:11" ht="15" customHeight="1" x14ac:dyDescent="0.2">
      <c r="A4123" t="s">
        <v>5836</v>
      </c>
      <c r="B4123" t="s">
        <v>1072</v>
      </c>
      <c r="C4123">
        <v>2024</v>
      </c>
      <c r="D4123">
        <v>2024</v>
      </c>
      <c r="E4123" s="7">
        <v>45587</v>
      </c>
      <c r="F4123" s="7">
        <v>45951</v>
      </c>
      <c r="G4123" t="s">
        <v>135</v>
      </c>
      <c r="H4123" t="s">
        <v>114</v>
      </c>
      <c r="I4123" t="s">
        <v>101</v>
      </c>
      <c r="J4123">
        <v>11690.2</v>
      </c>
      <c r="K4123">
        <v>1500000</v>
      </c>
    </row>
    <row r="4124" spans="1:11" ht="15" customHeight="1" x14ac:dyDescent="0.2">
      <c r="A4124" t="s">
        <v>5837</v>
      </c>
      <c r="B4124" t="s">
        <v>7060</v>
      </c>
      <c r="C4124">
        <v>2024</v>
      </c>
      <c r="D4124">
        <v>2024</v>
      </c>
      <c r="E4124" s="7">
        <v>45587</v>
      </c>
      <c r="F4124" s="7">
        <v>45951</v>
      </c>
      <c r="G4124" t="s">
        <v>135</v>
      </c>
      <c r="H4124" t="s">
        <v>106</v>
      </c>
      <c r="I4124" t="s">
        <v>101</v>
      </c>
      <c r="J4124">
        <v>8587.89</v>
      </c>
      <c r="K4124">
        <v>1000000</v>
      </c>
    </row>
    <row r="4125" spans="1:11" ht="15" customHeight="1" x14ac:dyDescent="0.2">
      <c r="A4125" t="s">
        <v>5838</v>
      </c>
      <c r="B4125" t="s">
        <v>9217</v>
      </c>
      <c r="C4125">
        <v>2024</v>
      </c>
      <c r="D4125">
        <v>2024</v>
      </c>
      <c r="E4125" s="7">
        <v>45587</v>
      </c>
      <c r="F4125" s="7">
        <v>45951</v>
      </c>
      <c r="G4125" t="s">
        <v>135</v>
      </c>
      <c r="H4125" t="s">
        <v>102</v>
      </c>
      <c r="I4125" t="s">
        <v>101</v>
      </c>
      <c r="J4125">
        <v>15612.42</v>
      </c>
      <c r="K4125">
        <v>2000000</v>
      </c>
    </row>
    <row r="4126" spans="1:11" ht="15" customHeight="1" x14ac:dyDescent="0.2">
      <c r="A4126" t="s">
        <v>5839</v>
      </c>
      <c r="B4126" t="s">
        <v>634</v>
      </c>
      <c r="C4126">
        <v>2024</v>
      </c>
      <c r="D4126">
        <v>2024</v>
      </c>
      <c r="E4126" s="7">
        <v>45587</v>
      </c>
      <c r="F4126" s="7">
        <v>45951</v>
      </c>
      <c r="G4126" t="s">
        <v>135</v>
      </c>
      <c r="H4126" t="s">
        <v>113</v>
      </c>
      <c r="I4126" t="s">
        <v>101</v>
      </c>
      <c r="J4126">
        <v>15766.19</v>
      </c>
      <c r="K4126">
        <v>2000000</v>
      </c>
    </row>
    <row r="4127" spans="1:11" ht="15" customHeight="1" x14ac:dyDescent="0.2">
      <c r="A4127" t="s">
        <v>5840</v>
      </c>
      <c r="B4127" t="s">
        <v>9218</v>
      </c>
      <c r="C4127">
        <v>2024</v>
      </c>
      <c r="D4127">
        <v>2024</v>
      </c>
      <c r="E4127" s="7">
        <v>45587</v>
      </c>
      <c r="F4127" s="7">
        <v>45951</v>
      </c>
      <c r="G4127" t="s">
        <v>135</v>
      </c>
      <c r="H4127" t="s">
        <v>102</v>
      </c>
      <c r="I4127" t="s">
        <v>104</v>
      </c>
      <c r="J4127">
        <v>8125.76</v>
      </c>
      <c r="K4127">
        <v>1500000</v>
      </c>
    </row>
    <row r="4128" spans="1:11" ht="15" customHeight="1" x14ac:dyDescent="0.2">
      <c r="A4128" t="s">
        <v>5841</v>
      </c>
      <c r="B4128" t="s">
        <v>4437</v>
      </c>
      <c r="C4128">
        <v>2024</v>
      </c>
      <c r="D4128">
        <v>2024</v>
      </c>
      <c r="E4128" s="7">
        <v>45588</v>
      </c>
      <c r="F4128" s="7">
        <v>45952</v>
      </c>
      <c r="G4128" t="s">
        <v>99</v>
      </c>
      <c r="H4128" t="s">
        <v>6348</v>
      </c>
      <c r="I4128" t="s">
        <v>101</v>
      </c>
      <c r="J4128">
        <v>7042.56</v>
      </c>
      <c r="K4128">
        <v>1000000</v>
      </c>
    </row>
    <row r="4129" spans="1:11" ht="15" customHeight="1" x14ac:dyDescent="0.2">
      <c r="A4129" t="s">
        <v>5842</v>
      </c>
      <c r="B4129" t="s">
        <v>4439</v>
      </c>
      <c r="C4129">
        <v>2024</v>
      </c>
      <c r="D4129">
        <v>2024</v>
      </c>
      <c r="E4129" s="7">
        <v>45588</v>
      </c>
      <c r="F4129" s="7">
        <v>45952</v>
      </c>
      <c r="G4129" t="s">
        <v>99</v>
      </c>
      <c r="H4129" t="s">
        <v>102</v>
      </c>
      <c r="I4129" t="s">
        <v>104</v>
      </c>
      <c r="J4129">
        <v>27210.07</v>
      </c>
      <c r="K4129">
        <v>5000000</v>
      </c>
    </row>
    <row r="4130" spans="1:11" ht="15" customHeight="1" x14ac:dyDescent="0.2">
      <c r="A4130" t="s">
        <v>5843</v>
      </c>
      <c r="B4130" t="s">
        <v>4449</v>
      </c>
      <c r="C4130">
        <v>2024</v>
      </c>
      <c r="D4130">
        <v>2024</v>
      </c>
      <c r="E4130" s="7">
        <v>45588</v>
      </c>
      <c r="F4130" s="7">
        <v>45952</v>
      </c>
      <c r="G4130" t="s">
        <v>99</v>
      </c>
      <c r="H4130" t="s">
        <v>105</v>
      </c>
      <c r="I4130" t="s">
        <v>101</v>
      </c>
      <c r="J4130">
        <v>11272.99</v>
      </c>
      <c r="K4130">
        <v>1500000</v>
      </c>
    </row>
    <row r="4131" spans="1:11" ht="15" customHeight="1" x14ac:dyDescent="0.2">
      <c r="A4131" t="s">
        <v>5844</v>
      </c>
      <c r="B4131" t="s">
        <v>4451</v>
      </c>
      <c r="C4131">
        <v>2024</v>
      </c>
      <c r="D4131">
        <v>2024</v>
      </c>
      <c r="E4131" s="7">
        <v>45588</v>
      </c>
      <c r="F4131" s="7">
        <v>45952</v>
      </c>
      <c r="G4131" t="s">
        <v>99</v>
      </c>
      <c r="H4131" t="s">
        <v>108</v>
      </c>
      <c r="I4131" t="s">
        <v>101</v>
      </c>
      <c r="J4131">
        <v>46849.3</v>
      </c>
      <c r="K4131">
        <v>5000000</v>
      </c>
    </row>
    <row r="4132" spans="1:11" ht="15" customHeight="1" x14ac:dyDescent="0.2">
      <c r="A4132" t="s">
        <v>5845</v>
      </c>
      <c r="B4132" t="s">
        <v>9219</v>
      </c>
      <c r="C4132">
        <v>2024</v>
      </c>
      <c r="D4132">
        <v>2024</v>
      </c>
      <c r="E4132" s="7">
        <v>45588</v>
      </c>
      <c r="F4132" s="7">
        <v>45952</v>
      </c>
      <c r="G4132" t="s">
        <v>135</v>
      </c>
      <c r="H4132" t="s">
        <v>113</v>
      </c>
      <c r="I4132" t="s">
        <v>104</v>
      </c>
      <c r="J4132">
        <v>5901.96</v>
      </c>
      <c r="K4132">
        <v>1000000</v>
      </c>
    </row>
    <row r="4133" spans="1:11" ht="15" customHeight="1" x14ac:dyDescent="0.2">
      <c r="A4133" t="s">
        <v>5846</v>
      </c>
      <c r="B4133" t="s">
        <v>1074</v>
      </c>
      <c r="C4133">
        <v>2024</v>
      </c>
      <c r="D4133">
        <v>2024</v>
      </c>
      <c r="E4133" s="7">
        <v>45588</v>
      </c>
      <c r="F4133" s="7">
        <v>45952</v>
      </c>
      <c r="G4133" t="s">
        <v>135</v>
      </c>
      <c r="H4133" t="s">
        <v>106</v>
      </c>
      <c r="I4133" t="s">
        <v>101</v>
      </c>
      <c r="J4133">
        <v>4120.12</v>
      </c>
      <c r="K4133">
        <v>500000</v>
      </c>
    </row>
    <row r="4134" spans="1:11" ht="15" customHeight="1" x14ac:dyDescent="0.2">
      <c r="A4134" t="s">
        <v>5847</v>
      </c>
      <c r="B4134" t="s">
        <v>9220</v>
      </c>
      <c r="C4134">
        <v>2024</v>
      </c>
      <c r="D4134">
        <v>2024</v>
      </c>
      <c r="E4134" s="7">
        <v>45588</v>
      </c>
      <c r="F4134" s="7">
        <v>45952</v>
      </c>
      <c r="G4134" t="s">
        <v>135</v>
      </c>
      <c r="H4134" t="s">
        <v>102</v>
      </c>
      <c r="I4134" t="s">
        <v>101</v>
      </c>
      <c r="J4134">
        <v>72683.34</v>
      </c>
      <c r="K4134">
        <v>10000000</v>
      </c>
    </row>
    <row r="4135" spans="1:11" ht="15" customHeight="1" x14ac:dyDescent="0.2">
      <c r="A4135" t="s">
        <v>5848</v>
      </c>
      <c r="B4135" t="s">
        <v>6988</v>
      </c>
      <c r="C4135">
        <v>2024</v>
      </c>
      <c r="D4135">
        <v>2024</v>
      </c>
      <c r="E4135" s="7">
        <v>45588</v>
      </c>
      <c r="F4135" s="7">
        <v>45952</v>
      </c>
      <c r="G4135" t="s">
        <v>135</v>
      </c>
      <c r="H4135" t="s">
        <v>107</v>
      </c>
      <c r="I4135" t="s">
        <v>101</v>
      </c>
      <c r="J4135">
        <v>6712.57</v>
      </c>
      <c r="K4135">
        <v>1000000</v>
      </c>
    </row>
    <row r="4136" spans="1:11" ht="15" customHeight="1" x14ac:dyDescent="0.2">
      <c r="A4136" t="s">
        <v>5849</v>
      </c>
      <c r="B4136" t="s">
        <v>1073</v>
      </c>
      <c r="C4136">
        <v>2024</v>
      </c>
      <c r="D4136">
        <v>2024</v>
      </c>
      <c r="E4136" s="7">
        <v>45588</v>
      </c>
      <c r="F4136" s="7">
        <v>45952</v>
      </c>
      <c r="G4136" t="s">
        <v>135</v>
      </c>
      <c r="H4136" t="s">
        <v>103</v>
      </c>
      <c r="I4136" t="s">
        <v>101</v>
      </c>
      <c r="J4136">
        <v>35713.39</v>
      </c>
      <c r="K4136">
        <v>5000000</v>
      </c>
    </row>
    <row r="4137" spans="1:11" ht="15" customHeight="1" x14ac:dyDescent="0.2">
      <c r="A4137" t="s">
        <v>5850</v>
      </c>
      <c r="B4137" t="s">
        <v>6994</v>
      </c>
      <c r="C4137">
        <v>2024</v>
      </c>
      <c r="D4137">
        <v>2024</v>
      </c>
      <c r="E4137" s="7">
        <v>45588</v>
      </c>
      <c r="F4137" s="7">
        <v>45952</v>
      </c>
      <c r="G4137" t="s">
        <v>135</v>
      </c>
      <c r="H4137" t="s">
        <v>107</v>
      </c>
      <c r="I4137" t="s">
        <v>104</v>
      </c>
      <c r="J4137">
        <v>8033.14</v>
      </c>
      <c r="K4137">
        <v>1500000</v>
      </c>
    </row>
    <row r="4138" spans="1:11" ht="15" customHeight="1" x14ac:dyDescent="0.2">
      <c r="A4138" t="s">
        <v>5851</v>
      </c>
      <c r="B4138" t="s">
        <v>9221</v>
      </c>
      <c r="C4138">
        <v>2024</v>
      </c>
      <c r="D4138">
        <v>2024</v>
      </c>
      <c r="E4138" s="7">
        <v>45588</v>
      </c>
      <c r="F4138" s="7">
        <v>45952</v>
      </c>
      <c r="G4138" t="s">
        <v>135</v>
      </c>
      <c r="H4138" t="s">
        <v>110</v>
      </c>
      <c r="I4138" t="s">
        <v>101</v>
      </c>
      <c r="J4138">
        <v>8393.41</v>
      </c>
      <c r="K4138">
        <v>1000000</v>
      </c>
    </row>
    <row r="4139" spans="1:11" ht="15" customHeight="1" x14ac:dyDescent="0.2">
      <c r="A4139" t="s">
        <v>5852</v>
      </c>
      <c r="B4139" t="s">
        <v>4461</v>
      </c>
      <c r="C4139">
        <v>2024</v>
      </c>
      <c r="D4139">
        <v>2024</v>
      </c>
      <c r="E4139" s="7">
        <v>45589</v>
      </c>
      <c r="F4139" s="7">
        <v>45953</v>
      </c>
      <c r="G4139" t="s">
        <v>99</v>
      </c>
      <c r="H4139" t="s">
        <v>107</v>
      </c>
      <c r="I4139" t="s">
        <v>101</v>
      </c>
      <c r="J4139">
        <v>39268.61</v>
      </c>
      <c r="K4139">
        <v>5000000</v>
      </c>
    </row>
    <row r="4140" spans="1:11" ht="15" customHeight="1" x14ac:dyDescent="0.2">
      <c r="A4140" t="s">
        <v>5853</v>
      </c>
      <c r="B4140" t="s">
        <v>4463</v>
      </c>
      <c r="C4140">
        <v>2024</v>
      </c>
      <c r="D4140">
        <v>2024</v>
      </c>
      <c r="E4140" s="7">
        <v>45589</v>
      </c>
      <c r="F4140" s="7">
        <v>45953</v>
      </c>
      <c r="G4140" t="s">
        <v>99</v>
      </c>
      <c r="H4140" t="s">
        <v>115</v>
      </c>
      <c r="I4140" t="s">
        <v>101</v>
      </c>
      <c r="J4140">
        <v>74796.039999999994</v>
      </c>
      <c r="K4140">
        <v>10000000</v>
      </c>
    </row>
    <row r="4141" spans="1:11" ht="15" customHeight="1" x14ac:dyDescent="0.2">
      <c r="A4141" t="s">
        <v>5854</v>
      </c>
      <c r="B4141" t="s">
        <v>4465</v>
      </c>
      <c r="C4141">
        <v>2024</v>
      </c>
      <c r="D4141">
        <v>2024</v>
      </c>
      <c r="E4141" s="7">
        <v>45589</v>
      </c>
      <c r="F4141" s="7">
        <v>45953</v>
      </c>
      <c r="G4141" t="s">
        <v>99</v>
      </c>
      <c r="H4141" t="s">
        <v>112</v>
      </c>
      <c r="I4141" t="s">
        <v>101</v>
      </c>
      <c r="J4141">
        <v>12227.75</v>
      </c>
      <c r="K4141">
        <v>1500000</v>
      </c>
    </row>
    <row r="4142" spans="1:11" ht="15" customHeight="1" x14ac:dyDescent="0.2">
      <c r="A4142" t="s">
        <v>5855</v>
      </c>
      <c r="B4142" t="s">
        <v>4467</v>
      </c>
      <c r="C4142">
        <v>2024</v>
      </c>
      <c r="D4142">
        <v>2024</v>
      </c>
      <c r="E4142" s="7">
        <v>45589</v>
      </c>
      <c r="F4142" s="7">
        <v>45953</v>
      </c>
      <c r="G4142" t="s">
        <v>99</v>
      </c>
      <c r="H4142" t="s">
        <v>102</v>
      </c>
      <c r="I4142" t="s">
        <v>101</v>
      </c>
      <c r="J4142">
        <v>9876.57</v>
      </c>
      <c r="K4142">
        <v>1500000</v>
      </c>
    </row>
    <row r="4143" spans="1:11" ht="15" customHeight="1" x14ac:dyDescent="0.2">
      <c r="A4143" t="s">
        <v>5856</v>
      </c>
      <c r="B4143" t="s">
        <v>9222</v>
      </c>
      <c r="C4143">
        <v>2024</v>
      </c>
      <c r="D4143">
        <v>2024</v>
      </c>
      <c r="E4143" s="7">
        <v>45589</v>
      </c>
      <c r="F4143" s="7">
        <v>45953</v>
      </c>
      <c r="G4143" t="s">
        <v>135</v>
      </c>
      <c r="H4143" t="s">
        <v>110</v>
      </c>
      <c r="I4143" t="s">
        <v>104</v>
      </c>
      <c r="J4143">
        <v>10959</v>
      </c>
      <c r="K4143">
        <v>1500000</v>
      </c>
    </row>
    <row r="4144" spans="1:11" ht="15" customHeight="1" x14ac:dyDescent="0.2">
      <c r="A4144" t="s">
        <v>5857</v>
      </c>
      <c r="B4144" t="s">
        <v>1075</v>
      </c>
      <c r="C4144">
        <v>2024</v>
      </c>
      <c r="D4144">
        <v>2024</v>
      </c>
      <c r="E4144" s="7">
        <v>45589</v>
      </c>
      <c r="F4144" s="7">
        <v>45953</v>
      </c>
      <c r="G4144" t="s">
        <v>135</v>
      </c>
      <c r="H4144" t="s">
        <v>102</v>
      </c>
      <c r="I4144" t="s">
        <v>101</v>
      </c>
      <c r="J4144">
        <v>3631.75</v>
      </c>
      <c r="K4144">
        <v>500000</v>
      </c>
    </row>
    <row r="4145" spans="1:11" ht="15" customHeight="1" x14ac:dyDescent="0.2">
      <c r="A4145" t="s">
        <v>5858</v>
      </c>
      <c r="B4145" t="s">
        <v>9223</v>
      </c>
      <c r="C4145">
        <v>2024</v>
      </c>
      <c r="D4145">
        <v>2024</v>
      </c>
      <c r="E4145" s="7">
        <v>45589</v>
      </c>
      <c r="F4145" s="7">
        <v>45953</v>
      </c>
      <c r="G4145" t="s">
        <v>135</v>
      </c>
      <c r="H4145" t="s">
        <v>114</v>
      </c>
      <c r="I4145" t="s">
        <v>104</v>
      </c>
      <c r="J4145">
        <v>9169.15</v>
      </c>
      <c r="K4145">
        <v>1500000</v>
      </c>
    </row>
    <row r="4146" spans="1:11" ht="15" customHeight="1" x14ac:dyDescent="0.2">
      <c r="A4146" t="s">
        <v>5859</v>
      </c>
      <c r="B4146" t="s">
        <v>9224</v>
      </c>
      <c r="C4146">
        <v>2024</v>
      </c>
      <c r="D4146">
        <v>2024</v>
      </c>
      <c r="E4146" s="7">
        <v>45589</v>
      </c>
      <c r="F4146" s="7">
        <v>45953</v>
      </c>
      <c r="G4146" t="s">
        <v>135</v>
      </c>
      <c r="H4146" t="s">
        <v>112</v>
      </c>
      <c r="I4146" t="s">
        <v>101</v>
      </c>
      <c r="J4146">
        <v>12148.25</v>
      </c>
      <c r="K4146">
        <v>1500000</v>
      </c>
    </row>
    <row r="4147" spans="1:11" ht="15" customHeight="1" x14ac:dyDescent="0.2">
      <c r="A4147" t="s">
        <v>5860</v>
      </c>
      <c r="B4147" t="s">
        <v>7030</v>
      </c>
      <c r="C4147">
        <v>2024</v>
      </c>
      <c r="D4147">
        <v>2024</v>
      </c>
      <c r="E4147" s="7">
        <v>45589</v>
      </c>
      <c r="F4147" s="7">
        <v>45953</v>
      </c>
      <c r="G4147" t="s">
        <v>135</v>
      </c>
      <c r="H4147" t="s">
        <v>102</v>
      </c>
      <c r="I4147" t="s">
        <v>104</v>
      </c>
      <c r="J4147">
        <v>8679.18</v>
      </c>
      <c r="K4147">
        <v>1500000</v>
      </c>
    </row>
    <row r="4148" spans="1:11" ht="15" customHeight="1" x14ac:dyDescent="0.2">
      <c r="A4148" t="s">
        <v>5861</v>
      </c>
      <c r="B4148" t="s">
        <v>7093</v>
      </c>
      <c r="C4148">
        <v>2024</v>
      </c>
      <c r="D4148">
        <v>2024</v>
      </c>
      <c r="E4148" s="7">
        <v>45589</v>
      </c>
      <c r="F4148" s="7">
        <v>45953</v>
      </c>
      <c r="G4148" t="s">
        <v>135</v>
      </c>
      <c r="H4148" t="s">
        <v>6332</v>
      </c>
      <c r="I4148" t="s">
        <v>101</v>
      </c>
      <c r="J4148">
        <v>11298.5</v>
      </c>
      <c r="K4148">
        <v>1500000</v>
      </c>
    </row>
    <row r="4149" spans="1:11" ht="15" customHeight="1" x14ac:dyDescent="0.2">
      <c r="A4149" t="s">
        <v>5862</v>
      </c>
      <c r="B4149" t="s">
        <v>9225</v>
      </c>
      <c r="C4149">
        <v>2024</v>
      </c>
      <c r="D4149">
        <v>2024</v>
      </c>
      <c r="E4149" s="7">
        <v>45589</v>
      </c>
      <c r="F4149" s="7">
        <v>45953</v>
      </c>
      <c r="G4149" t="s">
        <v>135</v>
      </c>
      <c r="H4149" t="s">
        <v>113</v>
      </c>
      <c r="I4149" t="s">
        <v>104</v>
      </c>
      <c r="J4149">
        <v>6001.23</v>
      </c>
      <c r="K4149">
        <v>1000000</v>
      </c>
    </row>
    <row r="4150" spans="1:11" ht="15" customHeight="1" x14ac:dyDescent="0.2">
      <c r="A4150" t="s">
        <v>5863</v>
      </c>
      <c r="B4150" t="s">
        <v>9226</v>
      </c>
      <c r="C4150">
        <v>2024</v>
      </c>
      <c r="D4150">
        <v>2024</v>
      </c>
      <c r="E4150" s="7">
        <v>45589</v>
      </c>
      <c r="F4150" s="7">
        <v>45953</v>
      </c>
      <c r="G4150" t="s">
        <v>135</v>
      </c>
      <c r="H4150" t="s">
        <v>106</v>
      </c>
      <c r="I4150" t="s">
        <v>101</v>
      </c>
      <c r="J4150">
        <v>91139.98</v>
      </c>
      <c r="K4150">
        <v>10000000</v>
      </c>
    </row>
    <row r="4151" spans="1:11" ht="15" customHeight="1" x14ac:dyDescent="0.2">
      <c r="A4151" t="s">
        <v>5864</v>
      </c>
      <c r="B4151" t="s">
        <v>174</v>
      </c>
      <c r="C4151">
        <v>2024</v>
      </c>
      <c r="D4151">
        <v>2024</v>
      </c>
      <c r="E4151" s="7">
        <v>45589</v>
      </c>
      <c r="F4151" s="7">
        <v>45953</v>
      </c>
      <c r="G4151" t="s">
        <v>135</v>
      </c>
      <c r="H4151" t="s">
        <v>6332</v>
      </c>
      <c r="I4151" t="s">
        <v>101</v>
      </c>
      <c r="J4151">
        <v>13097.58</v>
      </c>
      <c r="K4151">
        <v>2000000</v>
      </c>
    </row>
    <row r="4152" spans="1:11" ht="15" customHeight="1" x14ac:dyDescent="0.2">
      <c r="A4152" t="s">
        <v>5865</v>
      </c>
      <c r="B4152" t="s">
        <v>9227</v>
      </c>
      <c r="C4152">
        <v>2024</v>
      </c>
      <c r="D4152">
        <v>2024</v>
      </c>
      <c r="E4152" s="7">
        <v>45589</v>
      </c>
      <c r="F4152" s="7">
        <v>45953</v>
      </c>
      <c r="G4152" t="s">
        <v>135</v>
      </c>
      <c r="H4152" t="s">
        <v>6332</v>
      </c>
      <c r="I4152" t="s">
        <v>104</v>
      </c>
      <c r="J4152">
        <v>11717.48</v>
      </c>
      <c r="K4152">
        <v>2000000</v>
      </c>
    </row>
    <row r="4153" spans="1:11" ht="15" customHeight="1" x14ac:dyDescent="0.2">
      <c r="A4153" t="s">
        <v>5866</v>
      </c>
      <c r="B4153" t="s">
        <v>9228</v>
      </c>
      <c r="C4153">
        <v>2024</v>
      </c>
      <c r="D4153">
        <v>2024</v>
      </c>
      <c r="E4153" s="7">
        <v>45589</v>
      </c>
      <c r="F4153" s="7">
        <v>45953</v>
      </c>
      <c r="G4153" t="s">
        <v>135</v>
      </c>
      <c r="H4153" t="s">
        <v>106</v>
      </c>
      <c r="I4153" t="s">
        <v>101</v>
      </c>
      <c r="J4153">
        <v>90367.77</v>
      </c>
      <c r="K4153">
        <v>10000000</v>
      </c>
    </row>
    <row r="4154" spans="1:11" ht="15" customHeight="1" x14ac:dyDescent="0.2">
      <c r="A4154" t="s">
        <v>5867</v>
      </c>
      <c r="B4154" t="s">
        <v>4469</v>
      </c>
      <c r="C4154">
        <v>2024</v>
      </c>
      <c r="D4154">
        <v>2024</v>
      </c>
      <c r="E4154" s="7">
        <v>45590</v>
      </c>
      <c r="F4154" s="7">
        <v>45954</v>
      </c>
      <c r="G4154" t="s">
        <v>99</v>
      </c>
      <c r="H4154" t="s">
        <v>107</v>
      </c>
      <c r="I4154" t="s">
        <v>104</v>
      </c>
      <c r="J4154">
        <v>11187.53</v>
      </c>
      <c r="K4154">
        <v>2000000</v>
      </c>
    </row>
    <row r="4155" spans="1:11" ht="15" customHeight="1" x14ac:dyDescent="0.2">
      <c r="A4155" t="s">
        <v>5868</v>
      </c>
      <c r="B4155" t="s">
        <v>4475</v>
      </c>
      <c r="C4155">
        <v>2024</v>
      </c>
      <c r="D4155">
        <v>2024</v>
      </c>
      <c r="E4155" s="7">
        <v>45590</v>
      </c>
      <c r="F4155" s="7">
        <v>45954</v>
      </c>
      <c r="G4155" t="s">
        <v>99</v>
      </c>
      <c r="H4155" t="s">
        <v>6334</v>
      </c>
      <c r="I4155" t="s">
        <v>101</v>
      </c>
      <c r="J4155">
        <v>3800.58</v>
      </c>
      <c r="K4155">
        <v>500000</v>
      </c>
    </row>
    <row r="4156" spans="1:11" ht="15" customHeight="1" x14ac:dyDescent="0.2">
      <c r="A4156" t="s">
        <v>5869</v>
      </c>
      <c r="B4156" t="s">
        <v>9229</v>
      </c>
      <c r="C4156">
        <v>2024</v>
      </c>
      <c r="D4156">
        <v>2024</v>
      </c>
      <c r="E4156" s="7">
        <v>45590</v>
      </c>
      <c r="F4156" s="7">
        <v>45954</v>
      </c>
      <c r="G4156" t="s">
        <v>135</v>
      </c>
      <c r="H4156" t="s">
        <v>109</v>
      </c>
      <c r="I4156" t="s">
        <v>101</v>
      </c>
      <c r="J4156">
        <v>11835.39</v>
      </c>
      <c r="K4156">
        <v>1500000</v>
      </c>
    </row>
    <row r="4157" spans="1:11" ht="15" customHeight="1" x14ac:dyDescent="0.2">
      <c r="A4157" t="s">
        <v>5870</v>
      </c>
      <c r="B4157" t="s">
        <v>7061</v>
      </c>
      <c r="C4157">
        <v>2024</v>
      </c>
      <c r="D4157">
        <v>2024</v>
      </c>
      <c r="E4157" s="7">
        <v>45590</v>
      </c>
      <c r="F4157" s="7">
        <v>45954</v>
      </c>
      <c r="G4157" t="s">
        <v>135</v>
      </c>
      <c r="H4157" t="s">
        <v>108</v>
      </c>
      <c r="I4157" t="s">
        <v>104</v>
      </c>
      <c r="J4157">
        <v>15133.63</v>
      </c>
      <c r="K4157">
        <v>2000000</v>
      </c>
    </row>
    <row r="4158" spans="1:11" ht="15" customHeight="1" x14ac:dyDescent="0.2">
      <c r="A4158" t="s">
        <v>5871</v>
      </c>
      <c r="B4158" t="s">
        <v>396</v>
      </c>
      <c r="C4158">
        <v>2024</v>
      </c>
      <c r="D4158">
        <v>2024</v>
      </c>
      <c r="E4158" s="7">
        <v>45590</v>
      </c>
      <c r="F4158" s="7">
        <v>45954</v>
      </c>
      <c r="G4158" t="s">
        <v>135</v>
      </c>
      <c r="H4158" t="s">
        <v>102</v>
      </c>
      <c r="I4158" t="s">
        <v>101</v>
      </c>
      <c r="J4158">
        <v>72525.929999999993</v>
      </c>
      <c r="K4158">
        <v>10000000</v>
      </c>
    </row>
    <row r="4159" spans="1:11" ht="15" customHeight="1" x14ac:dyDescent="0.2">
      <c r="A4159" t="s">
        <v>5872</v>
      </c>
      <c r="B4159" t="s">
        <v>7255</v>
      </c>
      <c r="C4159">
        <v>2024</v>
      </c>
      <c r="D4159">
        <v>2024</v>
      </c>
      <c r="E4159" s="7">
        <v>45590</v>
      </c>
      <c r="F4159" s="7">
        <v>45954</v>
      </c>
      <c r="G4159" t="s">
        <v>135</v>
      </c>
      <c r="H4159" t="s">
        <v>103</v>
      </c>
      <c r="I4159" t="s">
        <v>101</v>
      </c>
      <c r="J4159">
        <v>13833.81</v>
      </c>
      <c r="K4159">
        <v>2000000</v>
      </c>
    </row>
    <row r="4160" spans="1:11" ht="15" customHeight="1" x14ac:dyDescent="0.2">
      <c r="A4160" t="s">
        <v>5873</v>
      </c>
      <c r="B4160" t="s">
        <v>9230</v>
      </c>
      <c r="C4160">
        <v>2024</v>
      </c>
      <c r="D4160">
        <v>2024</v>
      </c>
      <c r="E4160" s="7">
        <v>45590</v>
      </c>
      <c r="F4160" s="7">
        <v>45954</v>
      </c>
      <c r="G4160" t="s">
        <v>135</v>
      </c>
      <c r="H4160" t="s">
        <v>102</v>
      </c>
      <c r="I4160" t="s">
        <v>104</v>
      </c>
      <c r="J4160">
        <v>28044.7</v>
      </c>
      <c r="K4160">
        <v>5000000</v>
      </c>
    </row>
    <row r="4161" spans="1:11" ht="15" customHeight="1" x14ac:dyDescent="0.2">
      <c r="A4161" t="s">
        <v>5874</v>
      </c>
      <c r="B4161" t="s">
        <v>9231</v>
      </c>
      <c r="C4161">
        <v>2024</v>
      </c>
      <c r="D4161">
        <v>2024</v>
      </c>
      <c r="E4161" s="7">
        <v>45590</v>
      </c>
      <c r="F4161" s="7">
        <v>45954</v>
      </c>
      <c r="G4161" t="s">
        <v>135</v>
      </c>
      <c r="H4161" t="s">
        <v>106</v>
      </c>
      <c r="I4161" t="s">
        <v>104</v>
      </c>
      <c r="J4161">
        <v>9710.75</v>
      </c>
      <c r="K4161">
        <v>1500000</v>
      </c>
    </row>
    <row r="4162" spans="1:11" ht="15" customHeight="1" x14ac:dyDescent="0.2">
      <c r="A4162" t="s">
        <v>5875</v>
      </c>
      <c r="B4162" t="s">
        <v>1076</v>
      </c>
      <c r="C4162">
        <v>2024</v>
      </c>
      <c r="D4162">
        <v>2024</v>
      </c>
      <c r="E4162" s="7">
        <v>45590</v>
      </c>
      <c r="F4162" s="7">
        <v>45954</v>
      </c>
      <c r="G4162" t="s">
        <v>135</v>
      </c>
      <c r="H4162" t="s">
        <v>102</v>
      </c>
      <c r="I4162" t="s">
        <v>101</v>
      </c>
      <c r="J4162">
        <v>36200.769999999997</v>
      </c>
      <c r="K4162">
        <v>5000000</v>
      </c>
    </row>
    <row r="4163" spans="1:11" ht="15" customHeight="1" x14ac:dyDescent="0.2">
      <c r="A4163" t="s">
        <v>5876</v>
      </c>
      <c r="B4163" t="s">
        <v>7062</v>
      </c>
      <c r="C4163">
        <v>2024</v>
      </c>
      <c r="D4163">
        <v>2024</v>
      </c>
      <c r="E4163" s="7">
        <v>45590</v>
      </c>
      <c r="F4163" s="7">
        <v>45954</v>
      </c>
      <c r="G4163" t="s">
        <v>135</v>
      </c>
      <c r="H4163" t="s">
        <v>102</v>
      </c>
      <c r="I4163" t="s">
        <v>101</v>
      </c>
      <c r="J4163">
        <v>3504.07</v>
      </c>
      <c r="K4163">
        <v>500000</v>
      </c>
    </row>
    <row r="4164" spans="1:11" ht="15" customHeight="1" x14ac:dyDescent="0.2">
      <c r="A4164" t="s">
        <v>5877</v>
      </c>
      <c r="B4164" t="s">
        <v>225</v>
      </c>
      <c r="C4164">
        <v>2024</v>
      </c>
      <c r="D4164">
        <v>2024</v>
      </c>
      <c r="E4164" s="7">
        <v>45590</v>
      </c>
      <c r="F4164" s="7">
        <v>45954</v>
      </c>
      <c r="G4164" t="s">
        <v>135</v>
      </c>
      <c r="H4164" t="s">
        <v>106</v>
      </c>
      <c r="I4164" t="s">
        <v>101</v>
      </c>
      <c r="J4164">
        <v>9329.3799999999992</v>
      </c>
      <c r="K4164">
        <v>1000000</v>
      </c>
    </row>
    <row r="4165" spans="1:11" ht="15" customHeight="1" x14ac:dyDescent="0.2">
      <c r="A4165" t="s">
        <v>5878</v>
      </c>
      <c r="B4165" t="s">
        <v>4477</v>
      </c>
      <c r="C4165">
        <v>2024</v>
      </c>
      <c r="D4165">
        <v>2024</v>
      </c>
      <c r="E4165" s="7">
        <v>45591</v>
      </c>
      <c r="F4165" s="7">
        <v>45955</v>
      </c>
      <c r="G4165" t="s">
        <v>99</v>
      </c>
      <c r="H4165" t="s">
        <v>102</v>
      </c>
      <c r="I4165" t="s">
        <v>104</v>
      </c>
      <c r="J4165">
        <v>11484.07</v>
      </c>
      <c r="K4165">
        <v>2000000</v>
      </c>
    </row>
    <row r="4166" spans="1:11" ht="15" customHeight="1" x14ac:dyDescent="0.2">
      <c r="A4166" t="s">
        <v>5879</v>
      </c>
      <c r="B4166" t="s">
        <v>4479</v>
      </c>
      <c r="C4166">
        <v>2024</v>
      </c>
      <c r="D4166">
        <v>2024</v>
      </c>
      <c r="E4166" s="7">
        <v>45591</v>
      </c>
      <c r="F4166" s="7">
        <v>45955</v>
      </c>
      <c r="G4166" t="s">
        <v>99</v>
      </c>
      <c r="H4166" t="s">
        <v>106</v>
      </c>
      <c r="I4166" t="s">
        <v>101</v>
      </c>
      <c r="J4166">
        <v>19234.169999999998</v>
      </c>
      <c r="K4166">
        <v>2000000</v>
      </c>
    </row>
    <row r="4167" spans="1:11" ht="15" customHeight="1" x14ac:dyDescent="0.2">
      <c r="A4167" t="s">
        <v>5880</v>
      </c>
      <c r="B4167" t="s">
        <v>7185</v>
      </c>
      <c r="C4167">
        <v>2024</v>
      </c>
      <c r="D4167">
        <v>2024</v>
      </c>
      <c r="E4167" s="7">
        <v>45591</v>
      </c>
      <c r="F4167" s="7">
        <v>45955</v>
      </c>
      <c r="G4167" t="s">
        <v>135</v>
      </c>
      <c r="H4167" t="s">
        <v>106</v>
      </c>
      <c r="I4167" t="s">
        <v>104</v>
      </c>
      <c r="J4167">
        <v>3834.71</v>
      </c>
      <c r="K4167">
        <v>500000</v>
      </c>
    </row>
    <row r="4168" spans="1:11" ht="15" customHeight="1" x14ac:dyDescent="0.2">
      <c r="A4168" t="s">
        <v>5881</v>
      </c>
      <c r="B4168" t="s">
        <v>9232</v>
      </c>
      <c r="C4168">
        <v>2024</v>
      </c>
      <c r="D4168">
        <v>2024</v>
      </c>
      <c r="E4168" s="7">
        <v>45591</v>
      </c>
      <c r="F4168" s="7">
        <v>45955</v>
      </c>
      <c r="G4168" t="s">
        <v>135</v>
      </c>
      <c r="H4168" t="s">
        <v>6348</v>
      </c>
      <c r="I4168" t="s">
        <v>101</v>
      </c>
      <c r="J4168">
        <v>14957.62</v>
      </c>
      <c r="K4168">
        <v>2000000</v>
      </c>
    </row>
    <row r="4169" spans="1:11" ht="15" customHeight="1" x14ac:dyDescent="0.2">
      <c r="A4169" t="s">
        <v>5882</v>
      </c>
      <c r="B4169" t="s">
        <v>397</v>
      </c>
      <c r="C4169">
        <v>2024</v>
      </c>
      <c r="D4169">
        <v>2024</v>
      </c>
      <c r="E4169" s="7">
        <v>45591</v>
      </c>
      <c r="F4169" s="7">
        <v>45955</v>
      </c>
      <c r="G4169" t="s">
        <v>135</v>
      </c>
      <c r="H4169" t="s">
        <v>114</v>
      </c>
      <c r="I4169" t="s">
        <v>101</v>
      </c>
      <c r="J4169">
        <v>3595.32</v>
      </c>
      <c r="K4169">
        <v>500000</v>
      </c>
    </row>
    <row r="4170" spans="1:11" ht="15" customHeight="1" x14ac:dyDescent="0.2">
      <c r="A4170" t="s">
        <v>5883</v>
      </c>
      <c r="B4170" t="s">
        <v>175</v>
      </c>
      <c r="C4170">
        <v>2024</v>
      </c>
      <c r="D4170">
        <v>2024</v>
      </c>
      <c r="E4170" s="7">
        <v>45591</v>
      </c>
      <c r="F4170" s="7">
        <v>45955</v>
      </c>
      <c r="G4170" t="s">
        <v>135</v>
      </c>
      <c r="H4170" t="s">
        <v>102</v>
      </c>
      <c r="I4170" t="s">
        <v>101</v>
      </c>
      <c r="J4170">
        <v>10198.77</v>
      </c>
      <c r="K4170">
        <v>1500000</v>
      </c>
    </row>
    <row r="4171" spans="1:11" ht="15" customHeight="1" x14ac:dyDescent="0.2">
      <c r="A4171" t="s">
        <v>5884</v>
      </c>
      <c r="B4171" t="s">
        <v>9233</v>
      </c>
      <c r="C4171">
        <v>2024</v>
      </c>
      <c r="D4171">
        <v>2024</v>
      </c>
      <c r="E4171" s="7">
        <v>45591</v>
      </c>
      <c r="F4171" s="7">
        <v>45955</v>
      </c>
      <c r="G4171" t="s">
        <v>135</v>
      </c>
      <c r="H4171" t="s">
        <v>116</v>
      </c>
      <c r="I4171" t="s">
        <v>101</v>
      </c>
      <c r="J4171">
        <v>10874.79</v>
      </c>
      <c r="K4171">
        <v>1500000</v>
      </c>
    </row>
    <row r="4172" spans="1:11" ht="15" customHeight="1" x14ac:dyDescent="0.2">
      <c r="A4172" t="s">
        <v>5885</v>
      </c>
      <c r="B4172" t="s">
        <v>9234</v>
      </c>
      <c r="C4172">
        <v>2024</v>
      </c>
      <c r="D4172">
        <v>2024</v>
      </c>
      <c r="E4172" s="7">
        <v>45591</v>
      </c>
      <c r="F4172" s="7">
        <v>45955</v>
      </c>
      <c r="G4172" t="s">
        <v>135</v>
      </c>
      <c r="H4172" t="s">
        <v>102</v>
      </c>
      <c r="I4172" t="s">
        <v>104</v>
      </c>
      <c r="J4172">
        <v>5738.64</v>
      </c>
      <c r="K4172">
        <v>1000000</v>
      </c>
    </row>
    <row r="4173" spans="1:11" ht="15" customHeight="1" x14ac:dyDescent="0.2">
      <c r="A4173" t="s">
        <v>5886</v>
      </c>
      <c r="B4173" t="s">
        <v>1077</v>
      </c>
      <c r="C4173">
        <v>2024</v>
      </c>
      <c r="D4173">
        <v>2024</v>
      </c>
      <c r="E4173" s="7">
        <v>45591</v>
      </c>
      <c r="F4173" s="7">
        <v>45955</v>
      </c>
      <c r="G4173" t="s">
        <v>135</v>
      </c>
      <c r="H4173" t="s">
        <v>107</v>
      </c>
      <c r="I4173" t="s">
        <v>101</v>
      </c>
      <c r="J4173">
        <v>7020.88</v>
      </c>
      <c r="K4173">
        <v>1000000</v>
      </c>
    </row>
    <row r="4174" spans="1:11" ht="15" customHeight="1" x14ac:dyDescent="0.2">
      <c r="A4174" t="s">
        <v>5887</v>
      </c>
      <c r="B4174" t="s">
        <v>1079</v>
      </c>
      <c r="C4174">
        <v>2024</v>
      </c>
      <c r="D4174">
        <v>2024</v>
      </c>
      <c r="E4174" s="7">
        <v>45591</v>
      </c>
      <c r="F4174" s="7">
        <v>45955</v>
      </c>
      <c r="G4174" t="s">
        <v>135</v>
      </c>
      <c r="H4174" t="s">
        <v>102</v>
      </c>
      <c r="I4174" t="s">
        <v>101</v>
      </c>
      <c r="J4174">
        <v>11781.67</v>
      </c>
      <c r="K4174">
        <v>1500000</v>
      </c>
    </row>
    <row r="4175" spans="1:11" ht="15" customHeight="1" x14ac:dyDescent="0.2">
      <c r="A4175" t="s">
        <v>5888</v>
      </c>
      <c r="B4175" t="s">
        <v>9235</v>
      </c>
      <c r="C4175">
        <v>2024</v>
      </c>
      <c r="D4175">
        <v>2024</v>
      </c>
      <c r="E4175" s="7">
        <v>45591</v>
      </c>
      <c r="F4175" s="7">
        <v>45955</v>
      </c>
      <c r="G4175" t="s">
        <v>135</v>
      </c>
      <c r="H4175" t="s">
        <v>102</v>
      </c>
      <c r="I4175" t="s">
        <v>101</v>
      </c>
      <c r="J4175">
        <v>33173.839999999997</v>
      </c>
      <c r="K4175">
        <v>5000000</v>
      </c>
    </row>
    <row r="4176" spans="1:11" ht="15" customHeight="1" x14ac:dyDescent="0.2">
      <c r="A4176" t="s">
        <v>5889</v>
      </c>
      <c r="B4176" t="s">
        <v>7146</v>
      </c>
      <c r="C4176">
        <v>2024</v>
      </c>
      <c r="D4176">
        <v>2024</v>
      </c>
      <c r="E4176" s="7">
        <v>45591</v>
      </c>
      <c r="F4176" s="7">
        <v>45955</v>
      </c>
      <c r="G4176" t="s">
        <v>135</v>
      </c>
      <c r="H4176" t="s">
        <v>109</v>
      </c>
      <c r="I4176" t="s">
        <v>101</v>
      </c>
      <c r="J4176">
        <v>33252.57</v>
      </c>
      <c r="K4176">
        <v>5000000</v>
      </c>
    </row>
    <row r="4177" spans="1:11" ht="15" customHeight="1" x14ac:dyDescent="0.2">
      <c r="A4177" t="s">
        <v>5890</v>
      </c>
      <c r="B4177" t="s">
        <v>7305</v>
      </c>
      <c r="C4177">
        <v>2024</v>
      </c>
      <c r="D4177">
        <v>2024</v>
      </c>
      <c r="E4177" s="7">
        <v>45591</v>
      </c>
      <c r="F4177" s="7">
        <v>45955</v>
      </c>
      <c r="G4177" t="s">
        <v>135</v>
      </c>
      <c r="H4177" t="s">
        <v>108</v>
      </c>
      <c r="I4177" t="s">
        <v>101</v>
      </c>
      <c r="J4177">
        <v>96591.66</v>
      </c>
      <c r="K4177">
        <v>10000000</v>
      </c>
    </row>
    <row r="4178" spans="1:11" ht="15" customHeight="1" x14ac:dyDescent="0.2">
      <c r="A4178" t="s">
        <v>5891</v>
      </c>
      <c r="B4178" t="s">
        <v>132</v>
      </c>
      <c r="C4178">
        <v>2024</v>
      </c>
      <c r="D4178">
        <v>2024</v>
      </c>
      <c r="E4178" s="7">
        <v>45591</v>
      </c>
      <c r="F4178" s="7">
        <v>45955</v>
      </c>
      <c r="G4178" t="s">
        <v>135</v>
      </c>
      <c r="H4178" t="s">
        <v>106</v>
      </c>
      <c r="I4178" t="s">
        <v>104</v>
      </c>
      <c r="J4178">
        <v>7627.17</v>
      </c>
      <c r="K4178">
        <v>1000000</v>
      </c>
    </row>
    <row r="4179" spans="1:11" ht="15" customHeight="1" x14ac:dyDescent="0.2">
      <c r="A4179" t="s">
        <v>5892</v>
      </c>
      <c r="B4179" t="s">
        <v>1078</v>
      </c>
      <c r="C4179">
        <v>2024</v>
      </c>
      <c r="D4179">
        <v>2024</v>
      </c>
      <c r="E4179" s="7">
        <v>45591</v>
      </c>
      <c r="F4179" s="7">
        <v>45955</v>
      </c>
      <c r="G4179" t="s">
        <v>135</v>
      </c>
      <c r="H4179" t="s">
        <v>102</v>
      </c>
      <c r="I4179" t="s">
        <v>101</v>
      </c>
      <c r="J4179">
        <v>7652.84</v>
      </c>
      <c r="K4179">
        <v>1000000</v>
      </c>
    </row>
    <row r="4180" spans="1:11" ht="15" customHeight="1" x14ac:dyDescent="0.2">
      <c r="A4180" t="s">
        <v>5893</v>
      </c>
      <c r="B4180" t="s">
        <v>4494</v>
      </c>
      <c r="C4180">
        <v>2024</v>
      </c>
      <c r="D4180">
        <v>2024</v>
      </c>
      <c r="E4180" s="7">
        <v>45592</v>
      </c>
      <c r="F4180" s="7">
        <v>45956</v>
      </c>
      <c r="G4180" t="s">
        <v>99</v>
      </c>
      <c r="H4180" t="s">
        <v>108</v>
      </c>
      <c r="I4180" t="s">
        <v>101</v>
      </c>
      <c r="J4180">
        <v>14564.68</v>
      </c>
      <c r="K4180">
        <v>1500000</v>
      </c>
    </row>
    <row r="4181" spans="1:11" ht="15" customHeight="1" x14ac:dyDescent="0.2">
      <c r="A4181" t="s">
        <v>5894</v>
      </c>
      <c r="B4181" t="s">
        <v>4496</v>
      </c>
      <c r="C4181">
        <v>2024</v>
      </c>
      <c r="D4181">
        <v>2024</v>
      </c>
      <c r="E4181" s="7">
        <v>45592</v>
      </c>
      <c r="F4181" s="7">
        <v>45956</v>
      </c>
      <c r="G4181" t="s">
        <v>99</v>
      </c>
      <c r="H4181" t="s">
        <v>110</v>
      </c>
      <c r="I4181" t="s">
        <v>101</v>
      </c>
      <c r="J4181">
        <v>9020.4699999999993</v>
      </c>
      <c r="K4181">
        <v>1000000</v>
      </c>
    </row>
    <row r="4182" spans="1:11" ht="15" customHeight="1" x14ac:dyDescent="0.2">
      <c r="A4182" t="s">
        <v>5895</v>
      </c>
      <c r="B4182" t="s">
        <v>4498</v>
      </c>
      <c r="C4182">
        <v>2024</v>
      </c>
      <c r="D4182">
        <v>2024</v>
      </c>
      <c r="E4182" s="7">
        <v>45592</v>
      </c>
      <c r="F4182" s="7">
        <v>45956</v>
      </c>
      <c r="G4182" t="s">
        <v>99</v>
      </c>
      <c r="H4182" t="s">
        <v>6332</v>
      </c>
      <c r="I4182" t="s">
        <v>101</v>
      </c>
      <c r="J4182">
        <v>11502.7</v>
      </c>
      <c r="K4182">
        <v>1500000</v>
      </c>
    </row>
    <row r="4183" spans="1:11" ht="15" customHeight="1" x14ac:dyDescent="0.2">
      <c r="A4183" t="s">
        <v>5896</v>
      </c>
      <c r="B4183" t="s">
        <v>4500</v>
      </c>
      <c r="C4183">
        <v>2024</v>
      </c>
      <c r="D4183">
        <v>2024</v>
      </c>
      <c r="E4183" s="7">
        <v>45592</v>
      </c>
      <c r="F4183" s="7">
        <v>45956</v>
      </c>
      <c r="G4183" t="s">
        <v>99</v>
      </c>
      <c r="H4183" t="s">
        <v>113</v>
      </c>
      <c r="I4183" t="s">
        <v>101</v>
      </c>
      <c r="J4183">
        <v>10045.5</v>
      </c>
      <c r="K4183">
        <v>1500000</v>
      </c>
    </row>
    <row r="4184" spans="1:11" ht="15" customHeight="1" x14ac:dyDescent="0.2">
      <c r="A4184" t="s">
        <v>5897</v>
      </c>
      <c r="B4184" t="s">
        <v>7036</v>
      </c>
      <c r="C4184">
        <v>2024</v>
      </c>
      <c r="D4184">
        <v>2024</v>
      </c>
      <c r="E4184" s="7">
        <v>45592</v>
      </c>
      <c r="F4184" s="7">
        <v>45956</v>
      </c>
      <c r="G4184" t="s">
        <v>135</v>
      </c>
      <c r="H4184" t="s">
        <v>109</v>
      </c>
      <c r="I4184" t="s">
        <v>104</v>
      </c>
      <c r="J4184">
        <v>6287.46</v>
      </c>
      <c r="K4184">
        <v>1000000</v>
      </c>
    </row>
    <row r="4185" spans="1:11" ht="15" customHeight="1" x14ac:dyDescent="0.2">
      <c r="A4185" t="s">
        <v>5898</v>
      </c>
      <c r="B4185" t="s">
        <v>398</v>
      </c>
      <c r="C4185">
        <v>2024</v>
      </c>
      <c r="D4185">
        <v>2024</v>
      </c>
      <c r="E4185" s="7">
        <v>45592</v>
      </c>
      <c r="F4185" s="7">
        <v>45956</v>
      </c>
      <c r="G4185" t="s">
        <v>135</v>
      </c>
      <c r="H4185" t="s">
        <v>100</v>
      </c>
      <c r="I4185" t="s">
        <v>101</v>
      </c>
      <c r="J4185">
        <v>34817.660000000003</v>
      </c>
      <c r="K4185">
        <v>5000000</v>
      </c>
    </row>
    <row r="4186" spans="1:11" ht="15" customHeight="1" x14ac:dyDescent="0.2">
      <c r="A4186" t="s">
        <v>5899</v>
      </c>
      <c r="B4186" t="s">
        <v>635</v>
      </c>
      <c r="C4186">
        <v>2024</v>
      </c>
      <c r="D4186">
        <v>2024</v>
      </c>
      <c r="E4186" s="7">
        <v>45592</v>
      </c>
      <c r="F4186" s="7">
        <v>45956</v>
      </c>
      <c r="G4186" t="s">
        <v>135</v>
      </c>
      <c r="H4186" t="s">
        <v>105</v>
      </c>
      <c r="I4186" t="s">
        <v>101</v>
      </c>
      <c r="J4186">
        <v>7387.32</v>
      </c>
      <c r="K4186">
        <v>1000000</v>
      </c>
    </row>
    <row r="4187" spans="1:11" ht="15" customHeight="1" x14ac:dyDescent="0.2">
      <c r="A4187" t="s">
        <v>5900</v>
      </c>
      <c r="B4187" t="s">
        <v>7069</v>
      </c>
      <c r="C4187">
        <v>2024</v>
      </c>
      <c r="D4187">
        <v>2024</v>
      </c>
      <c r="E4187" s="7">
        <v>45592</v>
      </c>
      <c r="F4187" s="7">
        <v>45956</v>
      </c>
      <c r="G4187" t="s">
        <v>135</v>
      </c>
      <c r="H4187" t="s">
        <v>114</v>
      </c>
      <c r="I4187" t="s">
        <v>101</v>
      </c>
      <c r="J4187">
        <v>11267.77</v>
      </c>
      <c r="K4187">
        <v>1500000</v>
      </c>
    </row>
    <row r="4188" spans="1:11" ht="15" customHeight="1" x14ac:dyDescent="0.2">
      <c r="A4188" t="s">
        <v>5901</v>
      </c>
      <c r="B4188" t="s">
        <v>9236</v>
      </c>
      <c r="C4188">
        <v>2024</v>
      </c>
      <c r="D4188">
        <v>2024</v>
      </c>
      <c r="E4188" s="7">
        <v>45592</v>
      </c>
      <c r="F4188" s="7">
        <v>45956</v>
      </c>
      <c r="G4188" t="s">
        <v>135</v>
      </c>
      <c r="H4188" t="s">
        <v>106</v>
      </c>
      <c r="I4188" t="s">
        <v>101</v>
      </c>
      <c r="J4188">
        <v>17049.28</v>
      </c>
      <c r="K4188">
        <v>2000000</v>
      </c>
    </row>
    <row r="4189" spans="1:11" ht="15" customHeight="1" x14ac:dyDescent="0.2">
      <c r="A4189" t="s">
        <v>5902</v>
      </c>
      <c r="B4189" t="s">
        <v>9237</v>
      </c>
      <c r="C4189">
        <v>2024</v>
      </c>
      <c r="D4189">
        <v>2024</v>
      </c>
      <c r="E4189" s="7">
        <v>45592</v>
      </c>
      <c r="F4189" s="7">
        <v>45956</v>
      </c>
      <c r="G4189" t="s">
        <v>135</v>
      </c>
      <c r="H4189" t="s">
        <v>108</v>
      </c>
      <c r="I4189" t="s">
        <v>101</v>
      </c>
      <c r="J4189">
        <v>8351.85</v>
      </c>
      <c r="K4189">
        <v>1000000</v>
      </c>
    </row>
    <row r="4190" spans="1:11" ht="15" customHeight="1" x14ac:dyDescent="0.2">
      <c r="A4190" t="s">
        <v>5903</v>
      </c>
      <c r="B4190" t="s">
        <v>9238</v>
      </c>
      <c r="C4190">
        <v>2024</v>
      </c>
      <c r="D4190">
        <v>2024</v>
      </c>
      <c r="E4190" s="7">
        <v>45592</v>
      </c>
      <c r="F4190" s="7">
        <v>45956</v>
      </c>
      <c r="G4190" t="s">
        <v>135</v>
      </c>
      <c r="H4190" t="s">
        <v>108</v>
      </c>
      <c r="I4190" t="s">
        <v>101</v>
      </c>
      <c r="J4190">
        <v>14760.15</v>
      </c>
      <c r="K4190">
        <v>1500000</v>
      </c>
    </row>
    <row r="4191" spans="1:11" ht="15" customHeight="1" x14ac:dyDescent="0.2">
      <c r="A4191" t="s">
        <v>5904</v>
      </c>
      <c r="B4191" t="s">
        <v>4514</v>
      </c>
      <c r="C4191">
        <v>2024</v>
      </c>
      <c r="D4191">
        <v>2024</v>
      </c>
      <c r="E4191" s="7">
        <v>45593</v>
      </c>
      <c r="F4191" s="7">
        <v>45957</v>
      </c>
      <c r="G4191" t="s">
        <v>99</v>
      </c>
      <c r="H4191" t="s">
        <v>109</v>
      </c>
      <c r="I4191" t="s">
        <v>104</v>
      </c>
      <c r="J4191">
        <v>8679.43</v>
      </c>
      <c r="K4191">
        <v>1500000</v>
      </c>
    </row>
    <row r="4192" spans="1:11" ht="15" customHeight="1" x14ac:dyDescent="0.2">
      <c r="A4192" t="s">
        <v>5905</v>
      </c>
      <c r="B4192" t="s">
        <v>4516</v>
      </c>
      <c r="C4192">
        <v>2024</v>
      </c>
      <c r="D4192">
        <v>2024</v>
      </c>
      <c r="E4192" s="7">
        <v>45593</v>
      </c>
      <c r="F4192" s="7">
        <v>45957</v>
      </c>
      <c r="G4192" t="s">
        <v>99</v>
      </c>
      <c r="H4192" t="s">
        <v>106</v>
      </c>
      <c r="I4192" t="s">
        <v>101</v>
      </c>
      <c r="J4192">
        <v>4796.03</v>
      </c>
      <c r="K4192">
        <v>500000</v>
      </c>
    </row>
    <row r="4193" spans="1:11" ht="15" customHeight="1" x14ac:dyDescent="0.2">
      <c r="A4193" t="s">
        <v>5906</v>
      </c>
      <c r="B4193" t="s">
        <v>4518</v>
      </c>
      <c r="C4193">
        <v>2024</v>
      </c>
      <c r="D4193">
        <v>2024</v>
      </c>
      <c r="E4193" s="7">
        <v>45593</v>
      </c>
      <c r="F4193" s="7">
        <v>45957</v>
      </c>
      <c r="G4193" t="s">
        <v>99</v>
      </c>
      <c r="H4193" t="s">
        <v>102</v>
      </c>
      <c r="I4193" t="s">
        <v>104</v>
      </c>
      <c r="J4193">
        <v>11708.47</v>
      </c>
      <c r="K4193">
        <v>2000000</v>
      </c>
    </row>
    <row r="4194" spans="1:11" ht="15" customHeight="1" x14ac:dyDescent="0.2">
      <c r="A4194" t="s">
        <v>5907</v>
      </c>
      <c r="B4194" t="s">
        <v>9239</v>
      </c>
      <c r="C4194">
        <v>2024</v>
      </c>
      <c r="D4194">
        <v>2024</v>
      </c>
      <c r="E4194" s="7">
        <v>45593</v>
      </c>
      <c r="F4194" s="7">
        <v>45957</v>
      </c>
      <c r="G4194" t="s">
        <v>135</v>
      </c>
      <c r="H4194" t="s">
        <v>110</v>
      </c>
      <c r="I4194" t="s">
        <v>101</v>
      </c>
      <c r="J4194">
        <v>8305.08</v>
      </c>
      <c r="K4194">
        <v>1000000</v>
      </c>
    </row>
    <row r="4195" spans="1:11" ht="15" customHeight="1" x14ac:dyDescent="0.2">
      <c r="A4195" t="s">
        <v>5908</v>
      </c>
      <c r="B4195" t="s">
        <v>9240</v>
      </c>
      <c r="C4195">
        <v>2024</v>
      </c>
      <c r="D4195">
        <v>2024</v>
      </c>
      <c r="E4195" s="7">
        <v>45593</v>
      </c>
      <c r="F4195" s="7">
        <v>45957</v>
      </c>
      <c r="G4195" t="s">
        <v>135</v>
      </c>
      <c r="H4195" t="s">
        <v>111</v>
      </c>
      <c r="I4195" t="s">
        <v>101</v>
      </c>
      <c r="J4195">
        <v>14596.4</v>
      </c>
      <c r="K4195">
        <v>2000000</v>
      </c>
    </row>
    <row r="4196" spans="1:11" ht="15" customHeight="1" x14ac:dyDescent="0.2">
      <c r="A4196" t="s">
        <v>5909</v>
      </c>
      <c r="B4196" t="s">
        <v>9241</v>
      </c>
      <c r="C4196">
        <v>2024</v>
      </c>
      <c r="D4196">
        <v>2024</v>
      </c>
      <c r="E4196" s="7">
        <v>45593</v>
      </c>
      <c r="F4196" s="7">
        <v>45957</v>
      </c>
      <c r="G4196" t="s">
        <v>135</v>
      </c>
      <c r="H4196" t="s">
        <v>113</v>
      </c>
      <c r="I4196" t="s">
        <v>104</v>
      </c>
      <c r="J4196">
        <v>5532.27</v>
      </c>
      <c r="K4196">
        <v>1000000</v>
      </c>
    </row>
    <row r="4197" spans="1:11" ht="15" customHeight="1" x14ac:dyDescent="0.2">
      <c r="A4197" t="s">
        <v>5910</v>
      </c>
      <c r="B4197" t="s">
        <v>1080</v>
      </c>
      <c r="C4197">
        <v>2024</v>
      </c>
      <c r="D4197">
        <v>2024</v>
      </c>
      <c r="E4197" s="7">
        <v>45593</v>
      </c>
      <c r="F4197" s="7">
        <v>45957</v>
      </c>
      <c r="G4197" t="s">
        <v>135</v>
      </c>
      <c r="H4197" t="s">
        <v>105</v>
      </c>
      <c r="I4197" t="s">
        <v>101</v>
      </c>
      <c r="J4197">
        <v>10079.94</v>
      </c>
      <c r="K4197">
        <v>1500000</v>
      </c>
    </row>
    <row r="4198" spans="1:11" ht="15" customHeight="1" x14ac:dyDescent="0.2">
      <c r="A4198" t="s">
        <v>5911</v>
      </c>
      <c r="B4198" t="s">
        <v>9242</v>
      </c>
      <c r="C4198">
        <v>2024</v>
      </c>
      <c r="D4198">
        <v>2024</v>
      </c>
      <c r="E4198" s="7">
        <v>45593</v>
      </c>
      <c r="F4198" s="7">
        <v>45957</v>
      </c>
      <c r="G4198" t="s">
        <v>135</v>
      </c>
      <c r="H4198" t="s">
        <v>102</v>
      </c>
      <c r="I4198" t="s">
        <v>101</v>
      </c>
      <c r="J4198">
        <v>10918.7</v>
      </c>
      <c r="K4198">
        <v>1500000</v>
      </c>
    </row>
    <row r="4199" spans="1:11" ht="15" customHeight="1" x14ac:dyDescent="0.2">
      <c r="A4199" t="s">
        <v>5912</v>
      </c>
      <c r="B4199" t="s">
        <v>4520</v>
      </c>
      <c r="C4199">
        <v>2024</v>
      </c>
      <c r="D4199">
        <v>2024</v>
      </c>
      <c r="E4199" s="7">
        <v>45594</v>
      </c>
      <c r="F4199" s="7">
        <v>45958</v>
      </c>
      <c r="G4199" t="s">
        <v>99</v>
      </c>
      <c r="H4199" t="s">
        <v>105</v>
      </c>
      <c r="I4199" t="s">
        <v>101</v>
      </c>
      <c r="J4199">
        <v>6980.95</v>
      </c>
      <c r="K4199">
        <v>1000000</v>
      </c>
    </row>
    <row r="4200" spans="1:11" ht="15" customHeight="1" x14ac:dyDescent="0.2">
      <c r="A4200" t="s">
        <v>5913</v>
      </c>
      <c r="B4200" t="s">
        <v>4522</v>
      </c>
      <c r="C4200">
        <v>2024</v>
      </c>
      <c r="D4200">
        <v>2024</v>
      </c>
      <c r="E4200" s="7">
        <v>45594</v>
      </c>
      <c r="F4200" s="7">
        <v>45958</v>
      </c>
      <c r="G4200" t="s">
        <v>99</v>
      </c>
      <c r="H4200" t="s">
        <v>106</v>
      </c>
      <c r="I4200" t="s">
        <v>104</v>
      </c>
      <c r="J4200">
        <v>73994.27</v>
      </c>
      <c r="K4200">
        <v>10000000</v>
      </c>
    </row>
    <row r="4201" spans="1:11" ht="15" customHeight="1" x14ac:dyDescent="0.2">
      <c r="A4201" t="s">
        <v>5914</v>
      </c>
      <c r="B4201" t="s">
        <v>4524</v>
      </c>
      <c r="C4201">
        <v>2024</v>
      </c>
      <c r="D4201">
        <v>2024</v>
      </c>
      <c r="E4201" s="7">
        <v>45594</v>
      </c>
      <c r="F4201" s="7">
        <v>45958</v>
      </c>
      <c r="G4201" t="s">
        <v>99</v>
      </c>
      <c r="H4201" t="s">
        <v>106</v>
      </c>
      <c r="I4201" t="s">
        <v>104</v>
      </c>
      <c r="J4201">
        <v>15762.73</v>
      </c>
      <c r="K4201">
        <v>2000000</v>
      </c>
    </row>
    <row r="4202" spans="1:11" ht="15" customHeight="1" x14ac:dyDescent="0.2">
      <c r="A4202" t="s">
        <v>5915</v>
      </c>
      <c r="B4202" t="s">
        <v>1081</v>
      </c>
      <c r="C4202">
        <v>2024</v>
      </c>
      <c r="D4202">
        <v>2024</v>
      </c>
      <c r="E4202" s="7">
        <v>45594</v>
      </c>
      <c r="F4202" s="7">
        <v>45958</v>
      </c>
      <c r="G4202" t="s">
        <v>135</v>
      </c>
      <c r="H4202" t="s">
        <v>111</v>
      </c>
      <c r="I4202" t="s">
        <v>101</v>
      </c>
      <c r="J4202">
        <v>7841.39</v>
      </c>
      <c r="K4202">
        <v>1000000</v>
      </c>
    </row>
    <row r="4203" spans="1:11" ht="15" customHeight="1" x14ac:dyDescent="0.2">
      <c r="A4203" t="s">
        <v>5916</v>
      </c>
      <c r="B4203" t="s">
        <v>7190</v>
      </c>
      <c r="C4203">
        <v>2024</v>
      </c>
      <c r="D4203">
        <v>2024</v>
      </c>
      <c r="E4203" s="7">
        <v>45594</v>
      </c>
      <c r="F4203" s="7">
        <v>45958</v>
      </c>
      <c r="G4203" t="s">
        <v>135</v>
      </c>
      <c r="H4203" t="s">
        <v>109</v>
      </c>
      <c r="I4203" t="s">
        <v>104</v>
      </c>
      <c r="J4203">
        <v>7978.81</v>
      </c>
      <c r="K4203">
        <v>1500000</v>
      </c>
    </row>
    <row r="4204" spans="1:11" ht="15" customHeight="1" x14ac:dyDescent="0.2">
      <c r="A4204" t="s">
        <v>5917</v>
      </c>
      <c r="B4204" t="s">
        <v>7039</v>
      </c>
      <c r="C4204">
        <v>2024</v>
      </c>
      <c r="D4204">
        <v>2024</v>
      </c>
      <c r="E4204" s="7">
        <v>45594</v>
      </c>
      <c r="F4204" s="7">
        <v>45958</v>
      </c>
      <c r="G4204" t="s">
        <v>135</v>
      </c>
      <c r="H4204" t="s">
        <v>112</v>
      </c>
      <c r="I4204" t="s">
        <v>104</v>
      </c>
      <c r="J4204">
        <v>7734.17</v>
      </c>
      <c r="K4204">
        <v>1000000</v>
      </c>
    </row>
    <row r="4205" spans="1:11" ht="15" customHeight="1" x14ac:dyDescent="0.2">
      <c r="A4205" t="s">
        <v>5918</v>
      </c>
      <c r="B4205" t="s">
        <v>9243</v>
      </c>
      <c r="C4205">
        <v>2024</v>
      </c>
      <c r="D4205">
        <v>2024</v>
      </c>
      <c r="E4205" s="7">
        <v>45594</v>
      </c>
      <c r="F4205" s="7">
        <v>45958</v>
      </c>
      <c r="G4205" t="s">
        <v>135</v>
      </c>
      <c r="H4205" t="s">
        <v>115</v>
      </c>
      <c r="I4205" t="s">
        <v>104</v>
      </c>
      <c r="J4205">
        <v>5459.96</v>
      </c>
      <c r="K4205">
        <v>1000000</v>
      </c>
    </row>
    <row r="4206" spans="1:11" ht="15" customHeight="1" x14ac:dyDescent="0.2">
      <c r="A4206" t="s">
        <v>5919</v>
      </c>
      <c r="B4206" t="s">
        <v>226</v>
      </c>
      <c r="C4206">
        <v>2024</v>
      </c>
      <c r="D4206">
        <v>2024</v>
      </c>
      <c r="E4206" s="7">
        <v>45594</v>
      </c>
      <c r="F4206" s="7">
        <v>45958</v>
      </c>
      <c r="G4206" t="s">
        <v>135</v>
      </c>
      <c r="H4206" t="s">
        <v>103</v>
      </c>
      <c r="I4206" t="s">
        <v>101</v>
      </c>
      <c r="J4206">
        <v>6648.82</v>
      </c>
      <c r="K4206">
        <v>1000000</v>
      </c>
    </row>
    <row r="4207" spans="1:11" ht="15" customHeight="1" x14ac:dyDescent="0.2">
      <c r="A4207" t="s">
        <v>5920</v>
      </c>
      <c r="B4207" t="s">
        <v>7191</v>
      </c>
      <c r="C4207">
        <v>2024</v>
      </c>
      <c r="D4207">
        <v>2024</v>
      </c>
      <c r="E4207" s="7">
        <v>45594</v>
      </c>
      <c r="F4207" s="7">
        <v>45958</v>
      </c>
      <c r="G4207" t="s">
        <v>135</v>
      </c>
      <c r="H4207" t="s">
        <v>107</v>
      </c>
      <c r="I4207" t="s">
        <v>101</v>
      </c>
      <c r="J4207">
        <v>6975.03</v>
      </c>
      <c r="K4207">
        <v>1000000</v>
      </c>
    </row>
    <row r="4208" spans="1:11" ht="15" customHeight="1" x14ac:dyDescent="0.2">
      <c r="A4208" t="s">
        <v>5921</v>
      </c>
      <c r="B4208" t="s">
        <v>9244</v>
      </c>
      <c r="C4208">
        <v>2024</v>
      </c>
      <c r="D4208">
        <v>2024</v>
      </c>
      <c r="E4208" s="7">
        <v>45594</v>
      </c>
      <c r="F4208" s="7">
        <v>45958</v>
      </c>
      <c r="G4208" t="s">
        <v>135</v>
      </c>
      <c r="H4208" t="s">
        <v>112</v>
      </c>
      <c r="I4208" t="s">
        <v>101</v>
      </c>
      <c r="J4208">
        <v>12994.51</v>
      </c>
      <c r="K4208">
        <v>1500000</v>
      </c>
    </row>
    <row r="4209" spans="1:11" ht="15" customHeight="1" x14ac:dyDescent="0.2">
      <c r="A4209" t="s">
        <v>5922</v>
      </c>
      <c r="B4209" t="s">
        <v>7010</v>
      </c>
      <c r="C4209">
        <v>2024</v>
      </c>
      <c r="D4209">
        <v>2024</v>
      </c>
      <c r="E4209" s="7">
        <v>45594</v>
      </c>
      <c r="F4209" s="7">
        <v>45958</v>
      </c>
      <c r="G4209" t="s">
        <v>135</v>
      </c>
      <c r="H4209" t="s">
        <v>6332</v>
      </c>
      <c r="I4209" t="s">
        <v>104</v>
      </c>
      <c r="J4209">
        <v>8825.2099999999991</v>
      </c>
      <c r="K4209">
        <v>1500000</v>
      </c>
    </row>
    <row r="4210" spans="1:11" ht="15" customHeight="1" x14ac:dyDescent="0.2">
      <c r="A4210" t="s">
        <v>5923</v>
      </c>
      <c r="B4210" t="s">
        <v>1082</v>
      </c>
      <c r="C4210">
        <v>2024</v>
      </c>
      <c r="D4210">
        <v>2024</v>
      </c>
      <c r="E4210" s="7">
        <v>45594</v>
      </c>
      <c r="F4210" s="7">
        <v>45958</v>
      </c>
      <c r="G4210" t="s">
        <v>135</v>
      </c>
      <c r="H4210" t="s">
        <v>108</v>
      </c>
      <c r="I4210" t="s">
        <v>104</v>
      </c>
      <c r="J4210">
        <v>10258.92</v>
      </c>
      <c r="K4210">
        <v>1500000</v>
      </c>
    </row>
    <row r="4211" spans="1:11" ht="15" customHeight="1" x14ac:dyDescent="0.2">
      <c r="A4211" t="s">
        <v>5924</v>
      </c>
      <c r="B4211" t="s">
        <v>9245</v>
      </c>
      <c r="C4211">
        <v>2024</v>
      </c>
      <c r="D4211">
        <v>2024</v>
      </c>
      <c r="E4211" s="7">
        <v>45594</v>
      </c>
      <c r="F4211" s="7">
        <v>45958</v>
      </c>
      <c r="G4211" t="s">
        <v>135</v>
      </c>
      <c r="H4211" t="s">
        <v>106</v>
      </c>
      <c r="I4211" t="s">
        <v>101</v>
      </c>
      <c r="J4211">
        <v>81431.02</v>
      </c>
      <c r="K4211">
        <v>10000000</v>
      </c>
    </row>
    <row r="4212" spans="1:11" ht="15" customHeight="1" x14ac:dyDescent="0.2">
      <c r="A4212" t="s">
        <v>5925</v>
      </c>
      <c r="B4212" t="s">
        <v>4526</v>
      </c>
      <c r="C4212">
        <v>2024</v>
      </c>
      <c r="D4212">
        <v>2024</v>
      </c>
      <c r="E4212" s="7">
        <v>45595</v>
      </c>
      <c r="F4212" s="7">
        <v>45959</v>
      </c>
      <c r="G4212" t="s">
        <v>99</v>
      </c>
      <c r="H4212" t="s">
        <v>103</v>
      </c>
      <c r="I4212" t="s">
        <v>104</v>
      </c>
      <c r="J4212">
        <v>9286.24</v>
      </c>
      <c r="K4212">
        <v>1500000</v>
      </c>
    </row>
    <row r="4213" spans="1:11" ht="15" customHeight="1" x14ac:dyDescent="0.2">
      <c r="A4213" t="s">
        <v>5926</v>
      </c>
      <c r="B4213" t="s">
        <v>4538</v>
      </c>
      <c r="C4213">
        <v>2024</v>
      </c>
      <c r="D4213">
        <v>2024</v>
      </c>
      <c r="E4213" s="7">
        <v>45595</v>
      </c>
      <c r="F4213" s="7">
        <v>45959</v>
      </c>
      <c r="G4213" t="s">
        <v>99</v>
      </c>
      <c r="H4213" t="s">
        <v>110</v>
      </c>
      <c r="I4213" t="s">
        <v>104</v>
      </c>
      <c r="J4213">
        <v>13551.44</v>
      </c>
      <c r="K4213">
        <v>2000000</v>
      </c>
    </row>
    <row r="4214" spans="1:11" ht="15" customHeight="1" x14ac:dyDescent="0.2">
      <c r="A4214" t="s">
        <v>5927</v>
      </c>
      <c r="B4214" t="s">
        <v>4540</v>
      </c>
      <c r="C4214">
        <v>2024</v>
      </c>
      <c r="D4214">
        <v>2024</v>
      </c>
      <c r="E4214" s="7">
        <v>45595</v>
      </c>
      <c r="F4214" s="7">
        <v>45959</v>
      </c>
      <c r="G4214" t="s">
        <v>99</v>
      </c>
      <c r="H4214" t="s">
        <v>116</v>
      </c>
      <c r="I4214" t="s">
        <v>104</v>
      </c>
      <c r="J4214">
        <v>5513.96</v>
      </c>
      <c r="K4214">
        <v>1000000</v>
      </c>
    </row>
    <row r="4215" spans="1:11" ht="15" customHeight="1" x14ac:dyDescent="0.2">
      <c r="A4215" t="s">
        <v>5928</v>
      </c>
      <c r="B4215" t="s">
        <v>7110</v>
      </c>
      <c r="C4215">
        <v>2024</v>
      </c>
      <c r="D4215">
        <v>2024</v>
      </c>
      <c r="E4215" s="7">
        <v>45595</v>
      </c>
      <c r="F4215" s="7">
        <v>45959</v>
      </c>
      <c r="G4215" t="s">
        <v>135</v>
      </c>
      <c r="H4215" t="s">
        <v>103</v>
      </c>
      <c r="I4215" t="s">
        <v>104</v>
      </c>
      <c r="J4215">
        <v>7895.62</v>
      </c>
      <c r="K4215">
        <v>1500000</v>
      </c>
    </row>
    <row r="4216" spans="1:11" ht="15" customHeight="1" x14ac:dyDescent="0.2">
      <c r="A4216" t="s">
        <v>5929</v>
      </c>
      <c r="B4216" t="s">
        <v>7193</v>
      </c>
      <c r="C4216">
        <v>2024</v>
      </c>
      <c r="D4216">
        <v>2024</v>
      </c>
      <c r="E4216" s="7">
        <v>45595</v>
      </c>
      <c r="F4216" s="7">
        <v>45959</v>
      </c>
      <c r="G4216" t="s">
        <v>135</v>
      </c>
      <c r="H4216" t="s">
        <v>102</v>
      </c>
      <c r="I4216" t="s">
        <v>101</v>
      </c>
      <c r="J4216">
        <v>14367.8</v>
      </c>
      <c r="K4216">
        <v>2000000</v>
      </c>
    </row>
    <row r="4217" spans="1:11" ht="15" customHeight="1" x14ac:dyDescent="0.2">
      <c r="A4217" t="s">
        <v>5930</v>
      </c>
      <c r="B4217" t="s">
        <v>1083</v>
      </c>
      <c r="C4217">
        <v>2024</v>
      </c>
      <c r="D4217">
        <v>2024</v>
      </c>
      <c r="E4217" s="7">
        <v>45595</v>
      </c>
      <c r="F4217" s="7">
        <v>45959</v>
      </c>
      <c r="G4217" t="s">
        <v>135</v>
      </c>
      <c r="H4217" t="s">
        <v>6337</v>
      </c>
      <c r="I4217" t="s">
        <v>104</v>
      </c>
      <c r="J4217">
        <v>61813.93</v>
      </c>
      <c r="K4217">
        <v>10000000</v>
      </c>
    </row>
    <row r="4218" spans="1:11" ht="15" customHeight="1" x14ac:dyDescent="0.2">
      <c r="A4218" t="s">
        <v>5931</v>
      </c>
      <c r="B4218" t="s">
        <v>7038</v>
      </c>
      <c r="C4218">
        <v>2024</v>
      </c>
      <c r="D4218">
        <v>2024</v>
      </c>
      <c r="E4218" s="7">
        <v>45595</v>
      </c>
      <c r="F4218" s="7">
        <v>45959</v>
      </c>
      <c r="G4218" t="s">
        <v>135</v>
      </c>
      <c r="H4218" t="s">
        <v>6332</v>
      </c>
      <c r="I4218" t="s">
        <v>104</v>
      </c>
      <c r="J4218">
        <v>8505.86</v>
      </c>
      <c r="K4218">
        <v>1500000</v>
      </c>
    </row>
    <row r="4219" spans="1:11" ht="15" customHeight="1" x14ac:dyDescent="0.2">
      <c r="A4219" t="s">
        <v>5932</v>
      </c>
      <c r="B4219" t="s">
        <v>7014</v>
      </c>
      <c r="C4219">
        <v>2024</v>
      </c>
      <c r="D4219">
        <v>2024</v>
      </c>
      <c r="E4219" s="7">
        <v>45595</v>
      </c>
      <c r="F4219" s="7">
        <v>45959</v>
      </c>
      <c r="G4219" t="s">
        <v>135</v>
      </c>
      <c r="H4219" t="s">
        <v>111</v>
      </c>
      <c r="I4219" t="s">
        <v>101</v>
      </c>
      <c r="J4219">
        <v>6707.51</v>
      </c>
      <c r="K4219">
        <v>1000000</v>
      </c>
    </row>
    <row r="4220" spans="1:11" ht="15" customHeight="1" x14ac:dyDescent="0.2">
      <c r="A4220" t="s">
        <v>5933</v>
      </c>
      <c r="B4220" t="s">
        <v>9246</v>
      </c>
      <c r="C4220">
        <v>2024</v>
      </c>
      <c r="D4220">
        <v>2024</v>
      </c>
      <c r="E4220" s="7">
        <v>45595</v>
      </c>
      <c r="F4220" s="7">
        <v>45959</v>
      </c>
      <c r="G4220" t="s">
        <v>135</v>
      </c>
      <c r="H4220" t="s">
        <v>108</v>
      </c>
      <c r="I4220" t="s">
        <v>101</v>
      </c>
      <c r="J4220">
        <v>8105.32</v>
      </c>
      <c r="K4220">
        <v>1000000</v>
      </c>
    </row>
    <row r="4221" spans="1:11" ht="15" customHeight="1" x14ac:dyDescent="0.2">
      <c r="A4221" t="s">
        <v>5934</v>
      </c>
      <c r="B4221" t="s">
        <v>9247</v>
      </c>
      <c r="C4221">
        <v>2024</v>
      </c>
      <c r="D4221">
        <v>2024</v>
      </c>
      <c r="E4221" s="7">
        <v>45595</v>
      </c>
      <c r="F4221" s="7">
        <v>45959</v>
      </c>
      <c r="G4221" t="s">
        <v>135</v>
      </c>
      <c r="H4221" t="s">
        <v>107</v>
      </c>
      <c r="I4221" t="s">
        <v>101</v>
      </c>
      <c r="J4221">
        <v>11725.45</v>
      </c>
      <c r="K4221">
        <v>1500000</v>
      </c>
    </row>
    <row r="4222" spans="1:11" ht="15" customHeight="1" x14ac:dyDescent="0.2">
      <c r="A4222" t="s">
        <v>5935</v>
      </c>
      <c r="B4222" t="s">
        <v>9248</v>
      </c>
      <c r="C4222">
        <v>2024</v>
      </c>
      <c r="D4222">
        <v>2024</v>
      </c>
      <c r="E4222" s="7">
        <v>45595</v>
      </c>
      <c r="F4222" s="7">
        <v>45959</v>
      </c>
      <c r="G4222" t="s">
        <v>135</v>
      </c>
      <c r="H4222" t="s">
        <v>105</v>
      </c>
      <c r="I4222" t="s">
        <v>101</v>
      </c>
      <c r="J4222">
        <v>11298.7</v>
      </c>
      <c r="K4222">
        <v>1500000</v>
      </c>
    </row>
    <row r="4223" spans="1:11" ht="15" customHeight="1" x14ac:dyDescent="0.2">
      <c r="A4223" t="s">
        <v>5936</v>
      </c>
      <c r="B4223" t="s">
        <v>7013</v>
      </c>
      <c r="C4223">
        <v>2024</v>
      </c>
      <c r="D4223">
        <v>2024</v>
      </c>
      <c r="E4223" s="7">
        <v>45595</v>
      </c>
      <c r="F4223" s="7">
        <v>45959</v>
      </c>
      <c r="G4223" t="s">
        <v>135</v>
      </c>
      <c r="H4223" t="s">
        <v>115</v>
      </c>
      <c r="I4223" t="s">
        <v>101</v>
      </c>
      <c r="J4223">
        <v>14493.13</v>
      </c>
      <c r="K4223">
        <v>2000000</v>
      </c>
    </row>
    <row r="4224" spans="1:11" ht="15" customHeight="1" x14ac:dyDescent="0.2">
      <c r="A4224" t="s">
        <v>5937</v>
      </c>
      <c r="B4224" t="s">
        <v>9249</v>
      </c>
      <c r="C4224">
        <v>2024</v>
      </c>
      <c r="D4224">
        <v>2024</v>
      </c>
      <c r="E4224" s="7">
        <v>45595</v>
      </c>
      <c r="F4224" s="7">
        <v>45959</v>
      </c>
      <c r="G4224" t="s">
        <v>135</v>
      </c>
      <c r="H4224" t="s">
        <v>105</v>
      </c>
      <c r="I4224" t="s">
        <v>101</v>
      </c>
      <c r="J4224">
        <v>6672.49</v>
      </c>
      <c r="K4224">
        <v>1000000</v>
      </c>
    </row>
    <row r="4225" spans="1:11" ht="15" customHeight="1" x14ac:dyDescent="0.2">
      <c r="A4225" t="s">
        <v>5938</v>
      </c>
      <c r="B4225" t="s">
        <v>4542</v>
      </c>
      <c r="C4225">
        <v>2024</v>
      </c>
      <c r="D4225">
        <v>2024</v>
      </c>
      <c r="E4225" s="7">
        <v>45596</v>
      </c>
      <c r="F4225" s="7">
        <v>45960</v>
      </c>
      <c r="G4225" t="s">
        <v>99</v>
      </c>
      <c r="H4225" t="s">
        <v>106</v>
      </c>
      <c r="I4225" t="s">
        <v>104</v>
      </c>
      <c r="J4225">
        <v>7191.19</v>
      </c>
      <c r="K4225">
        <v>1000000</v>
      </c>
    </row>
    <row r="4226" spans="1:11" ht="15" customHeight="1" x14ac:dyDescent="0.2">
      <c r="A4226" t="s">
        <v>5939</v>
      </c>
      <c r="B4226" t="s">
        <v>4550</v>
      </c>
      <c r="C4226">
        <v>2024</v>
      </c>
      <c r="D4226">
        <v>2024</v>
      </c>
      <c r="E4226" s="7">
        <v>45596</v>
      </c>
      <c r="F4226" s="7">
        <v>45960</v>
      </c>
      <c r="G4226" t="s">
        <v>99</v>
      </c>
      <c r="H4226" t="s">
        <v>107</v>
      </c>
      <c r="I4226" t="s">
        <v>101</v>
      </c>
      <c r="J4226">
        <v>3348.75</v>
      </c>
      <c r="K4226">
        <v>500000</v>
      </c>
    </row>
    <row r="4227" spans="1:11" ht="15" customHeight="1" x14ac:dyDescent="0.2">
      <c r="A4227" t="s">
        <v>5940</v>
      </c>
      <c r="B4227" t="s">
        <v>9250</v>
      </c>
      <c r="C4227">
        <v>2024</v>
      </c>
      <c r="D4227">
        <v>2024</v>
      </c>
      <c r="E4227" s="7">
        <v>45596</v>
      </c>
      <c r="F4227" s="7">
        <v>45960</v>
      </c>
      <c r="G4227" t="s">
        <v>135</v>
      </c>
      <c r="H4227" t="s">
        <v>102</v>
      </c>
      <c r="I4227" t="s">
        <v>101</v>
      </c>
      <c r="J4227">
        <v>10427.290000000001</v>
      </c>
      <c r="K4227">
        <v>1500000</v>
      </c>
    </row>
    <row r="4228" spans="1:11" ht="15" customHeight="1" x14ac:dyDescent="0.2">
      <c r="A4228" t="s">
        <v>5941</v>
      </c>
      <c r="B4228" t="s">
        <v>9251</v>
      </c>
      <c r="C4228">
        <v>2024</v>
      </c>
      <c r="D4228">
        <v>2024</v>
      </c>
      <c r="E4228" s="7">
        <v>45596</v>
      </c>
      <c r="F4228" s="7">
        <v>45960</v>
      </c>
      <c r="G4228" t="s">
        <v>135</v>
      </c>
      <c r="H4228" t="s">
        <v>6337</v>
      </c>
      <c r="I4228" t="s">
        <v>104</v>
      </c>
      <c r="J4228">
        <v>6032.41</v>
      </c>
      <c r="K4228">
        <v>1000000</v>
      </c>
    </row>
    <row r="4229" spans="1:11" ht="15" customHeight="1" x14ac:dyDescent="0.2">
      <c r="A4229" t="s">
        <v>5942</v>
      </c>
      <c r="B4229" t="s">
        <v>7084</v>
      </c>
      <c r="C4229">
        <v>2024</v>
      </c>
      <c r="D4229">
        <v>2024</v>
      </c>
      <c r="E4229" s="7">
        <v>45596</v>
      </c>
      <c r="F4229" s="7">
        <v>45960</v>
      </c>
      <c r="G4229" t="s">
        <v>135</v>
      </c>
      <c r="H4229" t="s">
        <v>110</v>
      </c>
      <c r="I4229" t="s">
        <v>101</v>
      </c>
      <c r="J4229">
        <v>14399.86</v>
      </c>
      <c r="K4229">
        <v>1500000</v>
      </c>
    </row>
    <row r="4230" spans="1:11" ht="15" customHeight="1" x14ac:dyDescent="0.2">
      <c r="A4230" t="s">
        <v>5943</v>
      </c>
      <c r="B4230" t="s">
        <v>177</v>
      </c>
      <c r="C4230">
        <v>2024</v>
      </c>
      <c r="D4230">
        <v>2024</v>
      </c>
      <c r="E4230" s="7">
        <v>45596</v>
      </c>
      <c r="F4230" s="7">
        <v>45960</v>
      </c>
      <c r="G4230" t="s">
        <v>135</v>
      </c>
      <c r="H4230" t="s">
        <v>105</v>
      </c>
      <c r="I4230" t="s">
        <v>101</v>
      </c>
      <c r="J4230">
        <v>3489.38</v>
      </c>
      <c r="K4230">
        <v>500000</v>
      </c>
    </row>
    <row r="4231" spans="1:11" ht="15" customHeight="1" x14ac:dyDescent="0.2">
      <c r="A4231" t="s">
        <v>5944</v>
      </c>
      <c r="B4231" t="s">
        <v>9252</v>
      </c>
      <c r="C4231">
        <v>2024</v>
      </c>
      <c r="D4231">
        <v>2024</v>
      </c>
      <c r="E4231" s="7">
        <v>45596</v>
      </c>
      <c r="F4231" s="7">
        <v>45960</v>
      </c>
      <c r="G4231" t="s">
        <v>135</v>
      </c>
      <c r="H4231" t="s">
        <v>112</v>
      </c>
      <c r="I4231" t="s">
        <v>101</v>
      </c>
      <c r="J4231">
        <v>9447.42</v>
      </c>
      <c r="K4231">
        <v>1000000</v>
      </c>
    </row>
    <row r="4232" spans="1:11" ht="15" customHeight="1" x14ac:dyDescent="0.2">
      <c r="A4232" t="s">
        <v>5945</v>
      </c>
      <c r="B4232" t="s">
        <v>1084</v>
      </c>
      <c r="C4232">
        <v>2024</v>
      </c>
      <c r="D4232">
        <v>2024</v>
      </c>
      <c r="E4232" s="7">
        <v>45596</v>
      </c>
      <c r="F4232" s="7">
        <v>45960</v>
      </c>
      <c r="G4232" t="s">
        <v>135</v>
      </c>
      <c r="H4232" t="s">
        <v>106</v>
      </c>
      <c r="I4232" t="s">
        <v>104</v>
      </c>
      <c r="J4232">
        <v>11225.53</v>
      </c>
      <c r="K4232">
        <v>1500000</v>
      </c>
    </row>
    <row r="4233" spans="1:11" ht="15" customHeight="1" x14ac:dyDescent="0.2">
      <c r="A4233" t="s">
        <v>5946</v>
      </c>
      <c r="B4233" t="s">
        <v>1086</v>
      </c>
      <c r="C4233">
        <v>2024</v>
      </c>
      <c r="D4233">
        <v>2024</v>
      </c>
      <c r="E4233" s="7">
        <v>45596</v>
      </c>
      <c r="F4233" s="7">
        <v>45960</v>
      </c>
      <c r="G4233" t="s">
        <v>135</v>
      </c>
      <c r="H4233" t="s">
        <v>108</v>
      </c>
      <c r="I4233" t="s">
        <v>101</v>
      </c>
      <c r="J4233">
        <v>16969.490000000002</v>
      </c>
      <c r="K4233">
        <v>2000000</v>
      </c>
    </row>
    <row r="4234" spans="1:11" ht="15" customHeight="1" x14ac:dyDescent="0.2">
      <c r="A4234" t="s">
        <v>5947</v>
      </c>
      <c r="B4234" t="s">
        <v>176</v>
      </c>
      <c r="C4234">
        <v>2024</v>
      </c>
      <c r="D4234">
        <v>2024</v>
      </c>
      <c r="E4234" s="7">
        <v>45596</v>
      </c>
      <c r="F4234" s="7">
        <v>45960</v>
      </c>
      <c r="G4234" t="s">
        <v>135</v>
      </c>
      <c r="H4234" t="s">
        <v>107</v>
      </c>
      <c r="I4234" t="s">
        <v>101</v>
      </c>
      <c r="J4234">
        <v>69256.009999999995</v>
      </c>
      <c r="K4234">
        <v>10000000</v>
      </c>
    </row>
    <row r="4235" spans="1:11" ht="15" customHeight="1" x14ac:dyDescent="0.2">
      <c r="A4235" t="s">
        <v>5948</v>
      </c>
      <c r="B4235" t="s">
        <v>227</v>
      </c>
      <c r="C4235">
        <v>2024</v>
      </c>
      <c r="D4235">
        <v>2024</v>
      </c>
      <c r="E4235" s="7">
        <v>45596</v>
      </c>
      <c r="F4235" s="7">
        <v>45960</v>
      </c>
      <c r="G4235" t="s">
        <v>135</v>
      </c>
      <c r="H4235" t="s">
        <v>102</v>
      </c>
      <c r="I4235" t="s">
        <v>101</v>
      </c>
      <c r="J4235">
        <v>7455.37</v>
      </c>
      <c r="K4235">
        <v>1000000</v>
      </c>
    </row>
    <row r="4236" spans="1:11" ht="15" customHeight="1" x14ac:dyDescent="0.2">
      <c r="A4236" t="s">
        <v>5949</v>
      </c>
      <c r="B4236" t="s">
        <v>133</v>
      </c>
      <c r="C4236">
        <v>2024</v>
      </c>
      <c r="D4236">
        <v>2024</v>
      </c>
      <c r="E4236" s="7">
        <v>45596</v>
      </c>
      <c r="F4236" s="7">
        <v>45960</v>
      </c>
      <c r="G4236" t="s">
        <v>135</v>
      </c>
      <c r="H4236" t="s">
        <v>109</v>
      </c>
      <c r="I4236" t="s">
        <v>101</v>
      </c>
      <c r="J4236">
        <v>72311.8</v>
      </c>
      <c r="K4236">
        <v>10000000</v>
      </c>
    </row>
    <row r="4237" spans="1:11" ht="15" customHeight="1" x14ac:dyDescent="0.2">
      <c r="A4237" t="s">
        <v>5950</v>
      </c>
      <c r="B4237" t="s">
        <v>9253</v>
      </c>
      <c r="C4237">
        <v>2024</v>
      </c>
      <c r="D4237">
        <v>2024</v>
      </c>
      <c r="E4237" s="7">
        <v>45596</v>
      </c>
      <c r="F4237" s="7">
        <v>45960</v>
      </c>
      <c r="G4237" t="s">
        <v>135</v>
      </c>
      <c r="H4237" t="s">
        <v>115</v>
      </c>
      <c r="I4237" t="s">
        <v>101</v>
      </c>
      <c r="J4237">
        <v>38016.160000000003</v>
      </c>
      <c r="K4237">
        <v>5000000</v>
      </c>
    </row>
    <row r="4238" spans="1:11" ht="15" customHeight="1" x14ac:dyDescent="0.2">
      <c r="A4238" t="s">
        <v>5951</v>
      </c>
      <c r="B4238" t="s">
        <v>9254</v>
      </c>
      <c r="C4238">
        <v>2024</v>
      </c>
      <c r="D4238">
        <v>2024</v>
      </c>
      <c r="E4238" s="7">
        <v>45596</v>
      </c>
      <c r="F4238" s="7">
        <v>45960</v>
      </c>
      <c r="G4238" t="s">
        <v>135</v>
      </c>
      <c r="H4238" t="s">
        <v>114</v>
      </c>
      <c r="I4238" t="s">
        <v>101</v>
      </c>
      <c r="J4238">
        <v>64713.04</v>
      </c>
      <c r="K4238">
        <v>10000000</v>
      </c>
    </row>
    <row r="4239" spans="1:11" ht="15" customHeight="1" x14ac:dyDescent="0.2">
      <c r="A4239" t="s">
        <v>5952</v>
      </c>
      <c r="B4239" t="s">
        <v>636</v>
      </c>
      <c r="C4239">
        <v>2024</v>
      </c>
      <c r="D4239">
        <v>2024</v>
      </c>
      <c r="E4239" s="7">
        <v>45596</v>
      </c>
      <c r="F4239" s="7">
        <v>45960</v>
      </c>
      <c r="G4239" t="s">
        <v>135</v>
      </c>
      <c r="H4239" t="s">
        <v>100</v>
      </c>
      <c r="I4239" t="s">
        <v>104</v>
      </c>
      <c r="J4239">
        <v>5724.19</v>
      </c>
      <c r="K4239">
        <v>1000000</v>
      </c>
    </row>
    <row r="4240" spans="1:11" ht="15" customHeight="1" x14ac:dyDescent="0.2">
      <c r="A4240" t="s">
        <v>5953</v>
      </c>
      <c r="B4240" t="s">
        <v>1085</v>
      </c>
      <c r="C4240">
        <v>2024</v>
      </c>
      <c r="D4240">
        <v>2024</v>
      </c>
      <c r="E4240" s="7">
        <v>45596</v>
      </c>
      <c r="F4240" s="7">
        <v>45960</v>
      </c>
      <c r="G4240" t="s">
        <v>135</v>
      </c>
      <c r="H4240" t="s">
        <v>6334</v>
      </c>
      <c r="I4240" t="s">
        <v>104</v>
      </c>
      <c r="J4240">
        <v>2913.91</v>
      </c>
      <c r="K4240">
        <v>500000</v>
      </c>
    </row>
    <row r="4241" spans="1:11" ht="15" customHeight="1" x14ac:dyDescent="0.2">
      <c r="A4241" t="s">
        <v>5954</v>
      </c>
      <c r="B4241" t="s">
        <v>9255</v>
      </c>
      <c r="C4241">
        <v>2024</v>
      </c>
      <c r="D4241">
        <v>2024</v>
      </c>
      <c r="E4241" s="7">
        <v>45596</v>
      </c>
      <c r="F4241" s="7">
        <v>45960</v>
      </c>
      <c r="G4241" t="s">
        <v>135</v>
      </c>
      <c r="H4241" t="s">
        <v>107</v>
      </c>
      <c r="I4241" t="s">
        <v>101</v>
      </c>
      <c r="J4241">
        <v>15698.39</v>
      </c>
      <c r="K4241">
        <v>2000000</v>
      </c>
    </row>
    <row r="4242" spans="1:11" ht="15" customHeight="1" x14ac:dyDescent="0.2">
      <c r="A4242" t="s">
        <v>5955</v>
      </c>
      <c r="B4242" t="s">
        <v>4552</v>
      </c>
      <c r="C4242">
        <v>2024</v>
      </c>
      <c r="D4242">
        <v>2024</v>
      </c>
      <c r="E4242" s="7">
        <v>45597</v>
      </c>
      <c r="F4242" s="7">
        <v>45961</v>
      </c>
      <c r="G4242" t="s">
        <v>99</v>
      </c>
      <c r="H4242" t="s">
        <v>108</v>
      </c>
      <c r="I4242" t="s">
        <v>104</v>
      </c>
      <c r="J4242">
        <v>6957.13</v>
      </c>
      <c r="K4242">
        <v>1000000</v>
      </c>
    </row>
    <row r="4243" spans="1:11" ht="15" customHeight="1" x14ac:dyDescent="0.2">
      <c r="A4243" t="s">
        <v>5956</v>
      </c>
      <c r="B4243" t="s">
        <v>4554</v>
      </c>
      <c r="C4243">
        <v>2024</v>
      </c>
      <c r="D4243">
        <v>2024</v>
      </c>
      <c r="E4243" s="7">
        <v>45597</v>
      </c>
      <c r="F4243" s="7">
        <v>45961</v>
      </c>
      <c r="G4243" t="s">
        <v>99</v>
      </c>
      <c r="H4243" t="s">
        <v>106</v>
      </c>
      <c r="I4243" t="s">
        <v>104</v>
      </c>
      <c r="J4243">
        <v>6846.11</v>
      </c>
      <c r="K4243">
        <v>1000000</v>
      </c>
    </row>
    <row r="4244" spans="1:11" ht="15" customHeight="1" x14ac:dyDescent="0.2">
      <c r="A4244" t="s">
        <v>5957</v>
      </c>
      <c r="B4244" t="s">
        <v>4556</v>
      </c>
      <c r="C4244">
        <v>2024</v>
      </c>
      <c r="D4244">
        <v>2024</v>
      </c>
      <c r="E4244" s="7">
        <v>45597</v>
      </c>
      <c r="F4244" s="7">
        <v>45961</v>
      </c>
      <c r="G4244" t="s">
        <v>99</v>
      </c>
      <c r="H4244" t="s">
        <v>113</v>
      </c>
      <c r="I4244" t="s">
        <v>101</v>
      </c>
      <c r="J4244">
        <v>6486.1</v>
      </c>
      <c r="K4244">
        <v>1000000</v>
      </c>
    </row>
    <row r="4245" spans="1:11" ht="15" customHeight="1" x14ac:dyDescent="0.2">
      <c r="A4245" t="s">
        <v>5958</v>
      </c>
      <c r="B4245" t="s">
        <v>9256</v>
      </c>
      <c r="C4245">
        <v>2024</v>
      </c>
      <c r="D4245">
        <v>2024</v>
      </c>
      <c r="E4245" s="7">
        <v>45597</v>
      </c>
      <c r="F4245" s="7">
        <v>45961</v>
      </c>
      <c r="G4245" t="s">
        <v>135</v>
      </c>
      <c r="H4245" t="s">
        <v>115</v>
      </c>
      <c r="I4245" t="s">
        <v>101</v>
      </c>
      <c r="J4245">
        <v>38960.81</v>
      </c>
      <c r="K4245">
        <v>5000000</v>
      </c>
    </row>
    <row r="4246" spans="1:11" ht="15" customHeight="1" x14ac:dyDescent="0.2">
      <c r="A4246" t="s">
        <v>5959</v>
      </c>
      <c r="B4246" t="s">
        <v>7111</v>
      </c>
      <c r="C4246">
        <v>2024</v>
      </c>
      <c r="D4246">
        <v>2024</v>
      </c>
      <c r="E4246" s="7">
        <v>45597</v>
      </c>
      <c r="F4246" s="7">
        <v>45961</v>
      </c>
      <c r="G4246" t="s">
        <v>135</v>
      </c>
      <c r="H4246" t="s">
        <v>102</v>
      </c>
      <c r="I4246" t="s">
        <v>101</v>
      </c>
      <c r="J4246">
        <v>3563.89</v>
      </c>
      <c r="K4246">
        <v>500000</v>
      </c>
    </row>
    <row r="4247" spans="1:11" ht="15" customHeight="1" x14ac:dyDescent="0.2">
      <c r="A4247" t="s">
        <v>5960</v>
      </c>
      <c r="B4247" t="s">
        <v>9257</v>
      </c>
      <c r="C4247">
        <v>2024</v>
      </c>
      <c r="D4247">
        <v>2024</v>
      </c>
      <c r="E4247" s="7">
        <v>45597</v>
      </c>
      <c r="F4247" s="7">
        <v>45961</v>
      </c>
      <c r="G4247" t="s">
        <v>135</v>
      </c>
      <c r="H4247" t="s">
        <v>102</v>
      </c>
      <c r="I4247" t="s">
        <v>101</v>
      </c>
      <c r="J4247">
        <v>3527.78</v>
      </c>
      <c r="K4247">
        <v>500000</v>
      </c>
    </row>
    <row r="4248" spans="1:11" ht="15" customHeight="1" x14ac:dyDescent="0.2">
      <c r="A4248" t="s">
        <v>5961</v>
      </c>
      <c r="B4248" t="s">
        <v>1087</v>
      </c>
      <c r="C4248">
        <v>2024</v>
      </c>
      <c r="D4248">
        <v>2024</v>
      </c>
      <c r="E4248" s="7">
        <v>45597</v>
      </c>
      <c r="F4248" s="7">
        <v>45961</v>
      </c>
      <c r="G4248" t="s">
        <v>135</v>
      </c>
      <c r="H4248" t="s">
        <v>102</v>
      </c>
      <c r="I4248" t="s">
        <v>101</v>
      </c>
      <c r="J4248">
        <v>70317.2</v>
      </c>
      <c r="K4248">
        <v>10000000</v>
      </c>
    </row>
    <row r="4249" spans="1:11" ht="15" customHeight="1" x14ac:dyDescent="0.2">
      <c r="A4249" t="s">
        <v>5962</v>
      </c>
      <c r="B4249" t="s">
        <v>9258</v>
      </c>
      <c r="C4249">
        <v>2024</v>
      </c>
      <c r="D4249">
        <v>2024</v>
      </c>
      <c r="E4249" s="7">
        <v>45597</v>
      </c>
      <c r="F4249" s="7">
        <v>45961</v>
      </c>
      <c r="G4249" t="s">
        <v>135</v>
      </c>
      <c r="H4249" t="s">
        <v>105</v>
      </c>
      <c r="I4249" t="s">
        <v>104</v>
      </c>
      <c r="J4249">
        <v>5874.51</v>
      </c>
      <c r="K4249">
        <v>1000000</v>
      </c>
    </row>
    <row r="4250" spans="1:11" ht="15" customHeight="1" x14ac:dyDescent="0.2">
      <c r="A4250" t="s">
        <v>5963</v>
      </c>
      <c r="B4250" t="s">
        <v>9259</v>
      </c>
      <c r="C4250">
        <v>2024</v>
      </c>
      <c r="D4250">
        <v>2024</v>
      </c>
      <c r="E4250" s="7">
        <v>45597</v>
      </c>
      <c r="F4250" s="7">
        <v>45961</v>
      </c>
      <c r="G4250" t="s">
        <v>135</v>
      </c>
      <c r="H4250" t="s">
        <v>108</v>
      </c>
      <c r="I4250" t="s">
        <v>104</v>
      </c>
      <c r="J4250">
        <v>11262.95</v>
      </c>
      <c r="K4250">
        <v>1500000</v>
      </c>
    </row>
    <row r="4251" spans="1:11" ht="15" customHeight="1" x14ac:dyDescent="0.2">
      <c r="A4251" t="s">
        <v>5964</v>
      </c>
      <c r="B4251" t="s">
        <v>9260</v>
      </c>
      <c r="C4251">
        <v>2024</v>
      </c>
      <c r="D4251">
        <v>2024</v>
      </c>
      <c r="E4251" s="7">
        <v>45597</v>
      </c>
      <c r="F4251" s="7">
        <v>45961</v>
      </c>
      <c r="G4251" t="s">
        <v>135</v>
      </c>
      <c r="H4251" t="s">
        <v>102</v>
      </c>
      <c r="I4251" t="s">
        <v>101</v>
      </c>
      <c r="J4251">
        <v>7057.88</v>
      </c>
      <c r="K4251">
        <v>1000000</v>
      </c>
    </row>
    <row r="4252" spans="1:11" ht="15" customHeight="1" x14ac:dyDescent="0.2">
      <c r="A4252" t="s">
        <v>5965</v>
      </c>
      <c r="B4252" t="s">
        <v>9261</v>
      </c>
      <c r="C4252">
        <v>2024</v>
      </c>
      <c r="D4252">
        <v>2024</v>
      </c>
      <c r="E4252" s="7">
        <v>45597</v>
      </c>
      <c r="F4252" s="7">
        <v>45961</v>
      </c>
      <c r="G4252" t="s">
        <v>135</v>
      </c>
      <c r="H4252" t="s">
        <v>106</v>
      </c>
      <c r="I4252" t="s">
        <v>101</v>
      </c>
      <c r="J4252">
        <v>16628.32</v>
      </c>
      <c r="K4252">
        <v>2000000</v>
      </c>
    </row>
    <row r="4253" spans="1:11" ht="15" customHeight="1" x14ac:dyDescent="0.2">
      <c r="A4253" t="s">
        <v>5966</v>
      </c>
      <c r="B4253" t="s">
        <v>9262</v>
      </c>
      <c r="C4253">
        <v>2024</v>
      </c>
      <c r="D4253">
        <v>2024</v>
      </c>
      <c r="E4253" s="7">
        <v>45597</v>
      </c>
      <c r="F4253" s="7">
        <v>45961</v>
      </c>
      <c r="G4253" t="s">
        <v>135</v>
      </c>
      <c r="H4253" t="s">
        <v>6337</v>
      </c>
      <c r="I4253" t="s">
        <v>104</v>
      </c>
      <c r="J4253">
        <v>10502.54</v>
      </c>
      <c r="K4253">
        <v>2000000</v>
      </c>
    </row>
    <row r="4254" spans="1:11" ht="15" customHeight="1" x14ac:dyDescent="0.2">
      <c r="A4254" t="s">
        <v>5967</v>
      </c>
      <c r="B4254" t="s">
        <v>1088</v>
      </c>
      <c r="C4254">
        <v>2024</v>
      </c>
      <c r="D4254">
        <v>2024</v>
      </c>
      <c r="E4254" s="7">
        <v>45597</v>
      </c>
      <c r="F4254" s="7">
        <v>45961</v>
      </c>
      <c r="G4254" t="s">
        <v>135</v>
      </c>
      <c r="H4254" t="s">
        <v>115</v>
      </c>
      <c r="I4254" t="s">
        <v>101</v>
      </c>
      <c r="J4254">
        <v>7848.73</v>
      </c>
      <c r="K4254">
        <v>1000000</v>
      </c>
    </row>
    <row r="4255" spans="1:11" ht="15" customHeight="1" x14ac:dyDescent="0.2">
      <c r="A4255" t="s">
        <v>5968</v>
      </c>
      <c r="B4255" t="s">
        <v>9263</v>
      </c>
      <c r="C4255">
        <v>2024</v>
      </c>
      <c r="D4255">
        <v>2024</v>
      </c>
      <c r="E4255" s="7">
        <v>45597</v>
      </c>
      <c r="F4255" s="7">
        <v>45961</v>
      </c>
      <c r="G4255" t="s">
        <v>135</v>
      </c>
      <c r="H4255" t="s">
        <v>111</v>
      </c>
      <c r="I4255" t="s">
        <v>101</v>
      </c>
      <c r="J4255">
        <v>15780.21</v>
      </c>
      <c r="K4255">
        <v>2000000</v>
      </c>
    </row>
    <row r="4256" spans="1:11" ht="15" customHeight="1" x14ac:dyDescent="0.2">
      <c r="A4256" t="s">
        <v>5969</v>
      </c>
      <c r="B4256" t="s">
        <v>4557</v>
      </c>
      <c r="C4256">
        <v>2024</v>
      </c>
      <c r="D4256">
        <v>2024</v>
      </c>
      <c r="E4256" s="7">
        <v>45598</v>
      </c>
      <c r="F4256" s="7">
        <v>45962</v>
      </c>
      <c r="G4256" t="s">
        <v>99</v>
      </c>
      <c r="H4256" t="s">
        <v>106</v>
      </c>
      <c r="I4256" t="s">
        <v>101</v>
      </c>
      <c r="J4256">
        <v>9373.06</v>
      </c>
      <c r="K4256">
        <v>1000000</v>
      </c>
    </row>
    <row r="4257" spans="1:11" ht="15" customHeight="1" x14ac:dyDescent="0.2">
      <c r="A4257" t="s">
        <v>5970</v>
      </c>
      <c r="B4257" t="s">
        <v>4559</v>
      </c>
      <c r="C4257">
        <v>2024</v>
      </c>
      <c r="D4257">
        <v>2024</v>
      </c>
      <c r="E4257" s="7">
        <v>45598</v>
      </c>
      <c r="F4257" s="7">
        <v>45962</v>
      </c>
      <c r="G4257" t="s">
        <v>99</v>
      </c>
      <c r="H4257" t="s">
        <v>106</v>
      </c>
      <c r="I4257" t="s">
        <v>104</v>
      </c>
      <c r="J4257">
        <v>78223.179999999993</v>
      </c>
      <c r="K4257">
        <v>10000000</v>
      </c>
    </row>
    <row r="4258" spans="1:11" ht="15" customHeight="1" x14ac:dyDescent="0.2">
      <c r="A4258" t="s">
        <v>5971</v>
      </c>
      <c r="B4258" t="s">
        <v>9264</v>
      </c>
      <c r="C4258">
        <v>2024</v>
      </c>
      <c r="D4258">
        <v>2024</v>
      </c>
      <c r="E4258" s="7">
        <v>45598</v>
      </c>
      <c r="F4258" s="7">
        <v>45962</v>
      </c>
      <c r="G4258" t="s">
        <v>135</v>
      </c>
      <c r="H4258" t="s">
        <v>110</v>
      </c>
      <c r="I4258" t="s">
        <v>101</v>
      </c>
      <c r="J4258">
        <v>8236.5</v>
      </c>
      <c r="K4258">
        <v>1000000</v>
      </c>
    </row>
    <row r="4259" spans="1:11" ht="15" customHeight="1" x14ac:dyDescent="0.2">
      <c r="A4259" t="s">
        <v>5972</v>
      </c>
      <c r="B4259" t="s">
        <v>9265</v>
      </c>
      <c r="C4259">
        <v>2024</v>
      </c>
      <c r="D4259">
        <v>2024</v>
      </c>
      <c r="E4259" s="7">
        <v>45598</v>
      </c>
      <c r="F4259" s="7">
        <v>45962</v>
      </c>
      <c r="G4259" t="s">
        <v>135</v>
      </c>
      <c r="H4259" t="s">
        <v>108</v>
      </c>
      <c r="I4259" t="s">
        <v>101</v>
      </c>
      <c r="J4259">
        <v>9265.85</v>
      </c>
      <c r="K4259">
        <v>1000000</v>
      </c>
    </row>
    <row r="4260" spans="1:11" ht="15" customHeight="1" x14ac:dyDescent="0.2">
      <c r="A4260" t="s">
        <v>5973</v>
      </c>
      <c r="B4260" t="s">
        <v>9266</v>
      </c>
      <c r="C4260">
        <v>2024</v>
      </c>
      <c r="D4260">
        <v>2024</v>
      </c>
      <c r="E4260" s="7">
        <v>45598</v>
      </c>
      <c r="F4260" s="7">
        <v>45962</v>
      </c>
      <c r="G4260" t="s">
        <v>135</v>
      </c>
      <c r="H4260" t="s">
        <v>110</v>
      </c>
      <c r="I4260" t="s">
        <v>101</v>
      </c>
      <c r="J4260">
        <v>12833.61</v>
      </c>
      <c r="K4260">
        <v>1500000</v>
      </c>
    </row>
    <row r="4261" spans="1:11" ht="15" customHeight="1" x14ac:dyDescent="0.2">
      <c r="A4261" t="s">
        <v>5974</v>
      </c>
      <c r="B4261" t="s">
        <v>7136</v>
      </c>
      <c r="C4261">
        <v>2024</v>
      </c>
      <c r="D4261">
        <v>2024</v>
      </c>
      <c r="E4261" s="7">
        <v>45598</v>
      </c>
      <c r="F4261" s="7">
        <v>45962</v>
      </c>
      <c r="G4261" t="s">
        <v>135</v>
      </c>
      <c r="H4261" t="s">
        <v>111</v>
      </c>
      <c r="I4261" t="s">
        <v>101</v>
      </c>
      <c r="J4261">
        <v>70198.8</v>
      </c>
      <c r="K4261">
        <v>10000000</v>
      </c>
    </row>
    <row r="4262" spans="1:11" ht="15" customHeight="1" x14ac:dyDescent="0.2">
      <c r="A4262" t="s">
        <v>5975</v>
      </c>
      <c r="B4262" t="s">
        <v>1090</v>
      </c>
      <c r="C4262">
        <v>2024</v>
      </c>
      <c r="D4262">
        <v>2024</v>
      </c>
      <c r="E4262" s="7">
        <v>45598</v>
      </c>
      <c r="F4262" s="7">
        <v>45962</v>
      </c>
      <c r="G4262" t="s">
        <v>135</v>
      </c>
      <c r="H4262" t="s">
        <v>107</v>
      </c>
      <c r="I4262" t="s">
        <v>101</v>
      </c>
      <c r="J4262">
        <v>7246.84</v>
      </c>
      <c r="K4262">
        <v>1000000</v>
      </c>
    </row>
    <row r="4263" spans="1:11" ht="15" customHeight="1" x14ac:dyDescent="0.2">
      <c r="A4263" t="s">
        <v>5976</v>
      </c>
      <c r="B4263" t="s">
        <v>9267</v>
      </c>
      <c r="C4263">
        <v>2024</v>
      </c>
      <c r="D4263">
        <v>2024</v>
      </c>
      <c r="E4263" s="7">
        <v>45598</v>
      </c>
      <c r="F4263" s="7">
        <v>45962</v>
      </c>
      <c r="G4263" t="s">
        <v>135</v>
      </c>
      <c r="H4263" t="s">
        <v>105</v>
      </c>
      <c r="I4263" t="s">
        <v>101</v>
      </c>
      <c r="J4263">
        <v>65246.93</v>
      </c>
      <c r="K4263">
        <v>10000000</v>
      </c>
    </row>
    <row r="4264" spans="1:11" ht="15" customHeight="1" x14ac:dyDescent="0.2">
      <c r="A4264" t="s">
        <v>5977</v>
      </c>
      <c r="B4264" t="s">
        <v>7259</v>
      </c>
      <c r="C4264">
        <v>2024</v>
      </c>
      <c r="D4264">
        <v>2024</v>
      </c>
      <c r="E4264" s="7">
        <v>45598</v>
      </c>
      <c r="F4264" s="7">
        <v>45962</v>
      </c>
      <c r="G4264" t="s">
        <v>135</v>
      </c>
      <c r="H4264" t="s">
        <v>114</v>
      </c>
      <c r="I4264" t="s">
        <v>101</v>
      </c>
      <c r="J4264">
        <v>38451.040000000001</v>
      </c>
      <c r="K4264">
        <v>5000000</v>
      </c>
    </row>
    <row r="4265" spans="1:11" ht="15" customHeight="1" x14ac:dyDescent="0.2">
      <c r="A4265" t="s">
        <v>5978</v>
      </c>
      <c r="B4265" t="s">
        <v>1089</v>
      </c>
      <c r="C4265">
        <v>2024</v>
      </c>
      <c r="D4265">
        <v>2024</v>
      </c>
      <c r="E4265" s="7">
        <v>45598</v>
      </c>
      <c r="F4265" s="7">
        <v>45962</v>
      </c>
      <c r="G4265" t="s">
        <v>135</v>
      </c>
      <c r="H4265" t="s">
        <v>102</v>
      </c>
      <c r="I4265" t="s">
        <v>104</v>
      </c>
      <c r="J4265">
        <v>5438.78</v>
      </c>
      <c r="K4265">
        <v>1000000</v>
      </c>
    </row>
    <row r="4266" spans="1:11" ht="15" customHeight="1" x14ac:dyDescent="0.2">
      <c r="A4266" t="s">
        <v>5979</v>
      </c>
      <c r="B4266" t="s">
        <v>4561</v>
      </c>
      <c r="C4266">
        <v>2024</v>
      </c>
      <c r="D4266">
        <v>2024</v>
      </c>
      <c r="E4266" s="7">
        <v>45599</v>
      </c>
      <c r="F4266" s="7">
        <v>45963</v>
      </c>
      <c r="G4266" t="s">
        <v>99</v>
      </c>
      <c r="H4266" t="s">
        <v>105</v>
      </c>
      <c r="I4266" t="s">
        <v>104</v>
      </c>
      <c r="J4266">
        <v>5831.26</v>
      </c>
      <c r="K4266">
        <v>1000000</v>
      </c>
    </row>
    <row r="4267" spans="1:11" ht="15" customHeight="1" x14ac:dyDescent="0.2">
      <c r="A4267" t="s">
        <v>5980</v>
      </c>
      <c r="B4267" t="s">
        <v>4576</v>
      </c>
      <c r="C4267">
        <v>2024</v>
      </c>
      <c r="D4267">
        <v>2024</v>
      </c>
      <c r="E4267" s="7">
        <v>45599</v>
      </c>
      <c r="F4267" s="7">
        <v>45963</v>
      </c>
      <c r="G4267" t="s">
        <v>99</v>
      </c>
      <c r="H4267" t="s">
        <v>110</v>
      </c>
      <c r="I4267" t="s">
        <v>101</v>
      </c>
      <c r="J4267">
        <v>9009.26</v>
      </c>
      <c r="K4267">
        <v>1000000</v>
      </c>
    </row>
    <row r="4268" spans="1:11" ht="15" customHeight="1" x14ac:dyDescent="0.2">
      <c r="A4268" t="s">
        <v>5981</v>
      </c>
      <c r="B4268" t="s">
        <v>9268</v>
      </c>
      <c r="C4268">
        <v>2024</v>
      </c>
      <c r="D4268">
        <v>2024</v>
      </c>
      <c r="E4268" s="7">
        <v>45599</v>
      </c>
      <c r="F4268" s="7">
        <v>45963</v>
      </c>
      <c r="G4268" t="s">
        <v>135</v>
      </c>
      <c r="H4268" t="s">
        <v>106</v>
      </c>
      <c r="I4268" t="s">
        <v>104</v>
      </c>
      <c r="J4268">
        <v>13572.66</v>
      </c>
      <c r="K4268">
        <v>2000000</v>
      </c>
    </row>
    <row r="4269" spans="1:11" ht="15" customHeight="1" x14ac:dyDescent="0.2">
      <c r="A4269" t="s">
        <v>5982</v>
      </c>
      <c r="B4269" t="s">
        <v>637</v>
      </c>
      <c r="C4269">
        <v>2024</v>
      </c>
      <c r="D4269">
        <v>2024</v>
      </c>
      <c r="E4269" s="7">
        <v>45599</v>
      </c>
      <c r="F4269" s="7">
        <v>45963</v>
      </c>
      <c r="G4269" t="s">
        <v>135</v>
      </c>
      <c r="H4269" t="s">
        <v>108</v>
      </c>
      <c r="I4269" t="s">
        <v>104</v>
      </c>
      <c r="J4269">
        <v>11215.45</v>
      </c>
      <c r="K4269">
        <v>1500000</v>
      </c>
    </row>
    <row r="4270" spans="1:11" ht="15" customHeight="1" x14ac:dyDescent="0.2">
      <c r="A4270" t="s">
        <v>5983</v>
      </c>
      <c r="B4270" t="s">
        <v>9269</v>
      </c>
      <c r="C4270">
        <v>2024</v>
      </c>
      <c r="D4270">
        <v>2024</v>
      </c>
      <c r="E4270" s="7">
        <v>45599</v>
      </c>
      <c r="F4270" s="7">
        <v>45963</v>
      </c>
      <c r="G4270" t="s">
        <v>135</v>
      </c>
      <c r="H4270" t="s">
        <v>102</v>
      </c>
      <c r="I4270" t="s">
        <v>104</v>
      </c>
      <c r="J4270">
        <v>5945.88</v>
      </c>
      <c r="K4270">
        <v>1000000</v>
      </c>
    </row>
    <row r="4271" spans="1:11" ht="15" customHeight="1" x14ac:dyDescent="0.2">
      <c r="A4271" t="s">
        <v>5984</v>
      </c>
      <c r="B4271" t="s">
        <v>9270</v>
      </c>
      <c r="C4271">
        <v>2024</v>
      </c>
      <c r="D4271">
        <v>2024</v>
      </c>
      <c r="E4271" s="7">
        <v>45599</v>
      </c>
      <c r="F4271" s="7">
        <v>45963</v>
      </c>
      <c r="G4271" t="s">
        <v>135</v>
      </c>
      <c r="H4271" t="s">
        <v>106</v>
      </c>
      <c r="I4271" t="s">
        <v>101</v>
      </c>
      <c r="J4271">
        <v>8689.0499999999993</v>
      </c>
      <c r="K4271">
        <v>1000000</v>
      </c>
    </row>
    <row r="4272" spans="1:11" ht="15" customHeight="1" x14ac:dyDescent="0.2">
      <c r="A4272" t="s">
        <v>5985</v>
      </c>
      <c r="B4272" t="s">
        <v>9271</v>
      </c>
      <c r="C4272">
        <v>2024</v>
      </c>
      <c r="D4272">
        <v>2024</v>
      </c>
      <c r="E4272" s="7">
        <v>45599</v>
      </c>
      <c r="F4272" s="7">
        <v>45963</v>
      </c>
      <c r="G4272" t="s">
        <v>135</v>
      </c>
      <c r="H4272" t="s">
        <v>102</v>
      </c>
      <c r="I4272" t="s">
        <v>101</v>
      </c>
      <c r="J4272">
        <v>69507.97</v>
      </c>
      <c r="K4272">
        <v>10000000</v>
      </c>
    </row>
    <row r="4273" spans="1:11" ht="15" customHeight="1" x14ac:dyDescent="0.2">
      <c r="A4273" t="s">
        <v>5986</v>
      </c>
      <c r="B4273" t="s">
        <v>9272</v>
      </c>
      <c r="C4273">
        <v>2024</v>
      </c>
      <c r="D4273">
        <v>2024</v>
      </c>
      <c r="E4273" s="7">
        <v>45599</v>
      </c>
      <c r="F4273" s="7">
        <v>45963</v>
      </c>
      <c r="G4273" t="s">
        <v>135</v>
      </c>
      <c r="H4273" t="s">
        <v>108</v>
      </c>
      <c r="I4273" t="s">
        <v>104</v>
      </c>
      <c r="J4273">
        <v>14165.16</v>
      </c>
      <c r="K4273">
        <v>2000000</v>
      </c>
    </row>
    <row r="4274" spans="1:11" ht="15" customHeight="1" x14ac:dyDescent="0.2">
      <c r="A4274" t="s">
        <v>5987</v>
      </c>
      <c r="B4274" t="s">
        <v>7089</v>
      </c>
      <c r="C4274">
        <v>2024</v>
      </c>
      <c r="D4274">
        <v>2024</v>
      </c>
      <c r="E4274" s="7">
        <v>45599</v>
      </c>
      <c r="F4274" s="7">
        <v>45963</v>
      </c>
      <c r="G4274" t="s">
        <v>135</v>
      </c>
      <c r="H4274" t="s">
        <v>107</v>
      </c>
      <c r="I4274" t="s">
        <v>104</v>
      </c>
      <c r="J4274">
        <v>8441.0499999999993</v>
      </c>
      <c r="K4274">
        <v>1500000</v>
      </c>
    </row>
    <row r="4275" spans="1:11" ht="15" customHeight="1" x14ac:dyDescent="0.2">
      <c r="A4275" t="s">
        <v>5988</v>
      </c>
      <c r="B4275" t="s">
        <v>7244</v>
      </c>
      <c r="C4275">
        <v>2024</v>
      </c>
      <c r="D4275">
        <v>2024</v>
      </c>
      <c r="E4275" s="7">
        <v>45599</v>
      </c>
      <c r="F4275" s="7">
        <v>45963</v>
      </c>
      <c r="G4275" t="s">
        <v>135</v>
      </c>
      <c r="H4275" t="s">
        <v>102</v>
      </c>
      <c r="I4275" t="s">
        <v>101</v>
      </c>
      <c r="J4275">
        <v>33879.760000000002</v>
      </c>
      <c r="K4275">
        <v>5000000</v>
      </c>
    </row>
    <row r="4276" spans="1:11" ht="15" customHeight="1" x14ac:dyDescent="0.2">
      <c r="A4276" t="s">
        <v>5989</v>
      </c>
      <c r="B4276" t="s">
        <v>4584</v>
      </c>
      <c r="C4276">
        <v>2024</v>
      </c>
      <c r="D4276">
        <v>2024</v>
      </c>
      <c r="E4276" s="7">
        <v>45600</v>
      </c>
      <c r="F4276" s="7">
        <v>45964</v>
      </c>
      <c r="G4276" t="s">
        <v>99</v>
      </c>
      <c r="H4276" t="s">
        <v>105</v>
      </c>
      <c r="I4276" t="s">
        <v>104</v>
      </c>
      <c r="J4276">
        <v>5442.17</v>
      </c>
      <c r="K4276">
        <v>1000000</v>
      </c>
    </row>
    <row r="4277" spans="1:11" ht="15" customHeight="1" x14ac:dyDescent="0.2">
      <c r="A4277" t="s">
        <v>5990</v>
      </c>
      <c r="B4277" t="s">
        <v>4586</v>
      </c>
      <c r="C4277">
        <v>2024</v>
      </c>
      <c r="D4277">
        <v>2024</v>
      </c>
      <c r="E4277" s="7">
        <v>45600</v>
      </c>
      <c r="F4277" s="7">
        <v>45964</v>
      </c>
      <c r="G4277" t="s">
        <v>99</v>
      </c>
      <c r="H4277" t="s">
        <v>100</v>
      </c>
      <c r="I4277" t="s">
        <v>104</v>
      </c>
      <c r="J4277">
        <v>8808.36</v>
      </c>
      <c r="K4277">
        <v>1500000</v>
      </c>
    </row>
    <row r="4278" spans="1:11" ht="15" customHeight="1" x14ac:dyDescent="0.2">
      <c r="A4278" t="s">
        <v>5991</v>
      </c>
      <c r="B4278" t="s">
        <v>9273</v>
      </c>
      <c r="C4278">
        <v>2024</v>
      </c>
      <c r="D4278">
        <v>2024</v>
      </c>
      <c r="E4278" s="7">
        <v>45600</v>
      </c>
      <c r="F4278" s="7">
        <v>45964</v>
      </c>
      <c r="G4278" t="s">
        <v>135</v>
      </c>
      <c r="H4278" t="s">
        <v>106</v>
      </c>
      <c r="I4278" t="s">
        <v>101</v>
      </c>
      <c r="J4278">
        <v>17804.84</v>
      </c>
      <c r="K4278">
        <v>2000000</v>
      </c>
    </row>
    <row r="4279" spans="1:11" ht="15" customHeight="1" x14ac:dyDescent="0.2">
      <c r="A4279" t="s">
        <v>5992</v>
      </c>
      <c r="B4279" t="s">
        <v>7151</v>
      </c>
      <c r="C4279">
        <v>2024</v>
      </c>
      <c r="D4279">
        <v>2024</v>
      </c>
      <c r="E4279" s="7">
        <v>45600</v>
      </c>
      <c r="F4279" s="7">
        <v>45964</v>
      </c>
      <c r="G4279" t="s">
        <v>135</v>
      </c>
      <c r="H4279" t="s">
        <v>106</v>
      </c>
      <c r="I4279" t="s">
        <v>101</v>
      </c>
      <c r="J4279">
        <v>4188.66</v>
      </c>
      <c r="K4279">
        <v>500000</v>
      </c>
    </row>
    <row r="4280" spans="1:11" ht="15" customHeight="1" x14ac:dyDescent="0.2">
      <c r="A4280" t="s">
        <v>5993</v>
      </c>
      <c r="B4280" t="s">
        <v>639</v>
      </c>
      <c r="C4280">
        <v>2024</v>
      </c>
      <c r="D4280">
        <v>2024</v>
      </c>
      <c r="E4280" s="7">
        <v>45600</v>
      </c>
      <c r="F4280" s="7">
        <v>45964</v>
      </c>
      <c r="G4280" t="s">
        <v>135</v>
      </c>
      <c r="H4280" t="s">
        <v>110</v>
      </c>
      <c r="I4280" t="s">
        <v>101</v>
      </c>
      <c r="J4280">
        <v>13824.38</v>
      </c>
      <c r="K4280">
        <v>1500000</v>
      </c>
    </row>
    <row r="4281" spans="1:11" ht="15" customHeight="1" x14ac:dyDescent="0.2">
      <c r="A4281" t="s">
        <v>5994</v>
      </c>
      <c r="B4281" t="s">
        <v>1091</v>
      </c>
      <c r="C4281">
        <v>2024</v>
      </c>
      <c r="D4281">
        <v>2024</v>
      </c>
      <c r="E4281" s="7">
        <v>45600</v>
      </c>
      <c r="F4281" s="7">
        <v>45964</v>
      </c>
      <c r="G4281" t="s">
        <v>135</v>
      </c>
      <c r="H4281" t="s">
        <v>106</v>
      </c>
      <c r="I4281" t="s">
        <v>101</v>
      </c>
      <c r="J4281">
        <v>4328.13</v>
      </c>
      <c r="K4281">
        <v>500000</v>
      </c>
    </row>
    <row r="4282" spans="1:11" ht="15" customHeight="1" x14ac:dyDescent="0.2">
      <c r="A4282" t="s">
        <v>5995</v>
      </c>
      <c r="B4282" t="s">
        <v>9274</v>
      </c>
      <c r="C4282">
        <v>2024</v>
      </c>
      <c r="D4282">
        <v>2024</v>
      </c>
      <c r="E4282" s="7">
        <v>45600</v>
      </c>
      <c r="F4282" s="7">
        <v>45964</v>
      </c>
      <c r="G4282" t="s">
        <v>135</v>
      </c>
      <c r="H4282" t="s">
        <v>6334</v>
      </c>
      <c r="I4282" t="s">
        <v>101</v>
      </c>
      <c r="J4282">
        <v>11077.88</v>
      </c>
      <c r="K4282">
        <v>1500000</v>
      </c>
    </row>
    <row r="4283" spans="1:11" ht="15" customHeight="1" x14ac:dyDescent="0.2">
      <c r="A4283" t="s">
        <v>5996</v>
      </c>
      <c r="B4283" t="s">
        <v>9275</v>
      </c>
      <c r="C4283">
        <v>2024</v>
      </c>
      <c r="D4283">
        <v>2024</v>
      </c>
      <c r="E4283" s="7">
        <v>45600</v>
      </c>
      <c r="F4283" s="7">
        <v>45964</v>
      </c>
      <c r="G4283" t="s">
        <v>135</v>
      </c>
      <c r="H4283" t="s">
        <v>102</v>
      </c>
      <c r="I4283" t="s">
        <v>104</v>
      </c>
      <c r="J4283">
        <v>29868.95</v>
      </c>
      <c r="K4283">
        <v>5000000</v>
      </c>
    </row>
    <row r="4284" spans="1:11" ht="15" customHeight="1" x14ac:dyDescent="0.2">
      <c r="A4284" t="s">
        <v>5997</v>
      </c>
      <c r="B4284" t="s">
        <v>638</v>
      </c>
      <c r="C4284">
        <v>2024</v>
      </c>
      <c r="D4284">
        <v>2024</v>
      </c>
      <c r="E4284" s="7">
        <v>45600</v>
      </c>
      <c r="F4284" s="7">
        <v>45964</v>
      </c>
      <c r="G4284" t="s">
        <v>135</v>
      </c>
      <c r="H4284" t="s">
        <v>102</v>
      </c>
      <c r="I4284" t="s">
        <v>101</v>
      </c>
      <c r="J4284">
        <v>7124.19</v>
      </c>
      <c r="K4284">
        <v>1000000</v>
      </c>
    </row>
    <row r="4285" spans="1:11" ht="15" customHeight="1" x14ac:dyDescent="0.2">
      <c r="A4285" t="s">
        <v>5998</v>
      </c>
      <c r="B4285" t="s">
        <v>9276</v>
      </c>
      <c r="C4285">
        <v>2024</v>
      </c>
      <c r="D4285">
        <v>2024</v>
      </c>
      <c r="E4285" s="7">
        <v>45600</v>
      </c>
      <c r="F4285" s="7">
        <v>45964</v>
      </c>
      <c r="G4285" t="s">
        <v>135</v>
      </c>
      <c r="H4285" t="s">
        <v>6348</v>
      </c>
      <c r="I4285" t="s">
        <v>101</v>
      </c>
      <c r="J4285">
        <v>6658.01</v>
      </c>
      <c r="K4285">
        <v>1000000</v>
      </c>
    </row>
    <row r="4286" spans="1:11" ht="15" customHeight="1" x14ac:dyDescent="0.2">
      <c r="A4286" t="s">
        <v>5999</v>
      </c>
      <c r="B4286" t="s">
        <v>9277</v>
      </c>
      <c r="C4286">
        <v>2024</v>
      </c>
      <c r="D4286">
        <v>2024</v>
      </c>
      <c r="E4286" s="7">
        <v>45600</v>
      </c>
      <c r="F4286" s="7">
        <v>45964</v>
      </c>
      <c r="G4286" t="s">
        <v>135</v>
      </c>
      <c r="H4286" t="s">
        <v>113</v>
      </c>
      <c r="I4286" t="s">
        <v>104</v>
      </c>
      <c r="J4286">
        <v>9444.1</v>
      </c>
      <c r="K4286">
        <v>1500000</v>
      </c>
    </row>
    <row r="4287" spans="1:11" ht="15" customHeight="1" x14ac:dyDescent="0.2">
      <c r="A4287" t="s">
        <v>6000</v>
      </c>
      <c r="B4287" t="s">
        <v>9278</v>
      </c>
      <c r="C4287">
        <v>2024</v>
      </c>
      <c r="D4287">
        <v>2024</v>
      </c>
      <c r="E4287" s="7">
        <v>45600</v>
      </c>
      <c r="F4287" s="7">
        <v>45964</v>
      </c>
      <c r="G4287" t="s">
        <v>135</v>
      </c>
      <c r="H4287" t="s">
        <v>102</v>
      </c>
      <c r="I4287" t="s">
        <v>101</v>
      </c>
      <c r="J4287">
        <v>3709.38</v>
      </c>
      <c r="K4287">
        <v>500000</v>
      </c>
    </row>
    <row r="4288" spans="1:11" ht="15" customHeight="1" x14ac:dyDescent="0.2">
      <c r="A4288" t="s">
        <v>6001</v>
      </c>
      <c r="B4288" t="s">
        <v>399</v>
      </c>
      <c r="C4288">
        <v>2024</v>
      </c>
      <c r="D4288">
        <v>2024</v>
      </c>
      <c r="E4288" s="7">
        <v>45600</v>
      </c>
      <c r="F4288" s="7">
        <v>45964</v>
      </c>
      <c r="G4288" t="s">
        <v>135</v>
      </c>
      <c r="H4288" t="s">
        <v>106</v>
      </c>
      <c r="I4288" t="s">
        <v>104</v>
      </c>
      <c r="J4288">
        <v>11009.11</v>
      </c>
      <c r="K4288">
        <v>1500000</v>
      </c>
    </row>
    <row r="4289" spans="1:11" ht="15" customHeight="1" x14ac:dyDescent="0.2">
      <c r="A4289" t="s">
        <v>6002</v>
      </c>
      <c r="B4289" t="s">
        <v>7171</v>
      </c>
      <c r="C4289">
        <v>2024</v>
      </c>
      <c r="D4289">
        <v>2024</v>
      </c>
      <c r="E4289" s="7">
        <v>45600</v>
      </c>
      <c r="F4289" s="7">
        <v>45964</v>
      </c>
      <c r="G4289" t="s">
        <v>135</v>
      </c>
      <c r="H4289" t="s">
        <v>102</v>
      </c>
      <c r="I4289" t="s">
        <v>101</v>
      </c>
      <c r="J4289">
        <v>10420.84</v>
      </c>
      <c r="K4289">
        <v>1500000</v>
      </c>
    </row>
    <row r="4290" spans="1:11" ht="15" customHeight="1" x14ac:dyDescent="0.2">
      <c r="A4290" t="s">
        <v>6003</v>
      </c>
      <c r="B4290" t="s">
        <v>1092</v>
      </c>
      <c r="C4290">
        <v>2024</v>
      </c>
      <c r="D4290">
        <v>2024</v>
      </c>
      <c r="E4290" s="7">
        <v>45600</v>
      </c>
      <c r="F4290" s="7">
        <v>45964</v>
      </c>
      <c r="G4290" t="s">
        <v>135</v>
      </c>
      <c r="H4290" t="s">
        <v>6348</v>
      </c>
      <c r="I4290" t="s">
        <v>104</v>
      </c>
      <c r="J4290">
        <v>5282.38</v>
      </c>
      <c r="K4290">
        <v>1000000</v>
      </c>
    </row>
    <row r="4291" spans="1:11" ht="15" customHeight="1" x14ac:dyDescent="0.2">
      <c r="A4291" t="s">
        <v>6004</v>
      </c>
      <c r="B4291" t="s">
        <v>4588</v>
      </c>
      <c r="C4291">
        <v>2024</v>
      </c>
      <c r="D4291">
        <v>2024</v>
      </c>
      <c r="E4291" s="7">
        <v>45601</v>
      </c>
      <c r="F4291" s="7">
        <v>45965</v>
      </c>
      <c r="G4291" t="s">
        <v>99</v>
      </c>
      <c r="H4291" t="s">
        <v>106</v>
      </c>
      <c r="I4291" t="s">
        <v>101</v>
      </c>
      <c r="J4291">
        <v>16518.78</v>
      </c>
      <c r="K4291">
        <v>2000000</v>
      </c>
    </row>
    <row r="4292" spans="1:11" ht="15" customHeight="1" x14ac:dyDescent="0.2">
      <c r="A4292" t="s">
        <v>6005</v>
      </c>
      <c r="B4292" t="s">
        <v>4590</v>
      </c>
      <c r="C4292">
        <v>2024</v>
      </c>
      <c r="D4292">
        <v>2024</v>
      </c>
      <c r="E4292" s="7">
        <v>45601</v>
      </c>
      <c r="F4292" s="7">
        <v>45965</v>
      </c>
      <c r="G4292" t="s">
        <v>99</v>
      </c>
      <c r="H4292" t="s">
        <v>110</v>
      </c>
      <c r="I4292" t="s">
        <v>104</v>
      </c>
      <c r="J4292">
        <v>36372.82</v>
      </c>
      <c r="K4292">
        <v>5000000</v>
      </c>
    </row>
    <row r="4293" spans="1:11" ht="15" customHeight="1" x14ac:dyDescent="0.2">
      <c r="A4293" t="s">
        <v>6006</v>
      </c>
      <c r="B4293" t="s">
        <v>4592</v>
      </c>
      <c r="C4293">
        <v>2024</v>
      </c>
      <c r="D4293">
        <v>2024</v>
      </c>
      <c r="E4293" s="7">
        <v>45601</v>
      </c>
      <c r="F4293" s="7">
        <v>45965</v>
      </c>
      <c r="G4293" t="s">
        <v>99</v>
      </c>
      <c r="H4293" t="s">
        <v>107</v>
      </c>
      <c r="I4293" t="s">
        <v>104</v>
      </c>
      <c r="J4293">
        <v>27943.95</v>
      </c>
      <c r="K4293">
        <v>5000000</v>
      </c>
    </row>
    <row r="4294" spans="1:11" ht="15" customHeight="1" x14ac:dyDescent="0.2">
      <c r="A4294" t="s">
        <v>6007</v>
      </c>
      <c r="B4294" t="s">
        <v>4601</v>
      </c>
      <c r="C4294">
        <v>2024</v>
      </c>
      <c r="D4294">
        <v>2024</v>
      </c>
      <c r="E4294" s="7">
        <v>45601</v>
      </c>
      <c r="F4294" s="7">
        <v>45965</v>
      </c>
      <c r="G4294" t="s">
        <v>99</v>
      </c>
      <c r="H4294" t="s">
        <v>102</v>
      </c>
      <c r="I4294" t="s">
        <v>104</v>
      </c>
      <c r="J4294">
        <v>5243.72</v>
      </c>
      <c r="K4294">
        <v>1000000</v>
      </c>
    </row>
    <row r="4295" spans="1:11" ht="15" customHeight="1" x14ac:dyDescent="0.2">
      <c r="A4295" t="s">
        <v>6008</v>
      </c>
      <c r="B4295" t="s">
        <v>9279</v>
      </c>
      <c r="C4295">
        <v>2024</v>
      </c>
      <c r="D4295">
        <v>2024</v>
      </c>
      <c r="E4295" s="7">
        <v>45601</v>
      </c>
      <c r="F4295" s="7">
        <v>45965</v>
      </c>
      <c r="G4295" t="s">
        <v>135</v>
      </c>
      <c r="H4295" t="s">
        <v>102</v>
      </c>
      <c r="I4295" t="s">
        <v>104</v>
      </c>
      <c r="J4295">
        <v>26621.26</v>
      </c>
      <c r="K4295">
        <v>5000000</v>
      </c>
    </row>
    <row r="4296" spans="1:11" ht="15" customHeight="1" x14ac:dyDescent="0.2">
      <c r="A4296" t="s">
        <v>6009</v>
      </c>
      <c r="B4296" t="s">
        <v>9280</v>
      </c>
      <c r="C4296">
        <v>2024</v>
      </c>
      <c r="D4296">
        <v>2024</v>
      </c>
      <c r="E4296" s="7">
        <v>45601</v>
      </c>
      <c r="F4296" s="7">
        <v>45965</v>
      </c>
      <c r="G4296" t="s">
        <v>135</v>
      </c>
      <c r="H4296" t="s">
        <v>102</v>
      </c>
      <c r="I4296" t="s">
        <v>101</v>
      </c>
      <c r="J4296">
        <v>12979.94</v>
      </c>
      <c r="K4296">
        <v>2000000</v>
      </c>
    </row>
    <row r="4297" spans="1:11" ht="15" customHeight="1" x14ac:dyDescent="0.2">
      <c r="A4297" t="s">
        <v>6010</v>
      </c>
      <c r="B4297" t="s">
        <v>1094</v>
      </c>
      <c r="C4297">
        <v>2024</v>
      </c>
      <c r="D4297">
        <v>2024</v>
      </c>
      <c r="E4297" s="7">
        <v>45601</v>
      </c>
      <c r="F4297" s="7">
        <v>45965</v>
      </c>
      <c r="G4297" t="s">
        <v>135</v>
      </c>
      <c r="H4297" t="s">
        <v>109</v>
      </c>
      <c r="I4297" t="s">
        <v>101</v>
      </c>
      <c r="J4297">
        <v>10845.71</v>
      </c>
      <c r="K4297">
        <v>1500000</v>
      </c>
    </row>
    <row r="4298" spans="1:11" ht="15" customHeight="1" x14ac:dyDescent="0.2">
      <c r="A4298" t="s">
        <v>6011</v>
      </c>
      <c r="B4298" t="s">
        <v>7044</v>
      </c>
      <c r="C4298">
        <v>2024</v>
      </c>
      <c r="D4298">
        <v>2024</v>
      </c>
      <c r="E4298" s="7">
        <v>45601</v>
      </c>
      <c r="F4298" s="7">
        <v>45965</v>
      </c>
      <c r="G4298" t="s">
        <v>135</v>
      </c>
      <c r="H4298" t="s">
        <v>109</v>
      </c>
      <c r="I4298" t="s">
        <v>104</v>
      </c>
      <c r="J4298">
        <v>11995.05</v>
      </c>
      <c r="K4298">
        <v>2000000</v>
      </c>
    </row>
    <row r="4299" spans="1:11" ht="15" customHeight="1" x14ac:dyDescent="0.2">
      <c r="A4299" t="s">
        <v>6012</v>
      </c>
      <c r="B4299" t="s">
        <v>9281</v>
      </c>
      <c r="C4299">
        <v>2024</v>
      </c>
      <c r="D4299">
        <v>2024</v>
      </c>
      <c r="E4299" s="7">
        <v>45601</v>
      </c>
      <c r="F4299" s="7">
        <v>45965</v>
      </c>
      <c r="G4299" t="s">
        <v>135</v>
      </c>
      <c r="H4299" t="s">
        <v>113</v>
      </c>
      <c r="I4299" t="s">
        <v>101</v>
      </c>
      <c r="J4299">
        <v>67212.23</v>
      </c>
      <c r="K4299">
        <v>10000000</v>
      </c>
    </row>
    <row r="4300" spans="1:11" ht="15" customHeight="1" x14ac:dyDescent="0.2">
      <c r="A4300" t="s">
        <v>6013</v>
      </c>
      <c r="B4300" t="s">
        <v>1095</v>
      </c>
      <c r="C4300">
        <v>2024</v>
      </c>
      <c r="D4300">
        <v>2024</v>
      </c>
      <c r="E4300" s="7">
        <v>45601</v>
      </c>
      <c r="F4300" s="7">
        <v>45965</v>
      </c>
      <c r="G4300" t="s">
        <v>135</v>
      </c>
      <c r="H4300" t="s">
        <v>113</v>
      </c>
      <c r="I4300" t="s">
        <v>101</v>
      </c>
      <c r="J4300">
        <v>15736.42</v>
      </c>
      <c r="K4300">
        <v>2000000</v>
      </c>
    </row>
    <row r="4301" spans="1:11" ht="15" customHeight="1" x14ac:dyDescent="0.2">
      <c r="A4301" t="s">
        <v>6014</v>
      </c>
      <c r="B4301" t="s">
        <v>9282</v>
      </c>
      <c r="C4301">
        <v>2024</v>
      </c>
      <c r="D4301">
        <v>2024</v>
      </c>
      <c r="E4301" s="7">
        <v>45601</v>
      </c>
      <c r="F4301" s="7">
        <v>45965</v>
      </c>
      <c r="G4301" t="s">
        <v>135</v>
      </c>
      <c r="H4301" t="s">
        <v>102</v>
      </c>
      <c r="I4301" t="s">
        <v>101</v>
      </c>
      <c r="J4301">
        <v>3557.71</v>
      </c>
      <c r="K4301">
        <v>500000</v>
      </c>
    </row>
    <row r="4302" spans="1:11" ht="15" customHeight="1" x14ac:dyDescent="0.2">
      <c r="A4302" t="s">
        <v>6015</v>
      </c>
      <c r="B4302" t="s">
        <v>640</v>
      </c>
      <c r="C4302">
        <v>2024</v>
      </c>
      <c r="D4302">
        <v>2024</v>
      </c>
      <c r="E4302" s="7">
        <v>45601</v>
      </c>
      <c r="F4302" s="7">
        <v>45965</v>
      </c>
      <c r="G4302" t="s">
        <v>135</v>
      </c>
      <c r="H4302" t="s">
        <v>102</v>
      </c>
      <c r="I4302" t="s">
        <v>104</v>
      </c>
      <c r="J4302">
        <v>53598.15</v>
      </c>
      <c r="K4302">
        <v>10000000</v>
      </c>
    </row>
    <row r="4303" spans="1:11" ht="15" customHeight="1" x14ac:dyDescent="0.2">
      <c r="A4303" t="s">
        <v>6016</v>
      </c>
      <c r="B4303" t="s">
        <v>1093</v>
      </c>
      <c r="C4303">
        <v>2024</v>
      </c>
      <c r="D4303">
        <v>2024</v>
      </c>
      <c r="E4303" s="7">
        <v>45601</v>
      </c>
      <c r="F4303" s="7">
        <v>45965</v>
      </c>
      <c r="G4303" t="s">
        <v>135</v>
      </c>
      <c r="H4303" t="s">
        <v>102</v>
      </c>
      <c r="I4303" t="s">
        <v>101</v>
      </c>
      <c r="J4303">
        <v>15717.74</v>
      </c>
      <c r="K4303">
        <v>2000000</v>
      </c>
    </row>
    <row r="4304" spans="1:11" ht="15" customHeight="1" x14ac:dyDescent="0.2">
      <c r="A4304" t="s">
        <v>6017</v>
      </c>
      <c r="B4304" t="s">
        <v>9283</v>
      </c>
      <c r="C4304">
        <v>2024</v>
      </c>
      <c r="D4304">
        <v>2024</v>
      </c>
      <c r="E4304" s="7">
        <v>45601</v>
      </c>
      <c r="F4304" s="7">
        <v>45965</v>
      </c>
      <c r="G4304" t="s">
        <v>135</v>
      </c>
      <c r="H4304" t="s">
        <v>6337</v>
      </c>
      <c r="I4304" t="s">
        <v>101</v>
      </c>
      <c r="J4304">
        <v>11634.88</v>
      </c>
      <c r="K4304">
        <v>1500000</v>
      </c>
    </row>
    <row r="4305" spans="1:11" ht="15" customHeight="1" x14ac:dyDescent="0.2">
      <c r="A4305" t="s">
        <v>6018</v>
      </c>
      <c r="B4305" t="s">
        <v>4603</v>
      </c>
      <c r="C4305">
        <v>2024</v>
      </c>
      <c r="D4305">
        <v>2024</v>
      </c>
      <c r="E4305" s="7">
        <v>45602</v>
      </c>
      <c r="F4305" s="7">
        <v>45966</v>
      </c>
      <c r="G4305" t="s">
        <v>99</v>
      </c>
      <c r="H4305" t="s">
        <v>105</v>
      </c>
      <c r="I4305" t="s">
        <v>104</v>
      </c>
      <c r="J4305">
        <v>9081.2900000000009</v>
      </c>
      <c r="K4305">
        <v>1500000</v>
      </c>
    </row>
    <row r="4306" spans="1:11" ht="15" customHeight="1" x14ac:dyDescent="0.2">
      <c r="A4306" t="s">
        <v>6019</v>
      </c>
      <c r="B4306" t="s">
        <v>4615</v>
      </c>
      <c r="C4306">
        <v>2024</v>
      </c>
      <c r="D4306">
        <v>2024</v>
      </c>
      <c r="E4306" s="7">
        <v>45602</v>
      </c>
      <c r="F4306" s="7">
        <v>45966</v>
      </c>
      <c r="G4306" t="s">
        <v>99</v>
      </c>
      <c r="H4306" t="s">
        <v>102</v>
      </c>
      <c r="I4306" t="s">
        <v>101</v>
      </c>
      <c r="J4306">
        <v>3564.2</v>
      </c>
      <c r="K4306">
        <v>500000</v>
      </c>
    </row>
    <row r="4307" spans="1:11" ht="15" customHeight="1" x14ac:dyDescent="0.2">
      <c r="A4307" t="s">
        <v>6020</v>
      </c>
      <c r="B4307" t="s">
        <v>1098</v>
      </c>
      <c r="C4307">
        <v>2024</v>
      </c>
      <c r="D4307">
        <v>2024</v>
      </c>
      <c r="E4307" s="7">
        <v>45602</v>
      </c>
      <c r="F4307" s="7">
        <v>45966</v>
      </c>
      <c r="G4307" t="s">
        <v>135</v>
      </c>
      <c r="H4307" t="s">
        <v>106</v>
      </c>
      <c r="I4307" t="s">
        <v>104</v>
      </c>
      <c r="J4307">
        <v>39452.879999999997</v>
      </c>
      <c r="K4307">
        <v>5000000</v>
      </c>
    </row>
    <row r="4308" spans="1:11" ht="15" customHeight="1" x14ac:dyDescent="0.2">
      <c r="A4308" t="s">
        <v>6021</v>
      </c>
      <c r="B4308" t="s">
        <v>9284</v>
      </c>
      <c r="C4308">
        <v>2024</v>
      </c>
      <c r="D4308">
        <v>2024</v>
      </c>
      <c r="E4308" s="7">
        <v>45602</v>
      </c>
      <c r="F4308" s="7">
        <v>45966</v>
      </c>
      <c r="G4308" t="s">
        <v>135</v>
      </c>
      <c r="H4308" t="s">
        <v>6348</v>
      </c>
      <c r="I4308" t="s">
        <v>101</v>
      </c>
      <c r="J4308">
        <v>3344.16</v>
      </c>
      <c r="K4308">
        <v>500000</v>
      </c>
    </row>
    <row r="4309" spans="1:11" ht="15" customHeight="1" x14ac:dyDescent="0.2">
      <c r="A4309" t="s">
        <v>6022</v>
      </c>
      <c r="B4309" t="s">
        <v>1097</v>
      </c>
      <c r="C4309">
        <v>2024</v>
      </c>
      <c r="D4309">
        <v>2024</v>
      </c>
      <c r="E4309" s="7">
        <v>45602</v>
      </c>
      <c r="F4309" s="7">
        <v>45966</v>
      </c>
      <c r="G4309" t="s">
        <v>135</v>
      </c>
      <c r="H4309" t="s">
        <v>108</v>
      </c>
      <c r="I4309" t="s">
        <v>104</v>
      </c>
      <c r="J4309">
        <v>7137.98</v>
      </c>
      <c r="K4309">
        <v>1000000</v>
      </c>
    </row>
    <row r="4310" spans="1:11" ht="15" customHeight="1" x14ac:dyDescent="0.2">
      <c r="A4310" t="s">
        <v>6023</v>
      </c>
      <c r="B4310" t="s">
        <v>9285</v>
      </c>
      <c r="C4310">
        <v>2024</v>
      </c>
      <c r="D4310">
        <v>2024</v>
      </c>
      <c r="E4310" s="7">
        <v>45602</v>
      </c>
      <c r="F4310" s="7">
        <v>45966</v>
      </c>
      <c r="G4310" t="s">
        <v>135</v>
      </c>
      <c r="H4310" t="s">
        <v>108</v>
      </c>
      <c r="I4310" t="s">
        <v>104</v>
      </c>
      <c r="J4310">
        <v>10920.45</v>
      </c>
      <c r="K4310">
        <v>1500000</v>
      </c>
    </row>
    <row r="4311" spans="1:11" ht="15" customHeight="1" x14ac:dyDescent="0.2">
      <c r="A4311" t="s">
        <v>6024</v>
      </c>
      <c r="B4311" t="s">
        <v>1096</v>
      </c>
      <c r="C4311">
        <v>2024</v>
      </c>
      <c r="D4311">
        <v>2024</v>
      </c>
      <c r="E4311" s="7">
        <v>45602</v>
      </c>
      <c r="F4311" s="7">
        <v>45966</v>
      </c>
      <c r="G4311" t="s">
        <v>135</v>
      </c>
      <c r="H4311" t="s">
        <v>107</v>
      </c>
      <c r="I4311" t="s">
        <v>101</v>
      </c>
      <c r="J4311">
        <v>3771.52</v>
      </c>
      <c r="K4311">
        <v>500000</v>
      </c>
    </row>
    <row r="4312" spans="1:11" ht="15" customHeight="1" x14ac:dyDescent="0.2">
      <c r="A4312" t="s">
        <v>6025</v>
      </c>
      <c r="B4312" t="s">
        <v>9286</v>
      </c>
      <c r="C4312">
        <v>2024</v>
      </c>
      <c r="D4312">
        <v>2024</v>
      </c>
      <c r="E4312" s="7">
        <v>45602</v>
      </c>
      <c r="F4312" s="7">
        <v>45966</v>
      </c>
      <c r="G4312" t="s">
        <v>135</v>
      </c>
      <c r="H4312" t="s">
        <v>106</v>
      </c>
      <c r="I4312" t="s">
        <v>101</v>
      </c>
      <c r="J4312">
        <v>8764.5300000000007</v>
      </c>
      <c r="K4312">
        <v>1000000</v>
      </c>
    </row>
    <row r="4313" spans="1:11" ht="15" customHeight="1" x14ac:dyDescent="0.2">
      <c r="A4313" t="s">
        <v>6026</v>
      </c>
      <c r="B4313" t="s">
        <v>9287</v>
      </c>
      <c r="C4313">
        <v>2024</v>
      </c>
      <c r="D4313">
        <v>2024</v>
      </c>
      <c r="E4313" s="7">
        <v>45602</v>
      </c>
      <c r="F4313" s="7">
        <v>45966</v>
      </c>
      <c r="G4313" t="s">
        <v>135</v>
      </c>
      <c r="H4313" t="s">
        <v>108</v>
      </c>
      <c r="I4313" t="s">
        <v>101</v>
      </c>
      <c r="J4313">
        <v>12959.42</v>
      </c>
      <c r="K4313">
        <v>1500000</v>
      </c>
    </row>
    <row r="4314" spans="1:11" ht="15" customHeight="1" x14ac:dyDescent="0.2">
      <c r="A4314" t="s">
        <v>6027</v>
      </c>
      <c r="B4314" t="s">
        <v>7046</v>
      </c>
      <c r="C4314">
        <v>2024</v>
      </c>
      <c r="D4314">
        <v>2024</v>
      </c>
      <c r="E4314" s="7">
        <v>45602</v>
      </c>
      <c r="F4314" s="7">
        <v>45966</v>
      </c>
      <c r="G4314" t="s">
        <v>135</v>
      </c>
      <c r="H4314" t="s">
        <v>108</v>
      </c>
      <c r="I4314" t="s">
        <v>104</v>
      </c>
      <c r="J4314">
        <v>7697.45</v>
      </c>
      <c r="K4314">
        <v>1000000</v>
      </c>
    </row>
    <row r="4315" spans="1:11" ht="15" customHeight="1" x14ac:dyDescent="0.2">
      <c r="A4315" t="s">
        <v>6028</v>
      </c>
      <c r="B4315" t="s">
        <v>4617</v>
      </c>
      <c r="C4315">
        <v>2024</v>
      </c>
      <c r="D4315">
        <v>2024</v>
      </c>
      <c r="E4315" s="7">
        <v>45603</v>
      </c>
      <c r="F4315" s="7">
        <v>45967</v>
      </c>
      <c r="G4315" t="s">
        <v>99</v>
      </c>
      <c r="H4315" t="s">
        <v>106</v>
      </c>
      <c r="I4315" t="s">
        <v>101</v>
      </c>
      <c r="J4315">
        <v>44592.78</v>
      </c>
      <c r="K4315">
        <v>5000000</v>
      </c>
    </row>
    <row r="4316" spans="1:11" ht="15" customHeight="1" x14ac:dyDescent="0.2">
      <c r="A4316" t="s">
        <v>6029</v>
      </c>
      <c r="B4316" t="s">
        <v>4619</v>
      </c>
      <c r="C4316">
        <v>2024</v>
      </c>
      <c r="D4316">
        <v>2024</v>
      </c>
      <c r="E4316" s="7">
        <v>45603</v>
      </c>
      <c r="F4316" s="7">
        <v>45967</v>
      </c>
      <c r="G4316" t="s">
        <v>99</v>
      </c>
      <c r="H4316" t="s">
        <v>6334</v>
      </c>
      <c r="I4316" t="s">
        <v>101</v>
      </c>
      <c r="J4316">
        <v>75154.289999999994</v>
      </c>
      <c r="K4316">
        <v>10000000</v>
      </c>
    </row>
    <row r="4317" spans="1:11" ht="15" customHeight="1" x14ac:dyDescent="0.2">
      <c r="A4317" t="s">
        <v>6030</v>
      </c>
      <c r="B4317" t="s">
        <v>4628</v>
      </c>
      <c r="C4317">
        <v>2024</v>
      </c>
      <c r="D4317">
        <v>2024</v>
      </c>
      <c r="E4317" s="7">
        <v>45603</v>
      </c>
      <c r="F4317" s="7">
        <v>45967</v>
      </c>
      <c r="G4317" t="s">
        <v>99</v>
      </c>
      <c r="H4317" t="s">
        <v>113</v>
      </c>
      <c r="I4317" t="s">
        <v>101</v>
      </c>
      <c r="J4317">
        <v>3550.71</v>
      </c>
      <c r="K4317">
        <v>500000</v>
      </c>
    </row>
    <row r="4318" spans="1:11" ht="15" customHeight="1" x14ac:dyDescent="0.2">
      <c r="A4318" t="s">
        <v>6031</v>
      </c>
      <c r="B4318" t="s">
        <v>4630</v>
      </c>
      <c r="C4318">
        <v>2024</v>
      </c>
      <c r="D4318">
        <v>2024</v>
      </c>
      <c r="E4318" s="7">
        <v>45603</v>
      </c>
      <c r="F4318" s="7">
        <v>45967</v>
      </c>
      <c r="G4318" t="s">
        <v>99</v>
      </c>
      <c r="H4318" t="s">
        <v>100</v>
      </c>
      <c r="I4318" t="s">
        <v>104</v>
      </c>
      <c r="J4318">
        <v>26756.18</v>
      </c>
      <c r="K4318">
        <v>5000000</v>
      </c>
    </row>
    <row r="4319" spans="1:11" ht="15" customHeight="1" x14ac:dyDescent="0.2">
      <c r="A4319" t="s">
        <v>6032</v>
      </c>
      <c r="B4319" t="s">
        <v>9288</v>
      </c>
      <c r="C4319">
        <v>2024</v>
      </c>
      <c r="D4319">
        <v>2024</v>
      </c>
      <c r="E4319" s="7">
        <v>45603</v>
      </c>
      <c r="F4319" s="7">
        <v>45967</v>
      </c>
      <c r="G4319" t="s">
        <v>135</v>
      </c>
      <c r="H4319" t="s">
        <v>106</v>
      </c>
      <c r="I4319" t="s">
        <v>104</v>
      </c>
      <c r="J4319">
        <v>7697.41</v>
      </c>
      <c r="K4319">
        <v>1000000</v>
      </c>
    </row>
    <row r="4320" spans="1:11" ht="15" customHeight="1" x14ac:dyDescent="0.2">
      <c r="A4320" t="s">
        <v>6033</v>
      </c>
      <c r="B4320" t="s">
        <v>7207</v>
      </c>
      <c r="C4320">
        <v>2024</v>
      </c>
      <c r="D4320">
        <v>2024</v>
      </c>
      <c r="E4320" s="7">
        <v>45603</v>
      </c>
      <c r="F4320" s="7">
        <v>45967</v>
      </c>
      <c r="G4320" t="s">
        <v>135</v>
      </c>
      <c r="H4320" t="s">
        <v>103</v>
      </c>
      <c r="I4320" t="s">
        <v>101</v>
      </c>
      <c r="J4320">
        <v>6546.06</v>
      </c>
      <c r="K4320">
        <v>1000000</v>
      </c>
    </row>
    <row r="4321" spans="1:11" ht="15" customHeight="1" x14ac:dyDescent="0.2">
      <c r="A4321" t="s">
        <v>6034</v>
      </c>
      <c r="B4321" t="s">
        <v>228</v>
      </c>
      <c r="C4321">
        <v>2024</v>
      </c>
      <c r="D4321">
        <v>2024</v>
      </c>
      <c r="E4321" s="7">
        <v>45603</v>
      </c>
      <c r="F4321" s="7">
        <v>45967</v>
      </c>
      <c r="G4321" t="s">
        <v>135</v>
      </c>
      <c r="H4321" t="s">
        <v>103</v>
      </c>
      <c r="I4321" t="s">
        <v>101</v>
      </c>
      <c r="J4321">
        <v>6676.16</v>
      </c>
      <c r="K4321">
        <v>1000000</v>
      </c>
    </row>
    <row r="4322" spans="1:11" ht="15" customHeight="1" x14ac:dyDescent="0.2">
      <c r="A4322" t="s">
        <v>6035</v>
      </c>
      <c r="B4322" t="s">
        <v>1099</v>
      </c>
      <c r="C4322">
        <v>2024</v>
      </c>
      <c r="D4322">
        <v>2024</v>
      </c>
      <c r="E4322" s="7">
        <v>45603</v>
      </c>
      <c r="F4322" s="7">
        <v>45967</v>
      </c>
      <c r="G4322" t="s">
        <v>135</v>
      </c>
      <c r="H4322" t="s">
        <v>106</v>
      </c>
      <c r="I4322" t="s">
        <v>101</v>
      </c>
      <c r="J4322">
        <v>8077.59</v>
      </c>
      <c r="K4322">
        <v>1000000</v>
      </c>
    </row>
    <row r="4323" spans="1:11" ht="15" customHeight="1" x14ac:dyDescent="0.2">
      <c r="A4323" t="s">
        <v>6036</v>
      </c>
      <c r="B4323" t="s">
        <v>7147</v>
      </c>
      <c r="C4323">
        <v>2024</v>
      </c>
      <c r="D4323">
        <v>2024</v>
      </c>
      <c r="E4323" s="7">
        <v>45603</v>
      </c>
      <c r="F4323" s="7">
        <v>45967</v>
      </c>
      <c r="G4323" t="s">
        <v>135</v>
      </c>
      <c r="H4323" t="s">
        <v>107</v>
      </c>
      <c r="I4323" t="s">
        <v>101</v>
      </c>
      <c r="J4323">
        <v>37751.75</v>
      </c>
      <c r="K4323">
        <v>5000000</v>
      </c>
    </row>
    <row r="4324" spans="1:11" ht="15" customHeight="1" x14ac:dyDescent="0.2">
      <c r="A4324" t="s">
        <v>6037</v>
      </c>
      <c r="B4324" t="s">
        <v>400</v>
      </c>
      <c r="C4324">
        <v>2024</v>
      </c>
      <c r="D4324">
        <v>2024</v>
      </c>
      <c r="E4324" s="7">
        <v>45603</v>
      </c>
      <c r="F4324" s="7">
        <v>45967</v>
      </c>
      <c r="G4324" t="s">
        <v>135</v>
      </c>
      <c r="H4324" t="s">
        <v>6348</v>
      </c>
      <c r="I4324" t="s">
        <v>101</v>
      </c>
      <c r="J4324">
        <v>7291.8</v>
      </c>
      <c r="K4324">
        <v>1000000</v>
      </c>
    </row>
    <row r="4325" spans="1:11" ht="15" customHeight="1" x14ac:dyDescent="0.2">
      <c r="A4325" t="s">
        <v>6038</v>
      </c>
      <c r="B4325" t="s">
        <v>9289</v>
      </c>
      <c r="C4325">
        <v>2024</v>
      </c>
      <c r="D4325">
        <v>2024</v>
      </c>
      <c r="E4325" s="7">
        <v>45603</v>
      </c>
      <c r="F4325" s="7">
        <v>45967</v>
      </c>
      <c r="G4325" t="s">
        <v>135</v>
      </c>
      <c r="H4325" t="s">
        <v>100</v>
      </c>
      <c r="I4325" t="s">
        <v>104</v>
      </c>
      <c r="J4325">
        <v>10547.01</v>
      </c>
      <c r="K4325">
        <v>2000000</v>
      </c>
    </row>
    <row r="4326" spans="1:11" ht="15" customHeight="1" x14ac:dyDescent="0.2">
      <c r="A4326" t="s">
        <v>6039</v>
      </c>
      <c r="B4326" t="s">
        <v>4632</v>
      </c>
      <c r="C4326">
        <v>2024</v>
      </c>
      <c r="D4326">
        <v>2024</v>
      </c>
      <c r="E4326" s="7">
        <v>45604</v>
      </c>
      <c r="F4326" s="7">
        <v>45968</v>
      </c>
      <c r="G4326" t="s">
        <v>99</v>
      </c>
      <c r="H4326" t="s">
        <v>106</v>
      </c>
      <c r="I4326" t="s">
        <v>104</v>
      </c>
      <c r="J4326">
        <v>9926.81</v>
      </c>
      <c r="K4326">
        <v>1500000</v>
      </c>
    </row>
    <row r="4327" spans="1:11" ht="15" customHeight="1" x14ac:dyDescent="0.2">
      <c r="A4327" t="s">
        <v>6040</v>
      </c>
      <c r="B4327" t="s">
        <v>4634</v>
      </c>
      <c r="C4327">
        <v>2024</v>
      </c>
      <c r="D4327">
        <v>2024</v>
      </c>
      <c r="E4327" s="7">
        <v>45604</v>
      </c>
      <c r="F4327" s="7">
        <v>45968</v>
      </c>
      <c r="G4327" t="s">
        <v>99</v>
      </c>
      <c r="H4327" t="s">
        <v>108</v>
      </c>
      <c r="I4327" t="s">
        <v>101</v>
      </c>
      <c r="J4327">
        <v>8603.15</v>
      </c>
      <c r="K4327">
        <v>1000000</v>
      </c>
    </row>
    <row r="4328" spans="1:11" ht="15" customHeight="1" x14ac:dyDescent="0.2">
      <c r="A4328" t="s">
        <v>6041</v>
      </c>
      <c r="B4328" t="s">
        <v>4636</v>
      </c>
      <c r="C4328">
        <v>2024</v>
      </c>
      <c r="D4328">
        <v>2024</v>
      </c>
      <c r="E4328" s="7">
        <v>45604</v>
      </c>
      <c r="F4328" s="7">
        <v>45968</v>
      </c>
      <c r="G4328" t="s">
        <v>99</v>
      </c>
      <c r="H4328" t="s">
        <v>100</v>
      </c>
      <c r="I4328" t="s">
        <v>104</v>
      </c>
      <c r="J4328">
        <v>9064.1299999999992</v>
      </c>
      <c r="K4328">
        <v>1500000</v>
      </c>
    </row>
    <row r="4329" spans="1:11" ht="15" customHeight="1" x14ac:dyDescent="0.2">
      <c r="A4329" t="s">
        <v>6042</v>
      </c>
      <c r="B4329" t="s">
        <v>4638</v>
      </c>
      <c r="C4329">
        <v>2024</v>
      </c>
      <c r="D4329">
        <v>2024</v>
      </c>
      <c r="E4329" s="7">
        <v>45604</v>
      </c>
      <c r="F4329" s="7">
        <v>45968</v>
      </c>
      <c r="G4329" t="s">
        <v>99</v>
      </c>
      <c r="H4329" t="s">
        <v>107</v>
      </c>
      <c r="I4329" t="s">
        <v>104</v>
      </c>
      <c r="J4329">
        <v>10815.42</v>
      </c>
      <c r="K4329">
        <v>2000000</v>
      </c>
    </row>
    <row r="4330" spans="1:11" ht="15" customHeight="1" x14ac:dyDescent="0.2">
      <c r="A4330" t="s">
        <v>6043</v>
      </c>
      <c r="B4330" t="s">
        <v>4647</v>
      </c>
      <c r="C4330">
        <v>2024</v>
      </c>
      <c r="D4330">
        <v>2024</v>
      </c>
      <c r="E4330" s="7">
        <v>45604</v>
      </c>
      <c r="F4330" s="7">
        <v>45968</v>
      </c>
      <c r="G4330" t="s">
        <v>99</v>
      </c>
      <c r="H4330" t="s">
        <v>102</v>
      </c>
      <c r="I4330" t="s">
        <v>104</v>
      </c>
      <c r="J4330">
        <v>8665.26</v>
      </c>
      <c r="K4330">
        <v>1500000</v>
      </c>
    </row>
    <row r="4331" spans="1:11" ht="15" customHeight="1" x14ac:dyDescent="0.2">
      <c r="A4331" t="s">
        <v>6044</v>
      </c>
      <c r="B4331" t="s">
        <v>9290</v>
      </c>
      <c r="C4331">
        <v>2024</v>
      </c>
      <c r="D4331">
        <v>2024</v>
      </c>
      <c r="E4331" s="7">
        <v>45604</v>
      </c>
      <c r="F4331" s="7">
        <v>45968</v>
      </c>
      <c r="G4331" t="s">
        <v>135</v>
      </c>
      <c r="H4331" t="s">
        <v>102</v>
      </c>
      <c r="I4331" t="s">
        <v>104</v>
      </c>
      <c r="J4331">
        <v>57343.76</v>
      </c>
      <c r="K4331">
        <v>10000000</v>
      </c>
    </row>
    <row r="4332" spans="1:11" ht="15" customHeight="1" x14ac:dyDescent="0.2">
      <c r="A4332" t="s">
        <v>6045</v>
      </c>
      <c r="B4332" t="s">
        <v>9291</v>
      </c>
      <c r="C4332">
        <v>2024</v>
      </c>
      <c r="D4332">
        <v>2024</v>
      </c>
      <c r="E4332" s="7">
        <v>45604</v>
      </c>
      <c r="F4332" s="7">
        <v>45968</v>
      </c>
      <c r="G4332" t="s">
        <v>135</v>
      </c>
      <c r="H4332" t="s">
        <v>102</v>
      </c>
      <c r="I4332" t="s">
        <v>101</v>
      </c>
      <c r="J4332">
        <v>7049.01</v>
      </c>
      <c r="K4332">
        <v>1000000</v>
      </c>
    </row>
    <row r="4333" spans="1:11" ht="15" customHeight="1" x14ac:dyDescent="0.2">
      <c r="A4333" t="s">
        <v>6046</v>
      </c>
      <c r="B4333" t="s">
        <v>7208</v>
      </c>
      <c r="C4333">
        <v>2024</v>
      </c>
      <c r="D4333">
        <v>2024</v>
      </c>
      <c r="E4333" s="7">
        <v>45604</v>
      </c>
      <c r="F4333" s="7">
        <v>45968</v>
      </c>
      <c r="G4333" t="s">
        <v>135</v>
      </c>
      <c r="H4333" t="s">
        <v>107</v>
      </c>
      <c r="I4333" t="s">
        <v>101</v>
      </c>
      <c r="J4333">
        <v>35232.58</v>
      </c>
      <c r="K4333">
        <v>5000000</v>
      </c>
    </row>
    <row r="4334" spans="1:11" ht="15" customHeight="1" x14ac:dyDescent="0.2">
      <c r="A4334" t="s">
        <v>6047</v>
      </c>
      <c r="B4334" t="s">
        <v>1100</v>
      </c>
      <c r="C4334">
        <v>2024</v>
      </c>
      <c r="D4334">
        <v>2024</v>
      </c>
      <c r="E4334" s="7">
        <v>45604</v>
      </c>
      <c r="F4334" s="7">
        <v>45968</v>
      </c>
      <c r="G4334" t="s">
        <v>135</v>
      </c>
      <c r="H4334" t="s">
        <v>103</v>
      </c>
      <c r="I4334" t="s">
        <v>101</v>
      </c>
      <c r="J4334">
        <v>7506.15</v>
      </c>
      <c r="K4334">
        <v>1000000</v>
      </c>
    </row>
    <row r="4335" spans="1:11" ht="15" customHeight="1" x14ac:dyDescent="0.2">
      <c r="A4335" t="s">
        <v>6048</v>
      </c>
      <c r="B4335" t="s">
        <v>9292</v>
      </c>
      <c r="C4335">
        <v>2024</v>
      </c>
      <c r="D4335">
        <v>2024</v>
      </c>
      <c r="E4335" s="7">
        <v>45604</v>
      </c>
      <c r="F4335" s="7">
        <v>45968</v>
      </c>
      <c r="G4335" t="s">
        <v>135</v>
      </c>
      <c r="H4335" t="s">
        <v>113</v>
      </c>
      <c r="I4335" t="s">
        <v>101</v>
      </c>
      <c r="J4335">
        <v>13646.68</v>
      </c>
      <c r="K4335">
        <v>2000000</v>
      </c>
    </row>
    <row r="4336" spans="1:11" ht="15" customHeight="1" x14ac:dyDescent="0.2">
      <c r="A4336" t="s">
        <v>6049</v>
      </c>
      <c r="B4336" t="s">
        <v>9293</v>
      </c>
      <c r="C4336">
        <v>2024</v>
      </c>
      <c r="D4336">
        <v>2024</v>
      </c>
      <c r="E4336" s="7">
        <v>45604</v>
      </c>
      <c r="F4336" s="7">
        <v>45968</v>
      </c>
      <c r="G4336" t="s">
        <v>135</v>
      </c>
      <c r="H4336" t="s">
        <v>106</v>
      </c>
      <c r="I4336" t="s">
        <v>101</v>
      </c>
      <c r="J4336">
        <v>13985.69</v>
      </c>
      <c r="K4336">
        <v>1500000</v>
      </c>
    </row>
    <row r="4337" spans="1:11" ht="15" customHeight="1" x14ac:dyDescent="0.2">
      <c r="A4337" t="s">
        <v>6050</v>
      </c>
      <c r="B4337" t="s">
        <v>7047</v>
      </c>
      <c r="C4337">
        <v>2024</v>
      </c>
      <c r="D4337">
        <v>2024</v>
      </c>
      <c r="E4337" s="7">
        <v>45604</v>
      </c>
      <c r="F4337" s="7">
        <v>45968</v>
      </c>
      <c r="G4337" t="s">
        <v>135</v>
      </c>
      <c r="H4337" t="s">
        <v>116</v>
      </c>
      <c r="I4337" t="s">
        <v>101</v>
      </c>
      <c r="J4337">
        <v>36484.26</v>
      </c>
      <c r="K4337">
        <v>5000000</v>
      </c>
    </row>
    <row r="4338" spans="1:11" ht="15" customHeight="1" x14ac:dyDescent="0.2">
      <c r="A4338" t="s">
        <v>6051</v>
      </c>
      <c r="B4338" t="s">
        <v>7127</v>
      </c>
      <c r="C4338">
        <v>2024</v>
      </c>
      <c r="D4338">
        <v>2024</v>
      </c>
      <c r="E4338" s="7">
        <v>45604</v>
      </c>
      <c r="F4338" s="7">
        <v>45968</v>
      </c>
      <c r="G4338" t="s">
        <v>135</v>
      </c>
      <c r="H4338" t="s">
        <v>6337</v>
      </c>
      <c r="I4338" t="s">
        <v>101</v>
      </c>
      <c r="J4338">
        <v>3394.45</v>
      </c>
      <c r="K4338">
        <v>500000</v>
      </c>
    </row>
    <row r="4339" spans="1:11" ht="15" customHeight="1" x14ac:dyDescent="0.2">
      <c r="A4339" t="s">
        <v>6052</v>
      </c>
      <c r="B4339" t="s">
        <v>7115</v>
      </c>
      <c r="C4339">
        <v>2024</v>
      </c>
      <c r="D4339">
        <v>2024</v>
      </c>
      <c r="E4339" s="7">
        <v>45604</v>
      </c>
      <c r="F4339" s="7">
        <v>45968</v>
      </c>
      <c r="G4339" t="s">
        <v>135</v>
      </c>
      <c r="H4339" t="s">
        <v>103</v>
      </c>
      <c r="I4339" t="s">
        <v>104</v>
      </c>
      <c r="J4339">
        <v>6118.82</v>
      </c>
      <c r="K4339">
        <v>1000000</v>
      </c>
    </row>
    <row r="4340" spans="1:11" ht="15" customHeight="1" x14ac:dyDescent="0.2">
      <c r="A4340" t="s">
        <v>6053</v>
      </c>
      <c r="B4340" t="s">
        <v>7049</v>
      </c>
      <c r="C4340">
        <v>2024</v>
      </c>
      <c r="D4340">
        <v>2024</v>
      </c>
      <c r="E4340" s="7">
        <v>45604</v>
      </c>
      <c r="F4340" s="7">
        <v>45968</v>
      </c>
      <c r="G4340" t="s">
        <v>135</v>
      </c>
      <c r="H4340" t="s">
        <v>107</v>
      </c>
      <c r="I4340" t="s">
        <v>101</v>
      </c>
      <c r="J4340">
        <v>74067.66</v>
      </c>
      <c r="K4340">
        <v>10000000</v>
      </c>
    </row>
    <row r="4341" spans="1:11" ht="15" customHeight="1" x14ac:dyDescent="0.2">
      <c r="A4341" t="s">
        <v>6054</v>
      </c>
      <c r="B4341" t="s">
        <v>9294</v>
      </c>
      <c r="C4341">
        <v>2024</v>
      </c>
      <c r="D4341">
        <v>2024</v>
      </c>
      <c r="E4341" s="7">
        <v>45604</v>
      </c>
      <c r="F4341" s="7">
        <v>45968</v>
      </c>
      <c r="G4341" t="s">
        <v>135</v>
      </c>
      <c r="H4341" t="s">
        <v>102</v>
      </c>
      <c r="I4341" t="s">
        <v>104</v>
      </c>
      <c r="J4341">
        <v>8189.26</v>
      </c>
      <c r="K4341">
        <v>1500000</v>
      </c>
    </row>
    <row r="4342" spans="1:11" ht="15" customHeight="1" x14ac:dyDescent="0.2">
      <c r="A4342" t="s">
        <v>6055</v>
      </c>
      <c r="B4342" t="s">
        <v>7125</v>
      </c>
      <c r="C4342">
        <v>2024</v>
      </c>
      <c r="D4342">
        <v>2024</v>
      </c>
      <c r="E4342" s="7">
        <v>45604</v>
      </c>
      <c r="F4342" s="7">
        <v>45968</v>
      </c>
      <c r="G4342" t="s">
        <v>135</v>
      </c>
      <c r="H4342" t="s">
        <v>112</v>
      </c>
      <c r="I4342" t="s">
        <v>101</v>
      </c>
      <c r="J4342">
        <v>12625.38</v>
      </c>
      <c r="K4342">
        <v>1500000</v>
      </c>
    </row>
    <row r="4343" spans="1:11" ht="15" customHeight="1" x14ac:dyDescent="0.2">
      <c r="A4343" t="s">
        <v>6056</v>
      </c>
      <c r="B4343" t="s">
        <v>9295</v>
      </c>
      <c r="C4343">
        <v>2024</v>
      </c>
      <c r="D4343">
        <v>2024</v>
      </c>
      <c r="E4343" s="7">
        <v>45604</v>
      </c>
      <c r="F4343" s="7">
        <v>45968</v>
      </c>
      <c r="G4343" t="s">
        <v>135</v>
      </c>
      <c r="H4343" t="s">
        <v>112</v>
      </c>
      <c r="I4343" t="s">
        <v>101</v>
      </c>
      <c r="J4343">
        <v>9512.57</v>
      </c>
      <c r="K4343">
        <v>1000000</v>
      </c>
    </row>
    <row r="4344" spans="1:11" ht="15" customHeight="1" x14ac:dyDescent="0.2">
      <c r="A4344" t="s">
        <v>6057</v>
      </c>
      <c r="B4344" t="s">
        <v>9296</v>
      </c>
      <c r="C4344">
        <v>2024</v>
      </c>
      <c r="D4344">
        <v>2024</v>
      </c>
      <c r="E4344" s="7">
        <v>45604</v>
      </c>
      <c r="F4344" s="7">
        <v>45968</v>
      </c>
      <c r="G4344" t="s">
        <v>135</v>
      </c>
      <c r="H4344" t="s">
        <v>100</v>
      </c>
      <c r="I4344" t="s">
        <v>101</v>
      </c>
      <c r="J4344">
        <v>11729.56</v>
      </c>
      <c r="K4344">
        <v>1500000</v>
      </c>
    </row>
    <row r="4345" spans="1:11" ht="15" customHeight="1" x14ac:dyDescent="0.2">
      <c r="A4345" t="s">
        <v>6058</v>
      </c>
      <c r="B4345" t="s">
        <v>4648</v>
      </c>
      <c r="C4345">
        <v>2024</v>
      </c>
      <c r="D4345">
        <v>2024</v>
      </c>
      <c r="E4345" s="7">
        <v>45605</v>
      </c>
      <c r="F4345" s="7">
        <v>45969</v>
      </c>
      <c r="G4345" t="s">
        <v>99</v>
      </c>
      <c r="H4345" t="s">
        <v>107</v>
      </c>
      <c r="I4345" t="s">
        <v>104</v>
      </c>
      <c r="J4345">
        <v>5846.34</v>
      </c>
      <c r="K4345">
        <v>1000000</v>
      </c>
    </row>
    <row r="4346" spans="1:11" ht="15" customHeight="1" x14ac:dyDescent="0.2">
      <c r="A4346" t="s">
        <v>6059</v>
      </c>
      <c r="B4346" t="s">
        <v>4650</v>
      </c>
      <c r="C4346">
        <v>2024</v>
      </c>
      <c r="D4346">
        <v>2024</v>
      </c>
      <c r="E4346" s="7">
        <v>45605</v>
      </c>
      <c r="F4346" s="7">
        <v>45969</v>
      </c>
      <c r="G4346" t="s">
        <v>99</v>
      </c>
      <c r="H4346" t="s">
        <v>6334</v>
      </c>
      <c r="I4346" t="s">
        <v>101</v>
      </c>
      <c r="J4346">
        <v>7248.19</v>
      </c>
      <c r="K4346">
        <v>1000000</v>
      </c>
    </row>
    <row r="4347" spans="1:11" ht="15" customHeight="1" x14ac:dyDescent="0.2">
      <c r="A4347" t="s">
        <v>6060</v>
      </c>
      <c r="B4347" t="s">
        <v>1102</v>
      </c>
      <c r="C4347">
        <v>2024</v>
      </c>
      <c r="D4347">
        <v>2024</v>
      </c>
      <c r="E4347" s="7">
        <v>45605</v>
      </c>
      <c r="F4347" s="7">
        <v>45969</v>
      </c>
      <c r="G4347" t="s">
        <v>135</v>
      </c>
      <c r="H4347" t="s">
        <v>102</v>
      </c>
      <c r="I4347" t="s">
        <v>104</v>
      </c>
      <c r="J4347">
        <v>6280.41</v>
      </c>
      <c r="K4347">
        <v>1000000</v>
      </c>
    </row>
    <row r="4348" spans="1:11" ht="15" customHeight="1" x14ac:dyDescent="0.2">
      <c r="A4348" t="s">
        <v>6061</v>
      </c>
      <c r="B4348" t="s">
        <v>9297</v>
      </c>
      <c r="C4348">
        <v>2024</v>
      </c>
      <c r="D4348">
        <v>2024</v>
      </c>
      <c r="E4348" s="7">
        <v>45605</v>
      </c>
      <c r="F4348" s="7">
        <v>45969</v>
      </c>
      <c r="G4348" t="s">
        <v>135</v>
      </c>
      <c r="H4348" t="s">
        <v>102</v>
      </c>
      <c r="I4348" t="s">
        <v>104</v>
      </c>
      <c r="J4348">
        <v>10850.04</v>
      </c>
      <c r="K4348">
        <v>2000000</v>
      </c>
    </row>
    <row r="4349" spans="1:11" ht="15" customHeight="1" x14ac:dyDescent="0.2">
      <c r="A4349" t="s">
        <v>6062</v>
      </c>
      <c r="B4349" t="s">
        <v>178</v>
      </c>
      <c r="C4349">
        <v>2024</v>
      </c>
      <c r="D4349">
        <v>2024</v>
      </c>
      <c r="E4349" s="7">
        <v>45605</v>
      </c>
      <c r="F4349" s="7">
        <v>45969</v>
      </c>
      <c r="G4349" t="s">
        <v>135</v>
      </c>
      <c r="H4349" t="s">
        <v>114</v>
      </c>
      <c r="I4349" t="s">
        <v>104</v>
      </c>
      <c r="J4349">
        <v>30502.25</v>
      </c>
      <c r="K4349">
        <v>5000000</v>
      </c>
    </row>
    <row r="4350" spans="1:11" ht="15" customHeight="1" x14ac:dyDescent="0.2">
      <c r="A4350" t="s">
        <v>6063</v>
      </c>
      <c r="B4350" t="s">
        <v>401</v>
      </c>
      <c r="C4350">
        <v>2024</v>
      </c>
      <c r="D4350">
        <v>2024</v>
      </c>
      <c r="E4350" s="7">
        <v>45605</v>
      </c>
      <c r="F4350" s="7">
        <v>45969</v>
      </c>
      <c r="G4350" t="s">
        <v>135</v>
      </c>
      <c r="H4350" t="s">
        <v>106</v>
      </c>
      <c r="I4350" t="s">
        <v>104</v>
      </c>
      <c r="J4350">
        <v>7682.14</v>
      </c>
      <c r="K4350">
        <v>1000000</v>
      </c>
    </row>
    <row r="4351" spans="1:11" ht="15" customHeight="1" x14ac:dyDescent="0.2">
      <c r="A4351" t="s">
        <v>6064</v>
      </c>
      <c r="B4351" t="s">
        <v>1101</v>
      </c>
      <c r="C4351">
        <v>2024</v>
      </c>
      <c r="D4351">
        <v>2024</v>
      </c>
      <c r="E4351" s="7">
        <v>45605</v>
      </c>
      <c r="F4351" s="7">
        <v>45969</v>
      </c>
      <c r="G4351" t="s">
        <v>135</v>
      </c>
      <c r="H4351" t="s">
        <v>108</v>
      </c>
      <c r="I4351" t="s">
        <v>101</v>
      </c>
      <c r="J4351">
        <v>97042.36</v>
      </c>
      <c r="K4351">
        <v>10000000</v>
      </c>
    </row>
    <row r="4352" spans="1:11" ht="15" customHeight="1" x14ac:dyDescent="0.2">
      <c r="A4352" t="s">
        <v>6065</v>
      </c>
      <c r="B4352" t="s">
        <v>7131</v>
      </c>
      <c r="C4352">
        <v>2024</v>
      </c>
      <c r="D4352">
        <v>2024</v>
      </c>
      <c r="E4352" s="7">
        <v>45605</v>
      </c>
      <c r="F4352" s="7">
        <v>45969</v>
      </c>
      <c r="G4352" t="s">
        <v>135</v>
      </c>
      <c r="H4352" t="s">
        <v>107</v>
      </c>
      <c r="I4352" t="s">
        <v>101</v>
      </c>
      <c r="J4352">
        <v>7763.81</v>
      </c>
      <c r="K4352">
        <v>1000000</v>
      </c>
    </row>
    <row r="4353" spans="1:11" ht="15" customHeight="1" x14ac:dyDescent="0.2">
      <c r="A4353" t="s">
        <v>6066</v>
      </c>
      <c r="B4353" t="s">
        <v>4652</v>
      </c>
      <c r="C4353">
        <v>2024</v>
      </c>
      <c r="D4353">
        <v>2024</v>
      </c>
      <c r="E4353" s="7">
        <v>45606</v>
      </c>
      <c r="F4353" s="7">
        <v>45970</v>
      </c>
      <c r="G4353" t="s">
        <v>99</v>
      </c>
      <c r="H4353" t="s">
        <v>108</v>
      </c>
      <c r="I4353" t="s">
        <v>101</v>
      </c>
      <c r="J4353">
        <v>17338.89</v>
      </c>
      <c r="K4353">
        <v>2000000</v>
      </c>
    </row>
    <row r="4354" spans="1:11" ht="15" customHeight="1" x14ac:dyDescent="0.2">
      <c r="A4354" t="s">
        <v>6067</v>
      </c>
      <c r="B4354" t="s">
        <v>4654</v>
      </c>
      <c r="C4354">
        <v>2024</v>
      </c>
      <c r="D4354">
        <v>2024</v>
      </c>
      <c r="E4354" s="7">
        <v>45606</v>
      </c>
      <c r="F4354" s="7">
        <v>45970</v>
      </c>
      <c r="G4354" t="s">
        <v>99</v>
      </c>
      <c r="H4354" t="s">
        <v>108</v>
      </c>
      <c r="I4354" t="s">
        <v>101</v>
      </c>
      <c r="J4354">
        <v>12855.1</v>
      </c>
      <c r="K4354">
        <v>1500000</v>
      </c>
    </row>
    <row r="4355" spans="1:11" ht="15" customHeight="1" x14ac:dyDescent="0.2">
      <c r="A4355" t="s">
        <v>6068</v>
      </c>
      <c r="B4355" t="s">
        <v>4656</v>
      </c>
      <c r="C4355">
        <v>2024</v>
      </c>
      <c r="D4355">
        <v>2024</v>
      </c>
      <c r="E4355" s="7">
        <v>45606</v>
      </c>
      <c r="F4355" s="7">
        <v>45970</v>
      </c>
      <c r="G4355" t="s">
        <v>99</v>
      </c>
      <c r="H4355" t="s">
        <v>106</v>
      </c>
      <c r="I4355" t="s">
        <v>104</v>
      </c>
      <c r="J4355">
        <v>3576.95</v>
      </c>
      <c r="K4355">
        <v>500000</v>
      </c>
    </row>
    <row r="4356" spans="1:11" ht="15" customHeight="1" x14ac:dyDescent="0.2">
      <c r="A4356" t="s">
        <v>6069</v>
      </c>
      <c r="B4356" t="s">
        <v>7052</v>
      </c>
      <c r="C4356">
        <v>2024</v>
      </c>
      <c r="D4356">
        <v>2024</v>
      </c>
      <c r="E4356" s="7">
        <v>45606</v>
      </c>
      <c r="F4356" s="7">
        <v>45970</v>
      </c>
      <c r="G4356" t="s">
        <v>135</v>
      </c>
      <c r="H4356" t="s">
        <v>109</v>
      </c>
      <c r="I4356" t="s">
        <v>104</v>
      </c>
      <c r="J4356">
        <v>53390.239999999998</v>
      </c>
      <c r="K4356">
        <v>10000000</v>
      </c>
    </row>
    <row r="4357" spans="1:11" ht="15" customHeight="1" x14ac:dyDescent="0.2">
      <c r="A4357" t="s">
        <v>6070</v>
      </c>
      <c r="B4357" t="s">
        <v>9298</v>
      </c>
      <c r="C4357">
        <v>2024</v>
      </c>
      <c r="D4357">
        <v>2024</v>
      </c>
      <c r="E4357" s="7">
        <v>45606</v>
      </c>
      <c r="F4357" s="7">
        <v>45970</v>
      </c>
      <c r="G4357" t="s">
        <v>135</v>
      </c>
      <c r="H4357" t="s">
        <v>112</v>
      </c>
      <c r="I4357" t="s">
        <v>101</v>
      </c>
      <c r="J4357">
        <v>40627.17</v>
      </c>
      <c r="K4357">
        <v>5000000</v>
      </c>
    </row>
    <row r="4358" spans="1:11" ht="15" customHeight="1" x14ac:dyDescent="0.2">
      <c r="A4358" t="s">
        <v>6071</v>
      </c>
      <c r="B4358" t="s">
        <v>9299</v>
      </c>
      <c r="C4358">
        <v>2024</v>
      </c>
      <c r="D4358">
        <v>2024</v>
      </c>
      <c r="E4358" s="7">
        <v>45606</v>
      </c>
      <c r="F4358" s="7">
        <v>45970</v>
      </c>
      <c r="G4358" t="s">
        <v>135</v>
      </c>
      <c r="H4358" t="s">
        <v>6348</v>
      </c>
      <c r="I4358" t="s">
        <v>101</v>
      </c>
      <c r="J4358">
        <v>7432.83</v>
      </c>
      <c r="K4358">
        <v>1000000</v>
      </c>
    </row>
    <row r="4359" spans="1:11" ht="15" customHeight="1" x14ac:dyDescent="0.2">
      <c r="A4359" t="s">
        <v>6072</v>
      </c>
      <c r="B4359" t="s">
        <v>9300</v>
      </c>
      <c r="C4359">
        <v>2024</v>
      </c>
      <c r="D4359">
        <v>2024</v>
      </c>
      <c r="E4359" s="7">
        <v>45606</v>
      </c>
      <c r="F4359" s="7">
        <v>45970</v>
      </c>
      <c r="G4359" t="s">
        <v>135</v>
      </c>
      <c r="H4359" t="s">
        <v>107</v>
      </c>
      <c r="I4359" t="s">
        <v>104</v>
      </c>
      <c r="J4359">
        <v>12590.93</v>
      </c>
      <c r="K4359">
        <v>2000000</v>
      </c>
    </row>
    <row r="4360" spans="1:11" ht="15" customHeight="1" x14ac:dyDescent="0.2">
      <c r="A4360" t="s">
        <v>6073</v>
      </c>
      <c r="B4360" t="s">
        <v>7045</v>
      </c>
      <c r="C4360">
        <v>2024</v>
      </c>
      <c r="D4360">
        <v>2024</v>
      </c>
      <c r="E4360" s="7">
        <v>45606</v>
      </c>
      <c r="F4360" s="7">
        <v>45970</v>
      </c>
      <c r="G4360" t="s">
        <v>135</v>
      </c>
      <c r="H4360" t="s">
        <v>115</v>
      </c>
      <c r="I4360" t="s">
        <v>101</v>
      </c>
      <c r="J4360">
        <v>7655.39</v>
      </c>
      <c r="K4360">
        <v>1000000</v>
      </c>
    </row>
    <row r="4361" spans="1:11" ht="15" customHeight="1" x14ac:dyDescent="0.2">
      <c r="A4361" t="s">
        <v>6074</v>
      </c>
      <c r="B4361" t="s">
        <v>9301</v>
      </c>
      <c r="C4361">
        <v>2024</v>
      </c>
      <c r="D4361">
        <v>2024</v>
      </c>
      <c r="E4361" s="7">
        <v>45606</v>
      </c>
      <c r="F4361" s="7">
        <v>45970</v>
      </c>
      <c r="G4361" t="s">
        <v>135</v>
      </c>
      <c r="H4361" t="s">
        <v>6334</v>
      </c>
      <c r="I4361" t="s">
        <v>104</v>
      </c>
      <c r="J4361">
        <v>5812.68</v>
      </c>
      <c r="K4361">
        <v>1000000</v>
      </c>
    </row>
    <row r="4362" spans="1:11" ht="15" customHeight="1" x14ac:dyDescent="0.2">
      <c r="A4362" t="s">
        <v>6075</v>
      </c>
      <c r="B4362" t="s">
        <v>9302</v>
      </c>
      <c r="C4362">
        <v>2024</v>
      </c>
      <c r="D4362">
        <v>2024</v>
      </c>
      <c r="E4362" s="7">
        <v>45606</v>
      </c>
      <c r="F4362" s="7">
        <v>45970</v>
      </c>
      <c r="G4362" t="s">
        <v>135</v>
      </c>
      <c r="H4362" t="s">
        <v>105</v>
      </c>
      <c r="I4362" t="s">
        <v>101</v>
      </c>
      <c r="J4362">
        <v>11245.29</v>
      </c>
      <c r="K4362">
        <v>1500000</v>
      </c>
    </row>
    <row r="4363" spans="1:11" ht="15" customHeight="1" x14ac:dyDescent="0.2">
      <c r="A4363" t="s">
        <v>6076</v>
      </c>
      <c r="B4363" t="s">
        <v>9303</v>
      </c>
      <c r="C4363">
        <v>2024</v>
      </c>
      <c r="D4363">
        <v>2024</v>
      </c>
      <c r="E4363" s="7">
        <v>45606</v>
      </c>
      <c r="F4363" s="7">
        <v>45970</v>
      </c>
      <c r="G4363" t="s">
        <v>135</v>
      </c>
      <c r="H4363" t="s">
        <v>107</v>
      </c>
      <c r="I4363" t="s">
        <v>104</v>
      </c>
      <c r="J4363">
        <v>11101.01</v>
      </c>
      <c r="K4363">
        <v>2000000</v>
      </c>
    </row>
    <row r="4364" spans="1:11" ht="15" customHeight="1" x14ac:dyDescent="0.2">
      <c r="A4364" t="s">
        <v>6077</v>
      </c>
      <c r="B4364" t="s">
        <v>9304</v>
      </c>
      <c r="C4364">
        <v>2024</v>
      </c>
      <c r="D4364">
        <v>2024</v>
      </c>
      <c r="E4364" s="7">
        <v>45606</v>
      </c>
      <c r="F4364" s="7">
        <v>45970</v>
      </c>
      <c r="G4364" t="s">
        <v>135</v>
      </c>
      <c r="H4364" t="s">
        <v>105</v>
      </c>
      <c r="I4364" t="s">
        <v>101</v>
      </c>
      <c r="J4364">
        <v>3592.37</v>
      </c>
      <c r="K4364">
        <v>500000</v>
      </c>
    </row>
    <row r="4365" spans="1:11" ht="15" customHeight="1" x14ac:dyDescent="0.2">
      <c r="A4365" t="s">
        <v>6078</v>
      </c>
      <c r="B4365" t="s">
        <v>9305</v>
      </c>
      <c r="C4365">
        <v>2024</v>
      </c>
      <c r="D4365">
        <v>2024</v>
      </c>
      <c r="E4365" s="7">
        <v>45606</v>
      </c>
      <c r="F4365" s="7">
        <v>45970</v>
      </c>
      <c r="G4365" t="s">
        <v>135</v>
      </c>
      <c r="H4365" t="s">
        <v>106</v>
      </c>
      <c r="I4365" t="s">
        <v>104</v>
      </c>
      <c r="J4365">
        <v>7354.23</v>
      </c>
      <c r="K4365">
        <v>1000000</v>
      </c>
    </row>
    <row r="4366" spans="1:11" ht="15" customHeight="1" x14ac:dyDescent="0.2">
      <c r="A4366" t="s">
        <v>6079</v>
      </c>
      <c r="B4366" t="s">
        <v>9306</v>
      </c>
      <c r="C4366">
        <v>2024</v>
      </c>
      <c r="D4366">
        <v>2024</v>
      </c>
      <c r="E4366" s="7">
        <v>45606</v>
      </c>
      <c r="F4366" s="7">
        <v>45970</v>
      </c>
      <c r="G4366" t="s">
        <v>135</v>
      </c>
      <c r="H4366" t="s">
        <v>102</v>
      </c>
      <c r="I4366" t="s">
        <v>101</v>
      </c>
      <c r="J4366">
        <v>10266.69</v>
      </c>
      <c r="K4366">
        <v>1500000</v>
      </c>
    </row>
    <row r="4367" spans="1:11" ht="15" customHeight="1" x14ac:dyDescent="0.2">
      <c r="A4367" t="s">
        <v>6080</v>
      </c>
      <c r="B4367" t="s">
        <v>4665</v>
      </c>
      <c r="C4367">
        <v>2024</v>
      </c>
      <c r="D4367">
        <v>2024</v>
      </c>
      <c r="E4367" s="7">
        <v>45607</v>
      </c>
      <c r="F4367" s="7">
        <v>45971</v>
      </c>
      <c r="G4367" t="s">
        <v>99</v>
      </c>
      <c r="H4367" t="s">
        <v>102</v>
      </c>
      <c r="I4367" t="s">
        <v>104</v>
      </c>
      <c r="J4367">
        <v>57365.37</v>
      </c>
      <c r="K4367">
        <v>10000000</v>
      </c>
    </row>
    <row r="4368" spans="1:11" ht="15" customHeight="1" x14ac:dyDescent="0.2">
      <c r="A4368" t="s">
        <v>6081</v>
      </c>
      <c r="B4368" t="s">
        <v>4667</v>
      </c>
      <c r="C4368">
        <v>2024</v>
      </c>
      <c r="D4368">
        <v>2024</v>
      </c>
      <c r="E4368" s="7">
        <v>45607</v>
      </c>
      <c r="F4368" s="7">
        <v>45971</v>
      </c>
      <c r="G4368" t="s">
        <v>99</v>
      </c>
      <c r="H4368" t="s">
        <v>102</v>
      </c>
      <c r="I4368" t="s">
        <v>104</v>
      </c>
      <c r="J4368">
        <v>60985.88</v>
      </c>
      <c r="K4368">
        <v>10000000</v>
      </c>
    </row>
    <row r="4369" spans="1:11" ht="15" customHeight="1" x14ac:dyDescent="0.2">
      <c r="A4369" t="s">
        <v>6082</v>
      </c>
      <c r="B4369" t="s">
        <v>9307</v>
      </c>
      <c r="C4369">
        <v>2024</v>
      </c>
      <c r="D4369">
        <v>2024</v>
      </c>
      <c r="E4369" s="7">
        <v>45607</v>
      </c>
      <c r="F4369" s="7">
        <v>45971</v>
      </c>
      <c r="G4369" t="s">
        <v>135</v>
      </c>
      <c r="H4369" t="s">
        <v>107</v>
      </c>
      <c r="I4369" t="s">
        <v>101</v>
      </c>
      <c r="J4369">
        <v>36849.18</v>
      </c>
      <c r="K4369">
        <v>5000000</v>
      </c>
    </row>
    <row r="4370" spans="1:11" ht="15" customHeight="1" x14ac:dyDescent="0.2">
      <c r="A4370" t="s">
        <v>6083</v>
      </c>
      <c r="B4370" t="s">
        <v>7133</v>
      </c>
      <c r="C4370">
        <v>2024</v>
      </c>
      <c r="D4370">
        <v>2024</v>
      </c>
      <c r="E4370" s="7">
        <v>45607</v>
      </c>
      <c r="F4370" s="7">
        <v>45971</v>
      </c>
      <c r="G4370" t="s">
        <v>135</v>
      </c>
      <c r="H4370" t="s">
        <v>6348</v>
      </c>
      <c r="I4370" t="s">
        <v>101</v>
      </c>
      <c r="J4370">
        <v>3905.03</v>
      </c>
      <c r="K4370">
        <v>500000</v>
      </c>
    </row>
    <row r="4371" spans="1:11" ht="15" customHeight="1" x14ac:dyDescent="0.2">
      <c r="A4371" t="s">
        <v>6084</v>
      </c>
      <c r="B4371" t="s">
        <v>7122</v>
      </c>
      <c r="C4371">
        <v>2024</v>
      </c>
      <c r="D4371">
        <v>2024</v>
      </c>
      <c r="E4371" s="7">
        <v>45607</v>
      </c>
      <c r="F4371" s="7">
        <v>45971</v>
      </c>
      <c r="G4371" t="s">
        <v>135</v>
      </c>
      <c r="H4371" t="s">
        <v>113</v>
      </c>
      <c r="I4371" t="s">
        <v>104</v>
      </c>
      <c r="J4371">
        <v>10497.65</v>
      </c>
      <c r="K4371">
        <v>2000000</v>
      </c>
    </row>
    <row r="4372" spans="1:11" ht="15" customHeight="1" x14ac:dyDescent="0.2">
      <c r="A4372" t="s">
        <v>6085</v>
      </c>
      <c r="B4372" t="s">
        <v>7117</v>
      </c>
      <c r="C4372">
        <v>2024</v>
      </c>
      <c r="D4372">
        <v>2024</v>
      </c>
      <c r="E4372" s="7">
        <v>45607</v>
      </c>
      <c r="F4372" s="7">
        <v>45971</v>
      </c>
      <c r="G4372" t="s">
        <v>135</v>
      </c>
      <c r="H4372" t="s">
        <v>109</v>
      </c>
      <c r="I4372" t="s">
        <v>104</v>
      </c>
      <c r="J4372">
        <v>5494.8</v>
      </c>
      <c r="K4372">
        <v>1000000</v>
      </c>
    </row>
    <row r="4373" spans="1:11" ht="15" customHeight="1" x14ac:dyDescent="0.2">
      <c r="A4373" t="s">
        <v>6086</v>
      </c>
      <c r="B4373" t="s">
        <v>7121</v>
      </c>
      <c r="C4373">
        <v>2024</v>
      </c>
      <c r="D4373">
        <v>2024</v>
      </c>
      <c r="E4373" s="7">
        <v>45607</v>
      </c>
      <c r="F4373" s="7">
        <v>45971</v>
      </c>
      <c r="G4373" t="s">
        <v>135</v>
      </c>
      <c r="H4373" t="s">
        <v>103</v>
      </c>
      <c r="I4373" t="s">
        <v>101</v>
      </c>
      <c r="J4373">
        <v>15283.91</v>
      </c>
      <c r="K4373">
        <v>2000000</v>
      </c>
    </row>
    <row r="4374" spans="1:11" ht="15" customHeight="1" x14ac:dyDescent="0.2">
      <c r="A4374" t="s">
        <v>6087</v>
      </c>
      <c r="B4374" t="s">
        <v>9308</v>
      </c>
      <c r="C4374">
        <v>2024</v>
      </c>
      <c r="D4374">
        <v>2024</v>
      </c>
      <c r="E4374" s="7">
        <v>45607</v>
      </c>
      <c r="F4374" s="7">
        <v>45971</v>
      </c>
      <c r="G4374" t="s">
        <v>135</v>
      </c>
      <c r="H4374" t="s">
        <v>106</v>
      </c>
      <c r="I4374" t="s">
        <v>101</v>
      </c>
      <c r="J4374">
        <v>41345.949999999997</v>
      </c>
      <c r="K4374">
        <v>5000000</v>
      </c>
    </row>
    <row r="4375" spans="1:11" ht="15" customHeight="1" x14ac:dyDescent="0.2">
      <c r="A4375" t="s">
        <v>6088</v>
      </c>
      <c r="B4375" t="s">
        <v>7168</v>
      </c>
      <c r="C4375">
        <v>2024</v>
      </c>
      <c r="D4375">
        <v>2024</v>
      </c>
      <c r="E4375" s="7">
        <v>45607</v>
      </c>
      <c r="F4375" s="7">
        <v>45971</v>
      </c>
      <c r="G4375" t="s">
        <v>135</v>
      </c>
      <c r="H4375" t="s">
        <v>102</v>
      </c>
      <c r="I4375" t="s">
        <v>104</v>
      </c>
      <c r="J4375">
        <v>5301.22</v>
      </c>
      <c r="K4375">
        <v>1000000</v>
      </c>
    </row>
    <row r="4376" spans="1:11" ht="15" customHeight="1" x14ac:dyDescent="0.2">
      <c r="A4376" t="s">
        <v>6089</v>
      </c>
      <c r="B4376" t="s">
        <v>7192</v>
      </c>
      <c r="C4376">
        <v>2024</v>
      </c>
      <c r="D4376">
        <v>2024</v>
      </c>
      <c r="E4376" s="7">
        <v>45607</v>
      </c>
      <c r="F4376" s="7">
        <v>45971</v>
      </c>
      <c r="G4376" t="s">
        <v>135</v>
      </c>
      <c r="H4376" t="s">
        <v>106</v>
      </c>
      <c r="I4376" t="s">
        <v>104</v>
      </c>
      <c r="J4376">
        <v>77634.38</v>
      </c>
      <c r="K4376">
        <v>10000000</v>
      </c>
    </row>
    <row r="4377" spans="1:11" ht="15" customHeight="1" x14ac:dyDescent="0.2">
      <c r="A4377" t="s">
        <v>6090</v>
      </c>
      <c r="B4377" t="s">
        <v>9309</v>
      </c>
      <c r="C4377">
        <v>2024</v>
      </c>
      <c r="D4377">
        <v>2024</v>
      </c>
      <c r="E4377" s="7">
        <v>45607</v>
      </c>
      <c r="F4377" s="7">
        <v>45971</v>
      </c>
      <c r="G4377" t="s">
        <v>135</v>
      </c>
      <c r="H4377" t="s">
        <v>113</v>
      </c>
      <c r="I4377" t="s">
        <v>104</v>
      </c>
      <c r="J4377">
        <v>10516.86</v>
      </c>
      <c r="K4377">
        <v>2000000</v>
      </c>
    </row>
    <row r="4378" spans="1:11" ht="15" customHeight="1" x14ac:dyDescent="0.2">
      <c r="A4378" t="s">
        <v>6091</v>
      </c>
      <c r="B4378" t="s">
        <v>9310</v>
      </c>
      <c r="C4378">
        <v>2024</v>
      </c>
      <c r="D4378">
        <v>2024</v>
      </c>
      <c r="E4378" s="7">
        <v>45607</v>
      </c>
      <c r="F4378" s="7">
        <v>45971</v>
      </c>
      <c r="G4378" t="s">
        <v>135</v>
      </c>
      <c r="H4378" t="s">
        <v>6337</v>
      </c>
      <c r="I4378" t="s">
        <v>104</v>
      </c>
      <c r="J4378">
        <v>9121.42</v>
      </c>
      <c r="K4378">
        <v>1500000</v>
      </c>
    </row>
    <row r="4379" spans="1:11" ht="15" customHeight="1" x14ac:dyDescent="0.2">
      <c r="A4379" t="s">
        <v>6092</v>
      </c>
      <c r="B4379" t="s">
        <v>9311</v>
      </c>
      <c r="C4379">
        <v>2024</v>
      </c>
      <c r="D4379">
        <v>2024</v>
      </c>
      <c r="E4379" s="7">
        <v>45607</v>
      </c>
      <c r="F4379" s="7">
        <v>45971</v>
      </c>
      <c r="G4379" t="s">
        <v>135</v>
      </c>
      <c r="H4379" t="s">
        <v>109</v>
      </c>
      <c r="I4379" t="s">
        <v>101</v>
      </c>
      <c r="J4379">
        <v>7197.78</v>
      </c>
      <c r="K4379">
        <v>1000000</v>
      </c>
    </row>
    <row r="4380" spans="1:11" ht="15" customHeight="1" x14ac:dyDescent="0.2">
      <c r="A4380" t="s">
        <v>6093</v>
      </c>
      <c r="B4380" t="s">
        <v>402</v>
      </c>
      <c r="C4380">
        <v>2024</v>
      </c>
      <c r="D4380">
        <v>2024</v>
      </c>
      <c r="E4380" s="7">
        <v>45607</v>
      </c>
      <c r="F4380" s="7">
        <v>45971</v>
      </c>
      <c r="G4380" t="s">
        <v>135</v>
      </c>
      <c r="H4380" t="s">
        <v>106</v>
      </c>
      <c r="I4380" t="s">
        <v>101</v>
      </c>
      <c r="J4380">
        <v>9453.82</v>
      </c>
      <c r="K4380">
        <v>1000000</v>
      </c>
    </row>
    <row r="4381" spans="1:11" ht="15" customHeight="1" x14ac:dyDescent="0.2">
      <c r="A4381" t="s">
        <v>6094</v>
      </c>
      <c r="B4381" t="s">
        <v>4669</v>
      </c>
      <c r="C4381">
        <v>2024</v>
      </c>
      <c r="D4381">
        <v>2024</v>
      </c>
      <c r="E4381" s="7">
        <v>45608</v>
      </c>
      <c r="F4381" s="7">
        <v>45972</v>
      </c>
      <c r="G4381" t="s">
        <v>99</v>
      </c>
      <c r="H4381" t="s">
        <v>105</v>
      </c>
      <c r="I4381" t="s">
        <v>104</v>
      </c>
      <c r="J4381">
        <v>9323.59</v>
      </c>
      <c r="K4381">
        <v>1500000</v>
      </c>
    </row>
    <row r="4382" spans="1:11" ht="15" customHeight="1" x14ac:dyDescent="0.2">
      <c r="A4382" t="s">
        <v>6095</v>
      </c>
      <c r="B4382" t="s">
        <v>4681</v>
      </c>
      <c r="C4382">
        <v>2024</v>
      </c>
      <c r="D4382">
        <v>2024</v>
      </c>
      <c r="E4382" s="7">
        <v>45608</v>
      </c>
      <c r="F4382" s="7">
        <v>45972</v>
      </c>
      <c r="G4382" t="s">
        <v>99</v>
      </c>
      <c r="H4382" t="s">
        <v>106</v>
      </c>
      <c r="I4382" t="s">
        <v>101</v>
      </c>
      <c r="J4382">
        <v>8530.1200000000008</v>
      </c>
      <c r="K4382">
        <v>1000000</v>
      </c>
    </row>
    <row r="4383" spans="1:11" ht="15" customHeight="1" x14ac:dyDescent="0.2">
      <c r="A4383" t="s">
        <v>6096</v>
      </c>
      <c r="B4383" t="s">
        <v>4683</v>
      </c>
      <c r="C4383">
        <v>2024</v>
      </c>
      <c r="D4383">
        <v>2024</v>
      </c>
      <c r="E4383" s="7">
        <v>45608</v>
      </c>
      <c r="F4383" s="7">
        <v>45972</v>
      </c>
      <c r="G4383" t="s">
        <v>99</v>
      </c>
      <c r="H4383" t="s">
        <v>111</v>
      </c>
      <c r="I4383" t="s">
        <v>101</v>
      </c>
      <c r="J4383">
        <v>72094.37</v>
      </c>
      <c r="K4383">
        <v>10000000</v>
      </c>
    </row>
    <row r="4384" spans="1:11" ht="15" customHeight="1" x14ac:dyDescent="0.2">
      <c r="A4384" t="s">
        <v>6097</v>
      </c>
      <c r="B4384" t="s">
        <v>4685</v>
      </c>
      <c r="C4384">
        <v>2024</v>
      </c>
      <c r="D4384">
        <v>2024</v>
      </c>
      <c r="E4384" s="7">
        <v>45608</v>
      </c>
      <c r="F4384" s="7">
        <v>45972</v>
      </c>
      <c r="G4384" t="s">
        <v>99</v>
      </c>
      <c r="H4384" t="s">
        <v>107</v>
      </c>
      <c r="I4384" t="s">
        <v>101</v>
      </c>
      <c r="J4384">
        <v>76058.09</v>
      </c>
      <c r="K4384">
        <v>10000000</v>
      </c>
    </row>
    <row r="4385" spans="1:11" ht="15" customHeight="1" x14ac:dyDescent="0.2">
      <c r="A4385" t="s">
        <v>6098</v>
      </c>
      <c r="B4385" t="s">
        <v>641</v>
      </c>
      <c r="C4385">
        <v>2024</v>
      </c>
      <c r="D4385">
        <v>2024</v>
      </c>
      <c r="E4385" s="7">
        <v>45608</v>
      </c>
      <c r="F4385" s="7">
        <v>45972</v>
      </c>
      <c r="G4385" t="s">
        <v>135</v>
      </c>
      <c r="H4385" t="s">
        <v>102</v>
      </c>
      <c r="I4385" t="s">
        <v>104</v>
      </c>
      <c r="J4385">
        <v>12241.11</v>
      </c>
      <c r="K4385">
        <v>2000000</v>
      </c>
    </row>
    <row r="4386" spans="1:11" ht="15" customHeight="1" x14ac:dyDescent="0.2">
      <c r="A4386" t="s">
        <v>6099</v>
      </c>
      <c r="B4386" t="s">
        <v>7213</v>
      </c>
      <c r="C4386">
        <v>2024</v>
      </c>
      <c r="D4386">
        <v>2024</v>
      </c>
      <c r="E4386" s="7">
        <v>45608</v>
      </c>
      <c r="F4386" s="7">
        <v>45972</v>
      </c>
      <c r="G4386" t="s">
        <v>135</v>
      </c>
      <c r="H4386" t="s">
        <v>108</v>
      </c>
      <c r="I4386" t="s">
        <v>104</v>
      </c>
      <c r="J4386">
        <v>66974.649999999994</v>
      </c>
      <c r="K4386">
        <v>10000000</v>
      </c>
    </row>
    <row r="4387" spans="1:11" ht="15" customHeight="1" x14ac:dyDescent="0.2">
      <c r="A4387" t="s">
        <v>6100</v>
      </c>
      <c r="B4387" t="s">
        <v>1103</v>
      </c>
      <c r="C4387">
        <v>2024</v>
      </c>
      <c r="D4387">
        <v>2024</v>
      </c>
      <c r="E4387" s="7">
        <v>45608</v>
      </c>
      <c r="F4387" s="7">
        <v>45972</v>
      </c>
      <c r="G4387" t="s">
        <v>135</v>
      </c>
      <c r="H4387" t="s">
        <v>102</v>
      </c>
      <c r="I4387" t="s">
        <v>101</v>
      </c>
      <c r="J4387">
        <v>11057.08</v>
      </c>
      <c r="K4387">
        <v>1500000</v>
      </c>
    </row>
    <row r="4388" spans="1:11" ht="15" customHeight="1" x14ac:dyDescent="0.2">
      <c r="A4388" t="s">
        <v>6101</v>
      </c>
      <c r="B4388" t="s">
        <v>7194</v>
      </c>
      <c r="C4388">
        <v>2024</v>
      </c>
      <c r="D4388">
        <v>2024</v>
      </c>
      <c r="E4388" s="7">
        <v>45608</v>
      </c>
      <c r="F4388" s="7">
        <v>45972</v>
      </c>
      <c r="G4388" t="s">
        <v>135</v>
      </c>
      <c r="H4388" t="s">
        <v>112</v>
      </c>
      <c r="I4388" t="s">
        <v>101</v>
      </c>
      <c r="J4388">
        <v>4324.58</v>
      </c>
      <c r="K4388">
        <v>500000</v>
      </c>
    </row>
    <row r="4389" spans="1:11" ht="15" customHeight="1" x14ac:dyDescent="0.2">
      <c r="A4389" t="s">
        <v>6102</v>
      </c>
      <c r="B4389" t="s">
        <v>9312</v>
      </c>
      <c r="C4389">
        <v>2024</v>
      </c>
      <c r="D4389">
        <v>2024</v>
      </c>
      <c r="E4389" s="7">
        <v>45608</v>
      </c>
      <c r="F4389" s="7">
        <v>45972</v>
      </c>
      <c r="G4389" t="s">
        <v>135</v>
      </c>
      <c r="H4389" t="s">
        <v>108</v>
      </c>
      <c r="I4389" t="s">
        <v>104</v>
      </c>
      <c r="J4389">
        <v>6497.29</v>
      </c>
      <c r="K4389">
        <v>1000000</v>
      </c>
    </row>
    <row r="4390" spans="1:11" ht="15" customHeight="1" x14ac:dyDescent="0.2">
      <c r="A4390" t="s">
        <v>6103</v>
      </c>
      <c r="B4390" t="s">
        <v>4687</v>
      </c>
      <c r="C4390">
        <v>2024</v>
      </c>
      <c r="D4390">
        <v>2024</v>
      </c>
      <c r="E4390" s="7">
        <v>45609</v>
      </c>
      <c r="F4390" s="7">
        <v>45973</v>
      </c>
      <c r="G4390" t="s">
        <v>99</v>
      </c>
      <c r="H4390" t="s">
        <v>107</v>
      </c>
      <c r="I4390" t="s">
        <v>101</v>
      </c>
      <c r="J4390">
        <v>6991.22</v>
      </c>
      <c r="K4390">
        <v>1000000</v>
      </c>
    </row>
    <row r="4391" spans="1:11" ht="15" customHeight="1" x14ac:dyDescent="0.2">
      <c r="A4391" t="s">
        <v>6104</v>
      </c>
      <c r="B4391" t="s">
        <v>4689</v>
      </c>
      <c r="C4391">
        <v>2024</v>
      </c>
      <c r="D4391">
        <v>2024</v>
      </c>
      <c r="E4391" s="7">
        <v>45609</v>
      </c>
      <c r="F4391" s="7">
        <v>45973</v>
      </c>
      <c r="G4391" t="s">
        <v>99</v>
      </c>
      <c r="H4391" t="s">
        <v>6334</v>
      </c>
      <c r="I4391" t="s">
        <v>104</v>
      </c>
      <c r="J4391">
        <v>11282.05</v>
      </c>
      <c r="K4391">
        <v>2000000</v>
      </c>
    </row>
    <row r="4392" spans="1:11" ht="15" customHeight="1" x14ac:dyDescent="0.2">
      <c r="A4392" t="s">
        <v>6105</v>
      </c>
      <c r="B4392" t="s">
        <v>4691</v>
      </c>
      <c r="C4392">
        <v>2024</v>
      </c>
      <c r="D4392">
        <v>2024</v>
      </c>
      <c r="E4392" s="7">
        <v>45609</v>
      </c>
      <c r="F4392" s="7">
        <v>45973</v>
      </c>
      <c r="G4392" t="s">
        <v>99</v>
      </c>
      <c r="H4392" t="s">
        <v>109</v>
      </c>
      <c r="I4392" t="s">
        <v>101</v>
      </c>
      <c r="J4392">
        <v>11641.59</v>
      </c>
      <c r="K4392">
        <v>1500000</v>
      </c>
    </row>
    <row r="4393" spans="1:11" ht="15" customHeight="1" x14ac:dyDescent="0.2">
      <c r="A4393" t="s">
        <v>6106</v>
      </c>
      <c r="B4393" t="s">
        <v>7163</v>
      </c>
      <c r="C4393">
        <v>2024</v>
      </c>
      <c r="D4393">
        <v>2024</v>
      </c>
      <c r="E4393" s="7">
        <v>45609</v>
      </c>
      <c r="F4393" s="7">
        <v>45973</v>
      </c>
      <c r="G4393" t="s">
        <v>135</v>
      </c>
      <c r="H4393" t="s">
        <v>116</v>
      </c>
      <c r="I4393" t="s">
        <v>104</v>
      </c>
      <c r="J4393">
        <v>8602.32</v>
      </c>
      <c r="K4393">
        <v>1500000</v>
      </c>
    </row>
    <row r="4394" spans="1:11" ht="15" customHeight="1" x14ac:dyDescent="0.2">
      <c r="A4394" t="s">
        <v>6107</v>
      </c>
      <c r="B4394" t="s">
        <v>9313</v>
      </c>
      <c r="C4394">
        <v>2024</v>
      </c>
      <c r="D4394">
        <v>2024</v>
      </c>
      <c r="E4394" s="7">
        <v>45609</v>
      </c>
      <c r="F4394" s="7">
        <v>45973</v>
      </c>
      <c r="G4394" t="s">
        <v>135</v>
      </c>
      <c r="H4394" t="s">
        <v>105</v>
      </c>
      <c r="I4394" t="s">
        <v>104</v>
      </c>
      <c r="J4394">
        <v>6255.64</v>
      </c>
      <c r="K4394">
        <v>1000000</v>
      </c>
    </row>
    <row r="4395" spans="1:11" ht="15" customHeight="1" x14ac:dyDescent="0.2">
      <c r="A4395" t="s">
        <v>6108</v>
      </c>
      <c r="B4395" t="s">
        <v>1105</v>
      </c>
      <c r="C4395">
        <v>2024</v>
      </c>
      <c r="D4395">
        <v>2024</v>
      </c>
      <c r="E4395" s="7">
        <v>45609</v>
      </c>
      <c r="F4395" s="7">
        <v>45973</v>
      </c>
      <c r="G4395" t="s">
        <v>135</v>
      </c>
      <c r="H4395" t="s">
        <v>115</v>
      </c>
      <c r="I4395" t="s">
        <v>104</v>
      </c>
      <c r="J4395">
        <v>9084.77</v>
      </c>
      <c r="K4395">
        <v>1500000</v>
      </c>
    </row>
    <row r="4396" spans="1:11" ht="15" customHeight="1" x14ac:dyDescent="0.2">
      <c r="A4396" t="s">
        <v>6109</v>
      </c>
      <c r="B4396" t="s">
        <v>9314</v>
      </c>
      <c r="C4396">
        <v>2024</v>
      </c>
      <c r="D4396">
        <v>2024</v>
      </c>
      <c r="E4396" s="7">
        <v>45609</v>
      </c>
      <c r="F4396" s="7">
        <v>45973</v>
      </c>
      <c r="G4396" t="s">
        <v>135</v>
      </c>
      <c r="H4396" t="s">
        <v>106</v>
      </c>
      <c r="I4396" t="s">
        <v>101</v>
      </c>
      <c r="J4396">
        <v>8729.49</v>
      </c>
      <c r="K4396">
        <v>1000000</v>
      </c>
    </row>
    <row r="4397" spans="1:11" ht="15" customHeight="1" x14ac:dyDescent="0.2">
      <c r="A4397" t="s">
        <v>6110</v>
      </c>
      <c r="B4397" t="s">
        <v>1106</v>
      </c>
      <c r="C4397">
        <v>2024</v>
      </c>
      <c r="D4397">
        <v>2024</v>
      </c>
      <c r="E4397" s="7">
        <v>45609</v>
      </c>
      <c r="F4397" s="7">
        <v>45973</v>
      </c>
      <c r="G4397" t="s">
        <v>135</v>
      </c>
      <c r="H4397" t="s">
        <v>108</v>
      </c>
      <c r="I4397" t="s">
        <v>101</v>
      </c>
      <c r="J4397">
        <v>16312.44</v>
      </c>
      <c r="K4397">
        <v>2000000</v>
      </c>
    </row>
    <row r="4398" spans="1:11" ht="15" customHeight="1" x14ac:dyDescent="0.2">
      <c r="A4398" t="s">
        <v>6111</v>
      </c>
      <c r="B4398" t="s">
        <v>9315</v>
      </c>
      <c r="C4398">
        <v>2024</v>
      </c>
      <c r="D4398">
        <v>2024</v>
      </c>
      <c r="E4398" s="7">
        <v>45609</v>
      </c>
      <c r="F4398" s="7">
        <v>45973</v>
      </c>
      <c r="G4398" t="s">
        <v>135</v>
      </c>
      <c r="H4398" t="s">
        <v>106</v>
      </c>
      <c r="I4398" t="s">
        <v>101</v>
      </c>
      <c r="J4398">
        <v>17470.86</v>
      </c>
      <c r="K4398">
        <v>2000000</v>
      </c>
    </row>
    <row r="4399" spans="1:11" ht="15" customHeight="1" x14ac:dyDescent="0.2">
      <c r="A4399" t="s">
        <v>6112</v>
      </c>
      <c r="B4399" t="s">
        <v>9316</v>
      </c>
      <c r="C4399">
        <v>2024</v>
      </c>
      <c r="D4399">
        <v>2024</v>
      </c>
      <c r="E4399" s="7">
        <v>45609</v>
      </c>
      <c r="F4399" s="7">
        <v>45973</v>
      </c>
      <c r="G4399" t="s">
        <v>135</v>
      </c>
      <c r="H4399" t="s">
        <v>102</v>
      </c>
      <c r="I4399" t="s">
        <v>101</v>
      </c>
      <c r="J4399">
        <v>7536.73</v>
      </c>
      <c r="K4399">
        <v>1000000</v>
      </c>
    </row>
    <row r="4400" spans="1:11" ht="15" customHeight="1" x14ac:dyDescent="0.2">
      <c r="A4400" t="s">
        <v>6113</v>
      </c>
      <c r="B4400" t="s">
        <v>7058</v>
      </c>
      <c r="C4400">
        <v>2024</v>
      </c>
      <c r="D4400">
        <v>2024</v>
      </c>
      <c r="E4400" s="7">
        <v>45609</v>
      </c>
      <c r="F4400" s="7">
        <v>45973</v>
      </c>
      <c r="G4400" t="s">
        <v>135</v>
      </c>
      <c r="H4400" t="s">
        <v>102</v>
      </c>
      <c r="I4400" t="s">
        <v>104</v>
      </c>
      <c r="J4400">
        <v>9068.4</v>
      </c>
      <c r="K4400">
        <v>1500000</v>
      </c>
    </row>
    <row r="4401" spans="1:11" ht="15" customHeight="1" x14ac:dyDescent="0.2">
      <c r="A4401" t="s">
        <v>6114</v>
      </c>
      <c r="B4401" t="s">
        <v>1107</v>
      </c>
      <c r="C4401">
        <v>2024</v>
      </c>
      <c r="D4401">
        <v>2024</v>
      </c>
      <c r="E4401" s="7">
        <v>45609</v>
      </c>
      <c r="F4401" s="7">
        <v>45973</v>
      </c>
      <c r="G4401" t="s">
        <v>135</v>
      </c>
      <c r="H4401" t="s">
        <v>108</v>
      </c>
      <c r="I4401" t="s">
        <v>101</v>
      </c>
      <c r="J4401">
        <v>83798.23</v>
      </c>
      <c r="K4401">
        <v>10000000</v>
      </c>
    </row>
    <row r="4402" spans="1:11" ht="15" customHeight="1" x14ac:dyDescent="0.2">
      <c r="A4402" t="s">
        <v>6115</v>
      </c>
      <c r="B4402" t="s">
        <v>9317</v>
      </c>
      <c r="C4402">
        <v>2024</v>
      </c>
      <c r="D4402">
        <v>2024</v>
      </c>
      <c r="E4402" s="7">
        <v>45609</v>
      </c>
      <c r="F4402" s="7">
        <v>45973</v>
      </c>
      <c r="G4402" t="s">
        <v>135</v>
      </c>
      <c r="H4402" t="s">
        <v>100</v>
      </c>
      <c r="I4402" t="s">
        <v>101</v>
      </c>
      <c r="J4402">
        <v>13304.4</v>
      </c>
      <c r="K4402">
        <v>2000000</v>
      </c>
    </row>
    <row r="4403" spans="1:11" ht="15" customHeight="1" x14ac:dyDescent="0.2">
      <c r="A4403" t="s">
        <v>6116</v>
      </c>
      <c r="B4403" t="s">
        <v>9318</v>
      </c>
      <c r="C4403">
        <v>2024</v>
      </c>
      <c r="D4403">
        <v>2024</v>
      </c>
      <c r="E4403" s="7">
        <v>45609</v>
      </c>
      <c r="F4403" s="7">
        <v>45973</v>
      </c>
      <c r="G4403" t="s">
        <v>135</v>
      </c>
      <c r="H4403" t="s">
        <v>102</v>
      </c>
      <c r="I4403" t="s">
        <v>104</v>
      </c>
      <c r="J4403">
        <v>11595.25</v>
      </c>
      <c r="K4403">
        <v>2000000</v>
      </c>
    </row>
    <row r="4404" spans="1:11" ht="15" customHeight="1" x14ac:dyDescent="0.2">
      <c r="A4404" t="s">
        <v>6117</v>
      </c>
      <c r="B4404" t="s">
        <v>9319</v>
      </c>
      <c r="C4404">
        <v>2024</v>
      </c>
      <c r="D4404">
        <v>2024</v>
      </c>
      <c r="E4404" s="7">
        <v>45609</v>
      </c>
      <c r="F4404" s="7">
        <v>45973</v>
      </c>
      <c r="G4404" t="s">
        <v>135</v>
      </c>
      <c r="H4404" t="s">
        <v>102</v>
      </c>
      <c r="I4404" t="s">
        <v>101</v>
      </c>
      <c r="J4404">
        <v>7873.78</v>
      </c>
      <c r="K4404">
        <v>1000000</v>
      </c>
    </row>
    <row r="4405" spans="1:11" ht="15" customHeight="1" x14ac:dyDescent="0.2">
      <c r="A4405" t="s">
        <v>6118</v>
      </c>
      <c r="B4405" t="s">
        <v>1104</v>
      </c>
      <c r="C4405">
        <v>2024</v>
      </c>
      <c r="D4405">
        <v>2024</v>
      </c>
      <c r="E4405" s="7">
        <v>45609</v>
      </c>
      <c r="F4405" s="7">
        <v>45973</v>
      </c>
      <c r="G4405" t="s">
        <v>135</v>
      </c>
      <c r="H4405" t="s">
        <v>6334</v>
      </c>
      <c r="I4405" t="s">
        <v>101</v>
      </c>
      <c r="J4405">
        <v>3339.8</v>
      </c>
      <c r="K4405">
        <v>500000</v>
      </c>
    </row>
    <row r="4406" spans="1:11" ht="15" customHeight="1" x14ac:dyDescent="0.2">
      <c r="A4406" t="s">
        <v>6119</v>
      </c>
      <c r="B4406" t="s">
        <v>7048</v>
      </c>
      <c r="C4406">
        <v>2024</v>
      </c>
      <c r="D4406">
        <v>2024</v>
      </c>
      <c r="E4406" s="7">
        <v>45609</v>
      </c>
      <c r="F4406" s="7">
        <v>45973</v>
      </c>
      <c r="G4406" t="s">
        <v>135</v>
      </c>
      <c r="H4406" t="s">
        <v>110</v>
      </c>
      <c r="I4406" t="s">
        <v>101</v>
      </c>
      <c r="J4406">
        <v>9145.06</v>
      </c>
      <c r="K4406">
        <v>1000000</v>
      </c>
    </row>
    <row r="4407" spans="1:11" ht="15" customHeight="1" x14ac:dyDescent="0.2">
      <c r="A4407" t="s">
        <v>6120</v>
      </c>
      <c r="B4407" t="s">
        <v>4693</v>
      </c>
      <c r="C4407">
        <v>2024</v>
      </c>
      <c r="D4407">
        <v>2024</v>
      </c>
      <c r="E4407" s="7">
        <v>45610</v>
      </c>
      <c r="F4407" s="7">
        <v>45974</v>
      </c>
      <c r="G4407" t="s">
        <v>99</v>
      </c>
      <c r="H4407" t="s">
        <v>109</v>
      </c>
      <c r="I4407" t="s">
        <v>104</v>
      </c>
      <c r="J4407">
        <v>26856.17</v>
      </c>
      <c r="K4407">
        <v>5000000</v>
      </c>
    </row>
    <row r="4408" spans="1:11" ht="15" customHeight="1" x14ac:dyDescent="0.2">
      <c r="A4408" t="s">
        <v>6121</v>
      </c>
      <c r="B4408" t="s">
        <v>4695</v>
      </c>
      <c r="C4408">
        <v>2024</v>
      </c>
      <c r="D4408">
        <v>2024</v>
      </c>
      <c r="E4408" s="7">
        <v>45610</v>
      </c>
      <c r="F4408" s="7">
        <v>45974</v>
      </c>
      <c r="G4408" t="s">
        <v>99</v>
      </c>
      <c r="H4408" t="s">
        <v>102</v>
      </c>
      <c r="I4408" t="s">
        <v>104</v>
      </c>
      <c r="J4408">
        <v>10724.95</v>
      </c>
      <c r="K4408">
        <v>2000000</v>
      </c>
    </row>
    <row r="4409" spans="1:11" ht="15" customHeight="1" x14ac:dyDescent="0.2">
      <c r="A4409" t="s">
        <v>6122</v>
      </c>
      <c r="B4409" t="s">
        <v>4697</v>
      </c>
      <c r="C4409">
        <v>2024</v>
      </c>
      <c r="D4409">
        <v>2024</v>
      </c>
      <c r="E4409" s="7">
        <v>45610</v>
      </c>
      <c r="F4409" s="7">
        <v>45974</v>
      </c>
      <c r="G4409" t="s">
        <v>99</v>
      </c>
      <c r="H4409" t="s">
        <v>106</v>
      </c>
      <c r="I4409" t="s">
        <v>101</v>
      </c>
      <c r="J4409">
        <v>88900.07</v>
      </c>
      <c r="K4409">
        <v>10000000</v>
      </c>
    </row>
    <row r="4410" spans="1:11" ht="15" customHeight="1" x14ac:dyDescent="0.2">
      <c r="A4410" t="s">
        <v>6123</v>
      </c>
      <c r="B4410" t="s">
        <v>9320</v>
      </c>
      <c r="C4410">
        <v>2024</v>
      </c>
      <c r="D4410">
        <v>2024</v>
      </c>
      <c r="E4410" s="7">
        <v>45610</v>
      </c>
      <c r="F4410" s="7">
        <v>45974</v>
      </c>
      <c r="G4410" t="s">
        <v>135</v>
      </c>
      <c r="H4410" t="s">
        <v>113</v>
      </c>
      <c r="I4410" t="s">
        <v>104</v>
      </c>
      <c r="J4410">
        <v>9443.56</v>
      </c>
      <c r="K4410">
        <v>1500000</v>
      </c>
    </row>
    <row r="4411" spans="1:11" ht="15" customHeight="1" x14ac:dyDescent="0.2">
      <c r="A4411" t="s">
        <v>6124</v>
      </c>
      <c r="B4411" t="s">
        <v>9321</v>
      </c>
      <c r="C4411">
        <v>2024</v>
      </c>
      <c r="D4411">
        <v>2024</v>
      </c>
      <c r="E4411" s="7">
        <v>45610</v>
      </c>
      <c r="F4411" s="7">
        <v>45974</v>
      </c>
      <c r="G4411" t="s">
        <v>135</v>
      </c>
      <c r="H4411" t="s">
        <v>103</v>
      </c>
      <c r="I4411" t="s">
        <v>101</v>
      </c>
      <c r="J4411">
        <v>66984.72</v>
      </c>
      <c r="K4411">
        <v>10000000</v>
      </c>
    </row>
    <row r="4412" spans="1:11" ht="15" customHeight="1" x14ac:dyDescent="0.2">
      <c r="A4412" t="s">
        <v>6125</v>
      </c>
      <c r="B4412" t="s">
        <v>9322</v>
      </c>
      <c r="C4412">
        <v>2024</v>
      </c>
      <c r="D4412">
        <v>2024</v>
      </c>
      <c r="E4412" s="7">
        <v>45610</v>
      </c>
      <c r="F4412" s="7">
        <v>45974</v>
      </c>
      <c r="G4412" t="s">
        <v>135</v>
      </c>
      <c r="H4412" t="s">
        <v>106</v>
      </c>
      <c r="I4412" t="s">
        <v>104</v>
      </c>
      <c r="J4412">
        <v>11405.3</v>
      </c>
      <c r="K4412">
        <v>1500000</v>
      </c>
    </row>
    <row r="4413" spans="1:11" ht="15" customHeight="1" x14ac:dyDescent="0.2">
      <c r="A4413" t="s">
        <v>6126</v>
      </c>
      <c r="B4413" t="s">
        <v>7175</v>
      </c>
      <c r="C4413">
        <v>2024</v>
      </c>
      <c r="D4413">
        <v>2024</v>
      </c>
      <c r="E4413" s="7">
        <v>45610</v>
      </c>
      <c r="F4413" s="7">
        <v>45974</v>
      </c>
      <c r="G4413" t="s">
        <v>135</v>
      </c>
      <c r="H4413" t="s">
        <v>112</v>
      </c>
      <c r="I4413" t="s">
        <v>104</v>
      </c>
      <c r="J4413">
        <v>13621.18</v>
      </c>
      <c r="K4413">
        <v>2000000</v>
      </c>
    </row>
    <row r="4414" spans="1:11" ht="15" customHeight="1" x14ac:dyDescent="0.2">
      <c r="A4414" t="s">
        <v>6127</v>
      </c>
      <c r="B4414" t="s">
        <v>7144</v>
      </c>
      <c r="C4414">
        <v>2024</v>
      </c>
      <c r="D4414">
        <v>2024</v>
      </c>
      <c r="E4414" s="7">
        <v>45610</v>
      </c>
      <c r="F4414" s="7">
        <v>45974</v>
      </c>
      <c r="G4414" t="s">
        <v>135</v>
      </c>
      <c r="H4414" t="s">
        <v>6332</v>
      </c>
      <c r="I4414" t="s">
        <v>104</v>
      </c>
      <c r="J4414">
        <v>31385.16</v>
      </c>
      <c r="K4414">
        <v>5000000</v>
      </c>
    </row>
    <row r="4415" spans="1:11" ht="15" customHeight="1" x14ac:dyDescent="0.2">
      <c r="A4415" t="s">
        <v>6128</v>
      </c>
      <c r="B4415" t="s">
        <v>1108</v>
      </c>
      <c r="C4415">
        <v>2024</v>
      </c>
      <c r="D4415">
        <v>2024</v>
      </c>
      <c r="E4415" s="7">
        <v>45610</v>
      </c>
      <c r="F4415" s="7">
        <v>45974</v>
      </c>
      <c r="G4415" t="s">
        <v>135</v>
      </c>
      <c r="H4415" t="s">
        <v>107</v>
      </c>
      <c r="I4415" t="s">
        <v>104</v>
      </c>
      <c r="J4415">
        <v>28087.46</v>
      </c>
      <c r="K4415">
        <v>5000000</v>
      </c>
    </row>
    <row r="4416" spans="1:11" ht="15" customHeight="1" x14ac:dyDescent="0.2">
      <c r="A4416" t="s">
        <v>6129</v>
      </c>
      <c r="B4416" t="s">
        <v>9323</v>
      </c>
      <c r="C4416">
        <v>2024</v>
      </c>
      <c r="D4416">
        <v>2024</v>
      </c>
      <c r="E4416" s="7">
        <v>45610</v>
      </c>
      <c r="F4416" s="7">
        <v>45974</v>
      </c>
      <c r="G4416" t="s">
        <v>135</v>
      </c>
      <c r="H4416" t="s">
        <v>102</v>
      </c>
      <c r="I4416" t="s">
        <v>104</v>
      </c>
      <c r="J4416">
        <v>5847.15</v>
      </c>
      <c r="K4416">
        <v>1000000</v>
      </c>
    </row>
    <row r="4417" spans="1:11" ht="15" customHeight="1" x14ac:dyDescent="0.2">
      <c r="A4417" t="s">
        <v>6130</v>
      </c>
      <c r="B4417" t="s">
        <v>9324</v>
      </c>
      <c r="C4417">
        <v>2024</v>
      </c>
      <c r="D4417">
        <v>2024</v>
      </c>
      <c r="E4417" s="7">
        <v>45610</v>
      </c>
      <c r="F4417" s="7">
        <v>45974</v>
      </c>
      <c r="G4417" t="s">
        <v>135</v>
      </c>
      <c r="H4417" t="s">
        <v>6348</v>
      </c>
      <c r="I4417" t="s">
        <v>101</v>
      </c>
      <c r="J4417">
        <v>3497.19</v>
      </c>
      <c r="K4417">
        <v>500000</v>
      </c>
    </row>
    <row r="4418" spans="1:11" ht="15" customHeight="1" x14ac:dyDescent="0.2">
      <c r="A4418" t="s">
        <v>6131</v>
      </c>
      <c r="B4418" t="s">
        <v>1109</v>
      </c>
      <c r="C4418">
        <v>2024</v>
      </c>
      <c r="D4418">
        <v>2024</v>
      </c>
      <c r="E4418" s="7">
        <v>45610</v>
      </c>
      <c r="F4418" s="7">
        <v>45974</v>
      </c>
      <c r="G4418" t="s">
        <v>135</v>
      </c>
      <c r="H4418" t="s">
        <v>102</v>
      </c>
      <c r="I4418" t="s">
        <v>101</v>
      </c>
      <c r="J4418">
        <v>10971.27</v>
      </c>
      <c r="K4418">
        <v>1500000</v>
      </c>
    </row>
    <row r="4419" spans="1:11" ht="15" customHeight="1" x14ac:dyDescent="0.2">
      <c r="A4419" t="s">
        <v>6132</v>
      </c>
      <c r="B4419" t="s">
        <v>1110</v>
      </c>
      <c r="C4419">
        <v>2024</v>
      </c>
      <c r="D4419">
        <v>2024</v>
      </c>
      <c r="E4419" s="7">
        <v>45610</v>
      </c>
      <c r="F4419" s="7">
        <v>45974</v>
      </c>
      <c r="G4419" t="s">
        <v>135</v>
      </c>
      <c r="H4419" t="s">
        <v>114</v>
      </c>
      <c r="I4419" t="s">
        <v>101</v>
      </c>
      <c r="J4419">
        <v>33318.25</v>
      </c>
      <c r="K4419">
        <v>5000000</v>
      </c>
    </row>
    <row r="4420" spans="1:11" ht="15" customHeight="1" x14ac:dyDescent="0.2">
      <c r="A4420" t="s">
        <v>6133</v>
      </c>
      <c r="B4420" t="s">
        <v>4699</v>
      </c>
      <c r="C4420">
        <v>2024</v>
      </c>
      <c r="D4420">
        <v>2024</v>
      </c>
      <c r="E4420" s="7">
        <v>45611</v>
      </c>
      <c r="F4420" s="7">
        <v>45975</v>
      </c>
      <c r="G4420" t="s">
        <v>99</v>
      </c>
      <c r="H4420" t="s">
        <v>103</v>
      </c>
      <c r="I4420" t="s">
        <v>104</v>
      </c>
      <c r="J4420">
        <v>10786.62</v>
      </c>
      <c r="K4420">
        <v>2000000</v>
      </c>
    </row>
    <row r="4421" spans="1:11" ht="15" customHeight="1" x14ac:dyDescent="0.2">
      <c r="A4421" t="s">
        <v>6134</v>
      </c>
      <c r="B4421" t="s">
        <v>4710</v>
      </c>
      <c r="C4421">
        <v>2024</v>
      </c>
      <c r="D4421">
        <v>2024</v>
      </c>
      <c r="E4421" s="7">
        <v>45611</v>
      </c>
      <c r="F4421" s="7">
        <v>45975</v>
      </c>
      <c r="G4421" t="s">
        <v>99</v>
      </c>
      <c r="H4421" t="s">
        <v>110</v>
      </c>
      <c r="I4421" t="s">
        <v>104</v>
      </c>
      <c r="J4421">
        <v>7463.6</v>
      </c>
      <c r="K4421">
        <v>1000000</v>
      </c>
    </row>
    <row r="4422" spans="1:11" ht="15" customHeight="1" x14ac:dyDescent="0.2">
      <c r="A4422" t="s">
        <v>6135</v>
      </c>
      <c r="B4422" t="s">
        <v>7229</v>
      </c>
      <c r="C4422">
        <v>2024</v>
      </c>
      <c r="D4422">
        <v>2024</v>
      </c>
      <c r="E4422" s="7">
        <v>45611</v>
      </c>
      <c r="F4422" s="7">
        <v>45975</v>
      </c>
      <c r="G4422" t="s">
        <v>135</v>
      </c>
      <c r="H4422" t="s">
        <v>107</v>
      </c>
      <c r="I4422" t="s">
        <v>104</v>
      </c>
      <c r="J4422">
        <v>29666.87</v>
      </c>
      <c r="K4422">
        <v>5000000</v>
      </c>
    </row>
    <row r="4423" spans="1:11" ht="15" customHeight="1" x14ac:dyDescent="0.2">
      <c r="A4423" t="s">
        <v>6136</v>
      </c>
      <c r="B4423" t="s">
        <v>9325</v>
      </c>
      <c r="C4423">
        <v>2024</v>
      </c>
      <c r="D4423">
        <v>2024</v>
      </c>
      <c r="E4423" s="7">
        <v>45611</v>
      </c>
      <c r="F4423" s="7">
        <v>45975</v>
      </c>
      <c r="G4423" t="s">
        <v>135</v>
      </c>
      <c r="H4423" t="s">
        <v>106</v>
      </c>
      <c r="I4423" t="s">
        <v>101</v>
      </c>
      <c r="J4423">
        <v>9075.3700000000008</v>
      </c>
      <c r="K4423">
        <v>1000000</v>
      </c>
    </row>
    <row r="4424" spans="1:11" ht="15" customHeight="1" x14ac:dyDescent="0.2">
      <c r="A4424" t="s">
        <v>6137</v>
      </c>
      <c r="B4424" t="s">
        <v>7233</v>
      </c>
      <c r="C4424">
        <v>2024</v>
      </c>
      <c r="D4424">
        <v>2024</v>
      </c>
      <c r="E4424" s="7">
        <v>45611</v>
      </c>
      <c r="F4424" s="7">
        <v>45975</v>
      </c>
      <c r="G4424" t="s">
        <v>135</v>
      </c>
      <c r="H4424" t="s">
        <v>107</v>
      </c>
      <c r="I4424" t="s">
        <v>104</v>
      </c>
      <c r="J4424">
        <v>10729.4</v>
      </c>
      <c r="K4424">
        <v>2000000</v>
      </c>
    </row>
    <row r="4425" spans="1:11" ht="15" customHeight="1" x14ac:dyDescent="0.2">
      <c r="A4425" t="s">
        <v>6138</v>
      </c>
      <c r="B4425" t="s">
        <v>9326</v>
      </c>
      <c r="C4425">
        <v>2024</v>
      </c>
      <c r="D4425">
        <v>2024</v>
      </c>
      <c r="E4425" s="7">
        <v>45611</v>
      </c>
      <c r="F4425" s="7">
        <v>45975</v>
      </c>
      <c r="G4425" t="s">
        <v>135</v>
      </c>
      <c r="H4425" t="s">
        <v>108</v>
      </c>
      <c r="I4425" t="s">
        <v>104</v>
      </c>
      <c r="J4425">
        <v>11750.04</v>
      </c>
      <c r="K4425">
        <v>1500000</v>
      </c>
    </row>
    <row r="4426" spans="1:11" ht="15" customHeight="1" x14ac:dyDescent="0.2">
      <c r="A4426" t="s">
        <v>6139</v>
      </c>
      <c r="B4426" t="s">
        <v>1111</v>
      </c>
      <c r="C4426">
        <v>2024</v>
      </c>
      <c r="D4426">
        <v>2024</v>
      </c>
      <c r="E4426" s="7">
        <v>45611</v>
      </c>
      <c r="F4426" s="7">
        <v>45975</v>
      </c>
      <c r="G4426" t="s">
        <v>135</v>
      </c>
      <c r="H4426" t="s">
        <v>6332</v>
      </c>
      <c r="I4426" t="s">
        <v>104</v>
      </c>
      <c r="J4426">
        <v>8644.68</v>
      </c>
      <c r="K4426">
        <v>1500000</v>
      </c>
    </row>
    <row r="4427" spans="1:11" ht="15" customHeight="1" x14ac:dyDescent="0.2">
      <c r="A4427" t="s">
        <v>6140</v>
      </c>
      <c r="B4427" t="s">
        <v>4712</v>
      </c>
      <c r="C4427">
        <v>2024</v>
      </c>
      <c r="D4427">
        <v>2024</v>
      </c>
      <c r="E4427" s="7">
        <v>45612</v>
      </c>
      <c r="F4427" s="7">
        <v>45976</v>
      </c>
      <c r="G4427" t="s">
        <v>99</v>
      </c>
      <c r="H4427" t="s">
        <v>108</v>
      </c>
      <c r="I4427" t="s">
        <v>101</v>
      </c>
      <c r="J4427">
        <v>4699.3500000000004</v>
      </c>
      <c r="K4427">
        <v>500000</v>
      </c>
    </row>
    <row r="4428" spans="1:11" ht="15" customHeight="1" x14ac:dyDescent="0.2">
      <c r="A4428" t="s">
        <v>6141</v>
      </c>
      <c r="B4428" t="s">
        <v>4714</v>
      </c>
      <c r="C4428">
        <v>2024</v>
      </c>
      <c r="D4428">
        <v>2024</v>
      </c>
      <c r="E4428" s="7">
        <v>45612</v>
      </c>
      <c r="F4428" s="7">
        <v>45976</v>
      </c>
      <c r="G4428" t="s">
        <v>99</v>
      </c>
      <c r="H4428" t="s">
        <v>6337</v>
      </c>
      <c r="I4428" t="s">
        <v>104</v>
      </c>
      <c r="J4428">
        <v>28915.759999999998</v>
      </c>
      <c r="K4428">
        <v>5000000</v>
      </c>
    </row>
    <row r="4429" spans="1:11" ht="15" customHeight="1" x14ac:dyDescent="0.2">
      <c r="A4429" t="s">
        <v>6142</v>
      </c>
      <c r="B4429" t="s">
        <v>4716</v>
      </c>
      <c r="C4429">
        <v>2024</v>
      </c>
      <c r="D4429">
        <v>2024</v>
      </c>
      <c r="E4429" s="7">
        <v>45612</v>
      </c>
      <c r="F4429" s="7">
        <v>45976</v>
      </c>
      <c r="G4429" t="s">
        <v>99</v>
      </c>
      <c r="H4429" t="s">
        <v>108</v>
      </c>
      <c r="I4429" t="s">
        <v>104</v>
      </c>
      <c r="J4429">
        <v>11735.52</v>
      </c>
      <c r="K4429">
        <v>1500000</v>
      </c>
    </row>
    <row r="4430" spans="1:11" ht="15" customHeight="1" x14ac:dyDescent="0.2">
      <c r="A4430" t="s">
        <v>6143</v>
      </c>
      <c r="B4430" t="s">
        <v>4718</v>
      </c>
      <c r="C4430">
        <v>2024</v>
      </c>
      <c r="D4430">
        <v>2024</v>
      </c>
      <c r="E4430" s="7">
        <v>45612</v>
      </c>
      <c r="F4430" s="7">
        <v>45976</v>
      </c>
      <c r="G4430" t="s">
        <v>99</v>
      </c>
      <c r="H4430" t="s">
        <v>100</v>
      </c>
      <c r="I4430" t="s">
        <v>104</v>
      </c>
      <c r="J4430">
        <v>31546.35</v>
      </c>
      <c r="K4430">
        <v>5000000</v>
      </c>
    </row>
    <row r="4431" spans="1:11" ht="15" customHeight="1" x14ac:dyDescent="0.2">
      <c r="A4431" t="s">
        <v>6144</v>
      </c>
      <c r="B4431" t="s">
        <v>7300</v>
      </c>
      <c r="C4431">
        <v>2024</v>
      </c>
      <c r="D4431">
        <v>2024</v>
      </c>
      <c r="E4431" s="7">
        <v>45612</v>
      </c>
      <c r="F4431" s="7">
        <v>45976</v>
      </c>
      <c r="G4431" t="s">
        <v>135</v>
      </c>
      <c r="H4431" t="s">
        <v>6334</v>
      </c>
      <c r="I4431" t="s">
        <v>101</v>
      </c>
      <c r="J4431">
        <v>15295.84</v>
      </c>
      <c r="K4431">
        <v>2000000</v>
      </c>
    </row>
    <row r="4432" spans="1:11" ht="15" customHeight="1" x14ac:dyDescent="0.2">
      <c r="A4432" t="s">
        <v>6145</v>
      </c>
      <c r="B4432" t="s">
        <v>404</v>
      </c>
      <c r="C4432">
        <v>2024</v>
      </c>
      <c r="D4432">
        <v>2024</v>
      </c>
      <c r="E4432" s="7">
        <v>45612</v>
      </c>
      <c r="F4432" s="7">
        <v>45976</v>
      </c>
      <c r="G4432" t="s">
        <v>135</v>
      </c>
      <c r="H4432" t="s">
        <v>114</v>
      </c>
      <c r="I4432" t="s">
        <v>101</v>
      </c>
      <c r="J4432">
        <v>3417.56</v>
      </c>
      <c r="K4432">
        <v>500000</v>
      </c>
    </row>
    <row r="4433" spans="1:11" ht="15" customHeight="1" x14ac:dyDescent="0.2">
      <c r="A4433" t="s">
        <v>6146</v>
      </c>
      <c r="B4433" t="s">
        <v>9327</v>
      </c>
      <c r="C4433">
        <v>2024</v>
      </c>
      <c r="D4433">
        <v>2024</v>
      </c>
      <c r="E4433" s="7">
        <v>45612</v>
      </c>
      <c r="F4433" s="7">
        <v>45976</v>
      </c>
      <c r="G4433" t="s">
        <v>135</v>
      </c>
      <c r="H4433" t="s">
        <v>113</v>
      </c>
      <c r="I4433" t="s">
        <v>101</v>
      </c>
      <c r="J4433">
        <v>3913.37</v>
      </c>
      <c r="K4433">
        <v>500000</v>
      </c>
    </row>
    <row r="4434" spans="1:11" ht="15" customHeight="1" x14ac:dyDescent="0.2">
      <c r="A4434" t="s">
        <v>6147</v>
      </c>
      <c r="B4434" t="s">
        <v>403</v>
      </c>
      <c r="C4434">
        <v>2024</v>
      </c>
      <c r="D4434">
        <v>2024</v>
      </c>
      <c r="E4434" s="7">
        <v>45612</v>
      </c>
      <c r="F4434" s="7">
        <v>45976</v>
      </c>
      <c r="G4434" t="s">
        <v>135</v>
      </c>
      <c r="H4434" t="s">
        <v>107</v>
      </c>
      <c r="I4434" t="s">
        <v>101</v>
      </c>
      <c r="J4434">
        <v>11545.65</v>
      </c>
      <c r="K4434">
        <v>1500000</v>
      </c>
    </row>
    <row r="4435" spans="1:11" ht="15" customHeight="1" x14ac:dyDescent="0.2">
      <c r="A4435" t="s">
        <v>6148</v>
      </c>
      <c r="B4435" t="s">
        <v>642</v>
      </c>
      <c r="C4435">
        <v>2024</v>
      </c>
      <c r="D4435">
        <v>2024</v>
      </c>
      <c r="E4435" s="7">
        <v>45612</v>
      </c>
      <c r="F4435" s="7">
        <v>45976</v>
      </c>
      <c r="G4435" t="s">
        <v>135</v>
      </c>
      <c r="H4435" t="s">
        <v>107</v>
      </c>
      <c r="I4435" t="s">
        <v>101</v>
      </c>
      <c r="J4435">
        <v>9761.5300000000007</v>
      </c>
      <c r="K4435">
        <v>1500000</v>
      </c>
    </row>
    <row r="4436" spans="1:11" ht="15" customHeight="1" x14ac:dyDescent="0.2">
      <c r="A4436" t="s">
        <v>6149</v>
      </c>
      <c r="B4436" t="s">
        <v>9328</v>
      </c>
      <c r="C4436">
        <v>2024</v>
      </c>
      <c r="D4436">
        <v>2024</v>
      </c>
      <c r="E4436" s="7">
        <v>45612</v>
      </c>
      <c r="F4436" s="7">
        <v>45976</v>
      </c>
      <c r="G4436" t="s">
        <v>135</v>
      </c>
      <c r="H4436" t="s">
        <v>107</v>
      </c>
      <c r="I4436" t="s">
        <v>104</v>
      </c>
      <c r="J4436">
        <v>8670.2900000000009</v>
      </c>
      <c r="K4436">
        <v>1500000</v>
      </c>
    </row>
    <row r="4437" spans="1:11" ht="15" customHeight="1" x14ac:dyDescent="0.2">
      <c r="A4437" t="s">
        <v>6150</v>
      </c>
      <c r="B4437" t="s">
        <v>7141</v>
      </c>
      <c r="C4437">
        <v>2024</v>
      </c>
      <c r="D4437">
        <v>2024</v>
      </c>
      <c r="E4437" s="7">
        <v>45612</v>
      </c>
      <c r="F4437" s="7">
        <v>45976</v>
      </c>
      <c r="G4437" t="s">
        <v>135</v>
      </c>
      <c r="H4437" t="s">
        <v>106</v>
      </c>
      <c r="I4437" t="s">
        <v>101</v>
      </c>
      <c r="J4437">
        <v>9716.4599999999991</v>
      </c>
      <c r="K4437">
        <v>1000000</v>
      </c>
    </row>
    <row r="4438" spans="1:11" ht="15" customHeight="1" x14ac:dyDescent="0.2">
      <c r="A4438" t="s">
        <v>6151</v>
      </c>
      <c r="B4438" t="s">
        <v>9329</v>
      </c>
      <c r="C4438">
        <v>2024</v>
      </c>
      <c r="D4438">
        <v>2024</v>
      </c>
      <c r="E4438" s="7">
        <v>45612</v>
      </c>
      <c r="F4438" s="7">
        <v>45976</v>
      </c>
      <c r="G4438" t="s">
        <v>135</v>
      </c>
      <c r="H4438" t="s">
        <v>108</v>
      </c>
      <c r="I4438" t="s">
        <v>104</v>
      </c>
      <c r="J4438">
        <v>14991.9</v>
      </c>
      <c r="K4438">
        <v>2000000</v>
      </c>
    </row>
    <row r="4439" spans="1:11" ht="15" customHeight="1" x14ac:dyDescent="0.2">
      <c r="A4439" t="s">
        <v>6152</v>
      </c>
      <c r="B4439" t="s">
        <v>4720</v>
      </c>
      <c r="C4439">
        <v>2024</v>
      </c>
      <c r="D4439">
        <v>2024</v>
      </c>
      <c r="E4439" s="7">
        <v>45613</v>
      </c>
      <c r="F4439" s="7">
        <v>45977</v>
      </c>
      <c r="G4439" t="s">
        <v>99</v>
      </c>
      <c r="H4439" t="s">
        <v>113</v>
      </c>
      <c r="I4439" t="s">
        <v>101</v>
      </c>
      <c r="J4439">
        <v>6942.95</v>
      </c>
      <c r="K4439">
        <v>1000000</v>
      </c>
    </row>
    <row r="4440" spans="1:11" ht="15" customHeight="1" x14ac:dyDescent="0.2">
      <c r="A4440" t="s">
        <v>6153</v>
      </c>
      <c r="B4440" t="s">
        <v>4731</v>
      </c>
      <c r="C4440">
        <v>2024</v>
      </c>
      <c r="D4440">
        <v>2024</v>
      </c>
      <c r="E4440" s="7">
        <v>45613</v>
      </c>
      <c r="F4440" s="7">
        <v>45977</v>
      </c>
      <c r="G4440" t="s">
        <v>99</v>
      </c>
      <c r="H4440" t="s">
        <v>102</v>
      </c>
      <c r="I4440" t="s">
        <v>101</v>
      </c>
      <c r="J4440">
        <v>33807.68</v>
      </c>
      <c r="K4440">
        <v>5000000</v>
      </c>
    </row>
    <row r="4441" spans="1:11" ht="15" customHeight="1" x14ac:dyDescent="0.2">
      <c r="A4441" t="s">
        <v>6154</v>
      </c>
      <c r="B4441" t="s">
        <v>4742</v>
      </c>
      <c r="C4441">
        <v>2024</v>
      </c>
      <c r="D4441">
        <v>2024</v>
      </c>
      <c r="E4441" s="7">
        <v>45613</v>
      </c>
      <c r="F4441" s="7">
        <v>45977</v>
      </c>
      <c r="G4441" t="s">
        <v>99</v>
      </c>
      <c r="H4441" t="s">
        <v>115</v>
      </c>
      <c r="I4441" t="s">
        <v>101</v>
      </c>
      <c r="J4441">
        <v>9890.89</v>
      </c>
      <c r="K4441">
        <v>1500000</v>
      </c>
    </row>
    <row r="4442" spans="1:11" ht="15" customHeight="1" x14ac:dyDescent="0.2">
      <c r="A4442" t="s">
        <v>6155</v>
      </c>
      <c r="B4442" t="s">
        <v>405</v>
      </c>
      <c r="C4442">
        <v>2024</v>
      </c>
      <c r="D4442">
        <v>2024</v>
      </c>
      <c r="E4442" s="7">
        <v>45613</v>
      </c>
      <c r="F4442" s="7">
        <v>45977</v>
      </c>
      <c r="G4442" t="s">
        <v>135</v>
      </c>
      <c r="H4442" t="s">
        <v>102</v>
      </c>
      <c r="I4442" t="s">
        <v>101</v>
      </c>
      <c r="J4442">
        <v>9796.73</v>
      </c>
      <c r="K4442">
        <v>1500000</v>
      </c>
    </row>
    <row r="4443" spans="1:11" ht="15" customHeight="1" x14ac:dyDescent="0.2">
      <c r="A4443" t="s">
        <v>6156</v>
      </c>
      <c r="B4443" t="s">
        <v>9330</v>
      </c>
      <c r="C4443">
        <v>2024</v>
      </c>
      <c r="D4443">
        <v>2024</v>
      </c>
      <c r="E4443" s="7">
        <v>45613</v>
      </c>
      <c r="F4443" s="7">
        <v>45977</v>
      </c>
      <c r="G4443" t="s">
        <v>135</v>
      </c>
      <c r="H4443" t="s">
        <v>106</v>
      </c>
      <c r="I4443" t="s">
        <v>104</v>
      </c>
      <c r="J4443">
        <v>7625.36</v>
      </c>
      <c r="K4443">
        <v>1000000</v>
      </c>
    </row>
    <row r="4444" spans="1:11" ht="15" customHeight="1" x14ac:dyDescent="0.2">
      <c r="A4444" t="s">
        <v>6157</v>
      </c>
      <c r="B4444" t="s">
        <v>7135</v>
      </c>
      <c r="C4444">
        <v>2024</v>
      </c>
      <c r="D4444">
        <v>2024</v>
      </c>
      <c r="E4444" s="7">
        <v>45613</v>
      </c>
      <c r="F4444" s="7">
        <v>45977</v>
      </c>
      <c r="G4444" t="s">
        <v>135</v>
      </c>
      <c r="H4444" t="s">
        <v>105</v>
      </c>
      <c r="I4444" t="s">
        <v>101</v>
      </c>
      <c r="J4444">
        <v>7716.55</v>
      </c>
      <c r="K4444">
        <v>1000000</v>
      </c>
    </row>
    <row r="4445" spans="1:11" ht="15" customHeight="1" x14ac:dyDescent="0.2">
      <c r="A4445" t="s">
        <v>6158</v>
      </c>
      <c r="B4445" t="s">
        <v>1112</v>
      </c>
      <c r="C4445">
        <v>2024</v>
      </c>
      <c r="D4445">
        <v>2024</v>
      </c>
      <c r="E4445" s="7">
        <v>45613</v>
      </c>
      <c r="F4445" s="7">
        <v>45977</v>
      </c>
      <c r="G4445" t="s">
        <v>135</v>
      </c>
      <c r="H4445" t="s">
        <v>113</v>
      </c>
      <c r="I4445" t="s">
        <v>101</v>
      </c>
      <c r="J4445">
        <v>7653.23</v>
      </c>
      <c r="K4445">
        <v>1000000</v>
      </c>
    </row>
    <row r="4446" spans="1:11" ht="15" customHeight="1" x14ac:dyDescent="0.2">
      <c r="A4446" t="s">
        <v>6159</v>
      </c>
      <c r="B4446" t="s">
        <v>7148</v>
      </c>
      <c r="C4446">
        <v>2024</v>
      </c>
      <c r="D4446">
        <v>2024</v>
      </c>
      <c r="E4446" s="7">
        <v>45613</v>
      </c>
      <c r="F4446" s="7">
        <v>45977</v>
      </c>
      <c r="G4446" t="s">
        <v>135</v>
      </c>
      <c r="H4446" t="s">
        <v>108</v>
      </c>
      <c r="I4446" t="s">
        <v>101</v>
      </c>
      <c r="J4446">
        <v>8845.8700000000008</v>
      </c>
      <c r="K4446">
        <v>1000000</v>
      </c>
    </row>
    <row r="4447" spans="1:11" ht="15" customHeight="1" x14ac:dyDescent="0.2">
      <c r="A4447" t="s">
        <v>6160</v>
      </c>
      <c r="B4447" t="s">
        <v>7050</v>
      </c>
      <c r="C4447">
        <v>2024</v>
      </c>
      <c r="D4447">
        <v>2024</v>
      </c>
      <c r="E4447" s="7">
        <v>45613</v>
      </c>
      <c r="F4447" s="7">
        <v>45977</v>
      </c>
      <c r="G4447" t="s">
        <v>135</v>
      </c>
      <c r="H4447" t="s">
        <v>106</v>
      </c>
      <c r="I4447" t="s">
        <v>104</v>
      </c>
      <c r="J4447">
        <v>14416.96</v>
      </c>
      <c r="K4447">
        <v>2000000</v>
      </c>
    </row>
    <row r="4448" spans="1:11" ht="15" customHeight="1" x14ac:dyDescent="0.2">
      <c r="A4448" t="s">
        <v>6161</v>
      </c>
      <c r="B4448" t="s">
        <v>9331</v>
      </c>
      <c r="C4448">
        <v>2024</v>
      </c>
      <c r="D4448">
        <v>2024</v>
      </c>
      <c r="E4448" s="7">
        <v>45613</v>
      </c>
      <c r="F4448" s="7">
        <v>45977</v>
      </c>
      <c r="G4448" t="s">
        <v>135</v>
      </c>
      <c r="H4448" t="s">
        <v>106</v>
      </c>
      <c r="I4448" t="s">
        <v>101</v>
      </c>
      <c r="J4448">
        <v>47808.37</v>
      </c>
      <c r="K4448">
        <v>5000000</v>
      </c>
    </row>
    <row r="4449" spans="1:11" ht="15" customHeight="1" x14ac:dyDescent="0.2">
      <c r="A4449" t="s">
        <v>6162</v>
      </c>
      <c r="B4449" t="s">
        <v>9332</v>
      </c>
      <c r="C4449">
        <v>2024</v>
      </c>
      <c r="D4449">
        <v>2024</v>
      </c>
      <c r="E4449" s="7">
        <v>45613</v>
      </c>
      <c r="F4449" s="7">
        <v>45977</v>
      </c>
      <c r="G4449" t="s">
        <v>135</v>
      </c>
      <c r="H4449" t="s">
        <v>115</v>
      </c>
      <c r="I4449" t="s">
        <v>101</v>
      </c>
      <c r="J4449">
        <v>6651.96</v>
      </c>
      <c r="K4449">
        <v>1000000</v>
      </c>
    </row>
    <row r="4450" spans="1:11" ht="15" customHeight="1" x14ac:dyDescent="0.2">
      <c r="A4450" t="s">
        <v>6163</v>
      </c>
      <c r="B4450" t="s">
        <v>9333</v>
      </c>
      <c r="C4450">
        <v>2024</v>
      </c>
      <c r="D4450">
        <v>2024</v>
      </c>
      <c r="E4450" s="7">
        <v>45613</v>
      </c>
      <c r="F4450" s="7">
        <v>45977</v>
      </c>
      <c r="G4450" t="s">
        <v>135</v>
      </c>
      <c r="H4450" t="s">
        <v>105</v>
      </c>
      <c r="I4450" t="s">
        <v>101</v>
      </c>
      <c r="J4450">
        <v>7800.46</v>
      </c>
      <c r="K4450">
        <v>1000000</v>
      </c>
    </row>
    <row r="4451" spans="1:11" ht="15" customHeight="1" x14ac:dyDescent="0.2">
      <c r="A4451" t="s">
        <v>6164</v>
      </c>
      <c r="B4451" t="s">
        <v>9334</v>
      </c>
      <c r="C4451">
        <v>2024</v>
      </c>
      <c r="D4451">
        <v>2024</v>
      </c>
      <c r="E4451" s="7">
        <v>45613</v>
      </c>
      <c r="F4451" s="7">
        <v>45977</v>
      </c>
      <c r="G4451" t="s">
        <v>135</v>
      </c>
      <c r="H4451" t="s">
        <v>112</v>
      </c>
      <c r="I4451" t="s">
        <v>104</v>
      </c>
      <c r="J4451">
        <v>3506.62</v>
      </c>
      <c r="K4451">
        <v>500000</v>
      </c>
    </row>
    <row r="4452" spans="1:11" ht="15" customHeight="1" x14ac:dyDescent="0.2">
      <c r="A4452" t="s">
        <v>6165</v>
      </c>
      <c r="B4452" t="s">
        <v>4744</v>
      </c>
      <c r="C4452">
        <v>2024</v>
      </c>
      <c r="D4452">
        <v>2024</v>
      </c>
      <c r="E4452" s="7">
        <v>45614</v>
      </c>
      <c r="F4452" s="7">
        <v>45978</v>
      </c>
      <c r="G4452" t="s">
        <v>99</v>
      </c>
      <c r="H4452" t="s">
        <v>110</v>
      </c>
      <c r="I4452" t="s">
        <v>101</v>
      </c>
      <c r="J4452">
        <v>12518.23</v>
      </c>
      <c r="K4452">
        <v>1500000</v>
      </c>
    </row>
    <row r="4453" spans="1:11" ht="15" customHeight="1" x14ac:dyDescent="0.2">
      <c r="A4453" t="s">
        <v>6166</v>
      </c>
      <c r="B4453" t="s">
        <v>4746</v>
      </c>
      <c r="C4453">
        <v>2024</v>
      </c>
      <c r="D4453">
        <v>2024</v>
      </c>
      <c r="E4453" s="7">
        <v>45614</v>
      </c>
      <c r="F4453" s="7">
        <v>45978</v>
      </c>
      <c r="G4453" t="s">
        <v>99</v>
      </c>
      <c r="H4453" t="s">
        <v>115</v>
      </c>
      <c r="I4453" t="s">
        <v>101</v>
      </c>
      <c r="J4453">
        <v>38891.550000000003</v>
      </c>
      <c r="K4453">
        <v>5000000</v>
      </c>
    </row>
    <row r="4454" spans="1:11" ht="15" customHeight="1" x14ac:dyDescent="0.2">
      <c r="A4454" t="s">
        <v>6167</v>
      </c>
      <c r="B4454" t="s">
        <v>4748</v>
      </c>
      <c r="C4454">
        <v>2024</v>
      </c>
      <c r="D4454">
        <v>2024</v>
      </c>
      <c r="E4454" s="7">
        <v>45614</v>
      </c>
      <c r="F4454" s="7">
        <v>45978</v>
      </c>
      <c r="G4454" t="s">
        <v>99</v>
      </c>
      <c r="H4454" t="s">
        <v>110</v>
      </c>
      <c r="I4454" t="s">
        <v>104</v>
      </c>
      <c r="J4454">
        <v>13075.74</v>
      </c>
      <c r="K4454">
        <v>2000000</v>
      </c>
    </row>
    <row r="4455" spans="1:11" ht="15" customHeight="1" x14ac:dyDescent="0.2">
      <c r="A4455" t="s">
        <v>6168</v>
      </c>
      <c r="B4455" t="s">
        <v>4750</v>
      </c>
      <c r="C4455">
        <v>2024</v>
      </c>
      <c r="D4455">
        <v>2024</v>
      </c>
      <c r="E4455" s="7">
        <v>45614</v>
      </c>
      <c r="F4455" s="7">
        <v>45978</v>
      </c>
      <c r="G4455" t="s">
        <v>99</v>
      </c>
      <c r="H4455" t="s">
        <v>108</v>
      </c>
      <c r="I4455" t="s">
        <v>101</v>
      </c>
      <c r="J4455">
        <v>12399.71</v>
      </c>
      <c r="K4455">
        <v>1500000</v>
      </c>
    </row>
    <row r="4456" spans="1:11" ht="15" customHeight="1" x14ac:dyDescent="0.2">
      <c r="A4456" t="s">
        <v>6169</v>
      </c>
      <c r="B4456" t="s">
        <v>4752</v>
      </c>
      <c r="C4456">
        <v>2024</v>
      </c>
      <c r="D4456">
        <v>2024</v>
      </c>
      <c r="E4456" s="7">
        <v>45614</v>
      </c>
      <c r="F4456" s="7">
        <v>45978</v>
      </c>
      <c r="G4456" t="s">
        <v>99</v>
      </c>
      <c r="H4456" t="s">
        <v>106</v>
      </c>
      <c r="I4456" t="s">
        <v>101</v>
      </c>
      <c r="J4456">
        <v>9453.02</v>
      </c>
      <c r="K4456">
        <v>1000000</v>
      </c>
    </row>
    <row r="4457" spans="1:11" ht="15" customHeight="1" x14ac:dyDescent="0.2">
      <c r="A4457" t="s">
        <v>6170</v>
      </c>
      <c r="B4457" t="s">
        <v>9335</v>
      </c>
      <c r="C4457">
        <v>2024</v>
      </c>
      <c r="D4457">
        <v>2024</v>
      </c>
      <c r="E4457" s="7">
        <v>45614</v>
      </c>
      <c r="F4457" s="7">
        <v>45978</v>
      </c>
      <c r="G4457" t="s">
        <v>135</v>
      </c>
      <c r="H4457" t="s">
        <v>109</v>
      </c>
      <c r="I4457" t="s">
        <v>104</v>
      </c>
      <c r="J4457">
        <v>2852.06</v>
      </c>
      <c r="K4457">
        <v>500000</v>
      </c>
    </row>
    <row r="4458" spans="1:11" ht="15" customHeight="1" x14ac:dyDescent="0.2">
      <c r="A4458" t="s">
        <v>6171</v>
      </c>
      <c r="B4458" t="s">
        <v>643</v>
      </c>
      <c r="C4458">
        <v>2024</v>
      </c>
      <c r="D4458">
        <v>2024</v>
      </c>
      <c r="E4458" s="7">
        <v>45614</v>
      </c>
      <c r="F4458" s="7">
        <v>45978</v>
      </c>
      <c r="G4458" t="s">
        <v>135</v>
      </c>
      <c r="H4458" t="s">
        <v>106</v>
      </c>
      <c r="I4458" t="s">
        <v>104</v>
      </c>
      <c r="J4458">
        <v>7688.55</v>
      </c>
      <c r="K4458">
        <v>1000000</v>
      </c>
    </row>
    <row r="4459" spans="1:11" ht="15" customHeight="1" x14ac:dyDescent="0.2">
      <c r="A4459" t="s">
        <v>6172</v>
      </c>
      <c r="B4459" t="s">
        <v>9336</v>
      </c>
      <c r="C4459">
        <v>2024</v>
      </c>
      <c r="D4459">
        <v>2024</v>
      </c>
      <c r="E4459" s="7">
        <v>45614</v>
      </c>
      <c r="F4459" s="7">
        <v>45978</v>
      </c>
      <c r="G4459" t="s">
        <v>135</v>
      </c>
      <c r="H4459" t="s">
        <v>106</v>
      </c>
      <c r="I4459" t="s">
        <v>101</v>
      </c>
      <c r="J4459">
        <v>12865.21</v>
      </c>
      <c r="K4459">
        <v>1500000</v>
      </c>
    </row>
    <row r="4460" spans="1:11" ht="15" customHeight="1" x14ac:dyDescent="0.2">
      <c r="A4460" t="s">
        <v>6173</v>
      </c>
      <c r="B4460" t="s">
        <v>7065</v>
      </c>
      <c r="C4460">
        <v>2024</v>
      </c>
      <c r="D4460">
        <v>2024</v>
      </c>
      <c r="E4460" s="7">
        <v>45614</v>
      </c>
      <c r="F4460" s="7">
        <v>45978</v>
      </c>
      <c r="G4460" t="s">
        <v>135</v>
      </c>
      <c r="H4460" t="s">
        <v>111</v>
      </c>
      <c r="I4460" t="s">
        <v>101</v>
      </c>
      <c r="J4460">
        <v>7695.08</v>
      </c>
      <c r="K4460">
        <v>1000000</v>
      </c>
    </row>
    <row r="4461" spans="1:11" ht="15" customHeight="1" x14ac:dyDescent="0.2">
      <c r="A4461" t="s">
        <v>6174</v>
      </c>
      <c r="B4461" t="s">
        <v>9337</v>
      </c>
      <c r="C4461">
        <v>2024</v>
      </c>
      <c r="D4461">
        <v>2024</v>
      </c>
      <c r="E4461" s="7">
        <v>45614</v>
      </c>
      <c r="F4461" s="7">
        <v>45978</v>
      </c>
      <c r="G4461" t="s">
        <v>135</v>
      </c>
      <c r="H4461" t="s">
        <v>108</v>
      </c>
      <c r="I4461" t="s">
        <v>101</v>
      </c>
      <c r="J4461">
        <v>12294.09</v>
      </c>
      <c r="K4461">
        <v>1500000</v>
      </c>
    </row>
    <row r="4462" spans="1:11" ht="15" customHeight="1" x14ac:dyDescent="0.2">
      <c r="A4462" t="s">
        <v>6175</v>
      </c>
      <c r="B4462" t="s">
        <v>7307</v>
      </c>
      <c r="C4462">
        <v>2024</v>
      </c>
      <c r="D4462">
        <v>2024</v>
      </c>
      <c r="E4462" s="7">
        <v>45614</v>
      </c>
      <c r="F4462" s="7">
        <v>45978</v>
      </c>
      <c r="G4462" t="s">
        <v>135</v>
      </c>
      <c r="H4462" t="s">
        <v>6348</v>
      </c>
      <c r="I4462" t="s">
        <v>101</v>
      </c>
      <c r="J4462">
        <v>77429.14</v>
      </c>
      <c r="K4462">
        <v>10000000</v>
      </c>
    </row>
    <row r="4463" spans="1:11" ht="15" customHeight="1" x14ac:dyDescent="0.2">
      <c r="A4463" t="s">
        <v>6176</v>
      </c>
      <c r="B4463" t="s">
        <v>7053</v>
      </c>
      <c r="C4463">
        <v>2024</v>
      </c>
      <c r="D4463">
        <v>2024</v>
      </c>
      <c r="E4463" s="7">
        <v>45614</v>
      </c>
      <c r="F4463" s="7">
        <v>45978</v>
      </c>
      <c r="G4463" t="s">
        <v>135</v>
      </c>
      <c r="H4463" t="s">
        <v>108</v>
      </c>
      <c r="I4463" t="s">
        <v>104</v>
      </c>
      <c r="J4463">
        <v>15351.32</v>
      </c>
      <c r="K4463">
        <v>2000000</v>
      </c>
    </row>
    <row r="4464" spans="1:11" ht="15" customHeight="1" x14ac:dyDescent="0.2">
      <c r="A4464" t="s">
        <v>6177</v>
      </c>
      <c r="B4464" t="s">
        <v>7234</v>
      </c>
      <c r="C4464">
        <v>2024</v>
      </c>
      <c r="D4464">
        <v>2024</v>
      </c>
      <c r="E4464" s="7">
        <v>45614</v>
      </c>
      <c r="F4464" s="7">
        <v>45978</v>
      </c>
      <c r="G4464" t="s">
        <v>135</v>
      </c>
      <c r="H4464" t="s">
        <v>106</v>
      </c>
      <c r="I4464" t="s">
        <v>101</v>
      </c>
      <c r="J4464">
        <v>13713.87</v>
      </c>
      <c r="K4464">
        <v>1500000</v>
      </c>
    </row>
    <row r="4465" spans="1:11" ht="15" customHeight="1" x14ac:dyDescent="0.2">
      <c r="A4465" t="s">
        <v>6178</v>
      </c>
      <c r="B4465" t="s">
        <v>7068</v>
      </c>
      <c r="C4465">
        <v>2024</v>
      </c>
      <c r="D4465">
        <v>2024</v>
      </c>
      <c r="E4465" s="7">
        <v>45614</v>
      </c>
      <c r="F4465" s="7">
        <v>45978</v>
      </c>
      <c r="G4465" t="s">
        <v>135</v>
      </c>
      <c r="H4465" t="s">
        <v>106</v>
      </c>
      <c r="I4465" t="s">
        <v>101</v>
      </c>
      <c r="J4465">
        <v>13693.21</v>
      </c>
      <c r="K4465">
        <v>1500000</v>
      </c>
    </row>
    <row r="4466" spans="1:11" ht="15" customHeight="1" x14ac:dyDescent="0.2">
      <c r="A4466" t="s">
        <v>6179</v>
      </c>
      <c r="B4466" t="s">
        <v>9338</v>
      </c>
      <c r="C4466">
        <v>2024</v>
      </c>
      <c r="D4466">
        <v>2024</v>
      </c>
      <c r="E4466" s="7">
        <v>45614</v>
      </c>
      <c r="F4466" s="7">
        <v>45978</v>
      </c>
      <c r="G4466" t="s">
        <v>135</v>
      </c>
      <c r="H4466" t="s">
        <v>109</v>
      </c>
      <c r="I4466" t="s">
        <v>101</v>
      </c>
      <c r="J4466">
        <v>71028.78</v>
      </c>
      <c r="K4466">
        <v>10000000</v>
      </c>
    </row>
    <row r="4467" spans="1:11" ht="15" customHeight="1" x14ac:dyDescent="0.2">
      <c r="A4467" t="s">
        <v>6180</v>
      </c>
      <c r="B4467" t="s">
        <v>9339</v>
      </c>
      <c r="C4467">
        <v>2024</v>
      </c>
      <c r="D4467">
        <v>2024</v>
      </c>
      <c r="E4467" s="7">
        <v>45614</v>
      </c>
      <c r="F4467" s="7">
        <v>45978</v>
      </c>
      <c r="G4467" t="s">
        <v>135</v>
      </c>
      <c r="H4467" t="s">
        <v>102</v>
      </c>
      <c r="I4467" t="s">
        <v>101</v>
      </c>
      <c r="J4467">
        <v>3938.2</v>
      </c>
      <c r="K4467">
        <v>500000</v>
      </c>
    </row>
    <row r="4468" spans="1:11" ht="15" customHeight="1" x14ac:dyDescent="0.2">
      <c r="A4468" t="s">
        <v>6181</v>
      </c>
      <c r="B4468" t="s">
        <v>9340</v>
      </c>
      <c r="C4468">
        <v>2024</v>
      </c>
      <c r="D4468">
        <v>2024</v>
      </c>
      <c r="E4468" s="7">
        <v>45614</v>
      </c>
      <c r="F4468" s="7">
        <v>45978</v>
      </c>
      <c r="G4468" t="s">
        <v>135</v>
      </c>
      <c r="H4468" t="s">
        <v>102</v>
      </c>
      <c r="I4468" t="s">
        <v>101</v>
      </c>
      <c r="J4468">
        <v>6829.58</v>
      </c>
      <c r="K4468">
        <v>1000000</v>
      </c>
    </row>
    <row r="4469" spans="1:11" ht="15" customHeight="1" x14ac:dyDescent="0.2">
      <c r="A4469" t="s">
        <v>6182</v>
      </c>
      <c r="B4469" t="s">
        <v>4760</v>
      </c>
      <c r="C4469">
        <v>2024</v>
      </c>
      <c r="D4469">
        <v>2024</v>
      </c>
      <c r="E4469" s="7">
        <v>45615</v>
      </c>
      <c r="F4469" s="7">
        <v>45979</v>
      </c>
      <c r="G4469" t="s">
        <v>99</v>
      </c>
      <c r="H4469" t="s">
        <v>103</v>
      </c>
      <c r="I4469" t="s">
        <v>104</v>
      </c>
      <c r="J4469">
        <v>10641.64</v>
      </c>
      <c r="K4469">
        <v>2000000</v>
      </c>
    </row>
    <row r="4470" spans="1:11" ht="15" customHeight="1" x14ac:dyDescent="0.2">
      <c r="A4470" t="s">
        <v>6183</v>
      </c>
      <c r="B4470" t="s">
        <v>4762</v>
      </c>
      <c r="C4470">
        <v>2024</v>
      </c>
      <c r="D4470">
        <v>2024</v>
      </c>
      <c r="E4470" s="7">
        <v>45615</v>
      </c>
      <c r="F4470" s="7">
        <v>45979</v>
      </c>
      <c r="G4470" t="s">
        <v>99</v>
      </c>
      <c r="H4470" t="s">
        <v>106</v>
      </c>
      <c r="I4470" t="s">
        <v>101</v>
      </c>
      <c r="J4470">
        <v>8440.34</v>
      </c>
      <c r="K4470">
        <v>1000000</v>
      </c>
    </row>
    <row r="4471" spans="1:11" ht="15" customHeight="1" x14ac:dyDescent="0.2">
      <c r="A4471" t="s">
        <v>6184</v>
      </c>
      <c r="B4471" t="s">
        <v>7164</v>
      </c>
      <c r="C4471">
        <v>2024</v>
      </c>
      <c r="D4471">
        <v>2024</v>
      </c>
      <c r="E4471" s="7">
        <v>45615</v>
      </c>
      <c r="F4471" s="7">
        <v>45979</v>
      </c>
      <c r="G4471" t="s">
        <v>135</v>
      </c>
      <c r="H4471" t="s">
        <v>102</v>
      </c>
      <c r="I4471" t="s">
        <v>101</v>
      </c>
      <c r="J4471">
        <v>76460.3</v>
      </c>
      <c r="K4471">
        <v>10000000</v>
      </c>
    </row>
    <row r="4472" spans="1:11" ht="15" customHeight="1" x14ac:dyDescent="0.2">
      <c r="A4472" t="s">
        <v>6185</v>
      </c>
      <c r="B4472" t="s">
        <v>9341</v>
      </c>
      <c r="C4472">
        <v>2024</v>
      </c>
      <c r="D4472">
        <v>2024</v>
      </c>
      <c r="E4472" s="7">
        <v>45615</v>
      </c>
      <c r="F4472" s="7">
        <v>45979</v>
      </c>
      <c r="G4472" t="s">
        <v>135</v>
      </c>
      <c r="H4472" t="s">
        <v>109</v>
      </c>
      <c r="I4472" t="s">
        <v>104</v>
      </c>
      <c r="J4472">
        <v>31063.89</v>
      </c>
      <c r="K4472">
        <v>5000000</v>
      </c>
    </row>
    <row r="4473" spans="1:11" ht="15" customHeight="1" x14ac:dyDescent="0.2">
      <c r="A4473" t="s">
        <v>6186</v>
      </c>
      <c r="B4473" t="s">
        <v>9342</v>
      </c>
      <c r="C4473">
        <v>2024</v>
      </c>
      <c r="D4473">
        <v>2024</v>
      </c>
      <c r="E4473" s="7">
        <v>45615</v>
      </c>
      <c r="F4473" s="7">
        <v>45979</v>
      </c>
      <c r="G4473" t="s">
        <v>135</v>
      </c>
      <c r="H4473" t="s">
        <v>115</v>
      </c>
      <c r="I4473" t="s">
        <v>101</v>
      </c>
      <c r="J4473">
        <v>10293.379999999999</v>
      </c>
      <c r="K4473">
        <v>1500000</v>
      </c>
    </row>
    <row r="4474" spans="1:11" ht="15" customHeight="1" x14ac:dyDescent="0.2">
      <c r="A4474" t="s">
        <v>6187</v>
      </c>
      <c r="B4474" t="s">
        <v>644</v>
      </c>
      <c r="C4474">
        <v>2024</v>
      </c>
      <c r="D4474">
        <v>2024</v>
      </c>
      <c r="E4474" s="7">
        <v>45615</v>
      </c>
      <c r="F4474" s="7">
        <v>45979</v>
      </c>
      <c r="G4474" t="s">
        <v>135</v>
      </c>
      <c r="H4474" t="s">
        <v>102</v>
      </c>
      <c r="I4474" t="s">
        <v>101</v>
      </c>
      <c r="J4474">
        <v>6947.6</v>
      </c>
      <c r="K4474">
        <v>1000000</v>
      </c>
    </row>
    <row r="4475" spans="1:11" ht="15" customHeight="1" x14ac:dyDescent="0.2">
      <c r="A4475" t="s">
        <v>6188</v>
      </c>
      <c r="B4475" t="s">
        <v>7293</v>
      </c>
      <c r="C4475">
        <v>2024</v>
      </c>
      <c r="D4475">
        <v>2024</v>
      </c>
      <c r="E4475" s="7">
        <v>45615</v>
      </c>
      <c r="F4475" s="7">
        <v>45979</v>
      </c>
      <c r="G4475" t="s">
        <v>135</v>
      </c>
      <c r="H4475" t="s">
        <v>107</v>
      </c>
      <c r="I4475" t="s">
        <v>101</v>
      </c>
      <c r="J4475">
        <v>7722.2</v>
      </c>
      <c r="K4475">
        <v>1000000</v>
      </c>
    </row>
    <row r="4476" spans="1:11" ht="15" customHeight="1" x14ac:dyDescent="0.2">
      <c r="A4476" t="s">
        <v>6189</v>
      </c>
      <c r="B4476" t="s">
        <v>1113</v>
      </c>
      <c r="C4476">
        <v>2024</v>
      </c>
      <c r="D4476">
        <v>2024</v>
      </c>
      <c r="E4476" s="7">
        <v>45615</v>
      </c>
      <c r="F4476" s="7">
        <v>45979</v>
      </c>
      <c r="G4476" t="s">
        <v>135</v>
      </c>
      <c r="H4476" t="s">
        <v>114</v>
      </c>
      <c r="I4476" t="s">
        <v>101</v>
      </c>
      <c r="J4476">
        <v>3909.88</v>
      </c>
      <c r="K4476">
        <v>500000</v>
      </c>
    </row>
    <row r="4477" spans="1:11" ht="15" customHeight="1" x14ac:dyDescent="0.2">
      <c r="A4477" t="s">
        <v>6190</v>
      </c>
      <c r="B4477" t="s">
        <v>9343</v>
      </c>
      <c r="C4477">
        <v>2024</v>
      </c>
      <c r="D4477">
        <v>2024</v>
      </c>
      <c r="E4477" s="7">
        <v>45615</v>
      </c>
      <c r="F4477" s="7">
        <v>45979</v>
      </c>
      <c r="G4477" t="s">
        <v>135</v>
      </c>
      <c r="H4477" t="s">
        <v>102</v>
      </c>
      <c r="I4477" t="s">
        <v>101</v>
      </c>
      <c r="J4477">
        <v>3464.23</v>
      </c>
      <c r="K4477">
        <v>500000</v>
      </c>
    </row>
    <row r="4478" spans="1:11" ht="15" customHeight="1" x14ac:dyDescent="0.2">
      <c r="A4478" t="s">
        <v>6191</v>
      </c>
      <c r="B4478" t="s">
        <v>179</v>
      </c>
      <c r="C4478">
        <v>2024</v>
      </c>
      <c r="D4478">
        <v>2024</v>
      </c>
      <c r="E4478" s="7">
        <v>45615</v>
      </c>
      <c r="F4478" s="7">
        <v>45979</v>
      </c>
      <c r="G4478" t="s">
        <v>135</v>
      </c>
      <c r="H4478" t="s">
        <v>102</v>
      </c>
      <c r="I4478" t="s">
        <v>101</v>
      </c>
      <c r="J4478">
        <v>7107.77</v>
      </c>
      <c r="K4478">
        <v>1000000</v>
      </c>
    </row>
    <row r="4479" spans="1:11" ht="15" customHeight="1" x14ac:dyDescent="0.2">
      <c r="A4479" t="s">
        <v>6192</v>
      </c>
      <c r="B4479" t="s">
        <v>4773</v>
      </c>
      <c r="C4479">
        <v>2024</v>
      </c>
      <c r="D4479">
        <v>2024</v>
      </c>
      <c r="E4479" s="7">
        <v>45616</v>
      </c>
      <c r="F4479" s="7">
        <v>45980</v>
      </c>
      <c r="G4479" t="s">
        <v>99</v>
      </c>
      <c r="H4479" t="s">
        <v>106</v>
      </c>
      <c r="I4479" t="s">
        <v>101</v>
      </c>
      <c r="J4479">
        <v>47493.83</v>
      </c>
      <c r="K4479">
        <v>5000000</v>
      </c>
    </row>
    <row r="4480" spans="1:11" ht="15" customHeight="1" x14ac:dyDescent="0.2">
      <c r="A4480" t="s">
        <v>6193</v>
      </c>
      <c r="B4480" t="s">
        <v>4775</v>
      </c>
      <c r="C4480">
        <v>2024</v>
      </c>
      <c r="D4480">
        <v>2024</v>
      </c>
      <c r="E4480" s="7">
        <v>45616</v>
      </c>
      <c r="F4480" s="7">
        <v>45980</v>
      </c>
      <c r="G4480" t="s">
        <v>99</v>
      </c>
      <c r="H4480" t="s">
        <v>106</v>
      </c>
      <c r="I4480" t="s">
        <v>101</v>
      </c>
      <c r="J4480">
        <v>4639.1099999999997</v>
      </c>
      <c r="K4480">
        <v>500000</v>
      </c>
    </row>
    <row r="4481" spans="1:11" ht="15" customHeight="1" x14ac:dyDescent="0.2">
      <c r="A4481" t="s">
        <v>6194</v>
      </c>
      <c r="B4481" t="s">
        <v>4777</v>
      </c>
      <c r="C4481">
        <v>2024</v>
      </c>
      <c r="D4481">
        <v>2024</v>
      </c>
      <c r="E4481" s="7">
        <v>45616</v>
      </c>
      <c r="F4481" s="7">
        <v>45980</v>
      </c>
      <c r="G4481" t="s">
        <v>99</v>
      </c>
      <c r="H4481" t="s">
        <v>110</v>
      </c>
      <c r="I4481" t="s">
        <v>104</v>
      </c>
      <c r="J4481">
        <v>3450.94</v>
      </c>
      <c r="K4481">
        <v>500000</v>
      </c>
    </row>
    <row r="4482" spans="1:11" ht="15" customHeight="1" x14ac:dyDescent="0.2">
      <c r="A4482" t="s">
        <v>6195</v>
      </c>
      <c r="B4482" t="s">
        <v>7149</v>
      </c>
      <c r="C4482">
        <v>2024</v>
      </c>
      <c r="D4482">
        <v>2024</v>
      </c>
      <c r="E4482" s="7">
        <v>45616</v>
      </c>
      <c r="F4482" s="7">
        <v>45980</v>
      </c>
      <c r="G4482" t="s">
        <v>135</v>
      </c>
      <c r="H4482" t="s">
        <v>106</v>
      </c>
      <c r="I4482" t="s">
        <v>104</v>
      </c>
      <c r="J4482">
        <v>11588.71</v>
      </c>
      <c r="K4482">
        <v>1500000</v>
      </c>
    </row>
    <row r="4483" spans="1:11" ht="15" customHeight="1" x14ac:dyDescent="0.2">
      <c r="A4483" t="s">
        <v>6196</v>
      </c>
      <c r="B4483" t="s">
        <v>9344</v>
      </c>
      <c r="C4483">
        <v>2024</v>
      </c>
      <c r="D4483">
        <v>2024</v>
      </c>
      <c r="E4483" s="7">
        <v>45616</v>
      </c>
      <c r="F4483" s="7">
        <v>45980</v>
      </c>
      <c r="G4483" t="s">
        <v>135</v>
      </c>
      <c r="H4483" t="s">
        <v>113</v>
      </c>
      <c r="I4483" t="s">
        <v>101</v>
      </c>
      <c r="J4483">
        <v>11328.62</v>
      </c>
      <c r="K4483">
        <v>1500000</v>
      </c>
    </row>
    <row r="4484" spans="1:11" ht="15" customHeight="1" x14ac:dyDescent="0.2">
      <c r="A4484" t="s">
        <v>6197</v>
      </c>
      <c r="B4484" t="s">
        <v>9345</v>
      </c>
      <c r="C4484">
        <v>2024</v>
      </c>
      <c r="D4484">
        <v>2024</v>
      </c>
      <c r="E4484" s="7">
        <v>45616</v>
      </c>
      <c r="F4484" s="7">
        <v>45980</v>
      </c>
      <c r="G4484" t="s">
        <v>135</v>
      </c>
      <c r="H4484" t="s">
        <v>102</v>
      </c>
      <c r="I4484" t="s">
        <v>104</v>
      </c>
      <c r="J4484">
        <v>6204.57</v>
      </c>
      <c r="K4484">
        <v>1000000</v>
      </c>
    </row>
    <row r="4485" spans="1:11" ht="15" customHeight="1" x14ac:dyDescent="0.2">
      <c r="A4485" t="s">
        <v>6198</v>
      </c>
      <c r="B4485" t="s">
        <v>9346</v>
      </c>
      <c r="C4485">
        <v>2024</v>
      </c>
      <c r="D4485">
        <v>2024</v>
      </c>
      <c r="E4485" s="7">
        <v>45616</v>
      </c>
      <c r="F4485" s="7">
        <v>45980</v>
      </c>
      <c r="G4485" t="s">
        <v>135</v>
      </c>
      <c r="H4485" t="s">
        <v>6334</v>
      </c>
      <c r="I4485" t="s">
        <v>101</v>
      </c>
      <c r="J4485">
        <v>13991.52</v>
      </c>
      <c r="K4485">
        <v>2000000</v>
      </c>
    </row>
    <row r="4486" spans="1:11" ht="15" customHeight="1" x14ac:dyDescent="0.2">
      <c r="A4486" t="s">
        <v>6199</v>
      </c>
      <c r="B4486" t="s">
        <v>7070</v>
      </c>
      <c r="C4486">
        <v>2024</v>
      </c>
      <c r="D4486">
        <v>2024</v>
      </c>
      <c r="E4486" s="7">
        <v>45616</v>
      </c>
      <c r="F4486" s="7">
        <v>45980</v>
      </c>
      <c r="G4486" t="s">
        <v>135</v>
      </c>
      <c r="H4486" t="s">
        <v>113</v>
      </c>
      <c r="I4486" t="s">
        <v>101</v>
      </c>
      <c r="J4486">
        <v>36450.36</v>
      </c>
      <c r="K4486">
        <v>5000000</v>
      </c>
    </row>
    <row r="4487" spans="1:11" ht="15" customHeight="1" x14ac:dyDescent="0.2">
      <c r="A4487" t="s">
        <v>6200</v>
      </c>
      <c r="B4487" t="s">
        <v>7290</v>
      </c>
      <c r="C4487">
        <v>2024</v>
      </c>
      <c r="D4487">
        <v>2024</v>
      </c>
      <c r="E4487" s="7">
        <v>45616</v>
      </c>
      <c r="F4487" s="7">
        <v>45980</v>
      </c>
      <c r="G4487" t="s">
        <v>135</v>
      </c>
      <c r="H4487" t="s">
        <v>108</v>
      </c>
      <c r="I4487" t="s">
        <v>101</v>
      </c>
      <c r="J4487">
        <v>16420.54</v>
      </c>
      <c r="K4487">
        <v>2000000</v>
      </c>
    </row>
    <row r="4488" spans="1:11" ht="15" customHeight="1" x14ac:dyDescent="0.2">
      <c r="A4488" t="s">
        <v>6201</v>
      </c>
      <c r="B4488" t="s">
        <v>9347</v>
      </c>
      <c r="C4488">
        <v>2024</v>
      </c>
      <c r="D4488">
        <v>2024</v>
      </c>
      <c r="E4488" s="7">
        <v>45616</v>
      </c>
      <c r="F4488" s="7">
        <v>45980</v>
      </c>
      <c r="G4488" t="s">
        <v>135</v>
      </c>
      <c r="H4488" t="s">
        <v>111</v>
      </c>
      <c r="I4488" t="s">
        <v>101</v>
      </c>
      <c r="J4488">
        <v>14212.03</v>
      </c>
      <c r="K4488">
        <v>2000000</v>
      </c>
    </row>
    <row r="4489" spans="1:11" ht="15" customHeight="1" x14ac:dyDescent="0.2">
      <c r="A4489" t="s">
        <v>6202</v>
      </c>
      <c r="B4489" t="s">
        <v>7071</v>
      </c>
      <c r="C4489">
        <v>2024</v>
      </c>
      <c r="D4489">
        <v>2024</v>
      </c>
      <c r="E4489" s="7">
        <v>45616</v>
      </c>
      <c r="F4489" s="7">
        <v>45980</v>
      </c>
      <c r="G4489" t="s">
        <v>135</v>
      </c>
      <c r="H4489" t="s">
        <v>108</v>
      </c>
      <c r="I4489" t="s">
        <v>101</v>
      </c>
      <c r="J4489">
        <v>8504.5499999999993</v>
      </c>
      <c r="K4489">
        <v>1000000</v>
      </c>
    </row>
    <row r="4490" spans="1:11" ht="15" customHeight="1" x14ac:dyDescent="0.2">
      <c r="A4490" t="s">
        <v>6203</v>
      </c>
      <c r="B4490" t="s">
        <v>406</v>
      </c>
      <c r="C4490">
        <v>2024</v>
      </c>
      <c r="D4490">
        <v>2024</v>
      </c>
      <c r="E4490" s="7">
        <v>45616</v>
      </c>
      <c r="F4490" s="7">
        <v>45980</v>
      </c>
      <c r="G4490" t="s">
        <v>135</v>
      </c>
      <c r="H4490" t="s">
        <v>6348</v>
      </c>
      <c r="I4490" t="s">
        <v>101</v>
      </c>
      <c r="J4490">
        <v>9976.2000000000007</v>
      </c>
      <c r="K4490">
        <v>1500000</v>
      </c>
    </row>
    <row r="4491" spans="1:11" ht="15" customHeight="1" x14ac:dyDescent="0.2">
      <c r="A4491" t="s">
        <v>6204</v>
      </c>
      <c r="B4491" t="s">
        <v>9348</v>
      </c>
      <c r="C4491">
        <v>2024</v>
      </c>
      <c r="D4491">
        <v>2024</v>
      </c>
      <c r="E4491" s="7">
        <v>45616</v>
      </c>
      <c r="F4491" s="7">
        <v>45980</v>
      </c>
      <c r="G4491" t="s">
        <v>135</v>
      </c>
      <c r="H4491" t="s">
        <v>113</v>
      </c>
      <c r="I4491" t="s">
        <v>101</v>
      </c>
      <c r="J4491">
        <v>69049.31</v>
      </c>
      <c r="K4491">
        <v>10000000</v>
      </c>
    </row>
    <row r="4492" spans="1:11" ht="15" customHeight="1" x14ac:dyDescent="0.2">
      <c r="A4492" t="s">
        <v>6205</v>
      </c>
      <c r="B4492" t="s">
        <v>7064</v>
      </c>
      <c r="C4492">
        <v>2024</v>
      </c>
      <c r="D4492">
        <v>2024</v>
      </c>
      <c r="E4492" s="7">
        <v>45616</v>
      </c>
      <c r="F4492" s="7">
        <v>45980</v>
      </c>
      <c r="G4492" t="s">
        <v>135</v>
      </c>
      <c r="H4492" t="s">
        <v>115</v>
      </c>
      <c r="I4492" t="s">
        <v>104</v>
      </c>
      <c r="J4492">
        <v>5271.42</v>
      </c>
      <c r="K4492">
        <v>1000000</v>
      </c>
    </row>
    <row r="4493" spans="1:11" ht="15" customHeight="1" x14ac:dyDescent="0.2">
      <c r="A4493" t="s">
        <v>6206</v>
      </c>
      <c r="B4493" t="s">
        <v>4779</v>
      </c>
      <c r="C4493">
        <v>2024</v>
      </c>
      <c r="D4493">
        <v>2024</v>
      </c>
      <c r="E4493" s="7">
        <v>45617</v>
      </c>
      <c r="F4493" s="7">
        <v>45981</v>
      </c>
      <c r="G4493" t="s">
        <v>99</v>
      </c>
      <c r="H4493" t="s">
        <v>102</v>
      </c>
      <c r="I4493" t="s">
        <v>101</v>
      </c>
      <c r="J4493">
        <v>13665.82</v>
      </c>
      <c r="K4493">
        <v>2000000</v>
      </c>
    </row>
    <row r="4494" spans="1:11" ht="15" customHeight="1" x14ac:dyDescent="0.2">
      <c r="A4494" t="s">
        <v>6207</v>
      </c>
      <c r="B4494" t="s">
        <v>4781</v>
      </c>
      <c r="C4494">
        <v>2024</v>
      </c>
      <c r="D4494">
        <v>2024</v>
      </c>
      <c r="E4494" s="7">
        <v>45617</v>
      </c>
      <c r="F4494" s="7">
        <v>45981</v>
      </c>
      <c r="G4494" t="s">
        <v>99</v>
      </c>
      <c r="H4494" t="s">
        <v>111</v>
      </c>
      <c r="I4494" t="s">
        <v>101</v>
      </c>
      <c r="J4494">
        <v>7438.14</v>
      </c>
      <c r="K4494">
        <v>1000000</v>
      </c>
    </row>
    <row r="4495" spans="1:11" ht="15" customHeight="1" x14ac:dyDescent="0.2">
      <c r="A4495" t="s">
        <v>6208</v>
      </c>
      <c r="B4495" t="s">
        <v>4784</v>
      </c>
      <c r="C4495">
        <v>2024</v>
      </c>
      <c r="D4495">
        <v>2024</v>
      </c>
      <c r="E4495" s="7">
        <v>45617</v>
      </c>
      <c r="F4495" s="7">
        <v>45981</v>
      </c>
      <c r="G4495" t="s">
        <v>99</v>
      </c>
      <c r="H4495" t="s">
        <v>112</v>
      </c>
      <c r="I4495" t="s">
        <v>104</v>
      </c>
      <c r="J4495">
        <v>7113.78</v>
      </c>
      <c r="K4495">
        <v>1000000</v>
      </c>
    </row>
    <row r="4496" spans="1:11" ht="15" customHeight="1" x14ac:dyDescent="0.2">
      <c r="A4496" t="s">
        <v>6209</v>
      </c>
      <c r="B4496" t="s">
        <v>180</v>
      </c>
      <c r="C4496">
        <v>2024</v>
      </c>
      <c r="D4496">
        <v>2024</v>
      </c>
      <c r="E4496" s="7">
        <v>45617</v>
      </c>
      <c r="F4496" s="7">
        <v>45981</v>
      </c>
      <c r="G4496" t="s">
        <v>135</v>
      </c>
      <c r="H4496" t="s">
        <v>115</v>
      </c>
      <c r="I4496" t="s">
        <v>104</v>
      </c>
      <c r="J4496">
        <v>9088.98</v>
      </c>
      <c r="K4496">
        <v>1500000</v>
      </c>
    </row>
    <row r="4497" spans="1:11" ht="15" customHeight="1" x14ac:dyDescent="0.2">
      <c r="A4497" t="s">
        <v>6210</v>
      </c>
      <c r="B4497" t="s">
        <v>7082</v>
      </c>
      <c r="C4497">
        <v>2024</v>
      </c>
      <c r="D4497">
        <v>2024</v>
      </c>
      <c r="E4497" s="7">
        <v>45617</v>
      </c>
      <c r="F4497" s="7">
        <v>45981</v>
      </c>
      <c r="G4497" t="s">
        <v>135</v>
      </c>
      <c r="H4497" t="s">
        <v>103</v>
      </c>
      <c r="I4497" t="s">
        <v>101</v>
      </c>
      <c r="J4497">
        <v>3870</v>
      </c>
      <c r="K4497">
        <v>500000</v>
      </c>
    </row>
    <row r="4498" spans="1:11" ht="15" customHeight="1" x14ac:dyDescent="0.2">
      <c r="A4498" t="s">
        <v>6211</v>
      </c>
      <c r="B4498" t="s">
        <v>9349</v>
      </c>
      <c r="C4498">
        <v>2024</v>
      </c>
      <c r="D4498">
        <v>2024</v>
      </c>
      <c r="E4498" s="7">
        <v>45617</v>
      </c>
      <c r="F4498" s="7">
        <v>45981</v>
      </c>
      <c r="G4498" t="s">
        <v>135</v>
      </c>
      <c r="H4498" t="s">
        <v>110</v>
      </c>
      <c r="I4498" t="s">
        <v>104</v>
      </c>
      <c r="J4498">
        <v>15324.39</v>
      </c>
      <c r="K4498">
        <v>2000000</v>
      </c>
    </row>
    <row r="4499" spans="1:11" ht="15" customHeight="1" x14ac:dyDescent="0.2">
      <c r="A4499" t="s">
        <v>6212</v>
      </c>
      <c r="B4499" t="s">
        <v>9350</v>
      </c>
      <c r="C4499">
        <v>2024</v>
      </c>
      <c r="D4499">
        <v>2024</v>
      </c>
      <c r="E4499" s="7">
        <v>45617</v>
      </c>
      <c r="F4499" s="7">
        <v>45981</v>
      </c>
      <c r="G4499" t="s">
        <v>135</v>
      </c>
      <c r="H4499" t="s">
        <v>106</v>
      </c>
      <c r="I4499" t="s">
        <v>101</v>
      </c>
      <c r="J4499">
        <v>8827.99</v>
      </c>
      <c r="K4499">
        <v>1000000</v>
      </c>
    </row>
    <row r="4500" spans="1:11" ht="15" customHeight="1" x14ac:dyDescent="0.2">
      <c r="A4500" t="s">
        <v>6213</v>
      </c>
      <c r="B4500" t="s">
        <v>9351</v>
      </c>
      <c r="C4500">
        <v>2024</v>
      </c>
      <c r="D4500">
        <v>2024</v>
      </c>
      <c r="E4500" s="7">
        <v>45617</v>
      </c>
      <c r="F4500" s="7">
        <v>45981</v>
      </c>
      <c r="G4500" t="s">
        <v>135</v>
      </c>
      <c r="H4500" t="s">
        <v>107</v>
      </c>
      <c r="I4500" t="s">
        <v>101</v>
      </c>
      <c r="J4500">
        <v>7046.55</v>
      </c>
      <c r="K4500">
        <v>1000000</v>
      </c>
    </row>
    <row r="4501" spans="1:11" ht="15" customHeight="1" x14ac:dyDescent="0.2">
      <c r="A4501" t="s">
        <v>6214</v>
      </c>
      <c r="B4501" t="s">
        <v>9352</v>
      </c>
      <c r="C4501">
        <v>2024</v>
      </c>
      <c r="D4501">
        <v>2024</v>
      </c>
      <c r="E4501" s="7">
        <v>45617</v>
      </c>
      <c r="F4501" s="7">
        <v>45981</v>
      </c>
      <c r="G4501" t="s">
        <v>135</v>
      </c>
      <c r="H4501" t="s">
        <v>108</v>
      </c>
      <c r="I4501" t="s">
        <v>101</v>
      </c>
      <c r="J4501">
        <v>18631.09</v>
      </c>
      <c r="K4501">
        <v>2000000</v>
      </c>
    </row>
    <row r="4502" spans="1:11" ht="15" customHeight="1" x14ac:dyDescent="0.2">
      <c r="A4502" t="s">
        <v>6215</v>
      </c>
      <c r="B4502" t="s">
        <v>9353</v>
      </c>
      <c r="C4502">
        <v>2024</v>
      </c>
      <c r="D4502">
        <v>2024</v>
      </c>
      <c r="E4502" s="7">
        <v>45617</v>
      </c>
      <c r="F4502" s="7">
        <v>45981</v>
      </c>
      <c r="G4502" t="s">
        <v>135</v>
      </c>
      <c r="H4502" t="s">
        <v>106</v>
      </c>
      <c r="I4502" t="s">
        <v>101</v>
      </c>
      <c r="J4502">
        <v>9427.2800000000007</v>
      </c>
      <c r="K4502">
        <v>1000000</v>
      </c>
    </row>
    <row r="4503" spans="1:11" ht="15" customHeight="1" x14ac:dyDescent="0.2">
      <c r="A4503" t="s">
        <v>6216</v>
      </c>
      <c r="B4503" t="s">
        <v>1114</v>
      </c>
      <c r="C4503">
        <v>2024</v>
      </c>
      <c r="D4503">
        <v>2024</v>
      </c>
      <c r="E4503" s="7">
        <v>45617</v>
      </c>
      <c r="F4503" s="7">
        <v>45981</v>
      </c>
      <c r="G4503" t="s">
        <v>135</v>
      </c>
      <c r="H4503" t="s">
        <v>115</v>
      </c>
      <c r="I4503" t="s">
        <v>101</v>
      </c>
      <c r="J4503">
        <v>13335.49</v>
      </c>
      <c r="K4503">
        <v>2000000</v>
      </c>
    </row>
    <row r="4504" spans="1:11" ht="15" customHeight="1" x14ac:dyDescent="0.2">
      <c r="A4504" t="s">
        <v>6217</v>
      </c>
      <c r="B4504" t="s">
        <v>9354</v>
      </c>
      <c r="C4504">
        <v>2024</v>
      </c>
      <c r="D4504">
        <v>2024</v>
      </c>
      <c r="E4504" s="7">
        <v>45617</v>
      </c>
      <c r="F4504" s="7">
        <v>45981</v>
      </c>
      <c r="G4504" t="s">
        <v>135</v>
      </c>
      <c r="H4504" t="s">
        <v>106</v>
      </c>
      <c r="I4504" t="s">
        <v>101</v>
      </c>
      <c r="J4504">
        <v>95567.88</v>
      </c>
      <c r="K4504">
        <v>10000000</v>
      </c>
    </row>
    <row r="4505" spans="1:11" ht="15" customHeight="1" x14ac:dyDescent="0.2">
      <c r="A4505" t="s">
        <v>6218</v>
      </c>
      <c r="B4505" t="s">
        <v>4786</v>
      </c>
      <c r="C4505">
        <v>2024</v>
      </c>
      <c r="D4505">
        <v>2024</v>
      </c>
      <c r="E4505" s="7">
        <v>45618</v>
      </c>
      <c r="F4505" s="7">
        <v>45982</v>
      </c>
      <c r="G4505" t="s">
        <v>99</v>
      </c>
      <c r="H4505" t="s">
        <v>114</v>
      </c>
      <c r="I4505" t="s">
        <v>104</v>
      </c>
      <c r="J4505">
        <v>5794.27</v>
      </c>
      <c r="K4505">
        <v>1000000</v>
      </c>
    </row>
    <row r="4506" spans="1:11" ht="15" customHeight="1" x14ac:dyDescent="0.2">
      <c r="A4506" t="s">
        <v>6219</v>
      </c>
      <c r="B4506" t="s">
        <v>9355</v>
      </c>
      <c r="C4506">
        <v>2024</v>
      </c>
      <c r="D4506">
        <v>2024</v>
      </c>
      <c r="E4506" s="7">
        <v>45618</v>
      </c>
      <c r="F4506" s="7">
        <v>45982</v>
      </c>
      <c r="G4506" t="s">
        <v>135</v>
      </c>
      <c r="H4506" t="s">
        <v>107</v>
      </c>
      <c r="I4506" t="s">
        <v>104</v>
      </c>
      <c r="J4506">
        <v>8120.91</v>
      </c>
      <c r="K4506">
        <v>1500000</v>
      </c>
    </row>
    <row r="4507" spans="1:11" ht="15" customHeight="1" x14ac:dyDescent="0.2">
      <c r="A4507" t="s">
        <v>6220</v>
      </c>
      <c r="B4507" t="s">
        <v>7166</v>
      </c>
      <c r="C4507">
        <v>2024</v>
      </c>
      <c r="D4507">
        <v>2024</v>
      </c>
      <c r="E4507" s="7">
        <v>45618</v>
      </c>
      <c r="F4507" s="7">
        <v>45982</v>
      </c>
      <c r="G4507" t="s">
        <v>135</v>
      </c>
      <c r="H4507" t="s">
        <v>103</v>
      </c>
      <c r="I4507" t="s">
        <v>101</v>
      </c>
      <c r="J4507">
        <v>6970.44</v>
      </c>
      <c r="K4507">
        <v>1000000</v>
      </c>
    </row>
    <row r="4508" spans="1:11" ht="15" customHeight="1" x14ac:dyDescent="0.2">
      <c r="A4508" t="s">
        <v>6221</v>
      </c>
      <c r="B4508" t="s">
        <v>9356</v>
      </c>
      <c r="C4508">
        <v>2024</v>
      </c>
      <c r="D4508">
        <v>2024</v>
      </c>
      <c r="E4508" s="7">
        <v>45618</v>
      </c>
      <c r="F4508" s="7">
        <v>45982</v>
      </c>
      <c r="G4508" t="s">
        <v>135</v>
      </c>
      <c r="H4508" t="s">
        <v>102</v>
      </c>
      <c r="I4508" t="s">
        <v>101</v>
      </c>
      <c r="J4508">
        <v>74535.839999999997</v>
      </c>
      <c r="K4508">
        <v>10000000</v>
      </c>
    </row>
    <row r="4509" spans="1:11" ht="15" customHeight="1" x14ac:dyDescent="0.2">
      <c r="A4509" t="s">
        <v>6222</v>
      </c>
      <c r="B4509" t="s">
        <v>229</v>
      </c>
      <c r="C4509">
        <v>2024</v>
      </c>
      <c r="D4509">
        <v>2024</v>
      </c>
      <c r="E4509" s="7">
        <v>45618</v>
      </c>
      <c r="F4509" s="7">
        <v>45982</v>
      </c>
      <c r="G4509" t="s">
        <v>135</v>
      </c>
      <c r="H4509" t="s">
        <v>102</v>
      </c>
      <c r="I4509" t="s">
        <v>101</v>
      </c>
      <c r="J4509">
        <v>77345.83</v>
      </c>
      <c r="K4509">
        <v>10000000</v>
      </c>
    </row>
    <row r="4510" spans="1:11" ht="15" customHeight="1" x14ac:dyDescent="0.2">
      <c r="A4510" t="s">
        <v>6223</v>
      </c>
      <c r="B4510" t="s">
        <v>7165</v>
      </c>
      <c r="C4510">
        <v>2024</v>
      </c>
      <c r="D4510">
        <v>2024</v>
      </c>
      <c r="E4510" s="7">
        <v>45618</v>
      </c>
      <c r="F4510" s="7">
        <v>45982</v>
      </c>
      <c r="G4510" t="s">
        <v>135</v>
      </c>
      <c r="H4510" t="s">
        <v>105</v>
      </c>
      <c r="I4510" t="s">
        <v>101</v>
      </c>
      <c r="J4510">
        <v>11402.84</v>
      </c>
      <c r="K4510">
        <v>1500000</v>
      </c>
    </row>
    <row r="4511" spans="1:11" ht="15" customHeight="1" x14ac:dyDescent="0.2">
      <c r="A4511" t="s">
        <v>6224</v>
      </c>
      <c r="B4511" t="s">
        <v>1115</v>
      </c>
      <c r="C4511">
        <v>2024</v>
      </c>
      <c r="D4511">
        <v>2024</v>
      </c>
      <c r="E4511" s="7">
        <v>45618</v>
      </c>
      <c r="F4511" s="7">
        <v>45982</v>
      </c>
      <c r="G4511" t="s">
        <v>135</v>
      </c>
      <c r="H4511" t="s">
        <v>109</v>
      </c>
      <c r="I4511" t="s">
        <v>104</v>
      </c>
      <c r="J4511">
        <v>8735.39</v>
      </c>
      <c r="K4511">
        <v>1500000</v>
      </c>
    </row>
    <row r="4512" spans="1:11" ht="15" customHeight="1" x14ac:dyDescent="0.2">
      <c r="A4512" t="s">
        <v>6225</v>
      </c>
      <c r="B4512" t="s">
        <v>7076</v>
      </c>
      <c r="C4512">
        <v>2024</v>
      </c>
      <c r="D4512">
        <v>2024</v>
      </c>
      <c r="E4512" s="7">
        <v>45618</v>
      </c>
      <c r="F4512" s="7">
        <v>45982</v>
      </c>
      <c r="G4512" t="s">
        <v>135</v>
      </c>
      <c r="H4512" t="s">
        <v>105</v>
      </c>
      <c r="I4512" t="s">
        <v>104</v>
      </c>
      <c r="J4512">
        <v>5284.02</v>
      </c>
      <c r="K4512">
        <v>1000000</v>
      </c>
    </row>
    <row r="4513" spans="1:11" ht="15" customHeight="1" x14ac:dyDescent="0.2">
      <c r="A4513" t="s">
        <v>6226</v>
      </c>
      <c r="B4513" t="s">
        <v>645</v>
      </c>
      <c r="C4513">
        <v>2024</v>
      </c>
      <c r="D4513">
        <v>2024</v>
      </c>
      <c r="E4513" s="7">
        <v>45618</v>
      </c>
      <c r="F4513" s="7">
        <v>45982</v>
      </c>
      <c r="G4513" t="s">
        <v>135</v>
      </c>
      <c r="H4513" t="s">
        <v>102</v>
      </c>
      <c r="I4513" t="s">
        <v>101</v>
      </c>
      <c r="J4513">
        <v>6976.43</v>
      </c>
      <c r="K4513">
        <v>1000000</v>
      </c>
    </row>
    <row r="4514" spans="1:11" ht="15" customHeight="1" x14ac:dyDescent="0.2">
      <c r="A4514" t="s">
        <v>6227</v>
      </c>
      <c r="B4514" t="s">
        <v>7073</v>
      </c>
      <c r="C4514">
        <v>2024</v>
      </c>
      <c r="D4514">
        <v>2024</v>
      </c>
      <c r="E4514" s="7">
        <v>45618</v>
      </c>
      <c r="F4514" s="7">
        <v>45982</v>
      </c>
      <c r="G4514" t="s">
        <v>135</v>
      </c>
      <c r="H4514" t="s">
        <v>106</v>
      </c>
      <c r="I4514" t="s">
        <v>101</v>
      </c>
      <c r="J4514">
        <v>4575.24</v>
      </c>
      <c r="K4514">
        <v>500000</v>
      </c>
    </row>
    <row r="4515" spans="1:11" ht="15" customHeight="1" x14ac:dyDescent="0.2">
      <c r="A4515" t="s">
        <v>6228</v>
      </c>
      <c r="B4515" t="s">
        <v>9357</v>
      </c>
      <c r="C4515">
        <v>2024</v>
      </c>
      <c r="D4515">
        <v>2024</v>
      </c>
      <c r="E4515" s="7">
        <v>45618</v>
      </c>
      <c r="F4515" s="7">
        <v>45982</v>
      </c>
      <c r="G4515" t="s">
        <v>135</v>
      </c>
      <c r="H4515" t="s">
        <v>6334</v>
      </c>
      <c r="I4515" t="s">
        <v>104</v>
      </c>
      <c r="J4515">
        <v>8077.48</v>
      </c>
      <c r="K4515">
        <v>1500000</v>
      </c>
    </row>
    <row r="4516" spans="1:11" ht="15" customHeight="1" x14ac:dyDescent="0.2">
      <c r="A4516" t="s">
        <v>6229</v>
      </c>
      <c r="B4516" t="s">
        <v>4788</v>
      </c>
      <c r="C4516">
        <v>2024</v>
      </c>
      <c r="D4516">
        <v>2024</v>
      </c>
      <c r="E4516" s="7">
        <v>45619</v>
      </c>
      <c r="F4516" s="7">
        <v>45983</v>
      </c>
      <c r="G4516" t="s">
        <v>99</v>
      </c>
      <c r="H4516" t="s">
        <v>108</v>
      </c>
      <c r="I4516" t="s">
        <v>104</v>
      </c>
      <c r="J4516">
        <v>39112.410000000003</v>
      </c>
      <c r="K4516">
        <v>5000000</v>
      </c>
    </row>
    <row r="4517" spans="1:11" ht="15" customHeight="1" x14ac:dyDescent="0.2">
      <c r="A4517" t="s">
        <v>6230</v>
      </c>
      <c r="B4517" t="s">
        <v>4796</v>
      </c>
      <c r="C4517">
        <v>2024</v>
      </c>
      <c r="D4517">
        <v>2024</v>
      </c>
      <c r="E4517" s="7">
        <v>45619</v>
      </c>
      <c r="F4517" s="7">
        <v>45983</v>
      </c>
      <c r="G4517" t="s">
        <v>99</v>
      </c>
      <c r="H4517" t="s">
        <v>110</v>
      </c>
      <c r="I4517" t="s">
        <v>101</v>
      </c>
      <c r="J4517">
        <v>9457.8700000000008</v>
      </c>
      <c r="K4517">
        <v>1000000</v>
      </c>
    </row>
    <row r="4518" spans="1:11" ht="15" customHeight="1" x14ac:dyDescent="0.2">
      <c r="A4518" t="s">
        <v>6231</v>
      </c>
      <c r="B4518" t="s">
        <v>4798</v>
      </c>
      <c r="C4518">
        <v>2024</v>
      </c>
      <c r="D4518">
        <v>2024</v>
      </c>
      <c r="E4518" s="7">
        <v>45619</v>
      </c>
      <c r="F4518" s="7">
        <v>45983</v>
      </c>
      <c r="G4518" t="s">
        <v>99</v>
      </c>
      <c r="H4518" t="s">
        <v>112</v>
      </c>
      <c r="I4518" t="s">
        <v>101</v>
      </c>
      <c r="J4518">
        <v>14195.54</v>
      </c>
      <c r="K4518">
        <v>1500000</v>
      </c>
    </row>
    <row r="4519" spans="1:11" ht="15" customHeight="1" x14ac:dyDescent="0.2">
      <c r="A4519" t="s">
        <v>6232</v>
      </c>
      <c r="B4519" t="s">
        <v>4800</v>
      </c>
      <c r="C4519">
        <v>2024</v>
      </c>
      <c r="D4519">
        <v>2024</v>
      </c>
      <c r="E4519" s="7">
        <v>45619</v>
      </c>
      <c r="F4519" s="7">
        <v>45983</v>
      </c>
      <c r="G4519" t="s">
        <v>99</v>
      </c>
      <c r="H4519" t="s">
        <v>102</v>
      </c>
      <c r="I4519" t="s">
        <v>101</v>
      </c>
      <c r="J4519">
        <v>3392.28</v>
      </c>
      <c r="K4519">
        <v>500000</v>
      </c>
    </row>
    <row r="4520" spans="1:11" ht="15" customHeight="1" x14ac:dyDescent="0.2">
      <c r="A4520" t="s">
        <v>6233</v>
      </c>
      <c r="B4520" t="s">
        <v>7195</v>
      </c>
      <c r="C4520">
        <v>2024</v>
      </c>
      <c r="D4520">
        <v>2024</v>
      </c>
      <c r="E4520" s="7">
        <v>45619</v>
      </c>
      <c r="F4520" s="7">
        <v>45983</v>
      </c>
      <c r="G4520" t="s">
        <v>135</v>
      </c>
      <c r="H4520" t="s">
        <v>102</v>
      </c>
      <c r="I4520" t="s">
        <v>101</v>
      </c>
      <c r="J4520">
        <v>11339</v>
      </c>
      <c r="K4520">
        <v>1500000</v>
      </c>
    </row>
    <row r="4521" spans="1:11" ht="15" customHeight="1" x14ac:dyDescent="0.2">
      <c r="A4521" t="s">
        <v>6234</v>
      </c>
      <c r="B4521" t="s">
        <v>7079</v>
      </c>
      <c r="C4521">
        <v>2024</v>
      </c>
      <c r="D4521">
        <v>2024</v>
      </c>
      <c r="E4521" s="7">
        <v>45619</v>
      </c>
      <c r="F4521" s="7">
        <v>45983</v>
      </c>
      <c r="G4521" t="s">
        <v>135</v>
      </c>
      <c r="H4521" t="s">
        <v>109</v>
      </c>
      <c r="I4521" t="s">
        <v>101</v>
      </c>
      <c r="J4521">
        <v>10199.24</v>
      </c>
      <c r="K4521">
        <v>1500000</v>
      </c>
    </row>
    <row r="4522" spans="1:11" ht="15" customHeight="1" x14ac:dyDescent="0.2">
      <c r="A4522" t="s">
        <v>6235</v>
      </c>
      <c r="B4522" t="s">
        <v>9358</v>
      </c>
      <c r="C4522">
        <v>2024</v>
      </c>
      <c r="D4522">
        <v>2024</v>
      </c>
      <c r="E4522" s="7">
        <v>45619</v>
      </c>
      <c r="F4522" s="7">
        <v>45983</v>
      </c>
      <c r="G4522" t="s">
        <v>135</v>
      </c>
      <c r="H4522" t="s">
        <v>105</v>
      </c>
      <c r="I4522" t="s">
        <v>101</v>
      </c>
      <c r="J4522">
        <v>14565.61</v>
      </c>
      <c r="K4522">
        <v>2000000</v>
      </c>
    </row>
    <row r="4523" spans="1:11" ht="15" customHeight="1" x14ac:dyDescent="0.2">
      <c r="A4523" t="s">
        <v>6236</v>
      </c>
      <c r="B4523" t="s">
        <v>7152</v>
      </c>
      <c r="C4523">
        <v>2024</v>
      </c>
      <c r="D4523">
        <v>2024</v>
      </c>
      <c r="E4523" s="7">
        <v>45619</v>
      </c>
      <c r="F4523" s="7">
        <v>45983</v>
      </c>
      <c r="G4523" t="s">
        <v>135</v>
      </c>
      <c r="H4523" t="s">
        <v>111</v>
      </c>
      <c r="I4523" t="s">
        <v>101</v>
      </c>
      <c r="J4523">
        <v>10810.51</v>
      </c>
      <c r="K4523">
        <v>1500000</v>
      </c>
    </row>
    <row r="4524" spans="1:11" ht="15" customHeight="1" x14ac:dyDescent="0.2">
      <c r="A4524" t="s">
        <v>6237</v>
      </c>
      <c r="B4524" t="s">
        <v>9359</v>
      </c>
      <c r="C4524">
        <v>2024</v>
      </c>
      <c r="D4524">
        <v>2024</v>
      </c>
      <c r="E4524" s="7">
        <v>45619</v>
      </c>
      <c r="F4524" s="7">
        <v>45983</v>
      </c>
      <c r="G4524" t="s">
        <v>135</v>
      </c>
      <c r="H4524" t="s">
        <v>106</v>
      </c>
      <c r="I4524" t="s">
        <v>104</v>
      </c>
      <c r="J4524">
        <v>13173.92</v>
      </c>
      <c r="K4524">
        <v>2000000</v>
      </c>
    </row>
    <row r="4525" spans="1:11" ht="15" customHeight="1" x14ac:dyDescent="0.2">
      <c r="A4525" t="s">
        <v>6238</v>
      </c>
      <c r="B4525" t="s">
        <v>1116</v>
      </c>
      <c r="C4525">
        <v>2024</v>
      </c>
      <c r="D4525">
        <v>2024</v>
      </c>
      <c r="E4525" s="7">
        <v>45619</v>
      </c>
      <c r="F4525" s="7">
        <v>45983</v>
      </c>
      <c r="G4525" t="s">
        <v>135</v>
      </c>
      <c r="H4525" t="s">
        <v>103</v>
      </c>
      <c r="I4525" t="s">
        <v>101</v>
      </c>
      <c r="J4525">
        <v>3675.63</v>
      </c>
      <c r="K4525">
        <v>500000</v>
      </c>
    </row>
    <row r="4526" spans="1:11" ht="15" customHeight="1" x14ac:dyDescent="0.2">
      <c r="A4526" t="s">
        <v>6239</v>
      </c>
      <c r="B4526" t="s">
        <v>7169</v>
      </c>
      <c r="C4526">
        <v>2024</v>
      </c>
      <c r="D4526">
        <v>2024</v>
      </c>
      <c r="E4526" s="7">
        <v>45619</v>
      </c>
      <c r="F4526" s="7">
        <v>45983</v>
      </c>
      <c r="G4526" t="s">
        <v>135</v>
      </c>
      <c r="H4526" t="s">
        <v>109</v>
      </c>
      <c r="I4526" t="s">
        <v>101</v>
      </c>
      <c r="J4526">
        <v>7084.86</v>
      </c>
      <c r="K4526">
        <v>1000000</v>
      </c>
    </row>
    <row r="4527" spans="1:11" ht="15" customHeight="1" x14ac:dyDescent="0.2">
      <c r="A4527" t="s">
        <v>6240</v>
      </c>
      <c r="B4527" t="s">
        <v>7077</v>
      </c>
      <c r="C4527">
        <v>2024</v>
      </c>
      <c r="D4527">
        <v>2024</v>
      </c>
      <c r="E4527" s="7">
        <v>45619</v>
      </c>
      <c r="F4527" s="7">
        <v>45983</v>
      </c>
      <c r="G4527" t="s">
        <v>135</v>
      </c>
      <c r="H4527" t="s">
        <v>114</v>
      </c>
      <c r="I4527" t="s">
        <v>104</v>
      </c>
      <c r="J4527">
        <v>5742.34</v>
      </c>
      <c r="K4527">
        <v>1000000</v>
      </c>
    </row>
    <row r="4528" spans="1:11" ht="15" customHeight="1" x14ac:dyDescent="0.2">
      <c r="A4528" t="s">
        <v>6241</v>
      </c>
      <c r="B4528" t="s">
        <v>9360</v>
      </c>
      <c r="C4528">
        <v>2024</v>
      </c>
      <c r="D4528">
        <v>2024</v>
      </c>
      <c r="E4528" s="7">
        <v>45619</v>
      </c>
      <c r="F4528" s="7">
        <v>45983</v>
      </c>
      <c r="G4528" t="s">
        <v>135</v>
      </c>
      <c r="H4528" t="s">
        <v>105</v>
      </c>
      <c r="I4528" t="s">
        <v>101</v>
      </c>
      <c r="J4528">
        <v>7591.94</v>
      </c>
      <c r="K4528">
        <v>1000000</v>
      </c>
    </row>
    <row r="4529" spans="1:11" ht="15" customHeight="1" x14ac:dyDescent="0.2">
      <c r="A4529" t="s">
        <v>6242</v>
      </c>
      <c r="B4529" t="s">
        <v>9361</v>
      </c>
      <c r="C4529">
        <v>2024</v>
      </c>
      <c r="D4529">
        <v>2024</v>
      </c>
      <c r="E4529" s="7">
        <v>45619</v>
      </c>
      <c r="F4529" s="7">
        <v>45983</v>
      </c>
      <c r="G4529" t="s">
        <v>135</v>
      </c>
      <c r="H4529" t="s">
        <v>110</v>
      </c>
      <c r="I4529" t="s">
        <v>104</v>
      </c>
      <c r="J4529">
        <v>37116.18</v>
      </c>
      <c r="K4529">
        <v>5000000</v>
      </c>
    </row>
    <row r="4530" spans="1:11" ht="15" customHeight="1" x14ac:dyDescent="0.2">
      <c r="A4530" t="s">
        <v>6243</v>
      </c>
      <c r="B4530" t="s">
        <v>4801</v>
      </c>
      <c r="C4530">
        <v>2024</v>
      </c>
      <c r="D4530">
        <v>2024</v>
      </c>
      <c r="E4530" s="7">
        <v>45620</v>
      </c>
      <c r="F4530" s="7">
        <v>45984</v>
      </c>
      <c r="G4530" t="s">
        <v>99</v>
      </c>
      <c r="H4530" t="s">
        <v>106</v>
      </c>
      <c r="I4530" t="s">
        <v>104</v>
      </c>
      <c r="J4530">
        <v>11278.39</v>
      </c>
      <c r="K4530">
        <v>1500000</v>
      </c>
    </row>
    <row r="4531" spans="1:11" ht="15" customHeight="1" x14ac:dyDescent="0.2">
      <c r="A4531" t="s">
        <v>6244</v>
      </c>
      <c r="B4531" t="s">
        <v>9362</v>
      </c>
      <c r="C4531">
        <v>2024</v>
      </c>
      <c r="D4531">
        <v>2024</v>
      </c>
      <c r="E4531" s="7">
        <v>45620</v>
      </c>
      <c r="F4531" s="7">
        <v>45984</v>
      </c>
      <c r="G4531" t="s">
        <v>135</v>
      </c>
      <c r="H4531" t="s">
        <v>111</v>
      </c>
      <c r="I4531" t="s">
        <v>104</v>
      </c>
      <c r="J4531">
        <v>25876.560000000001</v>
      </c>
      <c r="K4531">
        <v>5000000</v>
      </c>
    </row>
    <row r="4532" spans="1:11" ht="15" customHeight="1" x14ac:dyDescent="0.2">
      <c r="A4532" t="s">
        <v>6245</v>
      </c>
      <c r="B4532" t="s">
        <v>9363</v>
      </c>
      <c r="C4532">
        <v>2024</v>
      </c>
      <c r="D4532">
        <v>2024</v>
      </c>
      <c r="E4532" s="7">
        <v>45620</v>
      </c>
      <c r="F4532" s="7">
        <v>45984</v>
      </c>
      <c r="G4532" t="s">
        <v>135</v>
      </c>
      <c r="H4532" t="s">
        <v>109</v>
      </c>
      <c r="I4532" t="s">
        <v>101</v>
      </c>
      <c r="J4532">
        <v>15371.41</v>
      </c>
      <c r="K4532">
        <v>2000000</v>
      </c>
    </row>
    <row r="4533" spans="1:11" ht="15" customHeight="1" x14ac:dyDescent="0.2">
      <c r="A4533" t="s">
        <v>6246</v>
      </c>
      <c r="B4533" t="s">
        <v>9364</v>
      </c>
      <c r="C4533">
        <v>2024</v>
      </c>
      <c r="D4533">
        <v>2024</v>
      </c>
      <c r="E4533" s="7">
        <v>45620</v>
      </c>
      <c r="F4533" s="7">
        <v>45984</v>
      </c>
      <c r="G4533" t="s">
        <v>135</v>
      </c>
      <c r="H4533" t="s">
        <v>106</v>
      </c>
      <c r="I4533" t="s">
        <v>104</v>
      </c>
      <c r="J4533">
        <v>11061.97</v>
      </c>
      <c r="K4533">
        <v>1500000</v>
      </c>
    </row>
    <row r="4534" spans="1:11" ht="15" customHeight="1" x14ac:dyDescent="0.2">
      <c r="A4534" t="s">
        <v>6247</v>
      </c>
      <c r="B4534" t="s">
        <v>1117</v>
      </c>
      <c r="C4534">
        <v>2024</v>
      </c>
      <c r="D4534">
        <v>2024</v>
      </c>
      <c r="E4534" s="7">
        <v>45620</v>
      </c>
      <c r="F4534" s="7">
        <v>45984</v>
      </c>
      <c r="G4534" t="s">
        <v>135</v>
      </c>
      <c r="H4534" t="s">
        <v>102</v>
      </c>
      <c r="I4534" t="s">
        <v>104</v>
      </c>
      <c r="J4534">
        <v>2737.46</v>
      </c>
      <c r="K4534">
        <v>500000</v>
      </c>
    </row>
    <row r="4535" spans="1:11" ht="15" customHeight="1" x14ac:dyDescent="0.2">
      <c r="A4535" t="s">
        <v>6248</v>
      </c>
      <c r="B4535" t="s">
        <v>646</v>
      </c>
      <c r="C4535">
        <v>2024</v>
      </c>
      <c r="D4535">
        <v>2024</v>
      </c>
      <c r="E4535" s="7">
        <v>45620</v>
      </c>
      <c r="F4535" s="7">
        <v>45984</v>
      </c>
      <c r="G4535" t="s">
        <v>135</v>
      </c>
      <c r="H4535" t="s">
        <v>106</v>
      </c>
      <c r="I4535" t="s">
        <v>101</v>
      </c>
      <c r="J4535">
        <v>9118.08</v>
      </c>
      <c r="K4535">
        <v>1000000</v>
      </c>
    </row>
    <row r="4536" spans="1:11" ht="15" customHeight="1" x14ac:dyDescent="0.2">
      <c r="A4536" t="s">
        <v>6249</v>
      </c>
      <c r="B4536" t="s">
        <v>9365</v>
      </c>
      <c r="C4536">
        <v>2024</v>
      </c>
      <c r="D4536">
        <v>2024</v>
      </c>
      <c r="E4536" s="7">
        <v>45620</v>
      </c>
      <c r="F4536" s="7">
        <v>45984</v>
      </c>
      <c r="G4536" t="s">
        <v>135</v>
      </c>
      <c r="H4536" t="s">
        <v>102</v>
      </c>
      <c r="I4536" t="s">
        <v>104</v>
      </c>
      <c r="J4536">
        <v>59473.06</v>
      </c>
      <c r="K4536">
        <v>10000000</v>
      </c>
    </row>
    <row r="4537" spans="1:11" ht="15" customHeight="1" x14ac:dyDescent="0.2">
      <c r="A4537" t="s">
        <v>6250</v>
      </c>
      <c r="B4537" t="s">
        <v>4803</v>
      </c>
      <c r="C4537">
        <v>2024</v>
      </c>
      <c r="D4537">
        <v>2024</v>
      </c>
      <c r="E4537" s="7">
        <v>45621</v>
      </c>
      <c r="F4537" s="7">
        <v>45985</v>
      </c>
      <c r="G4537" t="s">
        <v>99</v>
      </c>
      <c r="H4537" t="s">
        <v>115</v>
      </c>
      <c r="I4537" t="s">
        <v>101</v>
      </c>
      <c r="J4537">
        <v>7096.92</v>
      </c>
      <c r="K4537">
        <v>1000000</v>
      </c>
    </row>
    <row r="4538" spans="1:11" ht="15" customHeight="1" x14ac:dyDescent="0.2">
      <c r="A4538" t="s">
        <v>6251</v>
      </c>
      <c r="B4538" t="s">
        <v>4805</v>
      </c>
      <c r="C4538">
        <v>2024</v>
      </c>
      <c r="D4538">
        <v>2024</v>
      </c>
      <c r="E4538" s="7">
        <v>45621</v>
      </c>
      <c r="F4538" s="7">
        <v>45985</v>
      </c>
      <c r="G4538" t="s">
        <v>99</v>
      </c>
      <c r="H4538" t="s">
        <v>115</v>
      </c>
      <c r="I4538" t="s">
        <v>101</v>
      </c>
      <c r="J4538">
        <v>7845.9</v>
      </c>
      <c r="K4538">
        <v>1000000</v>
      </c>
    </row>
    <row r="4539" spans="1:11" ht="15" customHeight="1" x14ac:dyDescent="0.2">
      <c r="A4539" t="s">
        <v>6252</v>
      </c>
      <c r="B4539" t="s">
        <v>9366</v>
      </c>
      <c r="C4539">
        <v>2024</v>
      </c>
      <c r="D4539">
        <v>2024</v>
      </c>
      <c r="E4539" s="7">
        <v>45621</v>
      </c>
      <c r="F4539" s="7">
        <v>45985</v>
      </c>
      <c r="G4539" t="s">
        <v>135</v>
      </c>
      <c r="H4539" t="s">
        <v>6348</v>
      </c>
      <c r="I4539" t="s">
        <v>101</v>
      </c>
      <c r="J4539">
        <v>9973.02</v>
      </c>
      <c r="K4539">
        <v>1500000</v>
      </c>
    </row>
    <row r="4540" spans="1:11" ht="15" customHeight="1" x14ac:dyDescent="0.2">
      <c r="A4540" t="s">
        <v>6253</v>
      </c>
      <c r="B4540" t="s">
        <v>9367</v>
      </c>
      <c r="C4540">
        <v>2024</v>
      </c>
      <c r="D4540">
        <v>2024</v>
      </c>
      <c r="E4540" s="7">
        <v>45621</v>
      </c>
      <c r="F4540" s="7">
        <v>45985</v>
      </c>
      <c r="G4540" t="s">
        <v>135</v>
      </c>
      <c r="H4540" t="s">
        <v>108</v>
      </c>
      <c r="I4540" t="s">
        <v>101</v>
      </c>
      <c r="J4540">
        <v>9395.9699999999993</v>
      </c>
      <c r="K4540">
        <v>1000000</v>
      </c>
    </row>
    <row r="4541" spans="1:11" ht="15" customHeight="1" x14ac:dyDescent="0.2">
      <c r="A4541" t="s">
        <v>6254</v>
      </c>
      <c r="B4541" t="s">
        <v>7209</v>
      </c>
      <c r="C4541">
        <v>2024</v>
      </c>
      <c r="D4541">
        <v>2024</v>
      </c>
      <c r="E4541" s="7">
        <v>45621</v>
      </c>
      <c r="F4541" s="7">
        <v>45985</v>
      </c>
      <c r="G4541" t="s">
        <v>135</v>
      </c>
      <c r="H4541" t="s">
        <v>113</v>
      </c>
      <c r="I4541" t="s">
        <v>104</v>
      </c>
      <c r="J4541">
        <v>2688.44</v>
      </c>
      <c r="K4541">
        <v>500000</v>
      </c>
    </row>
    <row r="4542" spans="1:11" ht="15" customHeight="1" x14ac:dyDescent="0.2">
      <c r="A4542" t="s">
        <v>6255</v>
      </c>
      <c r="B4542" t="s">
        <v>7177</v>
      </c>
      <c r="C4542">
        <v>2024</v>
      </c>
      <c r="D4542">
        <v>2024</v>
      </c>
      <c r="E4542" s="7">
        <v>45621</v>
      </c>
      <c r="F4542" s="7">
        <v>45985</v>
      </c>
      <c r="G4542" t="s">
        <v>135</v>
      </c>
      <c r="H4542" t="s">
        <v>102</v>
      </c>
      <c r="I4542" t="s">
        <v>101</v>
      </c>
      <c r="J4542">
        <v>37810.550000000003</v>
      </c>
      <c r="K4542">
        <v>5000000</v>
      </c>
    </row>
    <row r="4543" spans="1:11" ht="15" customHeight="1" x14ac:dyDescent="0.2">
      <c r="A4543" t="s">
        <v>6256</v>
      </c>
      <c r="B4543" t="s">
        <v>7173</v>
      </c>
      <c r="C4543">
        <v>2024</v>
      </c>
      <c r="D4543">
        <v>2024</v>
      </c>
      <c r="E4543" s="7">
        <v>45621</v>
      </c>
      <c r="F4543" s="7">
        <v>45985</v>
      </c>
      <c r="G4543" t="s">
        <v>135</v>
      </c>
      <c r="H4543" t="s">
        <v>107</v>
      </c>
      <c r="I4543" t="s">
        <v>104</v>
      </c>
      <c r="J4543">
        <v>12090.79</v>
      </c>
      <c r="K4543">
        <v>2000000</v>
      </c>
    </row>
    <row r="4544" spans="1:11" ht="15" customHeight="1" x14ac:dyDescent="0.2">
      <c r="A4544" t="s">
        <v>6257</v>
      </c>
      <c r="B4544" t="s">
        <v>9368</v>
      </c>
      <c r="C4544">
        <v>2024</v>
      </c>
      <c r="D4544">
        <v>2024</v>
      </c>
      <c r="E4544" s="7">
        <v>45621</v>
      </c>
      <c r="F4544" s="7">
        <v>45985</v>
      </c>
      <c r="G4544" t="s">
        <v>135</v>
      </c>
      <c r="H4544" t="s">
        <v>6332</v>
      </c>
      <c r="I4544" t="s">
        <v>101</v>
      </c>
      <c r="J4544">
        <v>14326.07</v>
      </c>
      <c r="K4544">
        <v>2000000</v>
      </c>
    </row>
    <row r="4545" spans="1:11" ht="15" customHeight="1" x14ac:dyDescent="0.2">
      <c r="A4545" t="s">
        <v>6258</v>
      </c>
      <c r="B4545" t="s">
        <v>1118</v>
      </c>
      <c r="C4545">
        <v>2024</v>
      </c>
      <c r="D4545">
        <v>2024</v>
      </c>
      <c r="E4545" s="7">
        <v>45621</v>
      </c>
      <c r="F4545" s="7">
        <v>45985</v>
      </c>
      <c r="G4545" t="s">
        <v>135</v>
      </c>
      <c r="H4545" t="s">
        <v>111</v>
      </c>
      <c r="I4545" t="s">
        <v>101</v>
      </c>
      <c r="J4545">
        <v>7456.68</v>
      </c>
      <c r="K4545">
        <v>1000000</v>
      </c>
    </row>
    <row r="4546" spans="1:11" ht="15" customHeight="1" x14ac:dyDescent="0.2">
      <c r="A4546" t="s">
        <v>6259</v>
      </c>
      <c r="B4546" t="s">
        <v>9369</v>
      </c>
      <c r="C4546">
        <v>2024</v>
      </c>
      <c r="D4546">
        <v>2024</v>
      </c>
      <c r="E4546" s="7">
        <v>45621</v>
      </c>
      <c r="F4546" s="7">
        <v>45985</v>
      </c>
      <c r="G4546" t="s">
        <v>135</v>
      </c>
      <c r="H4546" t="s">
        <v>106</v>
      </c>
      <c r="I4546" t="s">
        <v>101</v>
      </c>
      <c r="J4546">
        <v>48949.95</v>
      </c>
      <c r="K4546">
        <v>5000000</v>
      </c>
    </row>
    <row r="4547" spans="1:11" ht="15" customHeight="1" x14ac:dyDescent="0.2">
      <c r="A4547" t="s">
        <v>6260</v>
      </c>
      <c r="B4547" t="s">
        <v>9370</v>
      </c>
      <c r="C4547">
        <v>2024</v>
      </c>
      <c r="D4547">
        <v>2024</v>
      </c>
      <c r="E4547" s="7">
        <v>45621</v>
      </c>
      <c r="F4547" s="7">
        <v>45985</v>
      </c>
      <c r="G4547" t="s">
        <v>135</v>
      </c>
      <c r="H4547" t="s">
        <v>115</v>
      </c>
      <c r="I4547" t="s">
        <v>104</v>
      </c>
      <c r="J4547">
        <v>8372.4699999999993</v>
      </c>
      <c r="K4547">
        <v>1500000</v>
      </c>
    </row>
    <row r="4548" spans="1:11" ht="15" customHeight="1" x14ac:dyDescent="0.2">
      <c r="A4548" t="s">
        <v>6261</v>
      </c>
      <c r="B4548" t="s">
        <v>4820</v>
      </c>
      <c r="C4548">
        <v>2024</v>
      </c>
      <c r="D4548">
        <v>2024</v>
      </c>
      <c r="E4548" s="7">
        <v>45622</v>
      </c>
      <c r="F4548" s="7">
        <v>45986</v>
      </c>
      <c r="G4548" t="s">
        <v>99</v>
      </c>
      <c r="H4548" t="s">
        <v>102</v>
      </c>
      <c r="I4548" t="s">
        <v>104</v>
      </c>
      <c r="J4548">
        <v>5454.78</v>
      </c>
      <c r="K4548">
        <v>1000000</v>
      </c>
    </row>
    <row r="4549" spans="1:11" ht="15" customHeight="1" x14ac:dyDescent="0.2">
      <c r="A4549" t="s">
        <v>6262</v>
      </c>
      <c r="B4549" t="s">
        <v>4822</v>
      </c>
      <c r="C4549">
        <v>2024</v>
      </c>
      <c r="D4549">
        <v>2024</v>
      </c>
      <c r="E4549" s="7">
        <v>45622</v>
      </c>
      <c r="F4549" s="7">
        <v>45986</v>
      </c>
      <c r="G4549" t="s">
        <v>99</v>
      </c>
      <c r="H4549" t="s">
        <v>102</v>
      </c>
      <c r="I4549" t="s">
        <v>101</v>
      </c>
      <c r="J4549">
        <v>11189.1</v>
      </c>
      <c r="K4549">
        <v>1500000</v>
      </c>
    </row>
    <row r="4550" spans="1:11" ht="15" customHeight="1" x14ac:dyDescent="0.2">
      <c r="A4550" t="s">
        <v>6263</v>
      </c>
      <c r="B4550" t="s">
        <v>4824</v>
      </c>
      <c r="C4550">
        <v>2024</v>
      </c>
      <c r="D4550">
        <v>2024</v>
      </c>
      <c r="E4550" s="7">
        <v>45622</v>
      </c>
      <c r="F4550" s="7">
        <v>45986</v>
      </c>
      <c r="G4550" t="s">
        <v>99</v>
      </c>
      <c r="H4550" t="s">
        <v>102</v>
      </c>
      <c r="I4550" t="s">
        <v>101</v>
      </c>
      <c r="J4550">
        <v>7042.71</v>
      </c>
      <c r="K4550">
        <v>1000000</v>
      </c>
    </row>
    <row r="4551" spans="1:11" ht="15" customHeight="1" x14ac:dyDescent="0.2">
      <c r="A4551" t="s">
        <v>6264</v>
      </c>
      <c r="B4551" t="s">
        <v>4826</v>
      </c>
      <c r="C4551">
        <v>2024</v>
      </c>
      <c r="D4551">
        <v>2024</v>
      </c>
      <c r="E4551" s="7">
        <v>45622</v>
      </c>
      <c r="F4551" s="7">
        <v>45986</v>
      </c>
      <c r="G4551" t="s">
        <v>99</v>
      </c>
      <c r="H4551" t="s">
        <v>109</v>
      </c>
      <c r="I4551" t="s">
        <v>104</v>
      </c>
      <c r="J4551">
        <v>5898.79</v>
      </c>
      <c r="K4551">
        <v>1000000</v>
      </c>
    </row>
    <row r="4552" spans="1:11" ht="15" customHeight="1" x14ac:dyDescent="0.2">
      <c r="A4552" t="s">
        <v>6265</v>
      </c>
      <c r="B4552" t="s">
        <v>649</v>
      </c>
      <c r="C4552">
        <v>2024</v>
      </c>
      <c r="D4552">
        <v>2024</v>
      </c>
      <c r="E4552" s="7">
        <v>45622</v>
      </c>
      <c r="F4552" s="7">
        <v>45986</v>
      </c>
      <c r="G4552" t="s">
        <v>135</v>
      </c>
      <c r="H4552" t="s">
        <v>103</v>
      </c>
      <c r="I4552" t="s">
        <v>101</v>
      </c>
      <c r="J4552">
        <v>34545.74</v>
      </c>
      <c r="K4552">
        <v>5000000</v>
      </c>
    </row>
    <row r="4553" spans="1:11" ht="15" customHeight="1" x14ac:dyDescent="0.2">
      <c r="A4553" t="s">
        <v>6266</v>
      </c>
      <c r="B4553" t="s">
        <v>647</v>
      </c>
      <c r="C4553">
        <v>2024</v>
      </c>
      <c r="D4553">
        <v>2024</v>
      </c>
      <c r="E4553" s="7">
        <v>45622</v>
      </c>
      <c r="F4553" s="7">
        <v>45986</v>
      </c>
      <c r="G4553" t="s">
        <v>135</v>
      </c>
      <c r="H4553" t="s">
        <v>107</v>
      </c>
      <c r="I4553" t="s">
        <v>101</v>
      </c>
      <c r="J4553">
        <v>7676.07</v>
      </c>
      <c r="K4553">
        <v>1000000</v>
      </c>
    </row>
    <row r="4554" spans="1:11" ht="15" customHeight="1" x14ac:dyDescent="0.2">
      <c r="A4554" t="s">
        <v>6267</v>
      </c>
      <c r="B4554" t="s">
        <v>7176</v>
      </c>
      <c r="C4554">
        <v>2024</v>
      </c>
      <c r="D4554">
        <v>2024</v>
      </c>
      <c r="E4554" s="7">
        <v>45622</v>
      </c>
      <c r="F4554" s="7">
        <v>45986</v>
      </c>
      <c r="G4554" t="s">
        <v>135</v>
      </c>
      <c r="H4554" t="s">
        <v>115</v>
      </c>
      <c r="I4554" t="s">
        <v>104</v>
      </c>
      <c r="J4554">
        <v>60287.82</v>
      </c>
      <c r="K4554">
        <v>10000000</v>
      </c>
    </row>
    <row r="4555" spans="1:11" ht="15" customHeight="1" x14ac:dyDescent="0.2">
      <c r="A4555" t="s">
        <v>6268</v>
      </c>
      <c r="B4555" t="s">
        <v>9371</v>
      </c>
      <c r="C4555">
        <v>2024</v>
      </c>
      <c r="D4555">
        <v>2024</v>
      </c>
      <c r="E4555" s="7">
        <v>45622</v>
      </c>
      <c r="F4555" s="7">
        <v>45986</v>
      </c>
      <c r="G4555" t="s">
        <v>135</v>
      </c>
      <c r="H4555" t="s">
        <v>114</v>
      </c>
      <c r="I4555" t="s">
        <v>101</v>
      </c>
      <c r="J4555">
        <v>34491.370000000003</v>
      </c>
      <c r="K4555">
        <v>5000000</v>
      </c>
    </row>
    <row r="4556" spans="1:11" ht="15" customHeight="1" x14ac:dyDescent="0.2">
      <c r="A4556" t="s">
        <v>6269</v>
      </c>
      <c r="B4556" t="s">
        <v>9372</v>
      </c>
      <c r="C4556">
        <v>2024</v>
      </c>
      <c r="D4556">
        <v>2024</v>
      </c>
      <c r="E4556" s="7">
        <v>45622</v>
      </c>
      <c r="F4556" s="7">
        <v>45986</v>
      </c>
      <c r="G4556" t="s">
        <v>135</v>
      </c>
      <c r="H4556" t="s">
        <v>107</v>
      </c>
      <c r="I4556" t="s">
        <v>101</v>
      </c>
      <c r="J4556">
        <v>11125.11</v>
      </c>
      <c r="K4556">
        <v>1500000</v>
      </c>
    </row>
    <row r="4557" spans="1:11" ht="15" customHeight="1" x14ac:dyDescent="0.2">
      <c r="A4557" t="s">
        <v>6270</v>
      </c>
      <c r="B4557" t="s">
        <v>648</v>
      </c>
      <c r="C4557">
        <v>2024</v>
      </c>
      <c r="D4557">
        <v>2024</v>
      </c>
      <c r="E4557" s="7">
        <v>45622</v>
      </c>
      <c r="F4557" s="7">
        <v>45986</v>
      </c>
      <c r="G4557" t="s">
        <v>135</v>
      </c>
      <c r="H4557" t="s">
        <v>109</v>
      </c>
      <c r="I4557" t="s">
        <v>104</v>
      </c>
      <c r="J4557">
        <v>5993.26</v>
      </c>
      <c r="K4557">
        <v>1000000</v>
      </c>
    </row>
    <row r="4558" spans="1:11" ht="15" customHeight="1" x14ac:dyDescent="0.2">
      <c r="A4558" t="s">
        <v>6271</v>
      </c>
      <c r="B4558" t="s">
        <v>9373</v>
      </c>
      <c r="C4558">
        <v>2024</v>
      </c>
      <c r="D4558">
        <v>2024</v>
      </c>
      <c r="E4558" s="7">
        <v>45622</v>
      </c>
      <c r="F4558" s="7">
        <v>45986</v>
      </c>
      <c r="G4558" t="s">
        <v>135</v>
      </c>
      <c r="H4558" t="s">
        <v>111</v>
      </c>
      <c r="I4558" t="s">
        <v>101</v>
      </c>
      <c r="J4558">
        <v>69879.14</v>
      </c>
      <c r="K4558">
        <v>10000000</v>
      </c>
    </row>
    <row r="4559" spans="1:11" ht="15" customHeight="1" x14ac:dyDescent="0.2">
      <c r="A4559" t="s">
        <v>6272</v>
      </c>
      <c r="B4559" t="s">
        <v>1119</v>
      </c>
      <c r="C4559">
        <v>2024</v>
      </c>
      <c r="D4559">
        <v>2024</v>
      </c>
      <c r="E4559" s="7">
        <v>45622</v>
      </c>
      <c r="F4559" s="7">
        <v>45986</v>
      </c>
      <c r="G4559" t="s">
        <v>135</v>
      </c>
      <c r="H4559" t="s">
        <v>102</v>
      </c>
      <c r="I4559" t="s">
        <v>104</v>
      </c>
      <c r="J4559">
        <v>6260.37</v>
      </c>
      <c r="K4559">
        <v>1000000</v>
      </c>
    </row>
    <row r="4560" spans="1:11" ht="15" customHeight="1" x14ac:dyDescent="0.2">
      <c r="A4560" t="s">
        <v>6273</v>
      </c>
      <c r="B4560" t="s">
        <v>7155</v>
      </c>
      <c r="C4560">
        <v>2024</v>
      </c>
      <c r="D4560">
        <v>2024</v>
      </c>
      <c r="E4560" s="7">
        <v>45622</v>
      </c>
      <c r="F4560" s="7">
        <v>45986</v>
      </c>
      <c r="G4560" t="s">
        <v>135</v>
      </c>
      <c r="H4560" t="s">
        <v>115</v>
      </c>
      <c r="I4560" t="s">
        <v>101</v>
      </c>
      <c r="J4560">
        <v>3281.37</v>
      </c>
      <c r="K4560">
        <v>500000</v>
      </c>
    </row>
    <row r="4561" spans="1:11" ht="15" customHeight="1" x14ac:dyDescent="0.2">
      <c r="A4561" t="s">
        <v>6274</v>
      </c>
      <c r="B4561" t="s">
        <v>9374</v>
      </c>
      <c r="C4561">
        <v>2024</v>
      </c>
      <c r="D4561">
        <v>2024</v>
      </c>
      <c r="E4561" s="7">
        <v>45622</v>
      </c>
      <c r="F4561" s="7">
        <v>45986</v>
      </c>
      <c r="G4561" t="s">
        <v>135</v>
      </c>
      <c r="H4561" t="s">
        <v>106</v>
      </c>
      <c r="I4561" t="s">
        <v>104</v>
      </c>
      <c r="J4561">
        <v>13651.01</v>
      </c>
      <c r="K4561">
        <v>2000000</v>
      </c>
    </row>
    <row r="4562" spans="1:11" ht="15" customHeight="1" x14ac:dyDescent="0.2">
      <c r="A4562" t="s">
        <v>6275</v>
      </c>
      <c r="B4562" t="s">
        <v>9375</v>
      </c>
      <c r="C4562">
        <v>2024</v>
      </c>
      <c r="D4562">
        <v>2024</v>
      </c>
      <c r="E4562" s="7">
        <v>45622</v>
      </c>
      <c r="F4562" s="7">
        <v>45986</v>
      </c>
      <c r="G4562" t="s">
        <v>135</v>
      </c>
      <c r="H4562" t="s">
        <v>105</v>
      </c>
      <c r="I4562" t="s">
        <v>101</v>
      </c>
      <c r="J4562">
        <v>3657.44</v>
      </c>
      <c r="K4562">
        <v>500000</v>
      </c>
    </row>
    <row r="4563" spans="1:11" ht="15" customHeight="1" x14ac:dyDescent="0.2">
      <c r="A4563" t="s">
        <v>6276</v>
      </c>
      <c r="B4563" t="s">
        <v>9376</v>
      </c>
      <c r="C4563">
        <v>2024</v>
      </c>
      <c r="D4563">
        <v>2024</v>
      </c>
      <c r="E4563" s="7">
        <v>45622</v>
      </c>
      <c r="F4563" s="7">
        <v>45986</v>
      </c>
      <c r="G4563" t="s">
        <v>135</v>
      </c>
      <c r="H4563" t="s">
        <v>106</v>
      </c>
      <c r="I4563" t="s">
        <v>101</v>
      </c>
      <c r="J4563">
        <v>12649.9</v>
      </c>
      <c r="K4563">
        <v>1500000</v>
      </c>
    </row>
    <row r="4564" spans="1:11" ht="15" customHeight="1" x14ac:dyDescent="0.2">
      <c r="A4564" t="s">
        <v>6277</v>
      </c>
      <c r="B4564" t="s">
        <v>4828</v>
      </c>
      <c r="C4564">
        <v>2024</v>
      </c>
      <c r="D4564">
        <v>2024</v>
      </c>
      <c r="E4564" s="7">
        <v>45623</v>
      </c>
      <c r="F4564" s="7">
        <v>45987</v>
      </c>
      <c r="G4564" t="s">
        <v>99</v>
      </c>
      <c r="H4564" t="s">
        <v>102</v>
      </c>
      <c r="I4564" t="s">
        <v>101</v>
      </c>
      <c r="J4564">
        <v>3704.98</v>
      </c>
      <c r="K4564">
        <v>500000</v>
      </c>
    </row>
    <row r="4565" spans="1:11" ht="15" customHeight="1" x14ac:dyDescent="0.2">
      <c r="A4565" t="s">
        <v>6278</v>
      </c>
      <c r="B4565" t="s">
        <v>4836</v>
      </c>
      <c r="C4565">
        <v>2024</v>
      </c>
      <c r="D4565">
        <v>2024</v>
      </c>
      <c r="E4565" s="7">
        <v>45623</v>
      </c>
      <c r="F4565" s="7">
        <v>45987</v>
      </c>
      <c r="G4565" t="s">
        <v>99</v>
      </c>
      <c r="H4565" t="s">
        <v>112</v>
      </c>
      <c r="I4565" t="s">
        <v>101</v>
      </c>
      <c r="J4565">
        <v>9176.11</v>
      </c>
      <c r="K4565">
        <v>1000000</v>
      </c>
    </row>
    <row r="4566" spans="1:11" ht="15" customHeight="1" x14ac:dyDescent="0.2">
      <c r="A4566" t="s">
        <v>6279</v>
      </c>
      <c r="B4566" t="s">
        <v>4838</v>
      </c>
      <c r="C4566">
        <v>2024</v>
      </c>
      <c r="D4566">
        <v>2024</v>
      </c>
      <c r="E4566" s="7">
        <v>45623</v>
      </c>
      <c r="F4566" s="7">
        <v>45987</v>
      </c>
      <c r="G4566" t="s">
        <v>99</v>
      </c>
      <c r="H4566" t="s">
        <v>115</v>
      </c>
      <c r="I4566" t="s">
        <v>104</v>
      </c>
      <c r="J4566">
        <v>5198.88</v>
      </c>
      <c r="K4566">
        <v>1000000</v>
      </c>
    </row>
    <row r="4567" spans="1:11" ht="15" customHeight="1" x14ac:dyDescent="0.2">
      <c r="A4567" t="s">
        <v>6280</v>
      </c>
      <c r="B4567" t="s">
        <v>4847</v>
      </c>
      <c r="C4567">
        <v>2024</v>
      </c>
      <c r="D4567">
        <v>2024</v>
      </c>
      <c r="E4567" s="7">
        <v>45623</v>
      </c>
      <c r="F4567" s="7">
        <v>45987</v>
      </c>
      <c r="G4567" t="s">
        <v>99</v>
      </c>
      <c r="H4567" t="s">
        <v>6334</v>
      </c>
      <c r="I4567" t="s">
        <v>101</v>
      </c>
      <c r="J4567">
        <v>11560.16</v>
      </c>
      <c r="K4567">
        <v>1500000</v>
      </c>
    </row>
    <row r="4568" spans="1:11" ht="15" customHeight="1" x14ac:dyDescent="0.2">
      <c r="A4568" t="s">
        <v>6281</v>
      </c>
      <c r="B4568" t="s">
        <v>1123</v>
      </c>
      <c r="C4568">
        <v>2024</v>
      </c>
      <c r="D4568">
        <v>2024</v>
      </c>
      <c r="E4568" s="7">
        <v>45623</v>
      </c>
      <c r="F4568" s="7">
        <v>45987</v>
      </c>
      <c r="G4568" t="s">
        <v>135</v>
      </c>
      <c r="H4568" t="s">
        <v>107</v>
      </c>
      <c r="I4568" t="s">
        <v>104</v>
      </c>
      <c r="J4568">
        <v>9296.35</v>
      </c>
      <c r="K4568">
        <v>1500000</v>
      </c>
    </row>
    <row r="4569" spans="1:11" ht="15" customHeight="1" x14ac:dyDescent="0.2">
      <c r="A4569" t="s">
        <v>6282</v>
      </c>
      <c r="B4569" t="s">
        <v>7304</v>
      </c>
      <c r="C4569">
        <v>2024</v>
      </c>
      <c r="D4569">
        <v>2024</v>
      </c>
      <c r="E4569" s="7">
        <v>45623</v>
      </c>
      <c r="F4569" s="7">
        <v>45987</v>
      </c>
      <c r="G4569" t="s">
        <v>135</v>
      </c>
      <c r="H4569" t="s">
        <v>103</v>
      </c>
      <c r="I4569" t="s">
        <v>104</v>
      </c>
      <c r="J4569">
        <v>2624.7</v>
      </c>
      <c r="K4569">
        <v>500000</v>
      </c>
    </row>
    <row r="4570" spans="1:11" ht="15" customHeight="1" x14ac:dyDescent="0.2">
      <c r="A4570" t="s">
        <v>6283</v>
      </c>
      <c r="B4570" t="s">
        <v>9377</v>
      </c>
      <c r="C4570">
        <v>2024</v>
      </c>
      <c r="D4570">
        <v>2024</v>
      </c>
      <c r="E4570" s="7">
        <v>45623</v>
      </c>
      <c r="F4570" s="7">
        <v>45987</v>
      </c>
      <c r="G4570" t="s">
        <v>135</v>
      </c>
      <c r="H4570" t="s">
        <v>113</v>
      </c>
      <c r="I4570" t="s">
        <v>101</v>
      </c>
      <c r="J4570">
        <v>73313.960000000006</v>
      </c>
      <c r="K4570">
        <v>10000000</v>
      </c>
    </row>
    <row r="4571" spans="1:11" ht="15" customHeight="1" x14ac:dyDescent="0.2">
      <c r="A4571" t="s">
        <v>6284</v>
      </c>
      <c r="B4571" t="s">
        <v>7085</v>
      </c>
      <c r="C4571">
        <v>2024</v>
      </c>
      <c r="D4571">
        <v>2024</v>
      </c>
      <c r="E4571" s="7">
        <v>45623</v>
      </c>
      <c r="F4571" s="7">
        <v>45987</v>
      </c>
      <c r="G4571" t="s">
        <v>135</v>
      </c>
      <c r="H4571" t="s">
        <v>6332</v>
      </c>
      <c r="I4571" t="s">
        <v>104</v>
      </c>
      <c r="J4571">
        <v>5857.99</v>
      </c>
      <c r="K4571">
        <v>1000000</v>
      </c>
    </row>
    <row r="4572" spans="1:11" ht="15" customHeight="1" x14ac:dyDescent="0.2">
      <c r="A4572" t="s">
        <v>6285</v>
      </c>
      <c r="B4572" t="s">
        <v>9378</v>
      </c>
      <c r="C4572">
        <v>2024</v>
      </c>
      <c r="D4572">
        <v>2024</v>
      </c>
      <c r="E4572" s="7">
        <v>45623</v>
      </c>
      <c r="F4572" s="7">
        <v>45987</v>
      </c>
      <c r="G4572" t="s">
        <v>135</v>
      </c>
      <c r="H4572" t="s">
        <v>106</v>
      </c>
      <c r="I4572" t="s">
        <v>101</v>
      </c>
      <c r="J4572">
        <v>9398.41</v>
      </c>
      <c r="K4572">
        <v>1000000</v>
      </c>
    </row>
    <row r="4573" spans="1:11" ht="15" customHeight="1" x14ac:dyDescent="0.2">
      <c r="A4573" t="s">
        <v>6286</v>
      </c>
      <c r="B4573" t="s">
        <v>7181</v>
      </c>
      <c r="C4573">
        <v>2024</v>
      </c>
      <c r="D4573">
        <v>2024</v>
      </c>
      <c r="E4573" s="7">
        <v>45623</v>
      </c>
      <c r="F4573" s="7">
        <v>45987</v>
      </c>
      <c r="G4573" t="s">
        <v>135</v>
      </c>
      <c r="H4573" t="s">
        <v>108</v>
      </c>
      <c r="I4573" t="s">
        <v>101</v>
      </c>
      <c r="J4573">
        <v>17129.509999999998</v>
      </c>
      <c r="K4573">
        <v>2000000</v>
      </c>
    </row>
    <row r="4574" spans="1:11" ht="15" customHeight="1" x14ac:dyDescent="0.2">
      <c r="A4574" t="s">
        <v>6287</v>
      </c>
      <c r="B4574" t="s">
        <v>1122</v>
      </c>
      <c r="C4574">
        <v>2024</v>
      </c>
      <c r="D4574">
        <v>2024</v>
      </c>
      <c r="E4574" s="7">
        <v>45623</v>
      </c>
      <c r="F4574" s="7">
        <v>45987</v>
      </c>
      <c r="G4574" t="s">
        <v>135</v>
      </c>
      <c r="H4574" t="s">
        <v>106</v>
      </c>
      <c r="I4574" t="s">
        <v>104</v>
      </c>
      <c r="J4574">
        <v>7047.14</v>
      </c>
      <c r="K4574">
        <v>1000000</v>
      </c>
    </row>
    <row r="4575" spans="1:11" ht="15" customHeight="1" x14ac:dyDescent="0.2">
      <c r="A4575" t="s">
        <v>6288</v>
      </c>
      <c r="B4575" t="s">
        <v>7087</v>
      </c>
      <c r="C4575">
        <v>2024</v>
      </c>
      <c r="D4575">
        <v>2024</v>
      </c>
      <c r="E4575" s="7">
        <v>45623</v>
      </c>
      <c r="F4575" s="7">
        <v>45987</v>
      </c>
      <c r="G4575" t="s">
        <v>135</v>
      </c>
      <c r="H4575" t="s">
        <v>106</v>
      </c>
      <c r="I4575" t="s">
        <v>101</v>
      </c>
      <c r="J4575">
        <v>19256.09</v>
      </c>
      <c r="K4575">
        <v>2000000</v>
      </c>
    </row>
    <row r="4576" spans="1:11" ht="15" customHeight="1" x14ac:dyDescent="0.2">
      <c r="A4576" t="s">
        <v>6289</v>
      </c>
      <c r="B4576" t="s">
        <v>7217</v>
      </c>
      <c r="C4576">
        <v>2024</v>
      </c>
      <c r="D4576">
        <v>2024</v>
      </c>
      <c r="E4576" s="7">
        <v>45623</v>
      </c>
      <c r="F4576" s="7">
        <v>45987</v>
      </c>
      <c r="G4576" t="s">
        <v>135</v>
      </c>
      <c r="H4576" t="s">
        <v>106</v>
      </c>
      <c r="I4576" t="s">
        <v>104</v>
      </c>
      <c r="J4576">
        <v>14814.4</v>
      </c>
      <c r="K4576">
        <v>2000000</v>
      </c>
    </row>
    <row r="4577" spans="1:11" ht="15" customHeight="1" x14ac:dyDescent="0.2">
      <c r="A4577" t="s">
        <v>6290</v>
      </c>
      <c r="B4577" t="s">
        <v>9379</v>
      </c>
      <c r="C4577">
        <v>2024</v>
      </c>
      <c r="D4577">
        <v>2024</v>
      </c>
      <c r="E4577" s="7">
        <v>45623</v>
      </c>
      <c r="F4577" s="7">
        <v>45987</v>
      </c>
      <c r="G4577" t="s">
        <v>135</v>
      </c>
      <c r="H4577" t="s">
        <v>108</v>
      </c>
      <c r="I4577" t="s">
        <v>101</v>
      </c>
      <c r="J4577">
        <v>18205.990000000002</v>
      </c>
      <c r="K4577">
        <v>2000000</v>
      </c>
    </row>
    <row r="4578" spans="1:11" ht="15" customHeight="1" x14ac:dyDescent="0.2">
      <c r="A4578" t="s">
        <v>6291</v>
      </c>
      <c r="B4578" t="s">
        <v>134</v>
      </c>
      <c r="C4578">
        <v>2024</v>
      </c>
      <c r="D4578">
        <v>2024</v>
      </c>
      <c r="E4578" s="7">
        <v>45623</v>
      </c>
      <c r="F4578" s="7">
        <v>45987</v>
      </c>
      <c r="G4578" t="s">
        <v>135</v>
      </c>
      <c r="H4578" t="s">
        <v>115</v>
      </c>
      <c r="I4578" t="s">
        <v>101</v>
      </c>
      <c r="J4578">
        <v>6547.91</v>
      </c>
      <c r="K4578">
        <v>1000000</v>
      </c>
    </row>
    <row r="4579" spans="1:11" ht="15" customHeight="1" x14ac:dyDescent="0.2">
      <c r="A4579" t="s">
        <v>6292</v>
      </c>
      <c r="B4579" t="s">
        <v>1120</v>
      </c>
      <c r="C4579">
        <v>2024</v>
      </c>
      <c r="D4579">
        <v>2024</v>
      </c>
      <c r="E4579" s="7">
        <v>45623</v>
      </c>
      <c r="F4579" s="7">
        <v>45987</v>
      </c>
      <c r="G4579" t="s">
        <v>135</v>
      </c>
      <c r="H4579" t="s">
        <v>107</v>
      </c>
      <c r="I4579" t="s">
        <v>101</v>
      </c>
      <c r="J4579">
        <v>7343.57</v>
      </c>
      <c r="K4579">
        <v>1000000</v>
      </c>
    </row>
    <row r="4580" spans="1:11" ht="15" customHeight="1" x14ac:dyDescent="0.2">
      <c r="A4580" t="s">
        <v>6293</v>
      </c>
      <c r="B4580" t="s">
        <v>1121</v>
      </c>
      <c r="C4580">
        <v>2024</v>
      </c>
      <c r="D4580">
        <v>2024</v>
      </c>
      <c r="E4580" s="7">
        <v>45623</v>
      </c>
      <c r="F4580" s="7">
        <v>45987</v>
      </c>
      <c r="G4580" t="s">
        <v>135</v>
      </c>
      <c r="H4580" t="s">
        <v>107</v>
      </c>
      <c r="I4580" t="s">
        <v>101</v>
      </c>
      <c r="J4580">
        <v>15432.8</v>
      </c>
      <c r="K4580">
        <v>2000000</v>
      </c>
    </row>
    <row r="4581" spans="1:11" ht="15" customHeight="1" x14ac:dyDescent="0.2">
      <c r="A4581" t="s">
        <v>6294</v>
      </c>
      <c r="B4581" t="s">
        <v>7088</v>
      </c>
      <c r="C4581">
        <v>2024</v>
      </c>
      <c r="D4581">
        <v>2024</v>
      </c>
      <c r="E4581" s="7">
        <v>45623</v>
      </c>
      <c r="F4581" s="7">
        <v>45987</v>
      </c>
      <c r="G4581" t="s">
        <v>135</v>
      </c>
      <c r="H4581" t="s">
        <v>107</v>
      </c>
      <c r="I4581" t="s">
        <v>104</v>
      </c>
      <c r="J4581">
        <v>61008.31</v>
      </c>
      <c r="K4581">
        <v>10000000</v>
      </c>
    </row>
    <row r="4582" spans="1:11" ht="15" customHeight="1" x14ac:dyDescent="0.2">
      <c r="A4582" t="s">
        <v>6295</v>
      </c>
      <c r="B4582" t="s">
        <v>4849</v>
      </c>
      <c r="C4582">
        <v>2024</v>
      </c>
      <c r="D4582">
        <v>2024</v>
      </c>
      <c r="E4582" s="7">
        <v>45624</v>
      </c>
      <c r="F4582" s="7">
        <v>45988</v>
      </c>
      <c r="G4582" t="s">
        <v>99</v>
      </c>
      <c r="H4582" t="s">
        <v>6348</v>
      </c>
      <c r="I4582" t="s">
        <v>101</v>
      </c>
      <c r="J4582">
        <v>38155.730000000003</v>
      </c>
      <c r="K4582">
        <v>5000000</v>
      </c>
    </row>
    <row r="4583" spans="1:11" ht="15" customHeight="1" x14ac:dyDescent="0.2">
      <c r="A4583" t="s">
        <v>6296</v>
      </c>
      <c r="B4583" t="s">
        <v>4851</v>
      </c>
      <c r="C4583">
        <v>2024</v>
      </c>
      <c r="D4583">
        <v>2024</v>
      </c>
      <c r="E4583" s="7">
        <v>45624</v>
      </c>
      <c r="F4583" s="7">
        <v>45988</v>
      </c>
      <c r="G4583" t="s">
        <v>99</v>
      </c>
      <c r="H4583" t="s">
        <v>110</v>
      </c>
      <c r="I4583" t="s">
        <v>104</v>
      </c>
      <c r="J4583">
        <v>7499.91</v>
      </c>
      <c r="K4583">
        <v>1000000</v>
      </c>
    </row>
    <row r="4584" spans="1:11" ht="15" customHeight="1" x14ac:dyDescent="0.2">
      <c r="A4584" t="s">
        <v>6297</v>
      </c>
      <c r="B4584" t="s">
        <v>9380</v>
      </c>
      <c r="C4584">
        <v>2024</v>
      </c>
      <c r="D4584">
        <v>2024</v>
      </c>
      <c r="E4584" s="7">
        <v>45624</v>
      </c>
      <c r="F4584" s="7">
        <v>45988</v>
      </c>
      <c r="G4584" t="s">
        <v>135</v>
      </c>
      <c r="H4584" t="s">
        <v>110</v>
      </c>
      <c r="I4584" t="s">
        <v>101</v>
      </c>
      <c r="J4584">
        <v>8118.92</v>
      </c>
      <c r="K4584">
        <v>1000000</v>
      </c>
    </row>
    <row r="4585" spans="1:11" ht="15" customHeight="1" x14ac:dyDescent="0.2">
      <c r="A4585" t="s">
        <v>6298</v>
      </c>
      <c r="B4585" t="s">
        <v>7159</v>
      </c>
      <c r="C4585">
        <v>2024</v>
      </c>
      <c r="D4585">
        <v>2024</v>
      </c>
      <c r="E4585" s="7">
        <v>45624</v>
      </c>
      <c r="F4585" s="7">
        <v>45988</v>
      </c>
      <c r="G4585" t="s">
        <v>135</v>
      </c>
      <c r="H4585" t="s">
        <v>105</v>
      </c>
      <c r="I4585" t="s">
        <v>101</v>
      </c>
      <c r="J4585">
        <v>7631.72</v>
      </c>
      <c r="K4585">
        <v>1000000</v>
      </c>
    </row>
    <row r="4586" spans="1:11" ht="15" customHeight="1" x14ac:dyDescent="0.2">
      <c r="A4586" t="s">
        <v>6299</v>
      </c>
      <c r="B4586" t="s">
        <v>1124</v>
      </c>
      <c r="C4586">
        <v>2024</v>
      </c>
      <c r="D4586">
        <v>2024</v>
      </c>
      <c r="E4586" s="7">
        <v>45624</v>
      </c>
      <c r="F4586" s="7">
        <v>45988</v>
      </c>
      <c r="G4586" t="s">
        <v>135</v>
      </c>
      <c r="H4586" t="s">
        <v>115</v>
      </c>
      <c r="I4586" t="s">
        <v>101</v>
      </c>
      <c r="J4586">
        <v>15763.02</v>
      </c>
      <c r="K4586">
        <v>2000000</v>
      </c>
    </row>
    <row r="4587" spans="1:11" ht="15" customHeight="1" x14ac:dyDescent="0.2">
      <c r="A4587" t="s">
        <v>6300</v>
      </c>
      <c r="B4587" t="s">
        <v>9381</v>
      </c>
      <c r="C4587">
        <v>2024</v>
      </c>
      <c r="D4587">
        <v>2024</v>
      </c>
      <c r="E4587" s="7">
        <v>45624</v>
      </c>
      <c r="F4587" s="7">
        <v>45988</v>
      </c>
      <c r="G4587" t="s">
        <v>135</v>
      </c>
      <c r="H4587" t="s">
        <v>107</v>
      </c>
      <c r="I4587" t="s">
        <v>101</v>
      </c>
      <c r="J4587">
        <v>11809.97</v>
      </c>
      <c r="K4587">
        <v>1500000</v>
      </c>
    </row>
    <row r="4588" spans="1:11" ht="15" customHeight="1" x14ac:dyDescent="0.2">
      <c r="A4588" t="s">
        <v>6301</v>
      </c>
      <c r="B4588" t="s">
        <v>4853</v>
      </c>
      <c r="C4588">
        <v>2024</v>
      </c>
      <c r="D4588">
        <v>2024</v>
      </c>
      <c r="E4588" s="7">
        <v>45625</v>
      </c>
      <c r="F4588" s="7">
        <v>45989</v>
      </c>
      <c r="G4588" t="s">
        <v>99</v>
      </c>
      <c r="H4588" t="s">
        <v>108</v>
      </c>
      <c r="I4588" t="s">
        <v>104</v>
      </c>
      <c r="J4588">
        <v>15699.32</v>
      </c>
      <c r="K4588">
        <v>2000000</v>
      </c>
    </row>
    <row r="4589" spans="1:11" ht="15" customHeight="1" x14ac:dyDescent="0.2">
      <c r="A4589" t="s">
        <v>6302</v>
      </c>
      <c r="B4589" t="s">
        <v>4861</v>
      </c>
      <c r="C4589">
        <v>2024</v>
      </c>
      <c r="D4589">
        <v>2024</v>
      </c>
      <c r="E4589" s="7">
        <v>45625</v>
      </c>
      <c r="F4589" s="7">
        <v>45989</v>
      </c>
      <c r="G4589" t="s">
        <v>99</v>
      </c>
      <c r="H4589" t="s">
        <v>115</v>
      </c>
      <c r="I4589" t="s">
        <v>101</v>
      </c>
      <c r="J4589">
        <v>6903.87</v>
      </c>
      <c r="K4589">
        <v>1000000</v>
      </c>
    </row>
    <row r="4590" spans="1:11" ht="15" customHeight="1" x14ac:dyDescent="0.2">
      <c r="A4590" t="s">
        <v>6303</v>
      </c>
      <c r="B4590" t="s">
        <v>4863</v>
      </c>
      <c r="C4590">
        <v>2024</v>
      </c>
      <c r="D4590">
        <v>2024</v>
      </c>
      <c r="E4590" s="7">
        <v>45625</v>
      </c>
      <c r="F4590" s="7">
        <v>45989</v>
      </c>
      <c r="G4590" t="s">
        <v>99</v>
      </c>
      <c r="H4590" t="s">
        <v>6332</v>
      </c>
      <c r="I4590" t="s">
        <v>101</v>
      </c>
      <c r="J4590">
        <v>14023.27</v>
      </c>
      <c r="K4590">
        <v>2000000</v>
      </c>
    </row>
    <row r="4591" spans="1:11" ht="15" customHeight="1" x14ac:dyDescent="0.2">
      <c r="A4591" t="s">
        <v>6304</v>
      </c>
      <c r="B4591" t="s">
        <v>4865</v>
      </c>
      <c r="C4591">
        <v>2024</v>
      </c>
      <c r="D4591">
        <v>2024</v>
      </c>
      <c r="E4591" s="7">
        <v>45625</v>
      </c>
      <c r="F4591" s="7">
        <v>45989</v>
      </c>
      <c r="G4591" t="s">
        <v>99</v>
      </c>
      <c r="H4591" t="s">
        <v>116</v>
      </c>
      <c r="I4591" t="s">
        <v>104</v>
      </c>
      <c r="J4591">
        <v>52172.21</v>
      </c>
      <c r="K4591">
        <v>10000000</v>
      </c>
    </row>
    <row r="4592" spans="1:11" ht="15" customHeight="1" x14ac:dyDescent="0.2">
      <c r="A4592" t="s">
        <v>6305</v>
      </c>
      <c r="B4592" t="s">
        <v>4867</v>
      </c>
      <c r="C4592">
        <v>2024</v>
      </c>
      <c r="D4592">
        <v>2024</v>
      </c>
      <c r="E4592" s="7">
        <v>45625</v>
      </c>
      <c r="F4592" s="7">
        <v>45989</v>
      </c>
      <c r="G4592" t="s">
        <v>99</v>
      </c>
      <c r="H4592" t="s">
        <v>110</v>
      </c>
      <c r="I4592" t="s">
        <v>104</v>
      </c>
      <c r="J4592">
        <v>6558.91</v>
      </c>
      <c r="K4592">
        <v>1000000</v>
      </c>
    </row>
    <row r="4593" spans="1:11" ht="15" customHeight="1" x14ac:dyDescent="0.2">
      <c r="A4593" t="s">
        <v>6306</v>
      </c>
      <c r="B4593" t="s">
        <v>7158</v>
      </c>
      <c r="C4593">
        <v>2024</v>
      </c>
      <c r="D4593">
        <v>2024</v>
      </c>
      <c r="E4593" s="7">
        <v>45625</v>
      </c>
      <c r="F4593" s="7">
        <v>45989</v>
      </c>
      <c r="G4593" t="s">
        <v>135</v>
      </c>
      <c r="H4593" t="s">
        <v>115</v>
      </c>
      <c r="I4593" t="s">
        <v>101</v>
      </c>
      <c r="J4593">
        <v>6482.38</v>
      </c>
      <c r="K4593">
        <v>1000000</v>
      </c>
    </row>
    <row r="4594" spans="1:11" ht="15" customHeight="1" x14ac:dyDescent="0.2">
      <c r="A4594" t="s">
        <v>6307</v>
      </c>
      <c r="B4594" t="s">
        <v>9382</v>
      </c>
      <c r="C4594">
        <v>2024</v>
      </c>
      <c r="D4594">
        <v>2024</v>
      </c>
      <c r="E4594" s="7">
        <v>45625</v>
      </c>
      <c r="F4594" s="7">
        <v>45989</v>
      </c>
      <c r="G4594" t="s">
        <v>135</v>
      </c>
      <c r="H4594" t="s">
        <v>108</v>
      </c>
      <c r="I4594" t="s">
        <v>101</v>
      </c>
      <c r="J4594">
        <v>4568.08</v>
      </c>
      <c r="K4594">
        <v>500000</v>
      </c>
    </row>
    <row r="4595" spans="1:11" ht="15" customHeight="1" x14ac:dyDescent="0.2">
      <c r="A4595" t="s">
        <v>6308</v>
      </c>
      <c r="B4595" t="s">
        <v>9383</v>
      </c>
      <c r="C4595">
        <v>2024</v>
      </c>
      <c r="D4595">
        <v>2024</v>
      </c>
      <c r="E4595" s="7">
        <v>45625</v>
      </c>
      <c r="F4595" s="7">
        <v>45989</v>
      </c>
      <c r="G4595" t="s">
        <v>135</v>
      </c>
      <c r="H4595" t="s">
        <v>108</v>
      </c>
      <c r="I4595" t="s">
        <v>101</v>
      </c>
      <c r="J4595">
        <v>4536.0600000000004</v>
      </c>
      <c r="K4595">
        <v>500000</v>
      </c>
    </row>
    <row r="4596" spans="1:11" ht="15" customHeight="1" x14ac:dyDescent="0.2">
      <c r="A4596" t="s">
        <v>6309</v>
      </c>
      <c r="B4596" t="s">
        <v>9384</v>
      </c>
      <c r="C4596">
        <v>2024</v>
      </c>
      <c r="D4596">
        <v>2024</v>
      </c>
      <c r="E4596" s="7">
        <v>45625</v>
      </c>
      <c r="F4596" s="7">
        <v>45989</v>
      </c>
      <c r="G4596" t="s">
        <v>135</v>
      </c>
      <c r="H4596" t="s">
        <v>115</v>
      </c>
      <c r="I4596" t="s">
        <v>104</v>
      </c>
      <c r="J4596">
        <v>8730.1200000000008</v>
      </c>
      <c r="K4596">
        <v>1500000</v>
      </c>
    </row>
    <row r="4597" spans="1:11" ht="15" customHeight="1" x14ac:dyDescent="0.2">
      <c r="A4597" t="s">
        <v>6310</v>
      </c>
      <c r="B4597" t="s">
        <v>650</v>
      </c>
      <c r="C4597">
        <v>2024</v>
      </c>
      <c r="D4597">
        <v>2024</v>
      </c>
      <c r="E4597" s="7">
        <v>45625</v>
      </c>
      <c r="F4597" s="7">
        <v>45989</v>
      </c>
      <c r="G4597" t="s">
        <v>135</v>
      </c>
      <c r="H4597" t="s">
        <v>102</v>
      </c>
      <c r="I4597" t="s">
        <v>104</v>
      </c>
      <c r="J4597">
        <v>10676.77</v>
      </c>
      <c r="K4597">
        <v>2000000</v>
      </c>
    </row>
    <row r="4598" spans="1:11" ht="15" customHeight="1" x14ac:dyDescent="0.2">
      <c r="A4598" t="s">
        <v>6311</v>
      </c>
      <c r="B4598" t="s">
        <v>9385</v>
      </c>
      <c r="C4598">
        <v>2024</v>
      </c>
      <c r="D4598">
        <v>2024</v>
      </c>
      <c r="E4598" s="7">
        <v>45625</v>
      </c>
      <c r="F4598" s="7">
        <v>45989</v>
      </c>
      <c r="G4598" t="s">
        <v>135</v>
      </c>
      <c r="H4598" t="s">
        <v>106</v>
      </c>
      <c r="I4598" t="s">
        <v>101</v>
      </c>
      <c r="J4598">
        <v>19471.61</v>
      </c>
      <c r="K4598">
        <v>2000000</v>
      </c>
    </row>
    <row r="4599" spans="1:11" ht="15" customHeight="1" x14ac:dyDescent="0.2">
      <c r="A4599" t="s">
        <v>6312</v>
      </c>
      <c r="B4599" t="s">
        <v>9386</v>
      </c>
      <c r="C4599">
        <v>2024</v>
      </c>
      <c r="D4599">
        <v>2024</v>
      </c>
      <c r="E4599" s="7">
        <v>45625</v>
      </c>
      <c r="F4599" s="7">
        <v>45989</v>
      </c>
      <c r="G4599" t="s">
        <v>135</v>
      </c>
      <c r="H4599" t="s">
        <v>107</v>
      </c>
      <c r="I4599" t="s">
        <v>101</v>
      </c>
      <c r="J4599">
        <v>6898.64</v>
      </c>
      <c r="K4599">
        <v>1000000</v>
      </c>
    </row>
    <row r="4600" spans="1:11" ht="15" customHeight="1" x14ac:dyDescent="0.2">
      <c r="A4600" t="s">
        <v>6313</v>
      </c>
      <c r="B4600" t="s">
        <v>7223</v>
      </c>
      <c r="C4600">
        <v>2024</v>
      </c>
      <c r="D4600">
        <v>2024</v>
      </c>
      <c r="E4600" s="7">
        <v>45625</v>
      </c>
      <c r="F4600" s="7">
        <v>45989</v>
      </c>
      <c r="G4600" t="s">
        <v>135</v>
      </c>
      <c r="H4600" t="s">
        <v>6334</v>
      </c>
      <c r="I4600" t="s">
        <v>104</v>
      </c>
      <c r="J4600">
        <v>5556.84</v>
      </c>
      <c r="K4600">
        <v>1000000</v>
      </c>
    </row>
    <row r="4601" spans="1:11" ht="15" customHeight="1" x14ac:dyDescent="0.2">
      <c r="A4601" t="s">
        <v>6314</v>
      </c>
      <c r="B4601" t="s">
        <v>9387</v>
      </c>
      <c r="C4601">
        <v>2024</v>
      </c>
      <c r="D4601">
        <v>2024</v>
      </c>
      <c r="E4601" s="7">
        <v>45625</v>
      </c>
      <c r="F4601" s="7">
        <v>45989</v>
      </c>
      <c r="G4601" t="s">
        <v>135</v>
      </c>
      <c r="H4601" t="s">
        <v>102</v>
      </c>
      <c r="I4601" t="s">
        <v>101</v>
      </c>
      <c r="J4601">
        <v>10225.44</v>
      </c>
      <c r="K4601">
        <v>1500000</v>
      </c>
    </row>
    <row r="4602" spans="1:11" ht="15" customHeight="1" x14ac:dyDescent="0.2">
      <c r="A4602" t="s">
        <v>6315</v>
      </c>
      <c r="B4602" t="s">
        <v>9388</v>
      </c>
      <c r="C4602">
        <v>2024</v>
      </c>
      <c r="D4602">
        <v>2024</v>
      </c>
      <c r="E4602" s="7">
        <v>45625</v>
      </c>
      <c r="F4602" s="7">
        <v>45989</v>
      </c>
      <c r="G4602" t="s">
        <v>135</v>
      </c>
      <c r="H4602" t="s">
        <v>106</v>
      </c>
      <c r="I4602" t="s">
        <v>101</v>
      </c>
      <c r="J4602">
        <v>14548.77</v>
      </c>
      <c r="K4602">
        <v>1500000</v>
      </c>
    </row>
    <row r="4603" spans="1:11" ht="15" customHeight="1" x14ac:dyDescent="0.2">
      <c r="A4603" t="s">
        <v>6316</v>
      </c>
      <c r="B4603" t="s">
        <v>1125</v>
      </c>
      <c r="C4603">
        <v>2024</v>
      </c>
      <c r="D4603">
        <v>2024</v>
      </c>
      <c r="E4603" s="7">
        <v>45626</v>
      </c>
      <c r="F4603" s="7">
        <v>45990</v>
      </c>
      <c r="G4603" t="s">
        <v>135</v>
      </c>
      <c r="H4603" t="s">
        <v>106</v>
      </c>
      <c r="I4603" t="s">
        <v>104</v>
      </c>
      <c r="J4603">
        <v>6825.81</v>
      </c>
      <c r="K4603">
        <v>1000000</v>
      </c>
    </row>
    <row r="4604" spans="1:11" ht="15" customHeight="1" x14ac:dyDescent="0.2">
      <c r="A4604" t="s">
        <v>6317</v>
      </c>
      <c r="B4604" t="s">
        <v>9389</v>
      </c>
      <c r="C4604">
        <v>2024</v>
      </c>
      <c r="D4604">
        <v>2024</v>
      </c>
      <c r="E4604" s="7">
        <v>45626</v>
      </c>
      <c r="F4604" s="7">
        <v>45990</v>
      </c>
      <c r="G4604" t="s">
        <v>135</v>
      </c>
      <c r="H4604" t="s">
        <v>102</v>
      </c>
      <c r="I4604" t="s">
        <v>101</v>
      </c>
      <c r="J4604">
        <v>10915.48</v>
      </c>
      <c r="K4604">
        <v>1500000</v>
      </c>
    </row>
    <row r="4605" spans="1:11" ht="15" customHeight="1" x14ac:dyDescent="0.2">
      <c r="A4605" t="s">
        <v>6318</v>
      </c>
      <c r="B4605" t="s">
        <v>9390</v>
      </c>
      <c r="C4605">
        <v>2024</v>
      </c>
      <c r="D4605">
        <v>2024</v>
      </c>
      <c r="E4605" s="7">
        <v>45626</v>
      </c>
      <c r="F4605" s="7">
        <v>45990</v>
      </c>
      <c r="G4605" t="s">
        <v>135</v>
      </c>
      <c r="H4605" t="s">
        <v>102</v>
      </c>
      <c r="I4605" t="s">
        <v>101</v>
      </c>
      <c r="J4605">
        <v>13160.56</v>
      </c>
      <c r="K4605">
        <v>2000000</v>
      </c>
    </row>
    <row r="4606" spans="1:11" ht="15" customHeight="1" x14ac:dyDescent="0.2">
      <c r="A4606" t="s">
        <v>6319</v>
      </c>
      <c r="B4606" t="s">
        <v>7278</v>
      </c>
      <c r="C4606">
        <v>2024</v>
      </c>
      <c r="D4606">
        <v>2024</v>
      </c>
      <c r="E4606" s="7">
        <v>45626</v>
      </c>
      <c r="F4606" s="7">
        <v>45990</v>
      </c>
      <c r="G4606" t="s">
        <v>135</v>
      </c>
      <c r="H4606" t="s">
        <v>111</v>
      </c>
      <c r="I4606" t="s">
        <v>104</v>
      </c>
      <c r="J4606">
        <v>52596.27</v>
      </c>
      <c r="K4606">
        <v>10000000</v>
      </c>
    </row>
    <row r="4607" spans="1:11" ht="15" customHeight="1" x14ac:dyDescent="0.2">
      <c r="A4607" t="s">
        <v>6320</v>
      </c>
      <c r="B4607" t="s">
        <v>7094</v>
      </c>
      <c r="C4607">
        <v>2024</v>
      </c>
      <c r="D4607">
        <v>2024</v>
      </c>
      <c r="E4607" s="7">
        <v>45626</v>
      </c>
      <c r="F4607" s="7">
        <v>45990</v>
      </c>
      <c r="G4607" t="s">
        <v>135</v>
      </c>
      <c r="H4607" t="s">
        <v>6348</v>
      </c>
      <c r="I4607" t="s">
        <v>101</v>
      </c>
      <c r="J4607">
        <v>13326.31</v>
      </c>
      <c r="K4607">
        <v>2000000</v>
      </c>
    </row>
    <row r="4608" spans="1:11" ht="15" customHeight="1" x14ac:dyDescent="0.2">
      <c r="A4608" t="s">
        <v>6321</v>
      </c>
      <c r="B4608" t="s">
        <v>7091</v>
      </c>
      <c r="C4608">
        <v>2024</v>
      </c>
      <c r="D4608">
        <v>2024</v>
      </c>
      <c r="E4608" s="7">
        <v>45626</v>
      </c>
      <c r="F4608" s="7">
        <v>45990</v>
      </c>
      <c r="G4608" t="s">
        <v>135</v>
      </c>
      <c r="H4608" t="s">
        <v>108</v>
      </c>
      <c r="I4608" t="s">
        <v>101</v>
      </c>
      <c r="J4608">
        <v>14292</v>
      </c>
      <c r="K4608">
        <v>1500000</v>
      </c>
    </row>
    <row r="4609" spans="1:11" ht="15" customHeight="1" x14ac:dyDescent="0.2">
      <c r="A4609" t="s">
        <v>6322</v>
      </c>
      <c r="B4609" t="s">
        <v>9391</v>
      </c>
      <c r="C4609">
        <v>2024</v>
      </c>
      <c r="D4609">
        <v>2024</v>
      </c>
      <c r="E4609" s="7">
        <v>45626</v>
      </c>
      <c r="F4609" s="7">
        <v>45990</v>
      </c>
      <c r="G4609" t="s">
        <v>135</v>
      </c>
      <c r="H4609" t="s">
        <v>106</v>
      </c>
      <c r="I4609" t="s">
        <v>101</v>
      </c>
      <c r="J4609">
        <v>8302.08</v>
      </c>
      <c r="K4609">
        <v>1000000</v>
      </c>
    </row>
    <row r="4610" spans="1:11" ht="15" customHeight="1" x14ac:dyDescent="0.2">
      <c r="A4610" t="s">
        <v>6323</v>
      </c>
      <c r="B4610" t="s">
        <v>1126</v>
      </c>
      <c r="C4610">
        <v>2024</v>
      </c>
      <c r="D4610">
        <v>2024</v>
      </c>
      <c r="E4610" s="7">
        <v>45626</v>
      </c>
      <c r="F4610" s="7">
        <v>45990</v>
      </c>
      <c r="G4610" t="s">
        <v>135</v>
      </c>
      <c r="H4610" t="s">
        <v>102</v>
      </c>
      <c r="I4610" t="s">
        <v>101</v>
      </c>
      <c r="J4610">
        <v>7130.08</v>
      </c>
      <c r="K4610">
        <v>1000000</v>
      </c>
    </row>
    <row r="4611" spans="1:11" ht="15" customHeight="1" x14ac:dyDescent="0.2">
      <c r="A4611" t="s">
        <v>6324</v>
      </c>
      <c r="B4611" t="s">
        <v>9392</v>
      </c>
      <c r="C4611">
        <v>2024</v>
      </c>
      <c r="D4611">
        <v>2024</v>
      </c>
      <c r="E4611" s="7">
        <v>45626</v>
      </c>
      <c r="F4611" s="7">
        <v>45990</v>
      </c>
      <c r="G4611" t="s">
        <v>135</v>
      </c>
      <c r="H4611" t="s">
        <v>112</v>
      </c>
      <c r="I4611" t="s">
        <v>101</v>
      </c>
      <c r="J4611">
        <v>9125.1299999999992</v>
      </c>
      <c r="K4611">
        <v>1000000</v>
      </c>
    </row>
    <row r="4612" spans="1:11" ht="15" customHeight="1" x14ac:dyDescent="0.2">
      <c r="E4612" s="7"/>
      <c r="F4612" s="7"/>
    </row>
    <row r="4613" spans="1:11" ht="15" customHeight="1" x14ac:dyDescent="0.2">
      <c r="E4613" s="7"/>
      <c r="F4613" s="7"/>
    </row>
    <row r="4614" spans="1:11" ht="15" customHeight="1" x14ac:dyDescent="0.2">
      <c r="E4614" s="7"/>
      <c r="F4614" s="7"/>
    </row>
    <row r="4615" spans="1:11" ht="15" customHeight="1" x14ac:dyDescent="0.2">
      <c r="E4615" s="7"/>
      <c r="F4615" s="7"/>
    </row>
    <row r="4616" spans="1:11" ht="15" customHeight="1" x14ac:dyDescent="0.2">
      <c r="E4616" s="7"/>
      <c r="F4616" s="7"/>
    </row>
    <row r="4617" spans="1:11" ht="15" customHeight="1" x14ac:dyDescent="0.2">
      <c r="E4617" s="7"/>
      <c r="F4617" s="7"/>
    </row>
    <row r="4618" spans="1:11" ht="15" customHeight="1" x14ac:dyDescent="0.2">
      <c r="E4618" s="7"/>
      <c r="F4618" s="7"/>
    </row>
    <row r="4619" spans="1:11" ht="15" customHeight="1" x14ac:dyDescent="0.2">
      <c r="E4619" s="7"/>
      <c r="F4619" s="7"/>
    </row>
    <row r="4620" spans="1:11" ht="15" customHeight="1" x14ac:dyDescent="0.2">
      <c r="E4620" s="7"/>
      <c r="F4620" s="7"/>
    </row>
    <row r="4621" spans="1:11" ht="15" customHeight="1" x14ac:dyDescent="0.2">
      <c r="E4621" s="7"/>
      <c r="F4621" s="7"/>
    </row>
    <row r="4622" spans="1:11" ht="15" customHeight="1" x14ac:dyDescent="0.2">
      <c r="E4622" s="7"/>
      <c r="F4622" s="7"/>
    </row>
    <row r="4623" spans="1:11" ht="15" customHeight="1" x14ac:dyDescent="0.2">
      <c r="E4623" s="7"/>
      <c r="F4623" s="7"/>
    </row>
    <row r="4624" spans="1:11" ht="15" customHeight="1" x14ac:dyDescent="0.2">
      <c r="E4624" s="7"/>
      <c r="F4624" s="7"/>
    </row>
    <row r="4625" spans="5:6" ht="15" customHeight="1" x14ac:dyDescent="0.2">
      <c r="E4625" s="7"/>
      <c r="F4625" s="7"/>
    </row>
    <row r="4626" spans="5:6" ht="15" customHeight="1" x14ac:dyDescent="0.2">
      <c r="E4626" s="7"/>
      <c r="F4626" s="7"/>
    </row>
    <row r="4627" spans="5:6" ht="15" customHeight="1" x14ac:dyDescent="0.2">
      <c r="E4627" s="7"/>
      <c r="F4627" s="7"/>
    </row>
    <row r="4628" spans="5:6" ht="15" customHeight="1" x14ac:dyDescent="0.2">
      <c r="E4628" s="7"/>
      <c r="F4628" s="7"/>
    </row>
    <row r="4629" spans="5:6" ht="15" customHeight="1" x14ac:dyDescent="0.2">
      <c r="E4629" s="7"/>
      <c r="F4629" s="7"/>
    </row>
    <row r="4630" spans="5:6" ht="15" customHeight="1" x14ac:dyDescent="0.2">
      <c r="E4630" s="7"/>
      <c r="F4630" s="7"/>
    </row>
    <row r="4631" spans="5:6" ht="15" customHeight="1" x14ac:dyDescent="0.2">
      <c r="E4631" s="7"/>
      <c r="F4631" s="7"/>
    </row>
    <row r="4632" spans="5:6" ht="15" customHeight="1" x14ac:dyDescent="0.2">
      <c r="E4632" s="7"/>
      <c r="F4632" s="7"/>
    </row>
    <row r="4633" spans="5:6" ht="15" customHeight="1" x14ac:dyDescent="0.2">
      <c r="E4633" s="7"/>
      <c r="F4633" s="7"/>
    </row>
    <row r="4634" spans="5:6" ht="15" customHeight="1" x14ac:dyDescent="0.2">
      <c r="E4634" s="7"/>
      <c r="F4634" s="7"/>
    </row>
    <row r="4635" spans="5:6" ht="15" customHeight="1" x14ac:dyDescent="0.2">
      <c r="E4635" s="7"/>
      <c r="F4635" s="7"/>
    </row>
    <row r="4636" spans="5:6" ht="15" customHeight="1" x14ac:dyDescent="0.2">
      <c r="E4636" s="7"/>
      <c r="F4636" s="7"/>
    </row>
    <row r="4637" spans="5:6" ht="15" customHeight="1" x14ac:dyDescent="0.2">
      <c r="E4637" s="7"/>
      <c r="F4637" s="7"/>
    </row>
    <row r="4638" spans="5:6" ht="15" customHeight="1" x14ac:dyDescent="0.2">
      <c r="E4638" s="7"/>
      <c r="F4638" s="7"/>
    </row>
    <row r="4639" spans="5:6" ht="15" customHeight="1" x14ac:dyDescent="0.2">
      <c r="E4639" s="7"/>
      <c r="F4639" s="7"/>
    </row>
    <row r="4640" spans="5:6" ht="15" customHeight="1" x14ac:dyDescent="0.2">
      <c r="E4640" s="7"/>
      <c r="F4640" s="7"/>
    </row>
    <row r="4641" spans="5:6" ht="15" customHeight="1" x14ac:dyDescent="0.2">
      <c r="E4641" s="7"/>
      <c r="F4641" s="7"/>
    </row>
    <row r="4642" spans="5:6" ht="15" customHeight="1" x14ac:dyDescent="0.2">
      <c r="E4642" s="7"/>
      <c r="F4642" s="7"/>
    </row>
    <row r="4643" spans="5:6" ht="15" customHeight="1" x14ac:dyDescent="0.2">
      <c r="E4643" s="7"/>
      <c r="F4643" s="7"/>
    </row>
    <row r="4644" spans="5:6" ht="15" customHeight="1" x14ac:dyDescent="0.2">
      <c r="E4644" s="7"/>
      <c r="F4644" s="7"/>
    </row>
    <row r="4645" spans="5:6" ht="15" customHeight="1" x14ac:dyDescent="0.2">
      <c r="E4645" s="7"/>
      <c r="F4645" s="7"/>
    </row>
    <row r="4646" spans="5:6" ht="15" customHeight="1" x14ac:dyDescent="0.2">
      <c r="E4646" s="7"/>
      <c r="F4646" s="7"/>
    </row>
    <row r="4647" spans="5:6" ht="15" customHeight="1" x14ac:dyDescent="0.2">
      <c r="E4647" s="7"/>
      <c r="F4647" s="7"/>
    </row>
    <row r="4648" spans="5:6" ht="15" customHeight="1" x14ac:dyDescent="0.2">
      <c r="E4648" s="7"/>
      <c r="F4648" s="7"/>
    </row>
    <row r="4649" spans="5:6" ht="15" customHeight="1" x14ac:dyDescent="0.2">
      <c r="E4649" s="7"/>
      <c r="F4649" s="7"/>
    </row>
    <row r="4650" spans="5:6" ht="15" customHeight="1" x14ac:dyDescent="0.2">
      <c r="E4650" s="7"/>
      <c r="F4650" s="7"/>
    </row>
    <row r="4651" spans="5:6" ht="15" customHeight="1" x14ac:dyDescent="0.2">
      <c r="E4651" s="7"/>
      <c r="F4651" s="7"/>
    </row>
    <row r="4652" spans="5:6" ht="15" customHeight="1" x14ac:dyDescent="0.2">
      <c r="E4652" s="7"/>
      <c r="F4652" s="7"/>
    </row>
    <row r="4653" spans="5:6" ht="15" customHeight="1" x14ac:dyDescent="0.2">
      <c r="E4653" s="7"/>
      <c r="F4653" s="7"/>
    </row>
    <row r="4654" spans="5:6" ht="15" customHeight="1" x14ac:dyDescent="0.2">
      <c r="E4654" s="7"/>
      <c r="F4654" s="7"/>
    </row>
    <row r="4655" spans="5:6" ht="15" customHeight="1" x14ac:dyDescent="0.2">
      <c r="E4655" s="7"/>
      <c r="F4655" s="7"/>
    </row>
    <row r="4656" spans="5:6" ht="15" customHeight="1" x14ac:dyDescent="0.2">
      <c r="E4656" s="7"/>
      <c r="F4656" s="7"/>
    </row>
    <row r="4657" spans="5:6" ht="15" customHeight="1" x14ac:dyDescent="0.2">
      <c r="E4657" s="7"/>
      <c r="F4657" s="7"/>
    </row>
    <row r="4658" spans="5:6" ht="15" customHeight="1" x14ac:dyDescent="0.2">
      <c r="E4658" s="7"/>
      <c r="F4658" s="7"/>
    </row>
    <row r="4659" spans="5:6" ht="15" customHeight="1" x14ac:dyDescent="0.2">
      <c r="E4659" s="7"/>
      <c r="F4659" s="7"/>
    </row>
    <row r="4660" spans="5:6" ht="15" customHeight="1" x14ac:dyDescent="0.2">
      <c r="E4660" s="7"/>
      <c r="F4660" s="7"/>
    </row>
    <row r="4661" spans="5:6" ht="15" customHeight="1" x14ac:dyDescent="0.2">
      <c r="E4661" s="7"/>
      <c r="F4661" s="7"/>
    </row>
    <row r="4662" spans="5:6" ht="15" customHeight="1" x14ac:dyDescent="0.2">
      <c r="E4662" s="7"/>
      <c r="F4662" s="7"/>
    </row>
    <row r="4663" spans="5:6" ht="15" customHeight="1" x14ac:dyDescent="0.2">
      <c r="E4663" s="7"/>
      <c r="F4663" s="7"/>
    </row>
    <row r="4664" spans="5:6" ht="15" customHeight="1" x14ac:dyDescent="0.2">
      <c r="E4664" s="7"/>
      <c r="F4664" s="7"/>
    </row>
    <row r="4665" spans="5:6" ht="15" customHeight="1" x14ac:dyDescent="0.2">
      <c r="E4665" s="7"/>
      <c r="F4665" s="7"/>
    </row>
    <row r="4666" spans="5:6" ht="15" customHeight="1" x14ac:dyDescent="0.2">
      <c r="E4666" s="7"/>
      <c r="F4666" s="7"/>
    </row>
    <row r="4667" spans="5:6" ht="15" customHeight="1" x14ac:dyDescent="0.2">
      <c r="E4667" s="7"/>
      <c r="F4667" s="7"/>
    </row>
    <row r="4668" spans="5:6" ht="15" customHeight="1" x14ac:dyDescent="0.2">
      <c r="E4668" s="7"/>
      <c r="F4668" s="7"/>
    </row>
    <row r="4669" spans="5:6" ht="15" customHeight="1" x14ac:dyDescent="0.2">
      <c r="E4669" s="7"/>
      <c r="F4669" s="7"/>
    </row>
    <row r="4670" spans="5:6" ht="15" customHeight="1" x14ac:dyDescent="0.2">
      <c r="E4670" s="7"/>
      <c r="F4670" s="7"/>
    </row>
    <row r="4671" spans="5:6" ht="15" customHeight="1" x14ac:dyDescent="0.2">
      <c r="E4671" s="7"/>
      <c r="F4671" s="7"/>
    </row>
    <row r="4672" spans="5:6" ht="15" customHeight="1" x14ac:dyDescent="0.2">
      <c r="E4672" s="7"/>
      <c r="F4672" s="7"/>
    </row>
    <row r="4673" spans="5:6" ht="15" customHeight="1" x14ac:dyDescent="0.2">
      <c r="E4673" s="7"/>
      <c r="F4673" s="7"/>
    </row>
    <row r="4674" spans="5:6" ht="15" customHeight="1" x14ac:dyDescent="0.2">
      <c r="E4674" s="7"/>
      <c r="F4674" s="7"/>
    </row>
    <row r="4675" spans="5:6" ht="15" customHeight="1" x14ac:dyDescent="0.2">
      <c r="E4675" s="7"/>
      <c r="F4675" s="7"/>
    </row>
    <row r="4676" spans="5:6" ht="15" customHeight="1" x14ac:dyDescent="0.2">
      <c r="E4676" s="7"/>
      <c r="F4676" s="7"/>
    </row>
    <row r="4677" spans="5:6" ht="15" customHeight="1" x14ac:dyDescent="0.2">
      <c r="E4677" s="7"/>
      <c r="F4677" s="7"/>
    </row>
    <row r="4678" spans="5:6" ht="15" customHeight="1" x14ac:dyDescent="0.2">
      <c r="E4678" s="7"/>
      <c r="F4678" s="7"/>
    </row>
    <row r="4679" spans="5:6" ht="15" customHeight="1" x14ac:dyDescent="0.2">
      <c r="E4679" s="7"/>
      <c r="F4679" s="7"/>
    </row>
    <row r="4680" spans="5:6" ht="15" customHeight="1" x14ac:dyDescent="0.2">
      <c r="E4680" s="7"/>
      <c r="F4680" s="7"/>
    </row>
    <row r="4681" spans="5:6" ht="15" customHeight="1" x14ac:dyDescent="0.2">
      <c r="E4681" s="7"/>
      <c r="F4681" s="7"/>
    </row>
    <row r="4682" spans="5:6" ht="15" customHeight="1" x14ac:dyDescent="0.2">
      <c r="E4682" s="7"/>
      <c r="F4682" s="7"/>
    </row>
    <row r="4683" spans="5:6" ht="15" customHeight="1" x14ac:dyDescent="0.2">
      <c r="E4683" s="7"/>
      <c r="F4683" s="7"/>
    </row>
    <row r="4684" spans="5:6" ht="15" customHeight="1" x14ac:dyDescent="0.2">
      <c r="E4684" s="7"/>
      <c r="F4684" s="7"/>
    </row>
    <row r="4685" spans="5:6" ht="15" customHeight="1" x14ac:dyDescent="0.2">
      <c r="E4685" s="7"/>
      <c r="F4685" s="7"/>
    </row>
    <row r="4686" spans="5:6" ht="15" customHeight="1" x14ac:dyDescent="0.2">
      <c r="E4686" s="7"/>
      <c r="F4686" s="7"/>
    </row>
    <row r="4687" spans="5:6" ht="15" customHeight="1" x14ac:dyDescent="0.2">
      <c r="E4687" s="7"/>
      <c r="F4687" s="7"/>
    </row>
    <row r="4688" spans="5:6" ht="15" customHeight="1" x14ac:dyDescent="0.2">
      <c r="E4688" s="7"/>
      <c r="F4688" s="7"/>
    </row>
    <row r="4689" spans="5:6" ht="15" customHeight="1" x14ac:dyDescent="0.2">
      <c r="E4689" s="7"/>
      <c r="F4689" s="7"/>
    </row>
    <row r="4690" spans="5:6" ht="15" customHeight="1" x14ac:dyDescent="0.2">
      <c r="E4690" s="7"/>
      <c r="F4690" s="7"/>
    </row>
    <row r="4691" spans="5:6" ht="15" customHeight="1" x14ac:dyDescent="0.2">
      <c r="E4691" s="7"/>
      <c r="F4691" s="7"/>
    </row>
    <row r="4692" spans="5:6" ht="15" customHeight="1" x14ac:dyDescent="0.2">
      <c r="E4692" s="7"/>
      <c r="F4692" s="7"/>
    </row>
    <row r="4693" spans="5:6" ht="15" customHeight="1" x14ac:dyDescent="0.2">
      <c r="E4693" s="7"/>
      <c r="F4693" s="7"/>
    </row>
    <row r="4694" spans="5:6" ht="15" customHeight="1" x14ac:dyDescent="0.2">
      <c r="E4694" s="7"/>
      <c r="F4694" s="7"/>
    </row>
    <row r="4695" spans="5:6" ht="15" customHeight="1" x14ac:dyDescent="0.2">
      <c r="E4695" s="7"/>
      <c r="F4695" s="7"/>
    </row>
    <row r="4696" spans="5:6" ht="15" customHeight="1" x14ac:dyDescent="0.2">
      <c r="E4696" s="7"/>
      <c r="F4696" s="7"/>
    </row>
    <row r="4697" spans="5:6" ht="15" customHeight="1" x14ac:dyDescent="0.2">
      <c r="E4697" s="7"/>
      <c r="F4697" s="7"/>
    </row>
    <row r="4698" spans="5:6" ht="15" customHeight="1" x14ac:dyDescent="0.2">
      <c r="E4698" s="7"/>
      <c r="F4698" s="7"/>
    </row>
    <row r="4699" spans="5:6" ht="15" customHeight="1" x14ac:dyDescent="0.2">
      <c r="E4699" s="7"/>
      <c r="F4699" s="7"/>
    </row>
    <row r="4700" spans="5:6" ht="15" customHeight="1" x14ac:dyDescent="0.2">
      <c r="E4700" s="7"/>
      <c r="F4700" s="7"/>
    </row>
    <row r="4701" spans="5:6" ht="15" customHeight="1" x14ac:dyDescent="0.2">
      <c r="E4701" s="7"/>
      <c r="F4701" s="7"/>
    </row>
    <row r="4702" spans="5:6" ht="15" customHeight="1" x14ac:dyDescent="0.2">
      <c r="E4702" s="7"/>
      <c r="F4702" s="7"/>
    </row>
    <row r="4703" spans="5:6" ht="15" customHeight="1" x14ac:dyDescent="0.2">
      <c r="E4703" s="7"/>
      <c r="F4703" s="7"/>
    </row>
    <row r="4704" spans="5:6" ht="15" customHeight="1" x14ac:dyDescent="0.2">
      <c r="E4704" s="7"/>
      <c r="F4704" s="7"/>
    </row>
    <row r="4705" spans="5:6" ht="15" customHeight="1" x14ac:dyDescent="0.2">
      <c r="E4705" s="7"/>
      <c r="F4705" s="7"/>
    </row>
    <row r="4706" spans="5:6" ht="15" customHeight="1" x14ac:dyDescent="0.2">
      <c r="E4706" s="7"/>
      <c r="F4706" s="7"/>
    </row>
    <row r="4707" spans="5:6" ht="15" customHeight="1" x14ac:dyDescent="0.2">
      <c r="E4707" s="7"/>
      <c r="F4707" s="7"/>
    </row>
    <row r="4708" spans="5:6" ht="15" customHeight="1" x14ac:dyDescent="0.2">
      <c r="E4708" s="7"/>
      <c r="F4708" s="7"/>
    </row>
    <row r="4709" spans="5:6" ht="15" customHeight="1" x14ac:dyDescent="0.2">
      <c r="E4709" s="7"/>
      <c r="F4709" s="7"/>
    </row>
    <row r="4710" spans="5:6" ht="15" customHeight="1" x14ac:dyDescent="0.2">
      <c r="E4710" s="7"/>
      <c r="F4710" s="7"/>
    </row>
    <row r="4711" spans="5:6" ht="15" customHeight="1" x14ac:dyDescent="0.2">
      <c r="E4711" s="7"/>
      <c r="F4711" s="7"/>
    </row>
    <row r="4712" spans="5:6" ht="15" customHeight="1" x14ac:dyDescent="0.2">
      <c r="E4712" s="7"/>
      <c r="F4712" s="7"/>
    </row>
    <row r="4713" spans="5:6" ht="15" customHeight="1" x14ac:dyDescent="0.2">
      <c r="E4713" s="7"/>
      <c r="F4713" s="7"/>
    </row>
    <row r="4714" spans="5:6" ht="15" customHeight="1" x14ac:dyDescent="0.2">
      <c r="E4714" s="7"/>
      <c r="F4714" s="7"/>
    </row>
    <row r="4715" spans="5:6" ht="15" customHeight="1" x14ac:dyDescent="0.2">
      <c r="E4715" s="7"/>
      <c r="F4715" s="7"/>
    </row>
    <row r="4716" spans="5:6" ht="15" customHeight="1" x14ac:dyDescent="0.2">
      <c r="E4716" s="7"/>
      <c r="F4716" s="7"/>
    </row>
    <row r="4717" spans="5:6" ht="15" customHeight="1" x14ac:dyDescent="0.2">
      <c r="E4717" s="7"/>
      <c r="F4717" s="7"/>
    </row>
    <row r="4718" spans="5:6" ht="15" customHeight="1" x14ac:dyDescent="0.2">
      <c r="E4718" s="7"/>
      <c r="F4718" s="7"/>
    </row>
    <row r="4719" spans="5:6" ht="15" customHeight="1" x14ac:dyDescent="0.2">
      <c r="E4719" s="7"/>
      <c r="F4719" s="7"/>
    </row>
    <row r="4720" spans="5:6" ht="15" customHeight="1" x14ac:dyDescent="0.2">
      <c r="E4720" s="7"/>
      <c r="F4720" s="7"/>
    </row>
    <row r="4721" spans="5:6" ht="15" customHeight="1" x14ac:dyDescent="0.2">
      <c r="E4721" s="7"/>
      <c r="F4721" s="7"/>
    </row>
    <row r="4722" spans="5:6" ht="15" customHeight="1" x14ac:dyDescent="0.2">
      <c r="E4722" s="7"/>
      <c r="F4722" s="7"/>
    </row>
    <row r="4723" spans="5:6" ht="15" customHeight="1" x14ac:dyDescent="0.2">
      <c r="E4723" s="7"/>
      <c r="F4723" s="7"/>
    </row>
    <row r="4724" spans="5:6" ht="15" customHeight="1" x14ac:dyDescent="0.2">
      <c r="E4724" s="7"/>
      <c r="F4724" s="7"/>
    </row>
    <row r="4725" spans="5:6" ht="15" customHeight="1" x14ac:dyDescent="0.2">
      <c r="E4725" s="7"/>
      <c r="F4725" s="7"/>
    </row>
    <row r="4726" spans="5:6" ht="15" customHeight="1" x14ac:dyDescent="0.2">
      <c r="E4726" s="7"/>
      <c r="F4726" s="7"/>
    </row>
    <row r="4727" spans="5:6" ht="15" customHeight="1" x14ac:dyDescent="0.2">
      <c r="E4727" s="7"/>
      <c r="F4727" s="7"/>
    </row>
    <row r="4728" spans="5:6" ht="15" customHeight="1" x14ac:dyDescent="0.2">
      <c r="E4728" s="7"/>
      <c r="F4728" s="7"/>
    </row>
    <row r="4729" spans="5:6" ht="15" customHeight="1" x14ac:dyDescent="0.2">
      <c r="E4729" s="7"/>
      <c r="F4729" s="7"/>
    </row>
    <row r="4730" spans="5:6" ht="15" customHeight="1" x14ac:dyDescent="0.2">
      <c r="E4730" s="7"/>
      <c r="F4730" s="7"/>
    </row>
    <row r="4731" spans="5:6" ht="15" customHeight="1" x14ac:dyDescent="0.2">
      <c r="E4731" s="7"/>
      <c r="F4731" s="7"/>
    </row>
    <row r="4732" spans="5:6" ht="15" customHeight="1" x14ac:dyDescent="0.2">
      <c r="E4732" s="7"/>
      <c r="F4732" s="7"/>
    </row>
    <row r="4733" spans="5:6" ht="15" customHeight="1" x14ac:dyDescent="0.2">
      <c r="E4733" s="7"/>
      <c r="F4733" s="7"/>
    </row>
    <row r="4734" spans="5:6" ht="15" customHeight="1" x14ac:dyDescent="0.2">
      <c r="E4734" s="7"/>
      <c r="F4734" s="7"/>
    </row>
    <row r="4735" spans="5:6" ht="15" customHeight="1" x14ac:dyDescent="0.2">
      <c r="E4735" s="7"/>
      <c r="F4735" s="7"/>
    </row>
    <row r="4736" spans="5:6" ht="15" customHeight="1" x14ac:dyDescent="0.2">
      <c r="E4736" s="7"/>
      <c r="F4736" s="7"/>
    </row>
    <row r="4737" spans="5:6" ht="15" customHeight="1" x14ac:dyDescent="0.2">
      <c r="E4737" s="7"/>
      <c r="F4737" s="7"/>
    </row>
    <row r="4738" spans="5:6" ht="15" customHeight="1" x14ac:dyDescent="0.2">
      <c r="E4738" s="7"/>
      <c r="F4738" s="7"/>
    </row>
    <row r="4739" spans="5:6" ht="15" customHeight="1" x14ac:dyDescent="0.2">
      <c r="E4739" s="7"/>
      <c r="F4739" s="7"/>
    </row>
    <row r="4740" spans="5:6" ht="15" customHeight="1" x14ac:dyDescent="0.2">
      <c r="E4740" s="7"/>
      <c r="F4740" s="7"/>
    </row>
    <row r="4741" spans="5:6" ht="15" customHeight="1" x14ac:dyDescent="0.2">
      <c r="E4741" s="7"/>
      <c r="F4741" s="7"/>
    </row>
    <row r="4742" spans="5:6" ht="15" customHeight="1" x14ac:dyDescent="0.2">
      <c r="E4742" s="7"/>
      <c r="F4742" s="7"/>
    </row>
    <row r="4743" spans="5:6" ht="15" customHeight="1" x14ac:dyDescent="0.2">
      <c r="E4743" s="7"/>
      <c r="F4743" s="7"/>
    </row>
    <row r="4744" spans="5:6" ht="15" customHeight="1" x14ac:dyDescent="0.2">
      <c r="E4744" s="7"/>
      <c r="F4744" s="7"/>
    </row>
    <row r="4745" spans="5:6" ht="15" customHeight="1" x14ac:dyDescent="0.2">
      <c r="E4745" s="7"/>
      <c r="F4745" s="7"/>
    </row>
    <row r="4746" spans="5:6" ht="15" customHeight="1" x14ac:dyDescent="0.2">
      <c r="E4746" s="7"/>
      <c r="F4746" s="7"/>
    </row>
    <row r="4747" spans="5:6" ht="15" customHeight="1" x14ac:dyDescent="0.2">
      <c r="E4747" s="7"/>
      <c r="F4747" s="7"/>
    </row>
    <row r="4748" spans="5:6" ht="15" customHeight="1" x14ac:dyDescent="0.2">
      <c r="E4748" s="7"/>
      <c r="F4748" s="7"/>
    </row>
    <row r="4749" spans="5:6" ht="15" customHeight="1" x14ac:dyDescent="0.2">
      <c r="E4749" s="7"/>
      <c r="F4749" s="7"/>
    </row>
    <row r="4750" spans="5:6" ht="15" customHeight="1" x14ac:dyDescent="0.2">
      <c r="E4750" s="7"/>
      <c r="F4750" s="7"/>
    </row>
    <row r="4751" spans="5:6" ht="15" customHeight="1" x14ac:dyDescent="0.2">
      <c r="E4751" s="7"/>
      <c r="F4751" s="7"/>
    </row>
    <row r="4752" spans="5:6" ht="15" customHeight="1" x14ac:dyDescent="0.2">
      <c r="E4752" s="7"/>
      <c r="F4752" s="7"/>
    </row>
    <row r="4753" spans="5:6" ht="15" customHeight="1" x14ac:dyDescent="0.2">
      <c r="E4753" s="7"/>
      <c r="F4753" s="7"/>
    </row>
    <row r="4754" spans="5:6" ht="15" customHeight="1" x14ac:dyDescent="0.2">
      <c r="E4754" s="7"/>
      <c r="F4754" s="7"/>
    </row>
    <row r="4755" spans="5:6" ht="15" customHeight="1" x14ac:dyDescent="0.2">
      <c r="E4755" s="7"/>
      <c r="F4755" s="7"/>
    </row>
    <row r="4756" spans="5:6" ht="15" customHeight="1" x14ac:dyDescent="0.2">
      <c r="E4756" s="7"/>
      <c r="F4756" s="7"/>
    </row>
    <row r="4757" spans="5:6" ht="15" customHeight="1" x14ac:dyDescent="0.2">
      <c r="E4757" s="7"/>
      <c r="F4757" s="7"/>
    </row>
    <row r="4758" spans="5:6" ht="15" customHeight="1" x14ac:dyDescent="0.2">
      <c r="E4758" s="7"/>
      <c r="F4758" s="7"/>
    </row>
    <row r="4759" spans="5:6" ht="15" customHeight="1" x14ac:dyDescent="0.2">
      <c r="E4759" s="7"/>
      <c r="F4759" s="7"/>
    </row>
    <row r="4760" spans="5:6" ht="15" customHeight="1" x14ac:dyDescent="0.2">
      <c r="E4760" s="7"/>
      <c r="F4760" s="7"/>
    </row>
    <row r="4761" spans="5:6" ht="15" customHeight="1" x14ac:dyDescent="0.2">
      <c r="E4761" s="7"/>
      <c r="F4761" s="7"/>
    </row>
    <row r="4762" spans="5:6" ht="15" customHeight="1" x14ac:dyDescent="0.2">
      <c r="E4762" s="7"/>
      <c r="F4762" s="7"/>
    </row>
    <row r="4763" spans="5:6" ht="15" customHeight="1" x14ac:dyDescent="0.2">
      <c r="E4763" s="7"/>
      <c r="F4763" s="7"/>
    </row>
    <row r="4764" spans="5:6" ht="15" customHeight="1" x14ac:dyDescent="0.2">
      <c r="E4764" s="7"/>
      <c r="F4764" s="7"/>
    </row>
    <row r="4765" spans="5:6" ht="15" customHeight="1" x14ac:dyDescent="0.2">
      <c r="E4765" s="7"/>
      <c r="F4765" s="7"/>
    </row>
    <row r="4766" spans="5:6" ht="15" customHeight="1" x14ac:dyDescent="0.2">
      <c r="E4766" s="7"/>
      <c r="F4766" s="7"/>
    </row>
    <row r="4767" spans="5:6" ht="15" customHeight="1" x14ac:dyDescent="0.2">
      <c r="E4767" s="7"/>
      <c r="F4767" s="7"/>
    </row>
    <row r="4768" spans="5:6" ht="15" customHeight="1" x14ac:dyDescent="0.2">
      <c r="E4768" s="7"/>
      <c r="F4768" s="7"/>
    </row>
    <row r="4769" spans="5:6" ht="15" customHeight="1" x14ac:dyDescent="0.2">
      <c r="E4769" s="7"/>
      <c r="F4769" s="7"/>
    </row>
    <row r="4770" spans="5:6" ht="15" customHeight="1" x14ac:dyDescent="0.2">
      <c r="E4770" s="7"/>
      <c r="F4770" s="7"/>
    </row>
    <row r="4771" spans="5:6" ht="15" customHeight="1" x14ac:dyDescent="0.2">
      <c r="E4771" s="7"/>
      <c r="F4771" s="7"/>
    </row>
    <row r="4772" spans="5:6" ht="15" customHeight="1" x14ac:dyDescent="0.2">
      <c r="E4772" s="7"/>
      <c r="F4772" s="7"/>
    </row>
    <row r="4773" spans="5:6" ht="15" customHeight="1" x14ac:dyDescent="0.2">
      <c r="E4773" s="7"/>
      <c r="F4773" s="7"/>
    </row>
    <row r="4774" spans="5:6" ht="15" customHeight="1" x14ac:dyDescent="0.2">
      <c r="E4774" s="7"/>
      <c r="F4774" s="7"/>
    </row>
    <row r="4775" spans="5:6" ht="15" customHeight="1" x14ac:dyDescent="0.2">
      <c r="E4775" s="7"/>
      <c r="F4775" s="7"/>
    </row>
    <row r="4776" spans="5:6" ht="15" customHeight="1" x14ac:dyDescent="0.2">
      <c r="E4776" s="7"/>
      <c r="F4776" s="7"/>
    </row>
    <row r="4777" spans="5:6" ht="15" customHeight="1" x14ac:dyDescent="0.2">
      <c r="E4777" s="7"/>
      <c r="F4777" s="7"/>
    </row>
    <row r="4778" spans="5:6" ht="15" customHeight="1" x14ac:dyDescent="0.2">
      <c r="E4778" s="7"/>
      <c r="F4778" s="7"/>
    </row>
    <row r="4779" spans="5:6" ht="15" customHeight="1" x14ac:dyDescent="0.2">
      <c r="E4779" s="7"/>
      <c r="F4779" s="7"/>
    </row>
    <row r="4780" spans="5:6" ht="15" customHeight="1" x14ac:dyDescent="0.2">
      <c r="E4780" s="7"/>
      <c r="F4780" s="7"/>
    </row>
    <row r="4781" spans="5:6" ht="15" customHeight="1" x14ac:dyDescent="0.2">
      <c r="E4781" s="7"/>
      <c r="F4781" s="7"/>
    </row>
    <row r="4782" spans="5:6" ht="15" customHeight="1" x14ac:dyDescent="0.2">
      <c r="E4782" s="7"/>
      <c r="F4782" s="7"/>
    </row>
    <row r="4783" spans="5:6" ht="15" customHeight="1" x14ac:dyDescent="0.2">
      <c r="E4783" s="7"/>
      <c r="F4783" s="7"/>
    </row>
    <row r="4784" spans="5:6" ht="15" customHeight="1" x14ac:dyDescent="0.2">
      <c r="E4784" s="7"/>
      <c r="F4784" s="7"/>
    </row>
    <row r="4785" spans="5:6" ht="15" customHeight="1" x14ac:dyDescent="0.2">
      <c r="E4785" s="7"/>
      <c r="F4785" s="7"/>
    </row>
    <row r="4786" spans="5:6" ht="15" customHeight="1" x14ac:dyDescent="0.2">
      <c r="E4786" s="7"/>
      <c r="F4786" s="7"/>
    </row>
    <row r="4787" spans="5:6" ht="15" customHeight="1" x14ac:dyDescent="0.2">
      <c r="E4787" s="7"/>
      <c r="F4787" s="7"/>
    </row>
    <row r="4788" spans="5:6" ht="15" customHeight="1" x14ac:dyDescent="0.2">
      <c r="E4788" s="7"/>
      <c r="F4788" s="7"/>
    </row>
    <row r="4789" spans="5:6" ht="15" customHeight="1" x14ac:dyDescent="0.2">
      <c r="E4789" s="7"/>
      <c r="F4789" s="7"/>
    </row>
    <row r="4790" spans="5:6" ht="15" customHeight="1" x14ac:dyDescent="0.2">
      <c r="E4790" s="7"/>
      <c r="F4790" s="7"/>
    </row>
    <row r="4791" spans="5:6" ht="15" customHeight="1" x14ac:dyDescent="0.2">
      <c r="E4791" s="7"/>
      <c r="F4791" s="7"/>
    </row>
    <row r="4792" spans="5:6" ht="15" customHeight="1" x14ac:dyDescent="0.2">
      <c r="E4792" s="7"/>
      <c r="F4792" s="7"/>
    </row>
    <row r="4793" spans="5:6" ht="15" customHeight="1" x14ac:dyDescent="0.2">
      <c r="E4793" s="7"/>
      <c r="F4793" s="7"/>
    </row>
    <row r="4794" spans="5:6" ht="15" customHeight="1" x14ac:dyDescent="0.2">
      <c r="E4794" s="7"/>
      <c r="F4794" s="7"/>
    </row>
    <row r="4795" spans="5:6" ht="15" customHeight="1" x14ac:dyDescent="0.2">
      <c r="E4795" s="7"/>
      <c r="F4795" s="7"/>
    </row>
    <row r="4796" spans="5:6" ht="15" customHeight="1" x14ac:dyDescent="0.2">
      <c r="E4796" s="7"/>
      <c r="F4796" s="7"/>
    </row>
    <row r="4797" spans="5:6" ht="15" customHeight="1" x14ac:dyDescent="0.2">
      <c r="E4797" s="7"/>
      <c r="F4797" s="7"/>
    </row>
    <row r="4798" spans="5:6" ht="15" customHeight="1" x14ac:dyDescent="0.2">
      <c r="E4798" s="7"/>
      <c r="F4798" s="7"/>
    </row>
    <row r="4799" spans="5:6" ht="15" customHeight="1" x14ac:dyDescent="0.2">
      <c r="E4799" s="7"/>
      <c r="F4799" s="7"/>
    </row>
    <row r="4800" spans="5:6" ht="15" customHeight="1" x14ac:dyDescent="0.2">
      <c r="E4800" s="7"/>
      <c r="F4800" s="7"/>
    </row>
    <row r="4801" spans="5:6" ht="15" customHeight="1" x14ac:dyDescent="0.2">
      <c r="E4801" s="7"/>
      <c r="F4801" s="7"/>
    </row>
    <row r="4802" spans="5:6" ht="15" customHeight="1" x14ac:dyDescent="0.2">
      <c r="E4802" s="7"/>
      <c r="F4802" s="7"/>
    </row>
    <row r="4803" spans="5:6" ht="15" customHeight="1" x14ac:dyDescent="0.2">
      <c r="E4803" s="7"/>
      <c r="F4803" s="7"/>
    </row>
    <row r="4804" spans="5:6" ht="15" customHeight="1" x14ac:dyDescent="0.2">
      <c r="E4804" s="7"/>
      <c r="F4804" s="7"/>
    </row>
    <row r="4805" spans="5:6" ht="15" customHeight="1" x14ac:dyDescent="0.2">
      <c r="E4805" s="7"/>
      <c r="F4805" s="7"/>
    </row>
    <row r="4806" spans="5:6" ht="15" customHeight="1" x14ac:dyDescent="0.2">
      <c r="E4806" s="7"/>
      <c r="F4806" s="7"/>
    </row>
    <row r="4807" spans="5:6" ht="15" customHeight="1" x14ac:dyDescent="0.2">
      <c r="E4807" s="7"/>
      <c r="F4807" s="7"/>
    </row>
    <row r="4808" spans="5:6" ht="15" customHeight="1" x14ac:dyDescent="0.2">
      <c r="E4808" s="7"/>
      <c r="F4808" s="7"/>
    </row>
    <row r="4809" spans="5:6" ht="15" customHeight="1" x14ac:dyDescent="0.2">
      <c r="E4809" s="7"/>
      <c r="F4809" s="7"/>
    </row>
    <row r="4810" spans="5:6" ht="15" customHeight="1" x14ac:dyDescent="0.2">
      <c r="E4810" s="7"/>
      <c r="F4810" s="7"/>
    </row>
    <row r="4811" spans="5:6" ht="15" customHeight="1" x14ac:dyDescent="0.2">
      <c r="E4811" s="7"/>
      <c r="F4811" s="7"/>
    </row>
    <row r="4812" spans="5:6" ht="15" customHeight="1" x14ac:dyDescent="0.2">
      <c r="E4812" s="7"/>
      <c r="F4812" s="7"/>
    </row>
    <row r="4813" spans="5:6" ht="15" customHeight="1" x14ac:dyDescent="0.2">
      <c r="E4813" s="7"/>
      <c r="F4813" s="7"/>
    </row>
    <row r="4814" spans="5:6" ht="15" customHeight="1" x14ac:dyDescent="0.2">
      <c r="E4814" s="7"/>
      <c r="F4814" s="7"/>
    </row>
    <row r="4815" spans="5:6" ht="15" customHeight="1" x14ac:dyDescent="0.2">
      <c r="E4815" s="7"/>
      <c r="F4815" s="7"/>
    </row>
    <row r="4816" spans="5:6" ht="15" customHeight="1" x14ac:dyDescent="0.2">
      <c r="E4816" s="7"/>
      <c r="F4816" s="7"/>
    </row>
    <row r="4817" spans="5:6" ht="15" customHeight="1" x14ac:dyDescent="0.2">
      <c r="E4817" s="7"/>
      <c r="F4817" s="7"/>
    </row>
    <row r="4818" spans="5:6" ht="15" customHeight="1" x14ac:dyDescent="0.2">
      <c r="E4818" s="7"/>
      <c r="F4818" s="7"/>
    </row>
    <row r="4819" spans="5:6" ht="15" customHeight="1" x14ac:dyDescent="0.2">
      <c r="E4819" s="7"/>
      <c r="F4819" s="7"/>
    </row>
    <row r="4820" spans="5:6" ht="15" customHeight="1" x14ac:dyDescent="0.2">
      <c r="E4820" s="7"/>
      <c r="F4820" s="7"/>
    </row>
    <row r="4821" spans="5:6" ht="15" customHeight="1" x14ac:dyDescent="0.2">
      <c r="E4821" s="7"/>
      <c r="F4821" s="7"/>
    </row>
    <row r="4822" spans="5:6" ht="15" customHeight="1" x14ac:dyDescent="0.2">
      <c r="E4822" s="7"/>
      <c r="F4822" s="7"/>
    </row>
    <row r="4823" spans="5:6" ht="15" customHeight="1" x14ac:dyDescent="0.2">
      <c r="E4823" s="7"/>
      <c r="F4823" s="7"/>
    </row>
    <row r="4824" spans="5:6" ht="15" customHeight="1" x14ac:dyDescent="0.2">
      <c r="E4824" s="7"/>
      <c r="F4824" s="7"/>
    </row>
    <row r="4825" spans="5:6" ht="15" customHeight="1" x14ac:dyDescent="0.2">
      <c r="E4825" s="7"/>
      <c r="F4825" s="7"/>
    </row>
    <row r="4826" spans="5:6" ht="15" customHeight="1" x14ac:dyDescent="0.2">
      <c r="E4826" s="7"/>
      <c r="F4826" s="7"/>
    </row>
    <row r="4827" spans="5:6" ht="15" customHeight="1" x14ac:dyDescent="0.2">
      <c r="E4827" s="7"/>
      <c r="F4827" s="7"/>
    </row>
    <row r="4828" spans="5:6" ht="15" customHeight="1" x14ac:dyDescent="0.2">
      <c r="E4828" s="7"/>
      <c r="F4828" s="7"/>
    </row>
    <row r="4829" spans="5:6" ht="15" customHeight="1" x14ac:dyDescent="0.2">
      <c r="E4829" s="7"/>
      <c r="F4829" s="7"/>
    </row>
    <row r="4830" spans="5:6" ht="15" customHeight="1" x14ac:dyDescent="0.2">
      <c r="E4830" s="7"/>
      <c r="F4830" s="7"/>
    </row>
    <row r="4831" spans="5:6" ht="15" customHeight="1" x14ac:dyDescent="0.2">
      <c r="E4831" s="7"/>
      <c r="F4831" s="7"/>
    </row>
    <row r="4832" spans="5:6" ht="15" customHeight="1" x14ac:dyDescent="0.2">
      <c r="E4832" s="7"/>
      <c r="F4832" s="7"/>
    </row>
    <row r="4833" spans="5:6" ht="15" customHeight="1" x14ac:dyDescent="0.2">
      <c r="E4833" s="7"/>
      <c r="F4833" s="7"/>
    </row>
    <row r="4834" spans="5:6" ht="15" customHeight="1" x14ac:dyDescent="0.2">
      <c r="E4834" s="7"/>
      <c r="F4834" s="7"/>
    </row>
    <row r="4835" spans="5:6" ht="15" customHeight="1" x14ac:dyDescent="0.2">
      <c r="E4835" s="7"/>
      <c r="F4835" s="7"/>
    </row>
    <row r="4836" spans="5:6" ht="15" customHeight="1" x14ac:dyDescent="0.2">
      <c r="E4836" s="7"/>
      <c r="F4836" s="7"/>
    </row>
    <row r="4837" spans="5:6" ht="15" customHeight="1" x14ac:dyDescent="0.2">
      <c r="E4837" s="7"/>
      <c r="F4837" s="7"/>
    </row>
    <row r="4838" spans="5:6" ht="15" customHeight="1" x14ac:dyDescent="0.2">
      <c r="E4838" s="7"/>
      <c r="F4838" s="7"/>
    </row>
    <row r="4839" spans="5:6" ht="15" customHeight="1" x14ac:dyDescent="0.2">
      <c r="E4839" s="7"/>
      <c r="F4839" s="7"/>
    </row>
    <row r="4840" spans="5:6" ht="15" customHeight="1" x14ac:dyDescent="0.2">
      <c r="E4840" s="7"/>
      <c r="F4840" s="7"/>
    </row>
    <row r="4841" spans="5:6" ht="15" customHeight="1" x14ac:dyDescent="0.2">
      <c r="E4841" s="7"/>
      <c r="F4841" s="7"/>
    </row>
    <row r="4842" spans="5:6" ht="15" customHeight="1" x14ac:dyDescent="0.2">
      <c r="E4842" s="7"/>
      <c r="F4842" s="7"/>
    </row>
    <row r="4843" spans="5:6" ht="15" customHeight="1" x14ac:dyDescent="0.2">
      <c r="E4843" s="7"/>
      <c r="F4843" s="7"/>
    </row>
    <row r="4844" spans="5:6" ht="15" customHeight="1" x14ac:dyDescent="0.2">
      <c r="E4844" s="7"/>
      <c r="F4844" s="7"/>
    </row>
    <row r="4845" spans="5:6" ht="15" customHeight="1" x14ac:dyDescent="0.2">
      <c r="E4845" s="7"/>
      <c r="F4845" s="7"/>
    </row>
    <row r="4846" spans="5:6" ht="15" customHeight="1" x14ac:dyDescent="0.2">
      <c r="E4846" s="7"/>
      <c r="F4846" s="7"/>
    </row>
    <row r="4847" spans="5:6" ht="15" customHeight="1" x14ac:dyDescent="0.2">
      <c r="E4847" s="7"/>
      <c r="F4847" s="7"/>
    </row>
    <row r="4848" spans="5:6" ht="15" customHeight="1" x14ac:dyDescent="0.2">
      <c r="E4848" s="7"/>
      <c r="F4848" s="7"/>
    </row>
    <row r="4849" spans="5:6" ht="15" customHeight="1" x14ac:dyDescent="0.2">
      <c r="E4849" s="7"/>
      <c r="F4849" s="7"/>
    </row>
    <row r="4850" spans="5:6" ht="15" customHeight="1" x14ac:dyDescent="0.2">
      <c r="E4850" s="7"/>
      <c r="F4850" s="7"/>
    </row>
    <row r="4851" spans="5:6" ht="15" customHeight="1" x14ac:dyDescent="0.2">
      <c r="E4851" s="7"/>
      <c r="F4851" s="7"/>
    </row>
    <row r="4852" spans="5:6" ht="15" customHeight="1" x14ac:dyDescent="0.2">
      <c r="E4852" s="7"/>
      <c r="F4852" s="7"/>
    </row>
    <row r="4853" spans="5:6" ht="15" customHeight="1" x14ac:dyDescent="0.2">
      <c r="E4853" s="7"/>
      <c r="F4853" s="7"/>
    </row>
    <row r="4854" spans="5:6" ht="15" customHeight="1" x14ac:dyDescent="0.2">
      <c r="E4854" s="7"/>
      <c r="F4854" s="7"/>
    </row>
    <row r="4855" spans="5:6" ht="15" customHeight="1" x14ac:dyDescent="0.2">
      <c r="E4855" s="7"/>
      <c r="F4855" s="7"/>
    </row>
    <row r="4856" spans="5:6" ht="15" customHeight="1" x14ac:dyDescent="0.2">
      <c r="E4856" s="7"/>
      <c r="F4856" s="7"/>
    </row>
    <row r="4857" spans="5:6" ht="15" customHeight="1" x14ac:dyDescent="0.2">
      <c r="E4857" s="7"/>
      <c r="F4857" s="7"/>
    </row>
    <row r="4858" spans="5:6" ht="15" customHeight="1" x14ac:dyDescent="0.2">
      <c r="E4858" s="7"/>
      <c r="F4858" s="7"/>
    </row>
    <row r="4859" spans="5:6" ht="15" customHeight="1" x14ac:dyDescent="0.2">
      <c r="E4859" s="7"/>
      <c r="F4859" s="7"/>
    </row>
    <row r="4860" spans="5:6" ht="15" customHeight="1" x14ac:dyDescent="0.2">
      <c r="E4860" s="7"/>
      <c r="F4860" s="7"/>
    </row>
    <row r="4861" spans="5:6" ht="15" customHeight="1" x14ac:dyDescent="0.2">
      <c r="E4861" s="7"/>
      <c r="F4861" s="7"/>
    </row>
    <row r="4862" spans="5:6" ht="15" customHeight="1" x14ac:dyDescent="0.2">
      <c r="E4862" s="7"/>
      <c r="F4862" s="7"/>
    </row>
    <row r="4863" spans="5:6" ht="15" customHeight="1" x14ac:dyDescent="0.2">
      <c r="E4863" s="7"/>
      <c r="F4863" s="7"/>
    </row>
    <row r="4864" spans="5:6" ht="15" customHeight="1" x14ac:dyDescent="0.2">
      <c r="E4864" s="7"/>
      <c r="F4864" s="7"/>
    </row>
    <row r="4865" spans="5:6" ht="15" customHeight="1" x14ac:dyDescent="0.2">
      <c r="E4865" s="7"/>
      <c r="F4865" s="7"/>
    </row>
    <row r="4866" spans="5:6" ht="15" customHeight="1" x14ac:dyDescent="0.2">
      <c r="E4866" s="7"/>
      <c r="F4866" s="7"/>
    </row>
    <row r="4867" spans="5:6" ht="15" customHeight="1" x14ac:dyDescent="0.2">
      <c r="E4867" s="7"/>
      <c r="F4867" s="7"/>
    </row>
    <row r="4868" spans="5:6" ht="15" customHeight="1" x14ac:dyDescent="0.2">
      <c r="E4868" s="7"/>
      <c r="F4868" s="7"/>
    </row>
    <row r="4869" spans="5:6" ht="15" customHeight="1" x14ac:dyDescent="0.2">
      <c r="E4869" s="7"/>
      <c r="F4869" s="7"/>
    </row>
    <row r="4870" spans="5:6" ht="15" customHeight="1" x14ac:dyDescent="0.2">
      <c r="E4870" s="7"/>
      <c r="F4870" s="7"/>
    </row>
    <row r="4871" spans="5:6" ht="15" customHeight="1" x14ac:dyDescent="0.2">
      <c r="E4871" s="7"/>
      <c r="F4871" s="7"/>
    </row>
    <row r="4872" spans="5:6" ht="15" customHeight="1" x14ac:dyDescent="0.2">
      <c r="E4872" s="7"/>
      <c r="F4872" s="7"/>
    </row>
    <row r="4873" spans="5:6" ht="15" customHeight="1" x14ac:dyDescent="0.2">
      <c r="E4873" s="7"/>
      <c r="F4873" s="7"/>
    </row>
    <row r="4874" spans="5:6" ht="15" customHeight="1" x14ac:dyDescent="0.2">
      <c r="E4874" s="7"/>
      <c r="F4874" s="7"/>
    </row>
    <row r="4875" spans="5:6" ht="15" customHeight="1" x14ac:dyDescent="0.2">
      <c r="E4875" s="7"/>
      <c r="F4875" s="7"/>
    </row>
    <row r="4876" spans="5:6" ht="15" customHeight="1" x14ac:dyDescent="0.2">
      <c r="E4876" s="7"/>
      <c r="F4876" s="7"/>
    </row>
    <row r="4877" spans="5:6" ht="15" customHeight="1" x14ac:dyDescent="0.2">
      <c r="E4877" s="7"/>
      <c r="F4877" s="7"/>
    </row>
    <row r="4878" spans="5:6" ht="15" customHeight="1" x14ac:dyDescent="0.2">
      <c r="E4878" s="7"/>
      <c r="F4878" s="7"/>
    </row>
    <row r="4879" spans="5:6" ht="15" customHeight="1" x14ac:dyDescent="0.2">
      <c r="E4879" s="7"/>
      <c r="F4879" s="7"/>
    </row>
    <row r="4880" spans="5:6" ht="15" customHeight="1" x14ac:dyDescent="0.2">
      <c r="E4880" s="7"/>
      <c r="F4880" s="7"/>
    </row>
    <row r="4881" spans="5:6" ht="15" customHeight="1" x14ac:dyDescent="0.2">
      <c r="E4881" s="7"/>
      <c r="F4881" s="7"/>
    </row>
    <row r="4882" spans="5:6" ht="15" customHeight="1" x14ac:dyDescent="0.2">
      <c r="E4882" s="7"/>
      <c r="F4882" s="7"/>
    </row>
    <row r="4883" spans="5:6" ht="15" customHeight="1" x14ac:dyDescent="0.2">
      <c r="E4883" s="7"/>
      <c r="F4883" s="7"/>
    </row>
    <row r="4884" spans="5:6" ht="15" customHeight="1" x14ac:dyDescent="0.2">
      <c r="E4884" s="7"/>
      <c r="F4884" s="7"/>
    </row>
    <row r="4885" spans="5:6" ht="15" customHeight="1" x14ac:dyDescent="0.2">
      <c r="E4885" s="7"/>
      <c r="F4885" s="7"/>
    </row>
    <row r="4886" spans="5:6" ht="15" customHeight="1" x14ac:dyDescent="0.2">
      <c r="E4886" s="7"/>
      <c r="F4886" s="7"/>
    </row>
    <row r="4887" spans="5:6" ht="15" customHeight="1" x14ac:dyDescent="0.2">
      <c r="E4887" s="7"/>
      <c r="F4887" s="7"/>
    </row>
    <row r="4888" spans="5:6" ht="15" customHeight="1" x14ac:dyDescent="0.2">
      <c r="E4888" s="7"/>
      <c r="F4888" s="7"/>
    </row>
    <row r="4889" spans="5:6" ht="15" customHeight="1" x14ac:dyDescent="0.2">
      <c r="E4889" s="7"/>
      <c r="F4889" s="7"/>
    </row>
    <row r="4890" spans="5:6" ht="15" customHeight="1" x14ac:dyDescent="0.2">
      <c r="E4890" s="7"/>
      <c r="F4890" s="7"/>
    </row>
    <row r="4891" spans="5:6" ht="15" customHeight="1" x14ac:dyDescent="0.2">
      <c r="E4891" s="7"/>
      <c r="F4891" s="7"/>
    </row>
    <row r="4892" spans="5:6" ht="15" customHeight="1" x14ac:dyDescent="0.2">
      <c r="E4892" s="7"/>
      <c r="F4892" s="7"/>
    </row>
    <row r="4893" spans="5:6" ht="15" customHeight="1" x14ac:dyDescent="0.2">
      <c r="E4893" s="7"/>
      <c r="F4893" s="7"/>
    </row>
    <row r="4894" spans="5:6" ht="15" customHeight="1" x14ac:dyDescent="0.2">
      <c r="E4894" s="7"/>
      <c r="F4894" s="7"/>
    </row>
    <row r="4895" spans="5:6" ht="15" customHeight="1" x14ac:dyDescent="0.2">
      <c r="E4895" s="7"/>
      <c r="F4895" s="7"/>
    </row>
    <row r="4896" spans="5:6" ht="15" customHeight="1" x14ac:dyDescent="0.2">
      <c r="E4896" s="7"/>
      <c r="F4896" s="7"/>
    </row>
    <row r="4897" spans="5:6" ht="15" customHeight="1" x14ac:dyDescent="0.2">
      <c r="E4897" s="7"/>
      <c r="F4897" s="7"/>
    </row>
    <row r="4898" spans="5:6" ht="15" customHeight="1" x14ac:dyDescent="0.2">
      <c r="E4898" s="7"/>
      <c r="F4898" s="7"/>
    </row>
    <row r="4899" spans="5:6" ht="15" customHeight="1" x14ac:dyDescent="0.2">
      <c r="E4899" s="7"/>
      <c r="F4899" s="7"/>
    </row>
    <row r="4900" spans="5:6" ht="15" customHeight="1" x14ac:dyDescent="0.2">
      <c r="E4900" s="7"/>
      <c r="F4900" s="7"/>
    </row>
    <row r="4901" spans="5:6" ht="15" customHeight="1" x14ac:dyDescent="0.2">
      <c r="E4901" s="7"/>
      <c r="F4901" s="7"/>
    </row>
    <row r="4902" spans="5:6" ht="15" customHeight="1" x14ac:dyDescent="0.2">
      <c r="E4902" s="7"/>
      <c r="F4902" s="7"/>
    </row>
    <row r="4903" spans="5:6" ht="15" customHeight="1" x14ac:dyDescent="0.2">
      <c r="E4903" s="7"/>
      <c r="F4903" s="7"/>
    </row>
    <row r="4904" spans="5:6" ht="15" customHeight="1" x14ac:dyDescent="0.2">
      <c r="E4904" s="7"/>
      <c r="F4904" s="7"/>
    </row>
    <row r="4905" spans="5:6" ht="15" customHeight="1" x14ac:dyDescent="0.2">
      <c r="E4905" s="7"/>
      <c r="F4905" s="7"/>
    </row>
    <row r="4906" spans="5:6" ht="15" customHeight="1" x14ac:dyDescent="0.2">
      <c r="E4906" s="7"/>
      <c r="F4906" s="7"/>
    </row>
    <row r="4907" spans="5:6" ht="15" customHeight="1" x14ac:dyDescent="0.2">
      <c r="E4907" s="7"/>
      <c r="F4907" s="7"/>
    </row>
    <row r="4908" spans="5:6" ht="15" customHeight="1" x14ac:dyDescent="0.2">
      <c r="E4908" s="7"/>
      <c r="F4908" s="7"/>
    </row>
    <row r="4909" spans="5:6" ht="15" customHeight="1" x14ac:dyDescent="0.2">
      <c r="E4909" s="7"/>
      <c r="F4909" s="7"/>
    </row>
    <row r="4910" spans="5:6" ht="15" customHeight="1" x14ac:dyDescent="0.2">
      <c r="E4910" s="7"/>
      <c r="F4910" s="7"/>
    </row>
    <row r="4911" spans="5:6" ht="15" customHeight="1" x14ac:dyDescent="0.2">
      <c r="E4911" s="7"/>
      <c r="F4911" s="7"/>
    </row>
    <row r="4912" spans="5:6" ht="15" customHeight="1" x14ac:dyDescent="0.2">
      <c r="E4912" s="7"/>
      <c r="F4912" s="7"/>
    </row>
    <row r="4913" spans="5:6" ht="15" customHeight="1" x14ac:dyDescent="0.2">
      <c r="E4913" s="7"/>
      <c r="F4913" s="7"/>
    </row>
    <row r="4914" spans="5:6" ht="15" customHeight="1" x14ac:dyDescent="0.2">
      <c r="E4914" s="7"/>
      <c r="F4914" s="7"/>
    </row>
    <row r="4915" spans="5:6" ht="15" customHeight="1" x14ac:dyDescent="0.2">
      <c r="E4915" s="7"/>
      <c r="F4915" s="7"/>
    </row>
    <row r="4916" spans="5:6" ht="15" customHeight="1" x14ac:dyDescent="0.2">
      <c r="E4916" s="7"/>
      <c r="F4916" s="7"/>
    </row>
    <row r="4917" spans="5:6" ht="15" customHeight="1" x14ac:dyDescent="0.2">
      <c r="E4917" s="7"/>
      <c r="F4917" s="7"/>
    </row>
    <row r="4918" spans="5:6" ht="15" customHeight="1" x14ac:dyDescent="0.2">
      <c r="E4918" s="7"/>
      <c r="F4918" s="7"/>
    </row>
    <row r="4919" spans="5:6" ht="15" customHeight="1" x14ac:dyDescent="0.2">
      <c r="E4919" s="7"/>
      <c r="F4919" s="7"/>
    </row>
    <row r="4920" spans="5:6" ht="15" customHeight="1" x14ac:dyDescent="0.2">
      <c r="E4920" s="7"/>
      <c r="F4920" s="7"/>
    </row>
    <row r="4921" spans="5:6" ht="15" customHeight="1" x14ac:dyDescent="0.2">
      <c r="E4921" s="7"/>
      <c r="F4921" s="7"/>
    </row>
    <row r="4922" spans="5:6" ht="15" customHeight="1" x14ac:dyDescent="0.2">
      <c r="E4922" s="7"/>
      <c r="F4922" s="7"/>
    </row>
    <row r="4923" spans="5:6" ht="15" customHeight="1" x14ac:dyDescent="0.2">
      <c r="E4923" s="7"/>
      <c r="F4923" s="7"/>
    </row>
    <row r="4924" spans="5:6" ht="15" customHeight="1" x14ac:dyDescent="0.2">
      <c r="E4924" s="7"/>
      <c r="F4924" s="7"/>
    </row>
    <row r="4925" spans="5:6" ht="15" customHeight="1" x14ac:dyDescent="0.2">
      <c r="E4925" s="7"/>
      <c r="F4925" s="7"/>
    </row>
    <row r="4926" spans="5:6" ht="15" customHeight="1" x14ac:dyDescent="0.2">
      <c r="E4926" s="7"/>
      <c r="F4926" s="7"/>
    </row>
    <row r="4927" spans="5:6" ht="15" customHeight="1" x14ac:dyDescent="0.2">
      <c r="E4927" s="7"/>
      <c r="F4927" s="7"/>
    </row>
    <row r="4928" spans="5:6" ht="15" customHeight="1" x14ac:dyDescent="0.2">
      <c r="E4928" s="7"/>
      <c r="F4928" s="7"/>
    </row>
    <row r="4929" spans="5:6" ht="15" customHeight="1" x14ac:dyDescent="0.2">
      <c r="E4929" s="7"/>
      <c r="F4929" s="7"/>
    </row>
    <row r="4930" spans="5:6" ht="15" customHeight="1" x14ac:dyDescent="0.2">
      <c r="E4930" s="7"/>
      <c r="F4930" s="7"/>
    </row>
    <row r="4931" spans="5:6" ht="15" customHeight="1" x14ac:dyDescent="0.2">
      <c r="E4931" s="7"/>
      <c r="F4931" s="7"/>
    </row>
    <row r="4932" spans="5:6" ht="15" customHeight="1" x14ac:dyDescent="0.2">
      <c r="E4932" s="7"/>
      <c r="F4932" s="7"/>
    </row>
    <row r="4933" spans="5:6" ht="15" customHeight="1" x14ac:dyDescent="0.2">
      <c r="E4933" s="7"/>
      <c r="F4933" s="7"/>
    </row>
    <row r="4934" spans="5:6" ht="15" customHeight="1" x14ac:dyDescent="0.2">
      <c r="E4934" s="7"/>
      <c r="F4934" s="7"/>
    </row>
    <row r="4935" spans="5:6" ht="15" customHeight="1" x14ac:dyDescent="0.2">
      <c r="E4935" s="7"/>
      <c r="F4935" s="7"/>
    </row>
    <row r="4936" spans="5:6" ht="15" customHeight="1" x14ac:dyDescent="0.2">
      <c r="E4936" s="7"/>
      <c r="F4936" s="7"/>
    </row>
    <row r="4937" spans="5:6" ht="15" customHeight="1" x14ac:dyDescent="0.2">
      <c r="E4937" s="7"/>
      <c r="F4937" s="7"/>
    </row>
    <row r="4938" spans="5:6" ht="15" customHeight="1" x14ac:dyDescent="0.2">
      <c r="E4938" s="7"/>
      <c r="F4938" s="7"/>
    </row>
    <row r="4939" spans="5:6" ht="15" customHeight="1" x14ac:dyDescent="0.2">
      <c r="E4939" s="7"/>
      <c r="F4939" s="7"/>
    </row>
    <row r="4940" spans="5:6" ht="15" customHeight="1" x14ac:dyDescent="0.2">
      <c r="E4940" s="7"/>
      <c r="F4940" s="7"/>
    </row>
    <row r="4941" spans="5:6" ht="15" customHeight="1" x14ac:dyDescent="0.2">
      <c r="E4941" s="7"/>
      <c r="F4941" s="7"/>
    </row>
    <row r="4942" spans="5:6" ht="15" customHeight="1" x14ac:dyDescent="0.2">
      <c r="E4942" s="7"/>
      <c r="F4942" s="7"/>
    </row>
    <row r="4943" spans="5:6" ht="15" customHeight="1" x14ac:dyDescent="0.2">
      <c r="E4943" s="7"/>
      <c r="F4943" s="7"/>
    </row>
    <row r="4944" spans="5:6" ht="15" customHeight="1" x14ac:dyDescent="0.2">
      <c r="E4944" s="7"/>
      <c r="F4944" s="7"/>
    </row>
    <row r="4945" spans="5:6" ht="15" customHeight="1" x14ac:dyDescent="0.2">
      <c r="E4945" s="7"/>
      <c r="F4945" s="7"/>
    </row>
    <row r="4946" spans="5:6" ht="15" customHeight="1" x14ac:dyDescent="0.2">
      <c r="E4946" s="7"/>
      <c r="F4946" s="7"/>
    </row>
    <row r="4947" spans="5:6" ht="15" customHeight="1" x14ac:dyDescent="0.2">
      <c r="E4947" s="7"/>
      <c r="F4947" s="7"/>
    </row>
    <row r="4948" spans="5:6" ht="15" customHeight="1" x14ac:dyDescent="0.2">
      <c r="E4948" s="7"/>
      <c r="F4948" s="7"/>
    </row>
    <row r="4949" spans="5:6" ht="15" customHeight="1" x14ac:dyDescent="0.2">
      <c r="E4949" s="7"/>
      <c r="F4949" s="7"/>
    </row>
    <row r="4950" spans="5:6" ht="15" customHeight="1" x14ac:dyDescent="0.2">
      <c r="E4950" s="7"/>
      <c r="F4950" s="7"/>
    </row>
    <row r="4951" spans="5:6" ht="15" customHeight="1" x14ac:dyDescent="0.2">
      <c r="E4951" s="7"/>
      <c r="F4951" s="7"/>
    </row>
    <row r="4952" spans="5:6" ht="15" customHeight="1" x14ac:dyDescent="0.2">
      <c r="E4952" s="7"/>
      <c r="F4952" s="7"/>
    </row>
    <row r="4953" spans="5:6" ht="15" customHeight="1" x14ac:dyDescent="0.2">
      <c r="E4953" s="7"/>
      <c r="F4953" s="7"/>
    </row>
    <row r="4954" spans="5:6" ht="15" customHeight="1" x14ac:dyDescent="0.2">
      <c r="E4954" s="7"/>
      <c r="F4954" s="7"/>
    </row>
    <row r="4955" spans="5:6" ht="15" customHeight="1" x14ac:dyDescent="0.2">
      <c r="E4955" s="7"/>
      <c r="F4955" s="7"/>
    </row>
    <row r="4956" spans="5:6" ht="15" customHeight="1" x14ac:dyDescent="0.2">
      <c r="E4956" s="7"/>
      <c r="F4956" s="7"/>
    </row>
    <row r="4957" spans="5:6" ht="15" customHeight="1" x14ac:dyDescent="0.2">
      <c r="E4957" s="7"/>
      <c r="F4957" s="7"/>
    </row>
    <row r="4958" spans="5:6" ht="15" customHeight="1" x14ac:dyDescent="0.2">
      <c r="E4958" s="7"/>
      <c r="F4958" s="7"/>
    </row>
    <row r="4959" spans="5:6" ht="15" customHeight="1" x14ac:dyDescent="0.2">
      <c r="E4959" s="7"/>
      <c r="F4959" s="7"/>
    </row>
    <row r="4960" spans="5:6" ht="15" customHeight="1" x14ac:dyDescent="0.2">
      <c r="E4960" s="7"/>
      <c r="F4960" s="7"/>
    </row>
    <row r="4961" spans="5:6" ht="15" customHeight="1" x14ac:dyDescent="0.2">
      <c r="E4961" s="7"/>
      <c r="F4961" s="7"/>
    </row>
    <row r="4962" spans="5:6" ht="15" customHeight="1" x14ac:dyDescent="0.2">
      <c r="E4962" s="7"/>
      <c r="F4962" s="7"/>
    </row>
    <row r="4963" spans="5:6" ht="15" customHeight="1" x14ac:dyDescent="0.2">
      <c r="E4963" s="7"/>
      <c r="F4963" s="7"/>
    </row>
    <row r="4964" spans="5:6" ht="15" customHeight="1" x14ac:dyDescent="0.2">
      <c r="E4964" s="7"/>
      <c r="F4964" s="7"/>
    </row>
    <row r="4965" spans="5:6" ht="15" customHeight="1" x14ac:dyDescent="0.2">
      <c r="E4965" s="7"/>
      <c r="F4965" s="7"/>
    </row>
    <row r="4966" spans="5:6" ht="15" customHeight="1" x14ac:dyDescent="0.2">
      <c r="E4966" s="7"/>
      <c r="F4966" s="7"/>
    </row>
    <row r="4967" spans="5:6" ht="15" customHeight="1" x14ac:dyDescent="0.2">
      <c r="E4967" s="7"/>
      <c r="F4967" s="7"/>
    </row>
    <row r="4968" spans="5:6" ht="15" customHeight="1" x14ac:dyDescent="0.2">
      <c r="E4968" s="7"/>
      <c r="F4968" s="7"/>
    </row>
    <row r="4969" spans="5:6" ht="15" customHeight="1" x14ac:dyDescent="0.2">
      <c r="E4969" s="7"/>
      <c r="F4969" s="7"/>
    </row>
    <row r="4970" spans="5:6" ht="15" customHeight="1" x14ac:dyDescent="0.2">
      <c r="E4970" s="7"/>
      <c r="F4970" s="7"/>
    </row>
    <row r="4971" spans="5:6" ht="15" customHeight="1" x14ac:dyDescent="0.2">
      <c r="E4971" s="7"/>
      <c r="F4971" s="7"/>
    </row>
    <row r="4972" spans="5:6" ht="15" customHeight="1" x14ac:dyDescent="0.2">
      <c r="E4972" s="7"/>
      <c r="F4972" s="7"/>
    </row>
    <row r="4973" spans="5:6" ht="15" customHeight="1" x14ac:dyDescent="0.2">
      <c r="E4973" s="7"/>
      <c r="F4973" s="7"/>
    </row>
    <row r="4974" spans="5:6" ht="15" customHeight="1" x14ac:dyDescent="0.2">
      <c r="E4974" s="7"/>
      <c r="F4974" s="7"/>
    </row>
    <row r="4975" spans="5:6" ht="15" customHeight="1" x14ac:dyDescent="0.2">
      <c r="E4975" s="7"/>
      <c r="F4975" s="7"/>
    </row>
    <row r="4976" spans="5:6" ht="15" customHeight="1" x14ac:dyDescent="0.2">
      <c r="E4976" s="7"/>
      <c r="F4976" s="7"/>
    </row>
    <row r="4977" spans="5:6" ht="15" customHeight="1" x14ac:dyDescent="0.2">
      <c r="E4977" s="7"/>
      <c r="F4977" s="7"/>
    </row>
    <row r="4978" spans="5:6" ht="15" customHeight="1" x14ac:dyDescent="0.2">
      <c r="E4978" s="7"/>
      <c r="F4978" s="7"/>
    </row>
    <row r="4979" spans="5:6" ht="15" customHeight="1" x14ac:dyDescent="0.2">
      <c r="E4979" s="7"/>
      <c r="F4979" s="7"/>
    </row>
    <row r="4980" spans="5:6" ht="15" customHeight="1" x14ac:dyDescent="0.2">
      <c r="E4980" s="7"/>
      <c r="F4980" s="7"/>
    </row>
    <row r="4981" spans="5:6" ht="15" customHeight="1" x14ac:dyDescent="0.2">
      <c r="E4981" s="7"/>
      <c r="F4981" s="7"/>
    </row>
    <row r="4982" spans="5:6" ht="15" customHeight="1" x14ac:dyDescent="0.2">
      <c r="E4982" s="7"/>
      <c r="F4982" s="7"/>
    </row>
    <row r="4983" spans="5:6" ht="15" customHeight="1" x14ac:dyDescent="0.2">
      <c r="E4983" s="7"/>
      <c r="F4983" s="7"/>
    </row>
    <row r="4984" spans="5:6" ht="15" customHeight="1" x14ac:dyDescent="0.2">
      <c r="E4984" s="7"/>
      <c r="F4984" s="7"/>
    </row>
    <row r="4985" spans="5:6" ht="15" customHeight="1" x14ac:dyDescent="0.2">
      <c r="E4985" s="7"/>
      <c r="F4985" s="7"/>
    </row>
    <row r="4986" spans="5:6" ht="15" customHeight="1" x14ac:dyDescent="0.2">
      <c r="E4986" s="7"/>
      <c r="F4986" s="7"/>
    </row>
    <row r="4987" spans="5:6" ht="15" customHeight="1" x14ac:dyDescent="0.2">
      <c r="E4987" s="7"/>
      <c r="F4987" s="7"/>
    </row>
    <row r="4988" spans="5:6" ht="15" customHeight="1" x14ac:dyDescent="0.2">
      <c r="E4988" s="7"/>
      <c r="F4988" s="7"/>
    </row>
    <row r="4989" spans="5:6" ht="15" customHeight="1" x14ac:dyDescent="0.2">
      <c r="E4989" s="7"/>
      <c r="F4989" s="7"/>
    </row>
    <row r="4990" spans="5:6" ht="15" customHeight="1" x14ac:dyDescent="0.2">
      <c r="E4990" s="7"/>
      <c r="F4990" s="7"/>
    </row>
    <row r="4991" spans="5:6" ht="15" customHeight="1" x14ac:dyDescent="0.2">
      <c r="E4991" s="7"/>
      <c r="F4991" s="7"/>
    </row>
    <row r="4992" spans="5:6" ht="15" customHeight="1" x14ac:dyDescent="0.2">
      <c r="E4992" s="7"/>
      <c r="F4992" s="7"/>
    </row>
    <row r="4993" spans="5:6" ht="15" customHeight="1" x14ac:dyDescent="0.2">
      <c r="E4993" s="7"/>
      <c r="F4993" s="7"/>
    </row>
    <row r="4994" spans="5:6" ht="15" customHeight="1" x14ac:dyDescent="0.2">
      <c r="E4994" s="7"/>
      <c r="F4994" s="7"/>
    </row>
    <row r="4995" spans="5:6" ht="15" customHeight="1" x14ac:dyDescent="0.2">
      <c r="E4995" s="7"/>
      <c r="F4995" s="7"/>
    </row>
    <row r="4996" spans="5:6" ht="15" customHeight="1" x14ac:dyDescent="0.2">
      <c r="E4996" s="7"/>
      <c r="F4996" s="7"/>
    </row>
    <row r="4997" spans="5:6" ht="15" customHeight="1" x14ac:dyDescent="0.2">
      <c r="E4997" s="7"/>
      <c r="F4997" s="7"/>
    </row>
    <row r="4998" spans="5:6" ht="15" customHeight="1" x14ac:dyDescent="0.2">
      <c r="E4998" s="7"/>
      <c r="F4998" s="7"/>
    </row>
    <row r="4999" spans="5:6" ht="15" customHeight="1" x14ac:dyDescent="0.2">
      <c r="E4999" s="7"/>
      <c r="F4999" s="7"/>
    </row>
    <row r="5000" spans="5:6" ht="15" customHeight="1" x14ac:dyDescent="0.2">
      <c r="E5000" s="7"/>
      <c r="F5000" s="7"/>
    </row>
    <row r="5001" spans="5:6" ht="15" customHeight="1" x14ac:dyDescent="0.2">
      <c r="E5001" s="7"/>
      <c r="F5001" s="7"/>
    </row>
    <row r="5002" spans="5:6" ht="15" customHeight="1" x14ac:dyDescent="0.2">
      <c r="E5002" s="7"/>
      <c r="F5002" s="7"/>
    </row>
    <row r="5003" spans="5:6" ht="15" customHeight="1" x14ac:dyDescent="0.2">
      <c r="E5003" s="7"/>
      <c r="F5003" s="7"/>
    </row>
    <row r="5004" spans="5:6" ht="15" customHeight="1" x14ac:dyDescent="0.2">
      <c r="E5004" s="7"/>
      <c r="F5004" s="7"/>
    </row>
    <row r="5005" spans="5:6" ht="15" customHeight="1" x14ac:dyDescent="0.2">
      <c r="E5005" s="7"/>
      <c r="F5005" s="7"/>
    </row>
    <row r="5006" spans="5:6" ht="15" customHeight="1" x14ac:dyDescent="0.2">
      <c r="E5006" s="7"/>
      <c r="F5006" s="7"/>
    </row>
    <row r="5007" spans="5:6" ht="15" customHeight="1" x14ac:dyDescent="0.2">
      <c r="E5007" s="7"/>
      <c r="F5007" s="7"/>
    </row>
    <row r="5008" spans="5:6" ht="15" customHeight="1" x14ac:dyDescent="0.2">
      <c r="E5008" s="7"/>
      <c r="F5008" s="7"/>
    </row>
    <row r="5009" spans="5:6" ht="15" customHeight="1" x14ac:dyDescent="0.2">
      <c r="E5009" s="7"/>
      <c r="F5009" s="7"/>
    </row>
    <row r="5010" spans="5:6" ht="15" customHeight="1" x14ac:dyDescent="0.2">
      <c r="E5010" s="7"/>
      <c r="F5010" s="7"/>
    </row>
    <row r="5011" spans="5:6" ht="15" customHeight="1" x14ac:dyDescent="0.2">
      <c r="E5011" s="7"/>
      <c r="F5011" s="7"/>
    </row>
    <row r="5012" spans="5:6" ht="15" customHeight="1" x14ac:dyDescent="0.2">
      <c r="E5012" s="7"/>
      <c r="F5012" s="7"/>
    </row>
    <row r="5013" spans="5:6" ht="15" customHeight="1" x14ac:dyDescent="0.2">
      <c r="E5013" s="7"/>
      <c r="F5013" s="7"/>
    </row>
    <row r="5014" spans="5:6" ht="15" customHeight="1" x14ac:dyDescent="0.2">
      <c r="E5014" s="7"/>
      <c r="F5014" s="7"/>
    </row>
    <row r="5015" spans="5:6" ht="15" customHeight="1" x14ac:dyDescent="0.2">
      <c r="E5015" s="7"/>
      <c r="F5015" s="7"/>
    </row>
    <row r="5016" spans="5:6" ht="15" customHeight="1" x14ac:dyDescent="0.2">
      <c r="E5016" s="7"/>
      <c r="F5016" s="7"/>
    </row>
    <row r="5017" spans="5:6" ht="15" customHeight="1" x14ac:dyDescent="0.2">
      <c r="E5017" s="7"/>
      <c r="F5017" s="7"/>
    </row>
    <row r="5018" spans="5:6" ht="15" customHeight="1" x14ac:dyDescent="0.2">
      <c r="E5018" s="7"/>
      <c r="F5018" s="7"/>
    </row>
    <row r="5019" spans="5:6" ht="15" customHeight="1" x14ac:dyDescent="0.2">
      <c r="E5019" s="7"/>
      <c r="F5019" s="7"/>
    </row>
    <row r="5020" spans="5:6" ht="15" customHeight="1" x14ac:dyDescent="0.2">
      <c r="E5020" s="7"/>
      <c r="F5020" s="7"/>
    </row>
    <row r="5021" spans="5:6" ht="15" customHeight="1" x14ac:dyDescent="0.2">
      <c r="E5021" s="7"/>
      <c r="F5021" s="7"/>
    </row>
    <row r="5022" spans="5:6" ht="15" customHeight="1" x14ac:dyDescent="0.2">
      <c r="E5022" s="7"/>
      <c r="F5022" s="7"/>
    </row>
    <row r="5023" spans="5:6" ht="15" customHeight="1" x14ac:dyDescent="0.2">
      <c r="E5023" s="7"/>
      <c r="F5023" s="7"/>
    </row>
    <row r="5024" spans="5:6" ht="15" customHeight="1" x14ac:dyDescent="0.2">
      <c r="E5024" s="7"/>
      <c r="F5024" s="7"/>
    </row>
    <row r="5025" spans="5:6" ht="15" customHeight="1" x14ac:dyDescent="0.2">
      <c r="E5025" s="7"/>
      <c r="F5025" s="7"/>
    </row>
    <row r="5026" spans="5:6" ht="15" customHeight="1" x14ac:dyDescent="0.2">
      <c r="E5026" s="7"/>
      <c r="F5026" s="7"/>
    </row>
    <row r="5027" spans="5:6" ht="15" customHeight="1" x14ac:dyDescent="0.2">
      <c r="E5027" s="7"/>
      <c r="F5027" s="7"/>
    </row>
    <row r="5028" spans="5:6" ht="15" customHeight="1" x14ac:dyDescent="0.2">
      <c r="E5028" s="7"/>
      <c r="F5028" s="7"/>
    </row>
    <row r="5029" spans="5:6" ht="15" customHeight="1" x14ac:dyDescent="0.2">
      <c r="E5029" s="7"/>
      <c r="F5029" s="7"/>
    </row>
    <row r="5030" spans="5:6" ht="15" customHeight="1" x14ac:dyDescent="0.2">
      <c r="E5030" s="7"/>
      <c r="F5030" s="7"/>
    </row>
    <row r="5031" spans="5:6" ht="15" customHeight="1" x14ac:dyDescent="0.2">
      <c r="E5031" s="7"/>
      <c r="F5031" s="7"/>
    </row>
    <row r="5032" spans="5:6" ht="15" customHeight="1" x14ac:dyDescent="0.2">
      <c r="E5032" s="7"/>
      <c r="F5032" s="7"/>
    </row>
    <row r="5033" spans="5:6" ht="15" customHeight="1" x14ac:dyDescent="0.2">
      <c r="E5033" s="7"/>
      <c r="F5033" s="7"/>
    </row>
    <row r="5034" spans="5:6" ht="15" customHeight="1" x14ac:dyDescent="0.2">
      <c r="E5034" s="7"/>
      <c r="F5034" s="7"/>
    </row>
    <row r="5035" spans="5:6" ht="15" customHeight="1" x14ac:dyDescent="0.2">
      <c r="E5035" s="7"/>
      <c r="F5035" s="7"/>
    </row>
    <row r="5036" spans="5:6" ht="15" customHeight="1" x14ac:dyDescent="0.2">
      <c r="E5036" s="7"/>
      <c r="F5036" s="7"/>
    </row>
    <row r="5037" spans="5:6" ht="15" customHeight="1" x14ac:dyDescent="0.2">
      <c r="E5037" s="7"/>
      <c r="F5037" s="7"/>
    </row>
    <row r="5038" spans="5:6" ht="15" customHeight="1" x14ac:dyDescent="0.2">
      <c r="E5038" s="7"/>
      <c r="F5038" s="7"/>
    </row>
    <row r="5039" spans="5:6" ht="15" customHeight="1" x14ac:dyDescent="0.2">
      <c r="E5039" s="7"/>
      <c r="F5039" s="7"/>
    </row>
    <row r="5040" spans="5:6" ht="15" customHeight="1" x14ac:dyDescent="0.2">
      <c r="E5040" s="7"/>
      <c r="F5040" s="7"/>
    </row>
    <row r="5041" spans="5:6" ht="15" customHeight="1" x14ac:dyDescent="0.2">
      <c r="E5041" s="7"/>
      <c r="F5041" s="7"/>
    </row>
    <row r="5042" spans="5:6" ht="15" customHeight="1" x14ac:dyDescent="0.2">
      <c r="E5042" s="7"/>
      <c r="F5042" s="7"/>
    </row>
    <row r="5043" spans="5:6" ht="15" customHeight="1" x14ac:dyDescent="0.2">
      <c r="E5043" s="7"/>
      <c r="F5043" s="7"/>
    </row>
    <row r="5044" spans="5:6" ht="15" customHeight="1" x14ac:dyDescent="0.2">
      <c r="E5044" s="7"/>
      <c r="F5044" s="7"/>
    </row>
    <row r="5045" spans="5:6" ht="15" customHeight="1" x14ac:dyDescent="0.2">
      <c r="E5045" s="7"/>
      <c r="F5045" s="7"/>
    </row>
    <row r="5046" spans="5:6" ht="15" customHeight="1" x14ac:dyDescent="0.2">
      <c r="E5046" s="7"/>
      <c r="F5046" s="7"/>
    </row>
    <row r="5047" spans="5:6" ht="15" customHeight="1" x14ac:dyDescent="0.2">
      <c r="E5047" s="7"/>
      <c r="F5047" s="7"/>
    </row>
    <row r="5048" spans="5:6" ht="15" customHeight="1" x14ac:dyDescent="0.2">
      <c r="E5048" s="7"/>
      <c r="F5048" s="7"/>
    </row>
    <row r="5049" spans="5:6" ht="15" customHeight="1" x14ac:dyDescent="0.2">
      <c r="E5049" s="7"/>
      <c r="F5049" s="7"/>
    </row>
    <row r="5050" spans="5:6" ht="15" customHeight="1" x14ac:dyDescent="0.2">
      <c r="E5050" s="7"/>
      <c r="F5050" s="7"/>
    </row>
    <row r="5051" spans="5:6" ht="15" customHeight="1" x14ac:dyDescent="0.2">
      <c r="E5051" s="7"/>
      <c r="F5051" s="7"/>
    </row>
    <row r="5052" spans="5:6" ht="15" customHeight="1" x14ac:dyDescent="0.2">
      <c r="E5052" s="7"/>
      <c r="F5052" s="7"/>
    </row>
    <row r="5053" spans="5:6" ht="15" customHeight="1" x14ac:dyDescent="0.2">
      <c r="E5053" s="7"/>
      <c r="F5053" s="7"/>
    </row>
    <row r="5054" spans="5:6" ht="15" customHeight="1" x14ac:dyDescent="0.2">
      <c r="E5054" s="7"/>
      <c r="F5054" s="7"/>
    </row>
    <row r="5055" spans="5:6" ht="15" customHeight="1" x14ac:dyDescent="0.2">
      <c r="E5055" s="7"/>
      <c r="F5055" s="7"/>
    </row>
    <row r="5056" spans="5:6" ht="15" customHeight="1" x14ac:dyDescent="0.2">
      <c r="E5056" s="7"/>
      <c r="F5056" s="7"/>
    </row>
    <row r="5057" spans="5:6" ht="15" customHeight="1" x14ac:dyDescent="0.2">
      <c r="E5057" s="7"/>
      <c r="F5057" s="7"/>
    </row>
    <row r="5058" spans="5:6" ht="15" customHeight="1" x14ac:dyDescent="0.2">
      <c r="E5058" s="7"/>
      <c r="F5058" s="7"/>
    </row>
    <row r="5059" spans="5:6" ht="15" customHeight="1" x14ac:dyDescent="0.2">
      <c r="E5059" s="7"/>
      <c r="F5059" s="7"/>
    </row>
    <row r="5060" spans="5:6" ht="15" customHeight="1" x14ac:dyDescent="0.2">
      <c r="E5060" s="7"/>
      <c r="F5060" s="7"/>
    </row>
    <row r="5061" spans="5:6" ht="15" customHeight="1" x14ac:dyDescent="0.2">
      <c r="E5061" s="7"/>
      <c r="F5061" s="7"/>
    </row>
    <row r="5062" spans="5:6" ht="15" customHeight="1" x14ac:dyDescent="0.2">
      <c r="E5062" s="7"/>
      <c r="F5062" s="7"/>
    </row>
    <row r="5063" spans="5:6" ht="15" customHeight="1" x14ac:dyDescent="0.2">
      <c r="E5063" s="7"/>
      <c r="F5063" s="7"/>
    </row>
    <row r="5064" spans="5:6" ht="15" customHeight="1" x14ac:dyDescent="0.2">
      <c r="E5064" s="7"/>
      <c r="F5064" s="7"/>
    </row>
    <row r="5065" spans="5:6" ht="15" customHeight="1" x14ac:dyDescent="0.2">
      <c r="E5065" s="7"/>
      <c r="F5065" s="7"/>
    </row>
    <row r="5066" spans="5:6" ht="15" customHeight="1" x14ac:dyDescent="0.2">
      <c r="E5066" s="7"/>
      <c r="F5066" s="7"/>
    </row>
    <row r="5067" spans="5:6" ht="15" customHeight="1" x14ac:dyDescent="0.2">
      <c r="E5067" s="7"/>
      <c r="F5067" s="7"/>
    </row>
    <row r="5068" spans="5:6" ht="15" customHeight="1" x14ac:dyDescent="0.2">
      <c r="E5068" s="7"/>
      <c r="F5068" s="7"/>
    </row>
    <row r="5069" spans="5:6" ht="15" customHeight="1" x14ac:dyDescent="0.2">
      <c r="E5069" s="7"/>
      <c r="F5069" s="7"/>
    </row>
    <row r="5070" spans="5:6" ht="15" customHeight="1" x14ac:dyDescent="0.2">
      <c r="E5070" s="7"/>
      <c r="F5070" s="7"/>
    </row>
    <row r="5071" spans="5:6" ht="15" customHeight="1" x14ac:dyDescent="0.2">
      <c r="E5071" s="7"/>
      <c r="F5071" s="7"/>
    </row>
    <row r="5072" spans="5:6" ht="15" customHeight="1" x14ac:dyDescent="0.2">
      <c r="E5072" s="7"/>
      <c r="F5072" s="7"/>
    </row>
    <row r="5073" spans="5:6" ht="15" customHeight="1" x14ac:dyDescent="0.2">
      <c r="E5073" s="7"/>
      <c r="F5073" s="7"/>
    </row>
    <row r="5074" spans="5:6" ht="15" customHeight="1" x14ac:dyDescent="0.2">
      <c r="E5074" s="7"/>
      <c r="F5074" s="7"/>
    </row>
    <row r="5075" spans="5:6" ht="15" customHeight="1" x14ac:dyDescent="0.2">
      <c r="E5075" s="7"/>
      <c r="F5075" s="7"/>
    </row>
    <row r="5076" spans="5:6" ht="15" customHeight="1" x14ac:dyDescent="0.2">
      <c r="E5076" s="7"/>
      <c r="F5076" s="7"/>
    </row>
    <row r="5077" spans="5:6" ht="15" customHeight="1" x14ac:dyDescent="0.2">
      <c r="E5077" s="7"/>
      <c r="F5077" s="7"/>
    </row>
    <row r="5078" spans="5:6" ht="15" customHeight="1" x14ac:dyDescent="0.2">
      <c r="E5078" s="7"/>
      <c r="F5078" s="7"/>
    </row>
    <row r="5079" spans="5:6" ht="15" customHeight="1" x14ac:dyDescent="0.2">
      <c r="E5079" s="7"/>
      <c r="F5079" s="7"/>
    </row>
    <row r="5080" spans="5:6" ht="15" customHeight="1" x14ac:dyDescent="0.2">
      <c r="E5080" s="7"/>
      <c r="F5080" s="7"/>
    </row>
    <row r="5081" spans="5:6" ht="15" customHeight="1" x14ac:dyDescent="0.2">
      <c r="E5081" s="7"/>
      <c r="F5081" s="7"/>
    </row>
    <row r="5082" spans="5:6" ht="15" customHeight="1" x14ac:dyDescent="0.2">
      <c r="E5082" s="7"/>
      <c r="F5082" s="7"/>
    </row>
    <row r="5083" spans="5:6" ht="15" customHeight="1" x14ac:dyDescent="0.2">
      <c r="E5083" s="7"/>
      <c r="F5083" s="7"/>
    </row>
    <row r="5084" spans="5:6" ht="15" customHeight="1" x14ac:dyDescent="0.2">
      <c r="E5084" s="7"/>
      <c r="F5084" s="7"/>
    </row>
    <row r="5085" spans="5:6" ht="15" customHeight="1" x14ac:dyDescent="0.2">
      <c r="E5085" s="7"/>
      <c r="F5085" s="7"/>
    </row>
    <row r="5086" spans="5:6" ht="15" customHeight="1" x14ac:dyDescent="0.2">
      <c r="E5086" s="7"/>
      <c r="F5086" s="7"/>
    </row>
    <row r="5087" spans="5:6" ht="15" customHeight="1" x14ac:dyDescent="0.2">
      <c r="E5087" s="7"/>
      <c r="F5087" s="7"/>
    </row>
    <row r="5088" spans="5:6" ht="15" customHeight="1" x14ac:dyDescent="0.2">
      <c r="E5088" s="7"/>
      <c r="F5088" s="7"/>
    </row>
    <row r="5089" spans="5:6" ht="15" customHeight="1" x14ac:dyDescent="0.2">
      <c r="E5089" s="7"/>
      <c r="F5089" s="7"/>
    </row>
    <row r="5090" spans="5:6" ht="15" customHeight="1" x14ac:dyDescent="0.2">
      <c r="E5090" s="7"/>
      <c r="F5090" s="7"/>
    </row>
    <row r="5091" spans="5:6" ht="15" customHeight="1" x14ac:dyDescent="0.2">
      <c r="E5091" s="7"/>
      <c r="F5091" s="7"/>
    </row>
    <row r="5092" spans="5:6" ht="15" customHeight="1" x14ac:dyDescent="0.2">
      <c r="E5092" s="7"/>
      <c r="F5092" s="7"/>
    </row>
    <row r="5093" spans="5:6" ht="15" customHeight="1" x14ac:dyDescent="0.2">
      <c r="E5093" s="7"/>
      <c r="F5093" s="7"/>
    </row>
    <row r="5094" spans="5:6" ht="15" customHeight="1" x14ac:dyDescent="0.2">
      <c r="E5094" s="7"/>
      <c r="F5094" s="7"/>
    </row>
    <row r="5095" spans="5:6" ht="15" customHeight="1" x14ac:dyDescent="0.2">
      <c r="E5095" s="7"/>
      <c r="F5095" s="7"/>
    </row>
    <row r="5096" spans="5:6" ht="15" customHeight="1" x14ac:dyDescent="0.2">
      <c r="E5096" s="7"/>
      <c r="F5096" s="7"/>
    </row>
    <row r="5097" spans="5:6" ht="15" customHeight="1" x14ac:dyDescent="0.2">
      <c r="E5097" s="7"/>
      <c r="F5097" s="7"/>
    </row>
    <row r="5098" spans="5:6" ht="15" customHeight="1" x14ac:dyDescent="0.2">
      <c r="E5098" s="7"/>
      <c r="F5098" s="7"/>
    </row>
    <row r="5099" spans="5:6" ht="15" customHeight="1" x14ac:dyDescent="0.2">
      <c r="E5099" s="7"/>
      <c r="F5099" s="7"/>
    </row>
    <row r="5100" spans="5:6" ht="15" customHeight="1" x14ac:dyDescent="0.2">
      <c r="E5100" s="7"/>
      <c r="F5100" s="7"/>
    </row>
    <row r="5101" spans="5:6" ht="15" customHeight="1" x14ac:dyDescent="0.2">
      <c r="E5101" s="7"/>
      <c r="F5101" s="7"/>
    </row>
    <row r="5102" spans="5:6" ht="15" customHeight="1" x14ac:dyDescent="0.2">
      <c r="E5102" s="7"/>
      <c r="F5102" s="7"/>
    </row>
    <row r="5103" spans="5:6" ht="15" customHeight="1" x14ac:dyDescent="0.2">
      <c r="E5103" s="7"/>
      <c r="F5103" s="7"/>
    </row>
    <row r="5104" spans="5:6" ht="15" customHeight="1" x14ac:dyDescent="0.2">
      <c r="E5104" s="7"/>
      <c r="F5104" s="7"/>
    </row>
    <row r="5105" spans="5:6" ht="15" customHeight="1" x14ac:dyDescent="0.2">
      <c r="E5105" s="7"/>
      <c r="F5105" s="7"/>
    </row>
    <row r="5106" spans="5:6" ht="15" customHeight="1" x14ac:dyDescent="0.2">
      <c r="E5106" s="7"/>
      <c r="F5106" s="7"/>
    </row>
    <row r="5107" spans="5:6" ht="15" customHeight="1" x14ac:dyDescent="0.2">
      <c r="E5107" s="7"/>
      <c r="F5107" s="7"/>
    </row>
    <row r="5108" spans="5:6" ht="15" customHeight="1" x14ac:dyDescent="0.2">
      <c r="E5108" s="7"/>
      <c r="F5108" s="7"/>
    </row>
    <row r="5109" spans="5:6" ht="15" customHeight="1" x14ac:dyDescent="0.2">
      <c r="E5109" s="7"/>
      <c r="F5109" s="7"/>
    </row>
    <row r="5110" spans="5:6" ht="15" customHeight="1" x14ac:dyDescent="0.2">
      <c r="E5110" s="7"/>
      <c r="F5110" s="7"/>
    </row>
    <row r="5111" spans="5:6" ht="15" customHeight="1" x14ac:dyDescent="0.2">
      <c r="E5111" s="7"/>
      <c r="F5111" s="7"/>
    </row>
    <row r="5112" spans="5:6" ht="15" customHeight="1" x14ac:dyDescent="0.2">
      <c r="E5112" s="7"/>
      <c r="F5112" s="7"/>
    </row>
    <row r="5113" spans="5:6" ht="15" customHeight="1" x14ac:dyDescent="0.2">
      <c r="E5113" s="7"/>
      <c r="F5113" s="7"/>
    </row>
    <row r="5114" spans="5:6" ht="15" customHeight="1" x14ac:dyDescent="0.2">
      <c r="E5114" s="7"/>
      <c r="F5114" s="7"/>
    </row>
    <row r="5115" spans="5:6" ht="15" customHeight="1" x14ac:dyDescent="0.2">
      <c r="E5115" s="7"/>
      <c r="F5115" s="7"/>
    </row>
    <row r="5116" spans="5:6" ht="15" customHeight="1" x14ac:dyDescent="0.2">
      <c r="E5116" s="7"/>
      <c r="F5116" s="7"/>
    </row>
    <row r="5117" spans="5:6" ht="15" customHeight="1" x14ac:dyDescent="0.2">
      <c r="E5117" s="7"/>
      <c r="F5117" s="7"/>
    </row>
    <row r="5118" spans="5:6" ht="15" customHeight="1" x14ac:dyDescent="0.2">
      <c r="E5118" s="7"/>
      <c r="F5118" s="7"/>
    </row>
    <row r="5119" spans="5:6" ht="15" customHeight="1" x14ac:dyDescent="0.2">
      <c r="E5119" s="7"/>
      <c r="F5119" s="7"/>
    </row>
    <row r="5120" spans="5:6" ht="15" customHeight="1" x14ac:dyDescent="0.2">
      <c r="E5120" s="7"/>
      <c r="F5120" s="7"/>
    </row>
    <row r="5121" spans="5:6" ht="15" customHeight="1" x14ac:dyDescent="0.2">
      <c r="E5121" s="7"/>
      <c r="F5121" s="7"/>
    </row>
    <row r="5122" spans="5:6" ht="15" customHeight="1" x14ac:dyDescent="0.2">
      <c r="E5122" s="7"/>
      <c r="F5122" s="7"/>
    </row>
    <row r="5123" spans="5:6" ht="15" customHeight="1" x14ac:dyDescent="0.2">
      <c r="E5123" s="7"/>
      <c r="F5123" s="7"/>
    </row>
    <row r="5124" spans="5:6" ht="15" customHeight="1" x14ac:dyDescent="0.2">
      <c r="E5124" s="7"/>
      <c r="F5124" s="7"/>
    </row>
    <row r="5125" spans="5:6" ht="15" customHeight="1" x14ac:dyDescent="0.2">
      <c r="E5125" s="7"/>
      <c r="F5125" s="7"/>
    </row>
    <row r="5126" spans="5:6" ht="15" customHeight="1" x14ac:dyDescent="0.2">
      <c r="E5126" s="7"/>
      <c r="F5126" s="7"/>
    </row>
    <row r="5127" spans="5:6" ht="15" customHeight="1" x14ac:dyDescent="0.2">
      <c r="E5127" s="7"/>
      <c r="F5127" s="7"/>
    </row>
    <row r="5128" spans="5:6" ht="15" customHeight="1" x14ac:dyDescent="0.2">
      <c r="E5128" s="7"/>
      <c r="F5128" s="7"/>
    </row>
    <row r="5129" spans="5:6" ht="15" customHeight="1" x14ac:dyDescent="0.2">
      <c r="E5129" s="7"/>
      <c r="F5129" s="7"/>
    </row>
    <row r="5130" spans="5:6" ht="15" customHeight="1" x14ac:dyDescent="0.2">
      <c r="E5130" s="7"/>
      <c r="F5130" s="7"/>
    </row>
    <row r="5131" spans="5:6" ht="15" customHeight="1" x14ac:dyDescent="0.2">
      <c r="E5131" s="7"/>
      <c r="F5131" s="7"/>
    </row>
    <row r="5132" spans="5:6" ht="15" customHeight="1" x14ac:dyDescent="0.2">
      <c r="E5132" s="7"/>
      <c r="F5132" s="7"/>
    </row>
    <row r="5133" spans="5:6" ht="15" customHeight="1" x14ac:dyDescent="0.2">
      <c r="E5133" s="7"/>
      <c r="F5133" s="7"/>
    </row>
    <row r="5134" spans="5:6" ht="15" customHeight="1" x14ac:dyDescent="0.2">
      <c r="E5134" s="7"/>
      <c r="F5134" s="7"/>
    </row>
    <row r="5135" spans="5:6" ht="15" customHeight="1" x14ac:dyDescent="0.2">
      <c r="E5135" s="7"/>
      <c r="F5135" s="7"/>
    </row>
    <row r="5136" spans="5:6" ht="15" customHeight="1" x14ac:dyDescent="0.2">
      <c r="E5136" s="7"/>
      <c r="F5136" s="7"/>
    </row>
    <row r="5137" spans="5:6" ht="15" customHeight="1" x14ac:dyDescent="0.2">
      <c r="E5137" s="7"/>
      <c r="F5137" s="7"/>
    </row>
    <row r="5138" spans="5:6" ht="15" customHeight="1" x14ac:dyDescent="0.2">
      <c r="E5138" s="7"/>
      <c r="F5138" s="7"/>
    </row>
    <row r="5139" spans="5:6" ht="15" customHeight="1" x14ac:dyDescent="0.2">
      <c r="E5139" s="7"/>
      <c r="F5139" s="7"/>
    </row>
    <row r="5140" spans="5:6" ht="15" customHeight="1" x14ac:dyDescent="0.2">
      <c r="E5140" s="7"/>
      <c r="F5140" s="7"/>
    </row>
    <row r="5141" spans="5:6" ht="15" customHeight="1" x14ac:dyDescent="0.2">
      <c r="E5141" s="7"/>
      <c r="F5141" s="7"/>
    </row>
    <row r="5142" spans="5:6" ht="15" customHeight="1" x14ac:dyDescent="0.2">
      <c r="E5142" s="7"/>
      <c r="F5142" s="7"/>
    </row>
    <row r="5143" spans="5:6" ht="15" customHeight="1" x14ac:dyDescent="0.2">
      <c r="E5143" s="7"/>
      <c r="F5143" s="7"/>
    </row>
    <row r="5144" spans="5:6" ht="15" customHeight="1" x14ac:dyDescent="0.2">
      <c r="E5144" s="7"/>
      <c r="F5144" s="7"/>
    </row>
    <row r="5145" spans="5:6" ht="15" customHeight="1" x14ac:dyDescent="0.2">
      <c r="E5145" s="7"/>
      <c r="F5145" s="7"/>
    </row>
    <row r="5146" spans="5:6" ht="15" customHeight="1" x14ac:dyDescent="0.2">
      <c r="E5146" s="7"/>
      <c r="F5146" s="7"/>
    </row>
    <row r="5147" spans="5:6" ht="15" customHeight="1" x14ac:dyDescent="0.2">
      <c r="E5147" s="7"/>
      <c r="F5147" s="7"/>
    </row>
    <row r="5148" spans="5:6" ht="15" customHeight="1" x14ac:dyDescent="0.2">
      <c r="E5148" s="7"/>
      <c r="F5148" s="7"/>
    </row>
    <row r="5149" spans="5:6" ht="15" customHeight="1" x14ac:dyDescent="0.2">
      <c r="E5149" s="7"/>
      <c r="F5149" s="7"/>
    </row>
    <row r="5150" spans="5:6" ht="15" customHeight="1" x14ac:dyDescent="0.2">
      <c r="E5150" s="7"/>
      <c r="F5150" s="7"/>
    </row>
    <row r="5151" spans="5:6" ht="15" customHeight="1" x14ac:dyDescent="0.2">
      <c r="E5151" s="7"/>
      <c r="F5151" s="7"/>
    </row>
    <row r="5152" spans="5:6" ht="15" customHeight="1" x14ac:dyDescent="0.2">
      <c r="E5152" s="7"/>
      <c r="F5152" s="7"/>
    </row>
    <row r="5153" spans="5:6" ht="15" customHeight="1" x14ac:dyDescent="0.2">
      <c r="E5153" s="7"/>
      <c r="F5153" s="7"/>
    </row>
    <row r="5154" spans="5:6" ht="15" customHeight="1" x14ac:dyDescent="0.2">
      <c r="E5154" s="7"/>
      <c r="F5154" s="7"/>
    </row>
    <row r="5155" spans="5:6" ht="15" customHeight="1" x14ac:dyDescent="0.2">
      <c r="E5155" s="7"/>
      <c r="F5155" s="7"/>
    </row>
    <row r="5156" spans="5:6" ht="15" customHeight="1" x14ac:dyDescent="0.2">
      <c r="E5156" s="7"/>
      <c r="F5156" s="7"/>
    </row>
    <row r="5157" spans="5:6" ht="15" customHeight="1" x14ac:dyDescent="0.2">
      <c r="E5157" s="7"/>
      <c r="F5157" s="7"/>
    </row>
    <row r="5158" spans="5:6" ht="15" customHeight="1" x14ac:dyDescent="0.2">
      <c r="E5158" s="7"/>
      <c r="F5158" s="7"/>
    </row>
    <row r="5159" spans="5:6" ht="15" customHeight="1" x14ac:dyDescent="0.2">
      <c r="E5159" s="7"/>
      <c r="F5159" s="7"/>
    </row>
    <row r="5160" spans="5:6" ht="15" customHeight="1" x14ac:dyDescent="0.2">
      <c r="E5160" s="7"/>
      <c r="F5160" s="7"/>
    </row>
    <row r="5161" spans="5:6" ht="15" customHeight="1" x14ac:dyDescent="0.2">
      <c r="E5161" s="7"/>
      <c r="F5161" s="7"/>
    </row>
    <row r="5162" spans="5:6" ht="15" customHeight="1" x14ac:dyDescent="0.2">
      <c r="E5162" s="7"/>
      <c r="F5162" s="7"/>
    </row>
    <row r="5163" spans="5:6" ht="15" customHeight="1" x14ac:dyDescent="0.2">
      <c r="E5163" s="7"/>
      <c r="F5163" s="7"/>
    </row>
    <row r="5164" spans="5:6" ht="15" customHeight="1" x14ac:dyDescent="0.2">
      <c r="E5164" s="7"/>
      <c r="F5164" s="7"/>
    </row>
    <row r="5165" spans="5:6" ht="15" customHeight="1" x14ac:dyDescent="0.2">
      <c r="E5165" s="7"/>
      <c r="F5165" s="7"/>
    </row>
    <row r="5166" spans="5:6" ht="15" customHeight="1" x14ac:dyDescent="0.2">
      <c r="E5166" s="7"/>
      <c r="F5166" s="7"/>
    </row>
    <row r="5167" spans="5:6" ht="15" customHeight="1" x14ac:dyDescent="0.2">
      <c r="E5167" s="7"/>
      <c r="F5167" s="7"/>
    </row>
    <row r="5168" spans="5:6" ht="15" customHeight="1" x14ac:dyDescent="0.2">
      <c r="E5168" s="7"/>
      <c r="F5168" s="7"/>
    </row>
    <row r="5169" spans="5:6" ht="15" customHeight="1" x14ac:dyDescent="0.2">
      <c r="E5169" s="7"/>
      <c r="F5169" s="7"/>
    </row>
    <row r="5170" spans="5:6" ht="15" customHeight="1" x14ac:dyDescent="0.2">
      <c r="E5170" s="7"/>
      <c r="F5170" s="7"/>
    </row>
    <row r="5171" spans="5:6" ht="15" customHeight="1" x14ac:dyDescent="0.2">
      <c r="E5171" s="7"/>
      <c r="F5171" s="7"/>
    </row>
    <row r="5172" spans="5:6" ht="15" customHeight="1" x14ac:dyDescent="0.2">
      <c r="E5172" s="7"/>
      <c r="F5172" s="7"/>
    </row>
    <row r="5173" spans="5:6" ht="15" customHeight="1" x14ac:dyDescent="0.2">
      <c r="E5173" s="7"/>
      <c r="F5173" s="7"/>
    </row>
    <row r="5174" spans="5:6" ht="15" customHeight="1" x14ac:dyDescent="0.2">
      <c r="E5174" s="7"/>
      <c r="F5174" s="7"/>
    </row>
    <row r="5175" spans="5:6" ht="15" customHeight="1" x14ac:dyDescent="0.2">
      <c r="E5175" s="7"/>
      <c r="F5175" s="7"/>
    </row>
    <row r="5176" spans="5:6" ht="15" customHeight="1" x14ac:dyDescent="0.2">
      <c r="E5176" s="7"/>
      <c r="F5176" s="7"/>
    </row>
    <row r="5177" spans="5:6" ht="15" customHeight="1" x14ac:dyDescent="0.2">
      <c r="E5177" s="7"/>
      <c r="F5177" s="7"/>
    </row>
    <row r="5178" spans="5:6" ht="15" customHeight="1" x14ac:dyDescent="0.2">
      <c r="E5178" s="7"/>
      <c r="F5178" s="7"/>
    </row>
    <row r="5179" spans="5:6" ht="15" customHeight="1" x14ac:dyDescent="0.2">
      <c r="E5179" s="7"/>
      <c r="F5179" s="7"/>
    </row>
    <row r="5180" spans="5:6" ht="15" customHeight="1" x14ac:dyDescent="0.2">
      <c r="E5180" s="7"/>
      <c r="F5180" s="7"/>
    </row>
    <row r="5181" spans="5:6" ht="15" customHeight="1" x14ac:dyDescent="0.2">
      <c r="E5181" s="7"/>
      <c r="F5181" s="7"/>
    </row>
    <row r="5182" spans="5:6" ht="15" customHeight="1" x14ac:dyDescent="0.2">
      <c r="E5182" s="7"/>
      <c r="F5182" s="7"/>
    </row>
    <row r="5183" spans="5:6" ht="15" customHeight="1" x14ac:dyDescent="0.2">
      <c r="E5183" s="7"/>
      <c r="F5183" s="7"/>
    </row>
    <row r="5184" spans="5:6" ht="15" customHeight="1" x14ac:dyDescent="0.2">
      <c r="E5184" s="7"/>
      <c r="F5184" s="7"/>
    </row>
    <row r="5185" spans="5:6" ht="15" customHeight="1" x14ac:dyDescent="0.2">
      <c r="E5185" s="7"/>
      <c r="F5185" s="7"/>
    </row>
    <row r="5186" spans="5:6" ht="15" customHeight="1" x14ac:dyDescent="0.2">
      <c r="E5186" s="7"/>
      <c r="F5186" s="7"/>
    </row>
    <row r="5187" spans="5:6" ht="15" customHeight="1" x14ac:dyDescent="0.2">
      <c r="E5187" s="7"/>
      <c r="F5187" s="7"/>
    </row>
    <row r="5188" spans="5:6" ht="15" customHeight="1" x14ac:dyDescent="0.2">
      <c r="E5188" s="7"/>
      <c r="F5188" s="7"/>
    </row>
    <row r="5189" spans="5:6" ht="15" customHeight="1" x14ac:dyDescent="0.2">
      <c r="E5189" s="7"/>
      <c r="F5189" s="7"/>
    </row>
    <row r="5190" spans="5:6" ht="15" customHeight="1" x14ac:dyDescent="0.2">
      <c r="E5190" s="7"/>
      <c r="F5190" s="7"/>
    </row>
    <row r="5191" spans="5:6" ht="15" customHeight="1" x14ac:dyDescent="0.2">
      <c r="E5191" s="7"/>
      <c r="F5191" s="7"/>
    </row>
    <row r="5192" spans="5:6" ht="15" customHeight="1" x14ac:dyDescent="0.2">
      <c r="E5192" s="7"/>
      <c r="F5192" s="7"/>
    </row>
    <row r="5193" spans="5:6" ht="15" customHeight="1" x14ac:dyDescent="0.2">
      <c r="E5193" s="7"/>
      <c r="F5193" s="7"/>
    </row>
    <row r="5194" spans="5:6" ht="15" customHeight="1" x14ac:dyDescent="0.2">
      <c r="E5194" s="7"/>
      <c r="F5194" s="7"/>
    </row>
    <row r="5195" spans="5:6" ht="15" customHeight="1" x14ac:dyDescent="0.2">
      <c r="E5195" s="7"/>
      <c r="F5195" s="7"/>
    </row>
    <row r="5196" spans="5:6" ht="15" customHeight="1" x14ac:dyDescent="0.2">
      <c r="E5196" s="7"/>
      <c r="F5196" s="7"/>
    </row>
    <row r="5197" spans="5:6" ht="15" customHeight="1" x14ac:dyDescent="0.2">
      <c r="E5197" s="7"/>
      <c r="F5197" s="7"/>
    </row>
    <row r="5198" spans="5:6" ht="15" customHeight="1" x14ac:dyDescent="0.2">
      <c r="E5198" s="7"/>
      <c r="F5198" s="7"/>
    </row>
    <row r="5199" spans="5:6" ht="15" customHeight="1" x14ac:dyDescent="0.2">
      <c r="E5199" s="7"/>
      <c r="F5199" s="7"/>
    </row>
    <row r="5200" spans="5:6" ht="15" customHeight="1" x14ac:dyDescent="0.2">
      <c r="E5200" s="7"/>
      <c r="F5200" s="7"/>
    </row>
    <row r="5201" spans="5:6" ht="15" customHeight="1" x14ac:dyDescent="0.2">
      <c r="E5201" s="7"/>
      <c r="F5201" s="7"/>
    </row>
    <row r="5202" spans="5:6" ht="15" customHeight="1" x14ac:dyDescent="0.2">
      <c r="E5202" s="7"/>
      <c r="F5202" s="7"/>
    </row>
    <row r="5203" spans="5:6" ht="15" customHeight="1" x14ac:dyDescent="0.2">
      <c r="E5203" s="7"/>
      <c r="F5203" s="7"/>
    </row>
    <row r="5204" spans="5:6" ht="15" customHeight="1" x14ac:dyDescent="0.2">
      <c r="E5204" s="7"/>
      <c r="F5204" s="7"/>
    </row>
    <row r="5205" spans="5:6" ht="15" customHeight="1" x14ac:dyDescent="0.2">
      <c r="E5205" s="7"/>
      <c r="F5205" s="7"/>
    </row>
    <row r="5206" spans="5:6" ht="15" customHeight="1" x14ac:dyDescent="0.2">
      <c r="E5206" s="7"/>
      <c r="F5206" s="7"/>
    </row>
    <row r="5207" spans="5:6" ht="15" customHeight="1" x14ac:dyDescent="0.2">
      <c r="E5207" s="7"/>
      <c r="F5207" s="7"/>
    </row>
    <row r="5208" spans="5:6" ht="15" customHeight="1" x14ac:dyDescent="0.2">
      <c r="E5208" s="7"/>
      <c r="F5208" s="7"/>
    </row>
    <row r="5209" spans="5:6" ht="15" customHeight="1" x14ac:dyDescent="0.2">
      <c r="E5209" s="7"/>
      <c r="F5209" s="7"/>
    </row>
    <row r="5210" spans="5:6" ht="15" customHeight="1" x14ac:dyDescent="0.2">
      <c r="E5210" s="7"/>
      <c r="F5210" s="7"/>
    </row>
    <row r="5211" spans="5:6" ht="15" customHeight="1" x14ac:dyDescent="0.2">
      <c r="E5211" s="7"/>
      <c r="F5211" s="7"/>
    </row>
    <row r="5212" spans="5:6" ht="15" customHeight="1" x14ac:dyDescent="0.2">
      <c r="E5212" s="7"/>
      <c r="F5212" s="7"/>
    </row>
    <row r="5213" spans="5:6" ht="15" customHeight="1" x14ac:dyDescent="0.2">
      <c r="E5213" s="7"/>
      <c r="F5213" s="7"/>
    </row>
    <row r="5214" spans="5:6" ht="15" customHeight="1" x14ac:dyDescent="0.2">
      <c r="E5214" s="7"/>
      <c r="F5214" s="7"/>
    </row>
    <row r="5215" spans="5:6" ht="15" customHeight="1" x14ac:dyDescent="0.2">
      <c r="E5215" s="7"/>
      <c r="F5215" s="7"/>
    </row>
    <row r="5216" spans="5:6" ht="15" customHeight="1" x14ac:dyDescent="0.2">
      <c r="E5216" s="7"/>
      <c r="F5216" s="7"/>
    </row>
    <row r="5217" spans="5:6" ht="15" customHeight="1" x14ac:dyDescent="0.2">
      <c r="E5217" s="7"/>
      <c r="F5217" s="7"/>
    </row>
    <row r="5218" spans="5:6" ht="15" customHeight="1" x14ac:dyDescent="0.2">
      <c r="E5218" s="7"/>
      <c r="F5218" s="7"/>
    </row>
    <row r="5219" spans="5:6" ht="15" customHeight="1" x14ac:dyDescent="0.2">
      <c r="E5219" s="7"/>
      <c r="F5219" s="7"/>
    </row>
    <row r="5220" spans="5:6" ht="15" customHeight="1" x14ac:dyDescent="0.2">
      <c r="E5220" s="7"/>
      <c r="F5220" s="7"/>
    </row>
    <row r="5221" spans="5:6" ht="15" customHeight="1" x14ac:dyDescent="0.2">
      <c r="E5221" s="7"/>
      <c r="F5221" s="7"/>
    </row>
    <row r="5222" spans="5:6" ht="15" customHeight="1" x14ac:dyDescent="0.2">
      <c r="E5222" s="7"/>
      <c r="F5222" s="7"/>
    </row>
    <row r="5223" spans="5:6" ht="15" customHeight="1" x14ac:dyDescent="0.2">
      <c r="E5223" s="7"/>
      <c r="F5223" s="7"/>
    </row>
    <row r="5224" spans="5:6" ht="15" customHeight="1" x14ac:dyDescent="0.2">
      <c r="E5224" s="7"/>
      <c r="F5224" s="7"/>
    </row>
    <row r="5225" spans="5:6" ht="15" customHeight="1" x14ac:dyDescent="0.2">
      <c r="E5225" s="7"/>
      <c r="F5225" s="7"/>
    </row>
    <row r="5226" spans="5:6" ht="15" customHeight="1" x14ac:dyDescent="0.2">
      <c r="E5226" s="7"/>
      <c r="F5226" s="7"/>
    </row>
    <row r="5227" spans="5:6" ht="15" customHeight="1" x14ac:dyDescent="0.2">
      <c r="E5227" s="7"/>
      <c r="F5227" s="7"/>
    </row>
    <row r="5228" spans="5:6" ht="15" customHeight="1" x14ac:dyDescent="0.2">
      <c r="E5228" s="7"/>
      <c r="F5228" s="7"/>
    </row>
    <row r="5229" spans="5:6" ht="15" customHeight="1" x14ac:dyDescent="0.2">
      <c r="E5229" s="7"/>
      <c r="F5229" s="7"/>
    </row>
    <row r="5230" spans="5:6" ht="15" customHeight="1" x14ac:dyDescent="0.2">
      <c r="E5230" s="7"/>
      <c r="F5230" s="7"/>
    </row>
    <row r="5231" spans="5:6" ht="15" customHeight="1" x14ac:dyDescent="0.2">
      <c r="E5231" s="7"/>
      <c r="F5231" s="7"/>
    </row>
    <row r="5232" spans="5:6" ht="15" customHeight="1" x14ac:dyDescent="0.2">
      <c r="E5232" s="7"/>
      <c r="F5232" s="7"/>
    </row>
    <row r="5233" spans="5:6" ht="15" customHeight="1" x14ac:dyDescent="0.2">
      <c r="E5233" s="7"/>
      <c r="F5233" s="7"/>
    </row>
    <row r="5234" spans="5:6" ht="15" customHeight="1" x14ac:dyDescent="0.2">
      <c r="E5234" s="7"/>
      <c r="F5234" s="7"/>
    </row>
    <row r="5235" spans="5:6" ht="15" customHeight="1" x14ac:dyDescent="0.2">
      <c r="E5235" s="7"/>
      <c r="F5235" s="7"/>
    </row>
    <row r="5236" spans="5:6" ht="15" customHeight="1" x14ac:dyDescent="0.2">
      <c r="E5236" s="7"/>
      <c r="F5236" s="7"/>
    </row>
    <row r="5237" spans="5:6" ht="15" customHeight="1" x14ac:dyDescent="0.2">
      <c r="E5237" s="7"/>
      <c r="F5237" s="7"/>
    </row>
    <row r="5238" spans="5:6" ht="15" customHeight="1" x14ac:dyDescent="0.2">
      <c r="E5238" s="7"/>
      <c r="F5238" s="7"/>
    </row>
    <row r="5239" spans="5:6" ht="15" customHeight="1" x14ac:dyDescent="0.2">
      <c r="E5239" s="7"/>
      <c r="F5239" s="7"/>
    </row>
    <row r="5240" spans="5:6" ht="15" customHeight="1" x14ac:dyDescent="0.2">
      <c r="E5240" s="7"/>
      <c r="F5240" s="7"/>
    </row>
    <row r="5241" spans="5:6" ht="15" customHeight="1" x14ac:dyDescent="0.2">
      <c r="E5241" s="7"/>
      <c r="F5241" s="7"/>
    </row>
    <row r="5242" spans="5:6" ht="15" customHeight="1" x14ac:dyDescent="0.2">
      <c r="E5242" s="7"/>
      <c r="F5242" s="7"/>
    </row>
    <row r="5243" spans="5:6" ht="15" customHeight="1" x14ac:dyDescent="0.2">
      <c r="E5243" s="7"/>
      <c r="F5243" s="7"/>
    </row>
    <row r="5244" spans="5:6" ht="15" customHeight="1" x14ac:dyDescent="0.2">
      <c r="E5244" s="7"/>
      <c r="F5244" s="7"/>
    </row>
    <row r="5245" spans="5:6" ht="15" customHeight="1" x14ac:dyDescent="0.2">
      <c r="E5245" s="7"/>
      <c r="F5245" s="7"/>
    </row>
    <row r="5246" spans="5:6" ht="15" customHeight="1" x14ac:dyDescent="0.2">
      <c r="E5246" s="7"/>
      <c r="F5246" s="7"/>
    </row>
    <row r="5247" spans="5:6" ht="15" customHeight="1" x14ac:dyDescent="0.2">
      <c r="E5247" s="7"/>
      <c r="F5247" s="7"/>
    </row>
    <row r="5248" spans="5:6" ht="15" customHeight="1" x14ac:dyDescent="0.2">
      <c r="E5248" s="7"/>
      <c r="F5248" s="7"/>
    </row>
    <row r="5249" spans="5:6" ht="15" customHeight="1" x14ac:dyDescent="0.2">
      <c r="E5249" s="7"/>
      <c r="F5249" s="7"/>
    </row>
    <row r="5250" spans="5:6" ht="15" customHeight="1" x14ac:dyDescent="0.2">
      <c r="E5250" s="7"/>
      <c r="F5250" s="7"/>
    </row>
    <row r="5251" spans="5:6" ht="15" customHeight="1" x14ac:dyDescent="0.2">
      <c r="E5251" s="7"/>
      <c r="F5251" s="7"/>
    </row>
    <row r="5252" spans="5:6" ht="15" customHeight="1" x14ac:dyDescent="0.2">
      <c r="E5252" s="7"/>
      <c r="F5252" s="7"/>
    </row>
    <row r="5253" spans="5:6" ht="15" customHeight="1" x14ac:dyDescent="0.2">
      <c r="E5253" s="7"/>
      <c r="F5253" s="7"/>
    </row>
    <row r="5254" spans="5:6" ht="15" customHeight="1" x14ac:dyDescent="0.2">
      <c r="E5254" s="7"/>
      <c r="F5254" s="7"/>
    </row>
    <row r="5255" spans="5:6" ht="15" customHeight="1" x14ac:dyDescent="0.2">
      <c r="E5255" s="7"/>
      <c r="F5255" s="7"/>
    </row>
    <row r="5256" spans="5:6" ht="15" customHeight="1" x14ac:dyDescent="0.2">
      <c r="E5256" s="7"/>
      <c r="F5256" s="7"/>
    </row>
    <row r="5257" spans="5:6" ht="15" customHeight="1" x14ac:dyDescent="0.2">
      <c r="E5257" s="7"/>
      <c r="F5257" s="7"/>
    </row>
    <row r="5258" spans="5:6" ht="15" customHeight="1" x14ac:dyDescent="0.2">
      <c r="E5258" s="7"/>
      <c r="F5258" s="7"/>
    </row>
    <row r="5259" spans="5:6" ht="15" customHeight="1" x14ac:dyDescent="0.2">
      <c r="E5259" s="7"/>
      <c r="F5259" s="7"/>
    </row>
    <row r="5260" spans="5:6" ht="15" customHeight="1" x14ac:dyDescent="0.2">
      <c r="E5260" s="7"/>
      <c r="F5260" s="7"/>
    </row>
    <row r="5261" spans="5:6" ht="15" customHeight="1" x14ac:dyDescent="0.2">
      <c r="E5261" s="7"/>
      <c r="F5261" s="7"/>
    </row>
    <row r="5262" spans="5:6" ht="15" customHeight="1" x14ac:dyDescent="0.2">
      <c r="E5262" s="7"/>
      <c r="F5262" s="7"/>
    </row>
    <row r="5263" spans="5:6" ht="15" customHeight="1" x14ac:dyDescent="0.2">
      <c r="E5263" s="7"/>
      <c r="F5263" s="7"/>
    </row>
    <row r="5264" spans="5:6" ht="15" customHeight="1" x14ac:dyDescent="0.2">
      <c r="E5264" s="7"/>
      <c r="F5264" s="7"/>
    </row>
    <row r="5265" spans="5:6" ht="15" customHeight="1" x14ac:dyDescent="0.2">
      <c r="E5265" s="7"/>
      <c r="F5265" s="7"/>
    </row>
    <row r="5266" spans="5:6" ht="15" customHeight="1" x14ac:dyDescent="0.2">
      <c r="E5266" s="7"/>
      <c r="F5266" s="7"/>
    </row>
    <row r="5267" spans="5:6" ht="15" customHeight="1" x14ac:dyDescent="0.2">
      <c r="E5267" s="7"/>
      <c r="F5267" s="7"/>
    </row>
    <row r="5268" spans="5:6" ht="15" customHeight="1" x14ac:dyDescent="0.2">
      <c r="E5268" s="7"/>
      <c r="F5268" s="7"/>
    </row>
    <row r="5269" spans="5:6" ht="15" customHeight="1" x14ac:dyDescent="0.2">
      <c r="E5269" s="7"/>
      <c r="F5269" s="7"/>
    </row>
    <row r="5270" spans="5:6" ht="15" customHeight="1" x14ac:dyDescent="0.2">
      <c r="E5270" s="7"/>
      <c r="F5270" s="7"/>
    </row>
    <row r="5271" spans="5:6" ht="15" customHeight="1" x14ac:dyDescent="0.2">
      <c r="E5271" s="7"/>
      <c r="F5271" s="7"/>
    </row>
    <row r="5272" spans="5:6" ht="15" customHeight="1" x14ac:dyDescent="0.2">
      <c r="E5272" s="7"/>
      <c r="F5272" s="7"/>
    </row>
    <row r="5273" spans="5:6" ht="15" customHeight="1" x14ac:dyDescent="0.2">
      <c r="E5273" s="7"/>
      <c r="F5273" s="7"/>
    </row>
    <row r="5274" spans="5:6" ht="15" customHeight="1" x14ac:dyDescent="0.2">
      <c r="E5274" s="7"/>
      <c r="F5274" s="7"/>
    </row>
    <row r="5275" spans="5:6" ht="15" customHeight="1" x14ac:dyDescent="0.2">
      <c r="E5275" s="7"/>
      <c r="F5275" s="7"/>
    </row>
    <row r="5276" spans="5:6" ht="15" customHeight="1" x14ac:dyDescent="0.2">
      <c r="E5276" s="7"/>
      <c r="F5276" s="7"/>
    </row>
    <row r="5277" spans="5:6" ht="15" customHeight="1" x14ac:dyDescent="0.2">
      <c r="E5277" s="7"/>
      <c r="F5277" s="7"/>
    </row>
    <row r="5278" spans="5:6" ht="15" customHeight="1" x14ac:dyDescent="0.2">
      <c r="E5278" s="7"/>
      <c r="F5278" s="7"/>
    </row>
    <row r="5279" spans="5:6" ht="15" customHeight="1" x14ac:dyDescent="0.2">
      <c r="E5279" s="7"/>
      <c r="F5279" s="7"/>
    </row>
    <row r="5280" spans="5:6" ht="15" customHeight="1" x14ac:dyDescent="0.2">
      <c r="E5280" s="7"/>
      <c r="F5280" s="7"/>
    </row>
    <row r="5281" spans="5:6" ht="15" customHeight="1" x14ac:dyDescent="0.2">
      <c r="E5281" s="7"/>
      <c r="F5281" s="7"/>
    </row>
    <row r="5282" spans="5:6" ht="15" customHeight="1" x14ac:dyDescent="0.2">
      <c r="E5282" s="7"/>
      <c r="F5282" s="7"/>
    </row>
    <row r="5283" spans="5:6" ht="15" customHeight="1" x14ac:dyDescent="0.2">
      <c r="E5283" s="7"/>
      <c r="F5283" s="7"/>
    </row>
    <row r="5284" spans="5:6" ht="15" customHeight="1" x14ac:dyDescent="0.2">
      <c r="E5284" s="7"/>
      <c r="F5284" s="7"/>
    </row>
    <row r="5285" spans="5:6" ht="15" customHeight="1" x14ac:dyDescent="0.2">
      <c r="E5285" s="7"/>
      <c r="F5285" s="7"/>
    </row>
    <row r="5286" spans="5:6" ht="15" customHeight="1" x14ac:dyDescent="0.2">
      <c r="E5286" s="7"/>
      <c r="F5286" s="7"/>
    </row>
    <row r="5287" spans="5:6" ht="15" customHeight="1" x14ac:dyDescent="0.2">
      <c r="E5287" s="7"/>
      <c r="F5287" s="7"/>
    </row>
    <row r="5288" spans="5:6" ht="15" customHeight="1" x14ac:dyDescent="0.2">
      <c r="E5288" s="7"/>
      <c r="F5288" s="7"/>
    </row>
    <row r="5289" spans="5:6" ht="15" customHeight="1" x14ac:dyDescent="0.2">
      <c r="E5289" s="7"/>
      <c r="F5289" s="7"/>
    </row>
    <row r="5290" spans="5:6" ht="15" customHeight="1" x14ac:dyDescent="0.2">
      <c r="E5290" s="7"/>
      <c r="F5290" s="7"/>
    </row>
    <row r="5291" spans="5:6" ht="15" customHeight="1" x14ac:dyDescent="0.2">
      <c r="E5291" s="7"/>
      <c r="F5291" s="7"/>
    </row>
    <row r="5292" spans="5:6" ht="15" customHeight="1" x14ac:dyDescent="0.2">
      <c r="E5292" s="7"/>
      <c r="F5292" s="7"/>
    </row>
    <row r="5293" spans="5:6" ht="15" customHeight="1" x14ac:dyDescent="0.2">
      <c r="E5293" s="7"/>
      <c r="F5293" s="7"/>
    </row>
    <row r="5294" spans="5:6" ht="15" customHeight="1" x14ac:dyDescent="0.2">
      <c r="E5294" s="7"/>
      <c r="F5294" s="7"/>
    </row>
    <row r="5295" spans="5:6" ht="15" customHeight="1" x14ac:dyDescent="0.2">
      <c r="E5295" s="7"/>
      <c r="F5295" s="7"/>
    </row>
    <row r="5296" spans="5:6" ht="15" customHeight="1" x14ac:dyDescent="0.2">
      <c r="E5296" s="7"/>
      <c r="F5296" s="7"/>
    </row>
    <row r="5297" spans="5:6" ht="15" customHeight="1" x14ac:dyDescent="0.2">
      <c r="E5297" s="7"/>
      <c r="F5297" s="7"/>
    </row>
    <row r="5298" spans="5:6" ht="15" customHeight="1" x14ac:dyDescent="0.2">
      <c r="E5298" s="7"/>
      <c r="F5298" s="7"/>
    </row>
    <row r="5299" spans="5:6" ht="15" customHeight="1" x14ac:dyDescent="0.2">
      <c r="E5299" s="7"/>
      <c r="F5299" s="7"/>
    </row>
    <row r="5300" spans="5:6" ht="15" customHeight="1" x14ac:dyDescent="0.2">
      <c r="E5300" s="7"/>
      <c r="F5300" s="7"/>
    </row>
    <row r="5301" spans="5:6" ht="15" customHeight="1" x14ac:dyDescent="0.2">
      <c r="E5301" s="7"/>
      <c r="F5301" s="7"/>
    </row>
    <row r="5302" spans="5:6" ht="15" customHeight="1" x14ac:dyDescent="0.2">
      <c r="E5302" s="7"/>
      <c r="F5302" s="7"/>
    </row>
    <row r="5303" spans="5:6" ht="15" customHeight="1" x14ac:dyDescent="0.2">
      <c r="E5303" s="7"/>
      <c r="F5303" s="7"/>
    </row>
    <row r="5304" spans="5:6" ht="15" customHeight="1" x14ac:dyDescent="0.2">
      <c r="E5304" s="7"/>
      <c r="F5304" s="7"/>
    </row>
    <row r="5305" spans="5:6" ht="15" customHeight="1" x14ac:dyDescent="0.2">
      <c r="E5305" s="7"/>
      <c r="F5305" s="7"/>
    </row>
    <row r="5306" spans="5:6" ht="15" customHeight="1" x14ac:dyDescent="0.2">
      <c r="E5306" s="7"/>
      <c r="F5306" s="7"/>
    </row>
    <row r="5307" spans="5:6" ht="15" customHeight="1" x14ac:dyDescent="0.2">
      <c r="E5307" s="7"/>
      <c r="F5307" s="7"/>
    </row>
    <row r="5308" spans="5:6" ht="15" customHeight="1" x14ac:dyDescent="0.2">
      <c r="E5308" s="7"/>
      <c r="F5308" s="7"/>
    </row>
    <row r="5309" spans="5:6" ht="15" customHeight="1" x14ac:dyDescent="0.2">
      <c r="E5309" s="7"/>
      <c r="F5309" s="7"/>
    </row>
    <row r="5310" spans="5:6" ht="15" customHeight="1" x14ac:dyDescent="0.2">
      <c r="E5310" s="7"/>
      <c r="F5310" s="7"/>
    </row>
    <row r="5311" spans="5:6" ht="15" customHeight="1" x14ac:dyDescent="0.2">
      <c r="E5311" s="7"/>
      <c r="F5311" s="7"/>
    </row>
    <row r="5312" spans="5:6" ht="15" customHeight="1" x14ac:dyDescent="0.2">
      <c r="E5312" s="7"/>
      <c r="F5312" s="7"/>
    </row>
    <row r="5313" spans="5:6" ht="15" customHeight="1" x14ac:dyDescent="0.2">
      <c r="E5313" s="7"/>
      <c r="F5313" s="7"/>
    </row>
    <row r="5314" spans="5:6" ht="15" customHeight="1" x14ac:dyDescent="0.2">
      <c r="E5314" s="7"/>
      <c r="F5314" s="7"/>
    </row>
    <row r="5315" spans="5:6" ht="15" customHeight="1" x14ac:dyDescent="0.2">
      <c r="E5315" s="7"/>
      <c r="F5315" s="7"/>
    </row>
    <row r="5316" spans="5:6" ht="15" customHeight="1" x14ac:dyDescent="0.2">
      <c r="E5316" s="7"/>
      <c r="F5316" s="7"/>
    </row>
    <row r="5317" spans="5:6" ht="15" customHeight="1" x14ac:dyDescent="0.2">
      <c r="E5317" s="7"/>
      <c r="F5317" s="7"/>
    </row>
    <row r="5318" spans="5:6" ht="15" customHeight="1" x14ac:dyDescent="0.2">
      <c r="E5318" s="7"/>
      <c r="F5318" s="7"/>
    </row>
    <row r="5319" spans="5:6" ht="15" customHeight="1" x14ac:dyDescent="0.2">
      <c r="E5319" s="7"/>
      <c r="F5319" s="7"/>
    </row>
    <row r="5320" spans="5:6" ht="15" customHeight="1" x14ac:dyDescent="0.2">
      <c r="E5320" s="7"/>
      <c r="F5320" s="7"/>
    </row>
    <row r="5321" spans="5:6" ht="15" customHeight="1" x14ac:dyDescent="0.2">
      <c r="E5321" s="7"/>
      <c r="F5321" s="7"/>
    </row>
    <row r="5322" spans="5:6" ht="15" customHeight="1" x14ac:dyDescent="0.2">
      <c r="E5322" s="7"/>
      <c r="F5322" s="7"/>
    </row>
    <row r="5323" spans="5:6" ht="15" customHeight="1" x14ac:dyDescent="0.2">
      <c r="E5323" s="7"/>
      <c r="F5323" s="7"/>
    </row>
    <row r="5324" spans="5:6" ht="15" customHeight="1" x14ac:dyDescent="0.2">
      <c r="E5324" s="7"/>
      <c r="F5324" s="7"/>
    </row>
    <row r="5325" spans="5:6" ht="15" customHeight="1" x14ac:dyDescent="0.2">
      <c r="E5325" s="7"/>
      <c r="F5325" s="7"/>
    </row>
    <row r="5326" spans="5:6" ht="15" customHeight="1" x14ac:dyDescent="0.2">
      <c r="E5326" s="7"/>
      <c r="F5326" s="7"/>
    </row>
    <row r="5327" spans="5:6" ht="15" customHeight="1" x14ac:dyDescent="0.2">
      <c r="E5327" s="7"/>
      <c r="F5327" s="7"/>
    </row>
    <row r="5328" spans="5:6" ht="15" customHeight="1" x14ac:dyDescent="0.2">
      <c r="E5328" s="7"/>
      <c r="F5328" s="7"/>
    </row>
    <row r="5329" spans="5:6" ht="15" customHeight="1" x14ac:dyDescent="0.2">
      <c r="E5329" s="7"/>
      <c r="F5329" s="7"/>
    </row>
    <row r="5330" spans="5:6" ht="15" customHeight="1" x14ac:dyDescent="0.2">
      <c r="E5330" s="7"/>
      <c r="F5330" s="7"/>
    </row>
    <row r="5331" spans="5:6" ht="15" customHeight="1" x14ac:dyDescent="0.2">
      <c r="E5331" s="7"/>
      <c r="F5331" s="7"/>
    </row>
    <row r="5332" spans="5:6" ht="15" customHeight="1" x14ac:dyDescent="0.2">
      <c r="E5332" s="7"/>
      <c r="F5332" s="7"/>
    </row>
    <row r="5333" spans="5:6" ht="15" customHeight="1" x14ac:dyDescent="0.2">
      <c r="E5333" s="7"/>
      <c r="F5333" s="7"/>
    </row>
    <row r="5334" spans="5:6" ht="15" customHeight="1" x14ac:dyDescent="0.2">
      <c r="E5334" s="7"/>
      <c r="F5334" s="7"/>
    </row>
    <row r="5335" spans="5:6" ht="15" customHeight="1" x14ac:dyDescent="0.2">
      <c r="E5335" s="7"/>
      <c r="F5335" s="7"/>
    </row>
    <row r="5336" spans="5:6" ht="15" customHeight="1" x14ac:dyDescent="0.2">
      <c r="E5336" s="7"/>
      <c r="F5336" s="7"/>
    </row>
    <row r="5337" spans="5:6" ht="15" customHeight="1" x14ac:dyDescent="0.2">
      <c r="E5337" s="7"/>
      <c r="F5337" s="7"/>
    </row>
    <row r="5338" spans="5:6" ht="15" customHeight="1" x14ac:dyDescent="0.2">
      <c r="E5338" s="7"/>
      <c r="F5338" s="7"/>
    </row>
    <row r="5339" spans="5:6" ht="15" customHeight="1" x14ac:dyDescent="0.2">
      <c r="E5339" s="7"/>
      <c r="F5339" s="7"/>
    </row>
    <row r="5340" spans="5:6" ht="15" customHeight="1" x14ac:dyDescent="0.2">
      <c r="E5340" s="7"/>
      <c r="F5340" s="7"/>
    </row>
    <row r="5341" spans="5:6" ht="15" customHeight="1" x14ac:dyDescent="0.2">
      <c r="E5341" s="7"/>
      <c r="F5341" s="7"/>
    </row>
    <row r="5342" spans="5:6" ht="15" customHeight="1" x14ac:dyDescent="0.2">
      <c r="E5342" s="7"/>
      <c r="F5342" s="7"/>
    </row>
    <row r="5343" spans="5:6" ht="15" customHeight="1" x14ac:dyDescent="0.2">
      <c r="E5343" s="7"/>
      <c r="F5343" s="7"/>
    </row>
    <row r="5344" spans="5:6" ht="15" customHeight="1" x14ac:dyDescent="0.2">
      <c r="E5344" s="7"/>
      <c r="F5344" s="7"/>
    </row>
    <row r="5345" spans="5:6" ht="15" customHeight="1" x14ac:dyDescent="0.2">
      <c r="E5345" s="7"/>
      <c r="F5345" s="7"/>
    </row>
    <row r="5346" spans="5:6" ht="15" customHeight="1" x14ac:dyDescent="0.2">
      <c r="E5346" s="7"/>
      <c r="F5346" s="7"/>
    </row>
    <row r="5347" spans="5:6" ht="15" customHeight="1" x14ac:dyDescent="0.2">
      <c r="E5347" s="7"/>
      <c r="F5347" s="7"/>
    </row>
    <row r="5348" spans="5:6" ht="15" customHeight="1" x14ac:dyDescent="0.2">
      <c r="E5348" s="7"/>
      <c r="F5348" s="7"/>
    </row>
    <row r="5349" spans="5:6" ht="15" customHeight="1" x14ac:dyDescent="0.2">
      <c r="E5349" s="7"/>
      <c r="F5349" s="7"/>
    </row>
    <row r="5350" spans="5:6" ht="15" customHeight="1" x14ac:dyDescent="0.2">
      <c r="E5350" s="7"/>
      <c r="F5350" s="7"/>
    </row>
    <row r="5351" spans="5:6" ht="15" customHeight="1" x14ac:dyDescent="0.2">
      <c r="E5351" s="7"/>
      <c r="F5351" s="7"/>
    </row>
    <row r="5352" spans="5:6" ht="15" customHeight="1" x14ac:dyDescent="0.2">
      <c r="E5352" s="7"/>
      <c r="F5352" s="7"/>
    </row>
    <row r="5353" spans="5:6" ht="15" customHeight="1" x14ac:dyDescent="0.2">
      <c r="E5353" s="7"/>
      <c r="F5353" s="7"/>
    </row>
    <row r="5354" spans="5:6" ht="15" customHeight="1" x14ac:dyDescent="0.2">
      <c r="E5354" s="7"/>
      <c r="F5354" s="7"/>
    </row>
    <row r="5355" spans="5:6" ht="15" customHeight="1" x14ac:dyDescent="0.2">
      <c r="E5355" s="7"/>
      <c r="F5355" s="7"/>
    </row>
    <row r="5356" spans="5:6" ht="15" customHeight="1" x14ac:dyDescent="0.2">
      <c r="E5356" s="7"/>
      <c r="F5356" s="7"/>
    </row>
    <row r="5357" spans="5:6" ht="15" customHeight="1" x14ac:dyDescent="0.2">
      <c r="E5357" s="7"/>
      <c r="F5357" s="7"/>
    </row>
    <row r="5358" spans="5:6" ht="15" customHeight="1" x14ac:dyDescent="0.2">
      <c r="E5358" s="7"/>
      <c r="F5358" s="7"/>
    </row>
    <row r="5359" spans="5:6" ht="15" customHeight="1" x14ac:dyDescent="0.2">
      <c r="E5359" s="7"/>
      <c r="F5359" s="7"/>
    </row>
    <row r="5360" spans="5:6" ht="15" customHeight="1" x14ac:dyDescent="0.2">
      <c r="E5360" s="7"/>
      <c r="F5360" s="7"/>
    </row>
    <row r="5361" spans="5:6" ht="15" customHeight="1" x14ac:dyDescent="0.2">
      <c r="E5361" s="7"/>
      <c r="F5361" s="7"/>
    </row>
    <row r="5362" spans="5:6" ht="15" customHeight="1" x14ac:dyDescent="0.2">
      <c r="E5362" s="7"/>
      <c r="F5362" s="7"/>
    </row>
    <row r="5363" spans="5:6" ht="15" customHeight="1" x14ac:dyDescent="0.2">
      <c r="E5363" s="7"/>
      <c r="F5363" s="7"/>
    </row>
    <row r="5364" spans="5:6" ht="15" customHeight="1" x14ac:dyDescent="0.2">
      <c r="E5364" s="7"/>
      <c r="F5364" s="7"/>
    </row>
    <row r="5365" spans="5:6" ht="15" customHeight="1" x14ac:dyDescent="0.2">
      <c r="E5365" s="7"/>
      <c r="F5365" s="7"/>
    </row>
    <row r="5366" spans="5:6" ht="15" customHeight="1" x14ac:dyDescent="0.2">
      <c r="E5366" s="7"/>
      <c r="F5366" s="7"/>
    </row>
    <row r="5367" spans="5:6" ht="15" customHeight="1" x14ac:dyDescent="0.2">
      <c r="E5367" s="7"/>
      <c r="F5367" s="7"/>
    </row>
    <row r="5368" spans="5:6" ht="15" customHeight="1" x14ac:dyDescent="0.2">
      <c r="E5368" s="7"/>
      <c r="F5368" s="7"/>
    </row>
    <row r="5369" spans="5:6" ht="15" customHeight="1" x14ac:dyDescent="0.2">
      <c r="E5369" s="7"/>
      <c r="F5369" s="7"/>
    </row>
    <row r="5370" spans="5:6" ht="15" customHeight="1" x14ac:dyDescent="0.2">
      <c r="E5370" s="7"/>
      <c r="F5370" s="7"/>
    </row>
    <row r="5371" spans="5:6" ht="15" customHeight="1" x14ac:dyDescent="0.2">
      <c r="E5371" s="7"/>
      <c r="F5371" s="7"/>
    </row>
    <row r="5372" spans="5:6" ht="15" customHeight="1" x14ac:dyDescent="0.2">
      <c r="E5372" s="7"/>
      <c r="F5372" s="7"/>
    </row>
    <row r="5373" spans="5:6" ht="15" customHeight="1" x14ac:dyDescent="0.2">
      <c r="E5373" s="7"/>
      <c r="F5373" s="7"/>
    </row>
    <row r="5374" spans="5:6" ht="15" customHeight="1" x14ac:dyDescent="0.2">
      <c r="E5374" s="7"/>
      <c r="F5374" s="7"/>
    </row>
    <row r="5375" spans="5:6" ht="15" customHeight="1" x14ac:dyDescent="0.2">
      <c r="E5375" s="7"/>
      <c r="F5375" s="7"/>
    </row>
    <row r="5376" spans="5:6" ht="15" customHeight="1" x14ac:dyDescent="0.2">
      <c r="E5376" s="7"/>
      <c r="F5376" s="7"/>
    </row>
    <row r="5377" spans="5:6" ht="15" customHeight="1" x14ac:dyDescent="0.2">
      <c r="E5377" s="7"/>
      <c r="F5377" s="7"/>
    </row>
    <row r="5378" spans="5:6" ht="15" customHeight="1" x14ac:dyDescent="0.2">
      <c r="E5378" s="7"/>
      <c r="F5378" s="7"/>
    </row>
    <row r="5379" spans="5:6" ht="15" customHeight="1" x14ac:dyDescent="0.2">
      <c r="E5379" s="7"/>
      <c r="F5379" s="7"/>
    </row>
    <row r="5380" spans="5:6" ht="15" customHeight="1" x14ac:dyDescent="0.2">
      <c r="E5380" s="7"/>
      <c r="F5380" s="7"/>
    </row>
    <row r="5381" spans="5:6" ht="15" customHeight="1" x14ac:dyDescent="0.2">
      <c r="E5381" s="7"/>
      <c r="F5381" s="7"/>
    </row>
    <row r="5382" spans="5:6" ht="15" customHeight="1" x14ac:dyDescent="0.2">
      <c r="E5382" s="7"/>
      <c r="F5382" s="7"/>
    </row>
    <row r="5383" spans="5:6" ht="15" customHeight="1" x14ac:dyDescent="0.2">
      <c r="E5383" s="7"/>
      <c r="F5383" s="7"/>
    </row>
    <row r="5384" spans="5:6" ht="15" customHeight="1" x14ac:dyDescent="0.2">
      <c r="E5384" s="7"/>
      <c r="F5384" s="7"/>
    </row>
    <row r="5385" spans="5:6" ht="15" customHeight="1" x14ac:dyDescent="0.2">
      <c r="E5385" s="7"/>
      <c r="F5385" s="7"/>
    </row>
    <row r="5386" spans="5:6" ht="15" customHeight="1" x14ac:dyDescent="0.2">
      <c r="E5386" s="7"/>
      <c r="F5386" s="7"/>
    </row>
    <row r="5387" spans="5:6" ht="15" customHeight="1" x14ac:dyDescent="0.2">
      <c r="E5387" s="7"/>
      <c r="F5387" s="7"/>
    </row>
    <row r="5388" spans="5:6" ht="15" customHeight="1" x14ac:dyDescent="0.2">
      <c r="E5388" s="7"/>
      <c r="F5388" s="7"/>
    </row>
    <row r="5389" spans="5:6" ht="15" customHeight="1" x14ac:dyDescent="0.2">
      <c r="E5389" s="7"/>
      <c r="F5389" s="7"/>
    </row>
    <row r="5390" spans="5:6" ht="15" customHeight="1" x14ac:dyDescent="0.2">
      <c r="E5390" s="7"/>
      <c r="F5390" s="7"/>
    </row>
    <row r="5391" spans="5:6" ht="15" customHeight="1" x14ac:dyDescent="0.2">
      <c r="E5391" s="7"/>
      <c r="F5391" s="7"/>
    </row>
    <row r="5392" spans="5:6" ht="15" customHeight="1" x14ac:dyDescent="0.2">
      <c r="E5392" s="7"/>
      <c r="F5392" s="7"/>
    </row>
    <row r="5393" spans="5:6" ht="15" customHeight="1" x14ac:dyDescent="0.2">
      <c r="E5393" s="7"/>
      <c r="F5393" s="7"/>
    </row>
    <row r="5394" spans="5:6" ht="15" customHeight="1" x14ac:dyDescent="0.2">
      <c r="E5394" s="7"/>
      <c r="F5394" s="7"/>
    </row>
    <row r="5395" spans="5:6" ht="15" customHeight="1" x14ac:dyDescent="0.2">
      <c r="E5395" s="7"/>
      <c r="F5395" s="7"/>
    </row>
    <row r="5396" spans="5:6" ht="15" customHeight="1" x14ac:dyDescent="0.2">
      <c r="E5396" s="7"/>
      <c r="F5396" s="7"/>
    </row>
    <row r="5397" spans="5:6" ht="15" customHeight="1" x14ac:dyDescent="0.2">
      <c r="E5397" s="7"/>
      <c r="F5397" s="7"/>
    </row>
    <row r="5398" spans="5:6" ht="15" customHeight="1" x14ac:dyDescent="0.2">
      <c r="E5398" s="7"/>
      <c r="F5398" s="7"/>
    </row>
    <row r="5399" spans="5:6" ht="15" customHeight="1" x14ac:dyDescent="0.2">
      <c r="E5399" s="7"/>
      <c r="F5399" s="7"/>
    </row>
    <row r="5400" spans="5:6" ht="15" customHeight="1" x14ac:dyDescent="0.2">
      <c r="E5400" s="7"/>
      <c r="F5400" s="7"/>
    </row>
    <row r="5401" spans="5:6" ht="15" customHeight="1" x14ac:dyDescent="0.2">
      <c r="E5401" s="7"/>
      <c r="F5401" s="7"/>
    </row>
    <row r="5402" spans="5:6" ht="15" customHeight="1" x14ac:dyDescent="0.2">
      <c r="E5402" s="7"/>
      <c r="F5402" s="7"/>
    </row>
    <row r="5403" spans="5:6" ht="15" customHeight="1" x14ac:dyDescent="0.2">
      <c r="E5403" s="7"/>
      <c r="F5403" s="7"/>
    </row>
    <row r="5404" spans="5:6" ht="15" customHeight="1" x14ac:dyDescent="0.2">
      <c r="E5404" s="7"/>
      <c r="F5404" s="7"/>
    </row>
    <row r="5405" spans="5:6" ht="15" customHeight="1" x14ac:dyDescent="0.2">
      <c r="E5405" s="7"/>
      <c r="F5405" s="7"/>
    </row>
    <row r="5406" spans="5:6" ht="15" customHeight="1" x14ac:dyDescent="0.2">
      <c r="E5406" s="7"/>
      <c r="F5406" s="7"/>
    </row>
    <row r="5407" spans="5:6" ht="15" customHeight="1" x14ac:dyDescent="0.2">
      <c r="E5407" s="7"/>
      <c r="F5407" s="7"/>
    </row>
    <row r="5408" spans="5:6" ht="15" customHeight="1" x14ac:dyDescent="0.2">
      <c r="E5408" s="7"/>
      <c r="F5408" s="7"/>
    </row>
    <row r="5409" spans="5:6" ht="15" customHeight="1" x14ac:dyDescent="0.2">
      <c r="E5409" s="7"/>
      <c r="F5409" s="7"/>
    </row>
    <row r="5410" spans="5:6" ht="15" customHeight="1" x14ac:dyDescent="0.2">
      <c r="E5410" s="7"/>
      <c r="F5410" s="7"/>
    </row>
    <row r="5411" spans="5:6" ht="15" customHeight="1" x14ac:dyDescent="0.2">
      <c r="E5411" s="7"/>
      <c r="F5411" s="7"/>
    </row>
    <row r="5412" spans="5:6" ht="15" customHeight="1" x14ac:dyDescent="0.2">
      <c r="E5412" s="7"/>
      <c r="F5412" s="7"/>
    </row>
    <row r="5413" spans="5:6" ht="15" customHeight="1" x14ac:dyDescent="0.2">
      <c r="E5413" s="7"/>
      <c r="F5413" s="7"/>
    </row>
    <row r="5414" spans="5:6" ht="15" customHeight="1" x14ac:dyDescent="0.2">
      <c r="E5414" s="7"/>
      <c r="F5414" s="7"/>
    </row>
    <row r="5415" spans="5:6" ht="15" customHeight="1" x14ac:dyDescent="0.2">
      <c r="E5415" s="7"/>
      <c r="F5415" s="7"/>
    </row>
    <row r="5416" spans="5:6" ht="15" customHeight="1" x14ac:dyDescent="0.2">
      <c r="E5416" s="7"/>
      <c r="F5416" s="7"/>
    </row>
    <row r="5417" spans="5:6" ht="15" customHeight="1" x14ac:dyDescent="0.2">
      <c r="E5417" s="7"/>
      <c r="F5417" s="7"/>
    </row>
    <row r="5418" spans="5:6" ht="15" customHeight="1" x14ac:dyDescent="0.2">
      <c r="E5418" s="7"/>
      <c r="F5418" s="7"/>
    </row>
    <row r="5419" spans="5:6" ht="15" customHeight="1" x14ac:dyDescent="0.2">
      <c r="E5419" s="7"/>
      <c r="F5419" s="7"/>
    </row>
    <row r="5420" spans="5:6" ht="15" customHeight="1" x14ac:dyDescent="0.2">
      <c r="E5420" s="7"/>
      <c r="F5420" s="7"/>
    </row>
    <row r="5421" spans="5:6" ht="15" customHeight="1" x14ac:dyDescent="0.2">
      <c r="E5421" s="7"/>
      <c r="F5421" s="7"/>
    </row>
    <row r="5422" spans="5:6" ht="15" customHeight="1" x14ac:dyDescent="0.2">
      <c r="E5422" s="7"/>
      <c r="F5422" s="7"/>
    </row>
    <row r="5423" spans="5:6" ht="15" customHeight="1" x14ac:dyDescent="0.2">
      <c r="E5423" s="7"/>
      <c r="F5423" s="7"/>
    </row>
    <row r="5424" spans="5:6" ht="15" customHeight="1" x14ac:dyDescent="0.2">
      <c r="E5424" s="7"/>
      <c r="F5424" s="7"/>
    </row>
    <row r="5425" spans="5:6" ht="15" customHeight="1" x14ac:dyDescent="0.2">
      <c r="E5425" s="7"/>
      <c r="F5425" s="7"/>
    </row>
    <row r="5426" spans="5:6" ht="15" customHeight="1" x14ac:dyDescent="0.2">
      <c r="E5426" s="7"/>
      <c r="F5426" s="7"/>
    </row>
    <row r="5427" spans="5:6" ht="15" customHeight="1" x14ac:dyDescent="0.2">
      <c r="E5427" s="7"/>
      <c r="F5427" s="7"/>
    </row>
    <row r="5428" spans="5:6" ht="15" customHeight="1" x14ac:dyDescent="0.2">
      <c r="E5428" s="7"/>
      <c r="F5428" s="7"/>
    </row>
    <row r="5429" spans="5:6" ht="15" customHeight="1" x14ac:dyDescent="0.2">
      <c r="E5429" s="7"/>
      <c r="F5429" s="7"/>
    </row>
    <row r="5430" spans="5:6" ht="15" customHeight="1" x14ac:dyDescent="0.2">
      <c r="E5430" s="7"/>
      <c r="F5430" s="7"/>
    </row>
    <row r="5431" spans="5:6" ht="15" customHeight="1" x14ac:dyDescent="0.2">
      <c r="E5431" s="7"/>
      <c r="F5431" s="7"/>
    </row>
    <row r="5432" spans="5:6" ht="15" customHeight="1" x14ac:dyDescent="0.2">
      <c r="E5432" s="7"/>
      <c r="F5432" s="7"/>
    </row>
    <row r="5433" spans="5:6" ht="15" customHeight="1" x14ac:dyDescent="0.2">
      <c r="E5433" s="7"/>
      <c r="F5433" s="7"/>
    </row>
    <row r="5434" spans="5:6" ht="15" customHeight="1" x14ac:dyDescent="0.2">
      <c r="E5434" s="7"/>
      <c r="F5434" s="7"/>
    </row>
    <row r="5435" spans="5:6" ht="15" customHeight="1" x14ac:dyDescent="0.2">
      <c r="E5435" s="7"/>
      <c r="F5435" s="7"/>
    </row>
    <row r="5436" spans="5:6" ht="15" customHeight="1" x14ac:dyDescent="0.2">
      <c r="E5436" s="7"/>
      <c r="F5436" s="7"/>
    </row>
    <row r="5437" spans="5:6" ht="15" customHeight="1" x14ac:dyDescent="0.2">
      <c r="E5437" s="7"/>
      <c r="F5437" s="7"/>
    </row>
    <row r="5438" spans="5:6" ht="15" customHeight="1" x14ac:dyDescent="0.2">
      <c r="E5438" s="7"/>
      <c r="F5438" s="7"/>
    </row>
    <row r="5439" spans="5:6" ht="15" customHeight="1" x14ac:dyDescent="0.2">
      <c r="E5439" s="7"/>
      <c r="F5439" s="7"/>
    </row>
    <row r="5440" spans="5:6" ht="15" customHeight="1" x14ac:dyDescent="0.2">
      <c r="E5440" s="7"/>
      <c r="F5440" s="7"/>
    </row>
    <row r="5441" spans="5:6" ht="15" customHeight="1" x14ac:dyDescent="0.2">
      <c r="E5441" s="7"/>
      <c r="F5441" s="7"/>
    </row>
    <row r="5442" spans="5:6" ht="15" customHeight="1" x14ac:dyDescent="0.2">
      <c r="E5442" s="7"/>
      <c r="F5442" s="7"/>
    </row>
    <row r="5443" spans="5:6" ht="15" customHeight="1" x14ac:dyDescent="0.2">
      <c r="E5443" s="7"/>
      <c r="F5443" s="7"/>
    </row>
    <row r="5444" spans="5:6" ht="15" customHeight="1" x14ac:dyDescent="0.2">
      <c r="E5444" s="7"/>
      <c r="F5444" s="7"/>
    </row>
    <row r="5445" spans="5:6" ht="15" customHeight="1" x14ac:dyDescent="0.2">
      <c r="E5445" s="7"/>
      <c r="F5445" s="7"/>
    </row>
    <row r="5446" spans="5:6" ht="15" customHeight="1" x14ac:dyDescent="0.2">
      <c r="E5446" s="7"/>
      <c r="F5446" s="7"/>
    </row>
    <row r="5447" spans="5:6" ht="15" customHeight="1" x14ac:dyDescent="0.2">
      <c r="E5447" s="7"/>
      <c r="F5447" s="7"/>
    </row>
    <row r="5448" spans="5:6" ht="15" customHeight="1" x14ac:dyDescent="0.2">
      <c r="E5448" s="7"/>
      <c r="F5448" s="7"/>
    </row>
    <row r="5449" spans="5:6" ht="15" customHeight="1" x14ac:dyDescent="0.2">
      <c r="E5449" s="7"/>
      <c r="F5449" s="7"/>
    </row>
    <row r="5450" spans="5:6" ht="15" customHeight="1" x14ac:dyDescent="0.2">
      <c r="E5450" s="7"/>
      <c r="F5450" s="7"/>
    </row>
    <row r="5451" spans="5:6" ht="15" customHeight="1" x14ac:dyDescent="0.2">
      <c r="E5451" s="7"/>
      <c r="F5451" s="7"/>
    </row>
    <row r="5452" spans="5:6" ht="15" customHeight="1" x14ac:dyDescent="0.2">
      <c r="E5452" s="7"/>
      <c r="F5452" s="7"/>
    </row>
    <row r="5453" spans="5:6" ht="15" customHeight="1" x14ac:dyDescent="0.2">
      <c r="E5453" s="7"/>
      <c r="F5453" s="7"/>
    </row>
    <row r="5454" spans="5:6" ht="15" customHeight="1" x14ac:dyDescent="0.2">
      <c r="E5454" s="7"/>
      <c r="F5454" s="7"/>
    </row>
    <row r="5455" spans="5:6" ht="15" customHeight="1" x14ac:dyDescent="0.2">
      <c r="E5455" s="7"/>
      <c r="F5455" s="7"/>
    </row>
    <row r="5456" spans="5:6" ht="15" customHeight="1" x14ac:dyDescent="0.2">
      <c r="E5456" s="7"/>
      <c r="F5456" s="7"/>
    </row>
    <row r="5457" spans="5:6" ht="15" customHeight="1" x14ac:dyDescent="0.2">
      <c r="E5457" s="7"/>
      <c r="F5457" s="7"/>
    </row>
    <row r="5458" spans="5:6" ht="15" customHeight="1" x14ac:dyDescent="0.2">
      <c r="E5458" s="7"/>
      <c r="F5458" s="7"/>
    </row>
    <row r="5459" spans="5:6" ht="15" customHeight="1" x14ac:dyDescent="0.2">
      <c r="E5459" s="7"/>
      <c r="F5459" s="7"/>
    </row>
    <row r="5460" spans="5:6" ht="15" customHeight="1" x14ac:dyDescent="0.2">
      <c r="E5460" s="7"/>
      <c r="F5460" s="7"/>
    </row>
    <row r="5461" spans="5:6" ht="15" customHeight="1" x14ac:dyDescent="0.2">
      <c r="E5461" s="7"/>
      <c r="F5461" s="7"/>
    </row>
    <row r="5462" spans="5:6" ht="15" customHeight="1" x14ac:dyDescent="0.2">
      <c r="E5462" s="7"/>
      <c r="F5462" s="7"/>
    </row>
    <row r="5463" spans="5:6" ht="15" customHeight="1" x14ac:dyDescent="0.2">
      <c r="E5463" s="7"/>
      <c r="F5463" s="7"/>
    </row>
    <row r="5464" spans="5:6" ht="15" customHeight="1" x14ac:dyDescent="0.2">
      <c r="E5464" s="7"/>
      <c r="F5464" s="7"/>
    </row>
    <row r="5465" spans="5:6" ht="15" customHeight="1" x14ac:dyDescent="0.2">
      <c r="E5465" s="7"/>
      <c r="F5465" s="7"/>
    </row>
    <row r="5466" spans="5:6" ht="15" customHeight="1" x14ac:dyDescent="0.2">
      <c r="E5466" s="7"/>
      <c r="F5466" s="7"/>
    </row>
    <row r="5467" spans="5:6" ht="15" customHeight="1" x14ac:dyDescent="0.2">
      <c r="E5467" s="7"/>
      <c r="F5467" s="7"/>
    </row>
    <row r="5468" spans="5:6" ht="15" customHeight="1" x14ac:dyDescent="0.2">
      <c r="E5468" s="7"/>
      <c r="F5468" s="7"/>
    </row>
    <row r="5469" spans="5:6" ht="15" customHeight="1" x14ac:dyDescent="0.2">
      <c r="E5469" s="7"/>
      <c r="F5469" s="7"/>
    </row>
    <row r="5470" spans="5:6" ht="15" customHeight="1" x14ac:dyDescent="0.2">
      <c r="E5470" s="7"/>
      <c r="F5470" s="7"/>
    </row>
    <row r="5471" spans="5:6" ht="15" customHeight="1" x14ac:dyDescent="0.2">
      <c r="E5471" s="7"/>
      <c r="F5471" s="7"/>
    </row>
    <row r="5472" spans="5:6" ht="15" customHeight="1" x14ac:dyDescent="0.2">
      <c r="E5472" s="7"/>
      <c r="F5472" s="7"/>
    </row>
    <row r="5473" spans="5:6" ht="15" customHeight="1" x14ac:dyDescent="0.2">
      <c r="E5473" s="7"/>
      <c r="F5473" s="7"/>
    </row>
    <row r="5474" spans="5:6" ht="15" customHeight="1" x14ac:dyDescent="0.2">
      <c r="E5474" s="7"/>
      <c r="F5474" s="7"/>
    </row>
    <row r="5475" spans="5:6" ht="15" customHeight="1" x14ac:dyDescent="0.2">
      <c r="E5475" s="7"/>
      <c r="F5475" s="7"/>
    </row>
    <row r="5476" spans="5:6" ht="15" customHeight="1" x14ac:dyDescent="0.2">
      <c r="E5476" s="7"/>
      <c r="F5476" s="7"/>
    </row>
    <row r="5477" spans="5:6" ht="15" customHeight="1" x14ac:dyDescent="0.2">
      <c r="E5477" s="7"/>
      <c r="F5477" s="7"/>
    </row>
    <row r="5478" spans="5:6" ht="15" customHeight="1" x14ac:dyDescent="0.2">
      <c r="E5478" s="7"/>
      <c r="F5478" s="7"/>
    </row>
    <row r="5479" spans="5:6" ht="15" customHeight="1" x14ac:dyDescent="0.2">
      <c r="E5479" s="7"/>
      <c r="F5479" s="7"/>
    </row>
    <row r="5480" spans="5:6" ht="15" customHeight="1" x14ac:dyDescent="0.2">
      <c r="E5480" s="7"/>
      <c r="F5480" s="7"/>
    </row>
    <row r="5481" spans="5:6" ht="15" customHeight="1" x14ac:dyDescent="0.2">
      <c r="E5481" s="7"/>
      <c r="F5481" s="7"/>
    </row>
    <row r="5482" spans="5:6" ht="15" customHeight="1" x14ac:dyDescent="0.2">
      <c r="E5482" s="7"/>
      <c r="F5482" s="7"/>
    </row>
    <row r="5483" spans="5:6" ht="15" customHeight="1" x14ac:dyDescent="0.2">
      <c r="E5483" s="7"/>
      <c r="F5483" s="7"/>
    </row>
    <row r="5484" spans="5:6" ht="15" customHeight="1" x14ac:dyDescent="0.2">
      <c r="E5484" s="7"/>
      <c r="F5484" s="7"/>
    </row>
    <row r="5485" spans="5:6" ht="15" customHeight="1" x14ac:dyDescent="0.2">
      <c r="E5485" s="7"/>
      <c r="F5485" s="7"/>
    </row>
    <row r="5486" spans="5:6" ht="15" customHeight="1" x14ac:dyDescent="0.2">
      <c r="E5486" s="7"/>
      <c r="F5486" s="7"/>
    </row>
    <row r="5487" spans="5:6" ht="15" customHeight="1" x14ac:dyDescent="0.2">
      <c r="E5487" s="7"/>
      <c r="F5487" s="7"/>
    </row>
    <row r="5488" spans="5:6" ht="15" customHeight="1" x14ac:dyDescent="0.2">
      <c r="E5488" s="7"/>
      <c r="F5488" s="7"/>
    </row>
    <row r="5489" spans="5:6" ht="15" customHeight="1" x14ac:dyDescent="0.2">
      <c r="E5489" s="7"/>
      <c r="F5489" s="7"/>
    </row>
    <row r="5490" spans="5:6" ht="15" customHeight="1" x14ac:dyDescent="0.2">
      <c r="E5490" s="7"/>
      <c r="F5490" s="7"/>
    </row>
    <row r="5491" spans="5:6" ht="15" customHeight="1" x14ac:dyDescent="0.2">
      <c r="E5491" s="7"/>
      <c r="F5491" s="7"/>
    </row>
    <row r="5492" spans="5:6" ht="15" customHeight="1" x14ac:dyDescent="0.2">
      <c r="E5492" s="7"/>
      <c r="F5492" s="7"/>
    </row>
    <row r="5493" spans="5:6" ht="15" customHeight="1" x14ac:dyDescent="0.2">
      <c r="E5493" s="7"/>
      <c r="F5493" s="7"/>
    </row>
    <row r="5494" spans="5:6" ht="15" customHeight="1" x14ac:dyDescent="0.2">
      <c r="E5494" s="7"/>
      <c r="F5494" s="7"/>
    </row>
    <row r="5495" spans="5:6" ht="15" customHeight="1" x14ac:dyDescent="0.2">
      <c r="E5495" s="7"/>
      <c r="F5495" s="7"/>
    </row>
    <row r="5496" spans="5:6" ht="15" customHeight="1" x14ac:dyDescent="0.2">
      <c r="E5496" s="7"/>
      <c r="F5496" s="7"/>
    </row>
    <row r="5497" spans="5:6" ht="15" customHeight="1" x14ac:dyDescent="0.2">
      <c r="E5497" s="7"/>
      <c r="F5497" s="7"/>
    </row>
    <row r="5498" spans="5:6" ht="15" customHeight="1" x14ac:dyDescent="0.2">
      <c r="E5498" s="7"/>
      <c r="F5498" s="7"/>
    </row>
    <row r="5499" spans="5:6" ht="15" customHeight="1" x14ac:dyDescent="0.2">
      <c r="E5499" s="7"/>
      <c r="F5499" s="7"/>
    </row>
    <row r="5500" spans="5:6" ht="15" customHeight="1" x14ac:dyDescent="0.2">
      <c r="E5500" s="7"/>
      <c r="F5500" s="7"/>
    </row>
    <row r="5501" spans="5:6" ht="15" customHeight="1" x14ac:dyDescent="0.2">
      <c r="E5501" s="7"/>
      <c r="F5501" s="7"/>
    </row>
    <row r="5502" spans="5:6" ht="15" customHeight="1" x14ac:dyDescent="0.2">
      <c r="E5502" s="7"/>
      <c r="F5502" s="7"/>
    </row>
    <row r="5503" spans="5:6" ht="15" customHeight="1" x14ac:dyDescent="0.2">
      <c r="E5503" s="7"/>
      <c r="F5503" s="7"/>
    </row>
    <row r="5504" spans="5:6" ht="15" customHeight="1" x14ac:dyDescent="0.2">
      <c r="E5504" s="7"/>
      <c r="F5504" s="7"/>
    </row>
    <row r="5505" spans="5:6" ht="15" customHeight="1" x14ac:dyDescent="0.2">
      <c r="E5505" s="7"/>
      <c r="F5505" s="7"/>
    </row>
    <row r="5506" spans="5:6" ht="15" customHeight="1" x14ac:dyDescent="0.2">
      <c r="E5506" s="7"/>
      <c r="F5506" s="7"/>
    </row>
    <row r="5507" spans="5:6" ht="15" customHeight="1" x14ac:dyDescent="0.2">
      <c r="E5507" s="7"/>
      <c r="F5507" s="7"/>
    </row>
    <row r="5508" spans="5:6" ht="15" customHeight="1" x14ac:dyDescent="0.2">
      <c r="E5508" s="7"/>
      <c r="F5508" s="7"/>
    </row>
    <row r="5509" spans="5:6" ht="15" customHeight="1" x14ac:dyDescent="0.2">
      <c r="E5509" s="7"/>
      <c r="F5509" s="7"/>
    </row>
    <row r="5510" spans="5:6" ht="15" customHeight="1" x14ac:dyDescent="0.2">
      <c r="E5510" s="7"/>
      <c r="F5510" s="7"/>
    </row>
    <row r="5511" spans="5:6" ht="15" customHeight="1" x14ac:dyDescent="0.2">
      <c r="E5511" s="7"/>
      <c r="F5511" s="7"/>
    </row>
    <row r="5512" spans="5:6" ht="15" customHeight="1" x14ac:dyDescent="0.2">
      <c r="E5512" s="7"/>
      <c r="F5512" s="7"/>
    </row>
    <row r="5513" spans="5:6" ht="15" customHeight="1" x14ac:dyDescent="0.2">
      <c r="E5513" s="7"/>
      <c r="F5513" s="7"/>
    </row>
    <row r="5514" spans="5:6" ht="15" customHeight="1" x14ac:dyDescent="0.2">
      <c r="E5514" s="7"/>
      <c r="F5514" s="7"/>
    </row>
    <row r="5515" spans="5:6" ht="15" customHeight="1" x14ac:dyDescent="0.2">
      <c r="E5515" s="7"/>
      <c r="F5515" s="7"/>
    </row>
    <row r="5516" spans="5:6" ht="15" customHeight="1" x14ac:dyDescent="0.2">
      <c r="E5516" s="7"/>
      <c r="F5516" s="7"/>
    </row>
    <row r="5517" spans="5:6" ht="15" customHeight="1" x14ac:dyDescent="0.2">
      <c r="E5517" s="7"/>
      <c r="F5517" s="7"/>
    </row>
    <row r="5518" spans="5:6" ht="15" customHeight="1" x14ac:dyDescent="0.2">
      <c r="E5518" s="7"/>
      <c r="F5518" s="7"/>
    </row>
    <row r="5519" spans="5:6" ht="15" customHeight="1" x14ac:dyDescent="0.2">
      <c r="E5519" s="7"/>
      <c r="F5519" s="7"/>
    </row>
    <row r="5520" spans="5:6" ht="15" customHeight="1" x14ac:dyDescent="0.2">
      <c r="E5520" s="7"/>
      <c r="F5520" s="7"/>
    </row>
    <row r="5521" spans="5:6" ht="15" customHeight="1" x14ac:dyDescent="0.2">
      <c r="E5521" s="7"/>
      <c r="F5521" s="7"/>
    </row>
    <row r="5522" spans="5:6" ht="15" customHeight="1" x14ac:dyDescent="0.2">
      <c r="E5522" s="7"/>
      <c r="F5522" s="7"/>
    </row>
    <row r="5523" spans="5:6" ht="15" customHeight="1" x14ac:dyDescent="0.2">
      <c r="E5523" s="7"/>
      <c r="F5523" s="7"/>
    </row>
    <row r="5524" spans="5:6" ht="15" customHeight="1" x14ac:dyDescent="0.2">
      <c r="E5524" s="7"/>
      <c r="F5524" s="7"/>
    </row>
    <row r="5525" spans="5:6" ht="15" customHeight="1" x14ac:dyDescent="0.2">
      <c r="E5525" s="7"/>
      <c r="F5525" s="7"/>
    </row>
    <row r="5526" spans="5:6" ht="15" customHeight="1" x14ac:dyDescent="0.2">
      <c r="E5526" s="7"/>
      <c r="F5526" s="7"/>
    </row>
    <row r="5527" spans="5:6" ht="15" customHeight="1" x14ac:dyDescent="0.2">
      <c r="E5527" s="7"/>
      <c r="F5527" s="7"/>
    </row>
    <row r="5528" spans="5:6" ht="15" customHeight="1" x14ac:dyDescent="0.2">
      <c r="E5528" s="7"/>
      <c r="F5528" s="7"/>
    </row>
    <row r="5529" spans="5:6" ht="15" customHeight="1" x14ac:dyDescent="0.2">
      <c r="E5529" s="7"/>
      <c r="F5529" s="7"/>
    </row>
    <row r="5530" spans="5:6" ht="15" customHeight="1" x14ac:dyDescent="0.2">
      <c r="E5530" s="7"/>
      <c r="F5530" s="7"/>
    </row>
    <row r="5531" spans="5:6" ht="15" customHeight="1" x14ac:dyDescent="0.2">
      <c r="E5531" s="7"/>
      <c r="F5531" s="7"/>
    </row>
    <row r="5532" spans="5:6" ht="15" customHeight="1" x14ac:dyDescent="0.2">
      <c r="E5532" s="7"/>
      <c r="F5532" s="7"/>
    </row>
    <row r="5533" spans="5:6" ht="15" customHeight="1" x14ac:dyDescent="0.2">
      <c r="E5533" s="7"/>
      <c r="F5533" s="7"/>
    </row>
    <row r="5534" spans="5:6" ht="15" customHeight="1" x14ac:dyDescent="0.2">
      <c r="E5534" s="7"/>
      <c r="F5534" s="7"/>
    </row>
    <row r="5535" spans="5:6" ht="15" customHeight="1" x14ac:dyDescent="0.2">
      <c r="E5535" s="7"/>
      <c r="F5535" s="7"/>
    </row>
    <row r="5536" spans="5:6" ht="15" customHeight="1" x14ac:dyDescent="0.2">
      <c r="E5536" s="7"/>
      <c r="F5536" s="7"/>
    </row>
    <row r="5537" spans="5:6" ht="15" customHeight="1" x14ac:dyDescent="0.2">
      <c r="E5537" s="7"/>
      <c r="F5537" s="7"/>
    </row>
    <row r="5538" spans="5:6" ht="15" customHeight="1" x14ac:dyDescent="0.2">
      <c r="E5538" s="7"/>
      <c r="F5538" s="7"/>
    </row>
    <row r="5539" spans="5:6" ht="15" customHeight="1" x14ac:dyDescent="0.2">
      <c r="E5539" s="7"/>
      <c r="F5539" s="7"/>
    </row>
    <row r="5540" spans="5:6" ht="15" customHeight="1" x14ac:dyDescent="0.2">
      <c r="E5540" s="7"/>
      <c r="F5540" s="7"/>
    </row>
    <row r="5541" spans="5:6" ht="15" customHeight="1" x14ac:dyDescent="0.2">
      <c r="E5541" s="7"/>
      <c r="F5541" s="7"/>
    </row>
    <row r="5542" spans="5:6" ht="15" customHeight="1" x14ac:dyDescent="0.2">
      <c r="E5542" s="7"/>
      <c r="F5542" s="7"/>
    </row>
    <row r="5543" spans="5:6" ht="15" customHeight="1" x14ac:dyDescent="0.2">
      <c r="E5543" s="7"/>
      <c r="F5543" s="7"/>
    </row>
    <row r="5544" spans="5:6" ht="15" customHeight="1" x14ac:dyDescent="0.2">
      <c r="E5544" s="7"/>
      <c r="F5544" s="7"/>
    </row>
    <row r="5545" spans="5:6" ht="15" customHeight="1" x14ac:dyDescent="0.2">
      <c r="E5545" s="7"/>
      <c r="F5545" s="7"/>
    </row>
    <row r="5546" spans="5:6" ht="15" customHeight="1" x14ac:dyDescent="0.2">
      <c r="E5546" s="7"/>
      <c r="F5546" s="7"/>
    </row>
    <row r="5547" spans="5:6" ht="15" customHeight="1" x14ac:dyDescent="0.2">
      <c r="E5547" s="7"/>
      <c r="F5547" s="7"/>
    </row>
    <row r="5548" spans="5:6" ht="15" customHeight="1" x14ac:dyDescent="0.2">
      <c r="E5548" s="7"/>
      <c r="F5548" s="7"/>
    </row>
    <row r="5549" spans="5:6" ht="15" customHeight="1" x14ac:dyDescent="0.2">
      <c r="E5549" s="7"/>
      <c r="F5549" s="7"/>
    </row>
    <row r="5550" spans="5:6" ht="15" customHeight="1" x14ac:dyDescent="0.2">
      <c r="E5550" s="7"/>
      <c r="F5550" s="7"/>
    </row>
    <row r="5551" spans="5:6" ht="15" customHeight="1" x14ac:dyDescent="0.2">
      <c r="E5551" s="7"/>
      <c r="F5551" s="7"/>
    </row>
    <row r="5552" spans="5:6" ht="15" customHeight="1" x14ac:dyDescent="0.2">
      <c r="E5552" s="7"/>
      <c r="F5552" s="7"/>
    </row>
    <row r="5553" spans="5:6" ht="15" customHeight="1" x14ac:dyDescent="0.2">
      <c r="E5553" s="7"/>
      <c r="F5553" s="7"/>
    </row>
    <row r="5554" spans="5:6" ht="15" customHeight="1" x14ac:dyDescent="0.2">
      <c r="E5554" s="7"/>
      <c r="F5554" s="7"/>
    </row>
    <row r="5555" spans="5:6" ht="15" customHeight="1" x14ac:dyDescent="0.2">
      <c r="E5555" s="7"/>
      <c r="F5555" s="7"/>
    </row>
    <row r="5556" spans="5:6" ht="15" customHeight="1" x14ac:dyDescent="0.2">
      <c r="E5556" s="7"/>
      <c r="F5556" s="7"/>
    </row>
    <row r="5557" spans="5:6" ht="15" customHeight="1" x14ac:dyDescent="0.2">
      <c r="E5557" s="7"/>
      <c r="F5557" s="7"/>
    </row>
    <row r="5558" spans="5:6" ht="15" customHeight="1" x14ac:dyDescent="0.2">
      <c r="E5558" s="7"/>
      <c r="F5558" s="7"/>
    </row>
    <row r="5559" spans="5:6" ht="15" customHeight="1" x14ac:dyDescent="0.2">
      <c r="E5559" s="7"/>
      <c r="F5559" s="7"/>
    </row>
    <row r="5560" spans="5:6" ht="15" customHeight="1" x14ac:dyDescent="0.2">
      <c r="E5560" s="7"/>
      <c r="F5560" s="7"/>
    </row>
    <row r="5561" spans="5:6" ht="15" customHeight="1" x14ac:dyDescent="0.2">
      <c r="E5561" s="7"/>
      <c r="F5561" s="7"/>
    </row>
    <row r="5562" spans="5:6" ht="15" customHeight="1" x14ac:dyDescent="0.2">
      <c r="E5562" s="7"/>
      <c r="F5562" s="7"/>
    </row>
    <row r="5563" spans="5:6" ht="15" customHeight="1" x14ac:dyDescent="0.2">
      <c r="E5563" s="7"/>
      <c r="F5563" s="7"/>
    </row>
    <row r="5564" spans="5:6" ht="15" customHeight="1" x14ac:dyDescent="0.2">
      <c r="E5564" s="7"/>
      <c r="F5564" s="7"/>
    </row>
    <row r="5565" spans="5:6" ht="15" customHeight="1" x14ac:dyDescent="0.2">
      <c r="E5565" s="7"/>
      <c r="F5565" s="7"/>
    </row>
    <row r="5566" spans="5:6" ht="15" customHeight="1" x14ac:dyDescent="0.2">
      <c r="E5566" s="7"/>
      <c r="F5566" s="7"/>
    </row>
    <row r="5567" spans="5:6" ht="15" customHeight="1" x14ac:dyDescent="0.2">
      <c r="E5567" s="7"/>
      <c r="F5567" s="7"/>
    </row>
    <row r="5568" spans="5:6" ht="15" customHeight="1" x14ac:dyDescent="0.2">
      <c r="E5568" s="7"/>
      <c r="F5568" s="7"/>
    </row>
    <row r="5569" spans="5:6" ht="15" customHeight="1" x14ac:dyDescent="0.2">
      <c r="E5569" s="7"/>
      <c r="F5569" s="7"/>
    </row>
    <row r="5570" spans="5:6" ht="15" customHeight="1" x14ac:dyDescent="0.2">
      <c r="E5570" s="7"/>
      <c r="F5570" s="7"/>
    </row>
    <row r="5571" spans="5:6" ht="15" customHeight="1" x14ac:dyDescent="0.2">
      <c r="E5571" s="7"/>
      <c r="F5571" s="7"/>
    </row>
    <row r="5572" spans="5:6" ht="15" customHeight="1" x14ac:dyDescent="0.2">
      <c r="E5572" s="7"/>
      <c r="F5572" s="7"/>
    </row>
    <row r="5573" spans="5:6" ht="15" customHeight="1" x14ac:dyDescent="0.2">
      <c r="E5573" s="7"/>
      <c r="F5573" s="7"/>
    </row>
    <row r="5574" spans="5:6" ht="15" customHeight="1" x14ac:dyDescent="0.2">
      <c r="E5574" s="7"/>
      <c r="F5574" s="7"/>
    </row>
    <row r="5575" spans="5:6" ht="15" customHeight="1" x14ac:dyDescent="0.2">
      <c r="E5575" s="7"/>
      <c r="F5575" s="7"/>
    </row>
    <row r="5576" spans="5:6" ht="15" customHeight="1" x14ac:dyDescent="0.2">
      <c r="E5576" s="7"/>
      <c r="F5576" s="7"/>
    </row>
    <row r="5577" spans="5:6" ht="15" customHeight="1" x14ac:dyDescent="0.2">
      <c r="E5577" s="7"/>
      <c r="F5577" s="7"/>
    </row>
    <row r="5578" spans="5:6" ht="15" customHeight="1" x14ac:dyDescent="0.2">
      <c r="E5578" s="7"/>
      <c r="F5578" s="7"/>
    </row>
    <row r="5579" spans="5:6" ht="15" customHeight="1" x14ac:dyDescent="0.2">
      <c r="E5579" s="7"/>
      <c r="F5579" s="7"/>
    </row>
    <row r="5580" spans="5:6" ht="15" customHeight="1" x14ac:dyDescent="0.2">
      <c r="E5580" s="7"/>
      <c r="F5580" s="7"/>
    </row>
    <row r="5581" spans="5:6" ht="15" customHeight="1" x14ac:dyDescent="0.2">
      <c r="E5581" s="7"/>
      <c r="F5581" s="7"/>
    </row>
    <row r="5582" spans="5:6" ht="15" customHeight="1" x14ac:dyDescent="0.2">
      <c r="E5582" s="7"/>
      <c r="F5582" s="7"/>
    </row>
    <row r="5583" spans="5:6" ht="15" customHeight="1" x14ac:dyDescent="0.2">
      <c r="E5583" s="7"/>
      <c r="F5583" s="7"/>
    </row>
    <row r="5584" spans="5:6" ht="15" customHeight="1" x14ac:dyDescent="0.2">
      <c r="E5584" s="7"/>
      <c r="F5584" s="7"/>
    </row>
    <row r="5585" spans="5:6" ht="15" customHeight="1" x14ac:dyDescent="0.2">
      <c r="E5585" s="7"/>
      <c r="F5585" s="7"/>
    </row>
    <row r="5586" spans="5:6" ht="15" customHeight="1" x14ac:dyDescent="0.2">
      <c r="E5586" s="7"/>
      <c r="F5586" s="7"/>
    </row>
    <row r="5587" spans="5:6" ht="15" customHeight="1" x14ac:dyDescent="0.2">
      <c r="E5587" s="7"/>
      <c r="F5587" s="7"/>
    </row>
    <row r="5588" spans="5:6" ht="15" customHeight="1" x14ac:dyDescent="0.2">
      <c r="E5588" s="7"/>
      <c r="F5588" s="7"/>
    </row>
    <row r="5589" spans="5:6" ht="15" customHeight="1" x14ac:dyDescent="0.2">
      <c r="E5589" s="7"/>
      <c r="F5589" s="7"/>
    </row>
    <row r="5590" spans="5:6" ht="15" customHeight="1" x14ac:dyDescent="0.2">
      <c r="E5590" s="7"/>
      <c r="F5590" s="7"/>
    </row>
    <row r="5591" spans="5:6" ht="15" customHeight="1" x14ac:dyDescent="0.2">
      <c r="E5591" s="7"/>
      <c r="F5591" s="7"/>
    </row>
    <row r="5592" spans="5:6" ht="15" customHeight="1" x14ac:dyDescent="0.2">
      <c r="E5592" s="7"/>
      <c r="F5592" s="7"/>
    </row>
    <row r="5593" spans="5:6" ht="15" customHeight="1" x14ac:dyDescent="0.2">
      <c r="E5593" s="7"/>
      <c r="F5593" s="7"/>
    </row>
    <row r="5594" spans="5:6" ht="15" customHeight="1" x14ac:dyDescent="0.2">
      <c r="E5594" s="7"/>
      <c r="F5594" s="7"/>
    </row>
    <row r="5595" spans="5:6" ht="15" customHeight="1" x14ac:dyDescent="0.2">
      <c r="E5595" s="7"/>
      <c r="F5595" s="7"/>
    </row>
    <row r="5596" spans="5:6" ht="15" customHeight="1" x14ac:dyDescent="0.2">
      <c r="E5596" s="7"/>
      <c r="F5596" s="7"/>
    </row>
    <row r="5597" spans="5:6" ht="15" customHeight="1" x14ac:dyDescent="0.2">
      <c r="E5597" s="7"/>
      <c r="F5597" s="7"/>
    </row>
    <row r="5598" spans="5:6" ht="15" customHeight="1" x14ac:dyDescent="0.2">
      <c r="E5598" s="7"/>
      <c r="F5598" s="7"/>
    </row>
    <row r="5599" spans="5:6" ht="15" customHeight="1" x14ac:dyDescent="0.2">
      <c r="E5599" s="7"/>
      <c r="F5599" s="7"/>
    </row>
    <row r="5600" spans="5:6" ht="15" customHeight="1" x14ac:dyDescent="0.2">
      <c r="E5600" s="7"/>
      <c r="F5600" s="7"/>
    </row>
    <row r="5601" spans="5:6" ht="15" customHeight="1" x14ac:dyDescent="0.2">
      <c r="E5601" s="7"/>
      <c r="F5601" s="7"/>
    </row>
    <row r="5602" spans="5:6" ht="15" customHeight="1" x14ac:dyDescent="0.2">
      <c r="E5602" s="7"/>
      <c r="F5602" s="7"/>
    </row>
    <row r="5603" spans="5:6" ht="15" customHeight="1" x14ac:dyDescent="0.2">
      <c r="E5603" s="7"/>
      <c r="F5603" s="7"/>
    </row>
    <row r="5604" spans="5:6" ht="15" customHeight="1" x14ac:dyDescent="0.2">
      <c r="E5604" s="7"/>
      <c r="F5604" s="7"/>
    </row>
    <row r="5605" spans="5:6" ht="15" customHeight="1" x14ac:dyDescent="0.2">
      <c r="E5605" s="7"/>
      <c r="F5605" s="7"/>
    </row>
    <row r="5606" spans="5:6" ht="15" customHeight="1" x14ac:dyDescent="0.2">
      <c r="E5606" s="7"/>
      <c r="F5606" s="7"/>
    </row>
    <row r="5607" spans="5:6" ht="15" customHeight="1" x14ac:dyDescent="0.2">
      <c r="E5607" s="7"/>
      <c r="F5607" s="7"/>
    </row>
    <row r="5608" spans="5:6" ht="15" customHeight="1" x14ac:dyDescent="0.2">
      <c r="E5608" s="7"/>
      <c r="F5608" s="7"/>
    </row>
    <row r="5609" spans="5:6" ht="15" customHeight="1" x14ac:dyDescent="0.2">
      <c r="E5609" s="7"/>
      <c r="F5609" s="7"/>
    </row>
    <row r="5610" spans="5:6" ht="15" customHeight="1" x14ac:dyDescent="0.2">
      <c r="E5610" s="7"/>
      <c r="F5610" s="7"/>
    </row>
    <row r="5611" spans="5:6" ht="15" customHeight="1" x14ac:dyDescent="0.2">
      <c r="E5611" s="7"/>
      <c r="F5611" s="7"/>
    </row>
    <row r="5612" spans="5:6" ht="15" customHeight="1" x14ac:dyDescent="0.2">
      <c r="E5612" s="7"/>
      <c r="F5612" s="7"/>
    </row>
    <row r="5613" spans="5:6" ht="15" customHeight="1" x14ac:dyDescent="0.2">
      <c r="E5613" s="7"/>
      <c r="F5613" s="7"/>
    </row>
    <row r="5614" spans="5:6" ht="15" customHeight="1" x14ac:dyDescent="0.2">
      <c r="E5614" s="7"/>
      <c r="F5614" s="7"/>
    </row>
    <row r="5615" spans="5:6" ht="15" customHeight="1" x14ac:dyDescent="0.2">
      <c r="E5615" s="7"/>
      <c r="F5615" s="7"/>
    </row>
    <row r="5616" spans="5:6" ht="15" customHeight="1" x14ac:dyDescent="0.2">
      <c r="E5616" s="7"/>
      <c r="F5616" s="7"/>
    </row>
    <row r="5617" spans="5:6" ht="15" customHeight="1" x14ac:dyDescent="0.2">
      <c r="E5617" s="7"/>
      <c r="F5617" s="7"/>
    </row>
    <row r="5618" spans="5:6" ht="15" customHeight="1" x14ac:dyDescent="0.2">
      <c r="E5618" s="7"/>
      <c r="F5618" s="7"/>
    </row>
    <row r="5619" spans="5:6" ht="15" customHeight="1" x14ac:dyDescent="0.2">
      <c r="E5619" s="7"/>
      <c r="F5619" s="7"/>
    </row>
    <row r="5620" spans="5:6" ht="15" customHeight="1" x14ac:dyDescent="0.2">
      <c r="E5620" s="7"/>
      <c r="F5620" s="7"/>
    </row>
    <row r="5621" spans="5:6" ht="15" customHeight="1" x14ac:dyDescent="0.2">
      <c r="E5621" s="7"/>
      <c r="F5621" s="7"/>
    </row>
    <row r="5622" spans="5:6" ht="15" customHeight="1" x14ac:dyDescent="0.2">
      <c r="E5622" s="7"/>
      <c r="F5622" s="7"/>
    </row>
    <row r="5623" spans="5:6" ht="15" customHeight="1" x14ac:dyDescent="0.2">
      <c r="E5623" s="7"/>
      <c r="F5623" s="7"/>
    </row>
    <row r="5624" spans="5:6" ht="15" customHeight="1" x14ac:dyDescent="0.2">
      <c r="E5624" s="7"/>
      <c r="F5624" s="7"/>
    </row>
    <row r="5625" spans="5:6" ht="15" customHeight="1" x14ac:dyDescent="0.2">
      <c r="E5625" s="7"/>
      <c r="F5625" s="7"/>
    </row>
    <row r="5626" spans="5:6" ht="15" customHeight="1" x14ac:dyDescent="0.2">
      <c r="E5626" s="7"/>
      <c r="F5626" s="7"/>
    </row>
    <row r="5627" spans="5:6" ht="15" customHeight="1" x14ac:dyDescent="0.2">
      <c r="E5627" s="7"/>
      <c r="F5627" s="7"/>
    </row>
    <row r="5628" spans="5:6" ht="15" customHeight="1" x14ac:dyDescent="0.2">
      <c r="E5628" s="7"/>
      <c r="F5628" s="7"/>
    </row>
    <row r="5629" spans="5:6" ht="15" customHeight="1" x14ac:dyDescent="0.2">
      <c r="E5629" s="7"/>
      <c r="F5629" s="7"/>
    </row>
    <row r="5630" spans="5:6" ht="15" customHeight="1" x14ac:dyDescent="0.2">
      <c r="E5630" s="7"/>
      <c r="F5630" s="7"/>
    </row>
    <row r="5631" spans="5:6" ht="15" customHeight="1" x14ac:dyDescent="0.2">
      <c r="E5631" s="7"/>
      <c r="F5631" s="7"/>
    </row>
    <row r="5632" spans="5:6" ht="15" customHeight="1" x14ac:dyDescent="0.2">
      <c r="E5632" s="7"/>
      <c r="F5632" s="7"/>
    </row>
    <row r="5633" spans="5:6" ht="15" customHeight="1" x14ac:dyDescent="0.2">
      <c r="E5633" s="7"/>
      <c r="F5633" s="7"/>
    </row>
    <row r="5634" spans="5:6" ht="15" customHeight="1" x14ac:dyDescent="0.2">
      <c r="E5634" s="7"/>
      <c r="F5634" s="7"/>
    </row>
    <row r="5635" spans="5:6" ht="15" customHeight="1" x14ac:dyDescent="0.2">
      <c r="E5635" s="7"/>
      <c r="F5635" s="7"/>
    </row>
    <row r="5636" spans="5:6" ht="15" customHeight="1" x14ac:dyDescent="0.2">
      <c r="E5636" s="7"/>
      <c r="F5636" s="7"/>
    </row>
    <row r="5637" spans="5:6" ht="15" customHeight="1" x14ac:dyDescent="0.2">
      <c r="E5637" s="7"/>
      <c r="F5637" s="7"/>
    </row>
    <row r="5638" spans="5:6" ht="15" customHeight="1" x14ac:dyDescent="0.2">
      <c r="E5638" s="7"/>
      <c r="F5638" s="7"/>
    </row>
    <row r="5639" spans="5:6" ht="15" customHeight="1" x14ac:dyDescent="0.2">
      <c r="E5639" s="7"/>
      <c r="F5639" s="7"/>
    </row>
    <row r="5640" spans="5:6" ht="15" customHeight="1" x14ac:dyDescent="0.2">
      <c r="E5640" s="7"/>
      <c r="F5640" s="7"/>
    </row>
    <row r="5641" spans="5:6" ht="15" customHeight="1" x14ac:dyDescent="0.2">
      <c r="E5641" s="7"/>
      <c r="F5641" s="7"/>
    </row>
    <row r="5642" spans="5:6" ht="15" customHeight="1" x14ac:dyDescent="0.2">
      <c r="E5642" s="7"/>
      <c r="F5642" s="7"/>
    </row>
    <row r="5643" spans="5:6" ht="15" customHeight="1" x14ac:dyDescent="0.2">
      <c r="E5643" s="7"/>
      <c r="F5643" s="7"/>
    </row>
    <row r="5644" spans="5:6" ht="15" customHeight="1" x14ac:dyDescent="0.2">
      <c r="E5644" s="7"/>
      <c r="F5644" s="7"/>
    </row>
    <row r="5645" spans="5:6" ht="15" customHeight="1" x14ac:dyDescent="0.2">
      <c r="E5645" s="7"/>
      <c r="F5645" s="7"/>
    </row>
    <row r="5646" spans="5:6" ht="15" customHeight="1" x14ac:dyDescent="0.2">
      <c r="E5646" s="7"/>
      <c r="F5646" s="7"/>
    </row>
    <row r="5647" spans="5:6" ht="15" customHeight="1" x14ac:dyDescent="0.2">
      <c r="E5647" s="7"/>
      <c r="F5647" s="7"/>
    </row>
    <row r="5648" spans="5:6" ht="15" customHeight="1" x14ac:dyDescent="0.2">
      <c r="E5648" s="7"/>
      <c r="F5648" s="7"/>
    </row>
    <row r="5649" spans="5:6" ht="15" customHeight="1" x14ac:dyDescent="0.2">
      <c r="E5649" s="7"/>
      <c r="F5649" s="7"/>
    </row>
    <row r="5650" spans="5:6" ht="15" customHeight="1" x14ac:dyDescent="0.2">
      <c r="E5650" s="7"/>
      <c r="F5650" s="7"/>
    </row>
    <row r="5651" spans="5:6" ht="15" customHeight="1" x14ac:dyDescent="0.2">
      <c r="E5651" s="7"/>
      <c r="F5651" s="7"/>
    </row>
    <row r="5652" spans="5:6" ht="15" customHeight="1" x14ac:dyDescent="0.2">
      <c r="E5652" s="7"/>
      <c r="F5652" s="7"/>
    </row>
    <row r="5653" spans="5:6" ht="15" customHeight="1" x14ac:dyDescent="0.2">
      <c r="E5653" s="7"/>
      <c r="F5653" s="7"/>
    </row>
    <row r="5654" spans="5:6" ht="15" customHeight="1" x14ac:dyDescent="0.2">
      <c r="E5654" s="7"/>
      <c r="F5654" s="7"/>
    </row>
    <row r="5655" spans="5:6" ht="15" customHeight="1" x14ac:dyDescent="0.2">
      <c r="E5655" s="7"/>
      <c r="F5655" s="7"/>
    </row>
    <row r="5656" spans="5:6" ht="15" customHeight="1" x14ac:dyDescent="0.2">
      <c r="E5656" s="7"/>
      <c r="F5656" s="7"/>
    </row>
    <row r="5657" spans="5:6" ht="15" customHeight="1" x14ac:dyDescent="0.2">
      <c r="E5657" s="7"/>
      <c r="F5657" s="7"/>
    </row>
    <row r="5658" spans="5:6" ht="15" customHeight="1" x14ac:dyDescent="0.2">
      <c r="E5658" s="7"/>
      <c r="F5658" s="7"/>
    </row>
    <row r="5659" spans="5:6" ht="15" customHeight="1" x14ac:dyDescent="0.2">
      <c r="E5659" s="7"/>
      <c r="F5659" s="7"/>
    </row>
    <row r="5660" spans="5:6" ht="15" customHeight="1" x14ac:dyDescent="0.2">
      <c r="E5660" s="7"/>
      <c r="F5660" s="7"/>
    </row>
    <row r="5661" spans="5:6" ht="15" customHeight="1" x14ac:dyDescent="0.2">
      <c r="E5661" s="7"/>
      <c r="F5661" s="7"/>
    </row>
    <row r="5662" spans="5:6" ht="15" customHeight="1" x14ac:dyDescent="0.2">
      <c r="E5662" s="7"/>
      <c r="F5662" s="7"/>
    </row>
    <row r="5663" spans="5:6" ht="15" customHeight="1" x14ac:dyDescent="0.2">
      <c r="E5663" s="7"/>
      <c r="F5663" s="7"/>
    </row>
    <row r="5664" spans="5:6" ht="15" customHeight="1" x14ac:dyDescent="0.2">
      <c r="E5664" s="7"/>
      <c r="F5664" s="7"/>
    </row>
    <row r="5665" spans="5:6" ht="15" customHeight="1" x14ac:dyDescent="0.2">
      <c r="E5665" s="7"/>
      <c r="F5665" s="7"/>
    </row>
    <row r="5666" spans="5:6" ht="15" customHeight="1" x14ac:dyDescent="0.2">
      <c r="E5666" s="7"/>
      <c r="F5666" s="7"/>
    </row>
    <row r="5667" spans="5:6" ht="15" customHeight="1" x14ac:dyDescent="0.2">
      <c r="E5667" s="7"/>
      <c r="F5667" s="7"/>
    </row>
    <row r="5668" spans="5:6" ht="15" customHeight="1" x14ac:dyDescent="0.2">
      <c r="E5668" s="7"/>
      <c r="F5668" s="7"/>
    </row>
    <row r="5669" spans="5:6" ht="15" customHeight="1" x14ac:dyDescent="0.2">
      <c r="E5669" s="7"/>
      <c r="F5669" s="7"/>
    </row>
    <row r="5670" spans="5:6" ht="15" customHeight="1" x14ac:dyDescent="0.2">
      <c r="E5670" s="7"/>
      <c r="F5670" s="7"/>
    </row>
    <row r="5671" spans="5:6" ht="15" customHeight="1" x14ac:dyDescent="0.2">
      <c r="E5671" s="7"/>
      <c r="F5671" s="7"/>
    </row>
    <row r="5672" spans="5:6" ht="15" customHeight="1" x14ac:dyDescent="0.2">
      <c r="E5672" s="7"/>
      <c r="F5672" s="7"/>
    </row>
    <row r="5673" spans="5:6" ht="15" customHeight="1" x14ac:dyDescent="0.2">
      <c r="E5673" s="7"/>
      <c r="F5673" s="7"/>
    </row>
    <row r="5674" spans="5:6" ht="15" customHeight="1" x14ac:dyDescent="0.2">
      <c r="E5674" s="7"/>
      <c r="F5674" s="7"/>
    </row>
    <row r="5675" spans="5:6" ht="15" customHeight="1" x14ac:dyDescent="0.2">
      <c r="E5675" s="7"/>
      <c r="F5675" s="7"/>
    </row>
    <row r="5676" spans="5:6" ht="15" customHeight="1" x14ac:dyDescent="0.2">
      <c r="E5676" s="7"/>
      <c r="F5676" s="7"/>
    </row>
    <row r="5677" spans="5:6" ht="15" customHeight="1" x14ac:dyDescent="0.2">
      <c r="E5677" s="7"/>
      <c r="F5677" s="7"/>
    </row>
    <row r="5678" spans="5:6" ht="15" customHeight="1" x14ac:dyDescent="0.2">
      <c r="E5678" s="7"/>
      <c r="F5678" s="7"/>
    </row>
    <row r="5679" spans="5:6" ht="15" customHeight="1" x14ac:dyDescent="0.2">
      <c r="E5679" s="7"/>
      <c r="F5679" s="7"/>
    </row>
    <row r="5680" spans="5:6" ht="15" customHeight="1" x14ac:dyDescent="0.2">
      <c r="E5680" s="7"/>
      <c r="F5680" s="7"/>
    </row>
    <row r="5681" spans="5:6" ht="15" customHeight="1" x14ac:dyDescent="0.2">
      <c r="E5681" s="7"/>
      <c r="F5681" s="7"/>
    </row>
    <row r="5682" spans="5:6" ht="15" customHeight="1" x14ac:dyDescent="0.2">
      <c r="E5682" s="7"/>
      <c r="F5682" s="7"/>
    </row>
    <row r="5683" spans="5:6" ht="15" customHeight="1" x14ac:dyDescent="0.2">
      <c r="E5683" s="7"/>
      <c r="F5683" s="7"/>
    </row>
    <row r="5684" spans="5:6" ht="15" customHeight="1" x14ac:dyDescent="0.2">
      <c r="E5684" s="7"/>
      <c r="F5684" s="7"/>
    </row>
    <row r="5685" spans="5:6" ht="15" customHeight="1" x14ac:dyDescent="0.2">
      <c r="E5685" s="7"/>
      <c r="F5685" s="7"/>
    </row>
    <row r="5686" spans="5:6" ht="15" customHeight="1" x14ac:dyDescent="0.2">
      <c r="E5686" s="7"/>
      <c r="F5686" s="7"/>
    </row>
    <row r="5687" spans="5:6" ht="15" customHeight="1" x14ac:dyDescent="0.2">
      <c r="E5687" s="7"/>
      <c r="F5687" s="7"/>
    </row>
    <row r="5688" spans="5:6" ht="15" customHeight="1" x14ac:dyDescent="0.2">
      <c r="E5688" s="7"/>
      <c r="F5688" s="7"/>
    </row>
    <row r="5689" spans="5:6" ht="15" customHeight="1" x14ac:dyDescent="0.2">
      <c r="E5689" s="7"/>
      <c r="F5689" s="7"/>
    </row>
    <row r="5690" spans="5:6" ht="15" customHeight="1" x14ac:dyDescent="0.2">
      <c r="E5690" s="7"/>
      <c r="F5690" s="7"/>
    </row>
    <row r="5691" spans="5:6" ht="15" customHeight="1" x14ac:dyDescent="0.2">
      <c r="E5691" s="7"/>
      <c r="F5691" s="7"/>
    </row>
    <row r="5692" spans="5:6" ht="15" customHeight="1" x14ac:dyDescent="0.2">
      <c r="E5692" s="7"/>
      <c r="F5692" s="7"/>
    </row>
    <row r="5693" spans="5:6" ht="15" customHeight="1" x14ac:dyDescent="0.2">
      <c r="E5693" s="7"/>
      <c r="F5693" s="7"/>
    </row>
    <row r="5694" spans="5:6" ht="15" customHeight="1" x14ac:dyDescent="0.2">
      <c r="E5694" s="7"/>
      <c r="F5694" s="7"/>
    </row>
    <row r="5695" spans="5:6" ht="15" customHeight="1" x14ac:dyDescent="0.2">
      <c r="E5695" s="7"/>
      <c r="F5695" s="7"/>
    </row>
    <row r="5696" spans="5:6" ht="15" customHeight="1" x14ac:dyDescent="0.2">
      <c r="E5696" s="7"/>
      <c r="F5696" s="7"/>
    </row>
    <row r="5697" spans="5:6" ht="15" customHeight="1" x14ac:dyDescent="0.2">
      <c r="E5697" s="7"/>
      <c r="F5697" s="7"/>
    </row>
    <row r="5698" spans="5:6" ht="15" customHeight="1" x14ac:dyDescent="0.2">
      <c r="E5698" s="7"/>
      <c r="F5698" s="7"/>
    </row>
    <row r="5699" spans="5:6" ht="15" customHeight="1" x14ac:dyDescent="0.2">
      <c r="E5699" s="7"/>
      <c r="F5699" s="7"/>
    </row>
    <row r="5700" spans="5:6" ht="15" customHeight="1" x14ac:dyDescent="0.2">
      <c r="E5700" s="7"/>
      <c r="F5700" s="7"/>
    </row>
    <row r="5701" spans="5:6" ht="15" customHeight="1" x14ac:dyDescent="0.2">
      <c r="E5701" s="7"/>
      <c r="F5701" s="7"/>
    </row>
    <row r="5702" spans="5:6" ht="15" customHeight="1" x14ac:dyDescent="0.2">
      <c r="E5702" s="7"/>
      <c r="F5702" s="7"/>
    </row>
    <row r="5703" spans="5:6" ht="15" customHeight="1" x14ac:dyDescent="0.2">
      <c r="E5703" s="7"/>
      <c r="F5703" s="7"/>
    </row>
    <row r="5704" spans="5:6" ht="15" customHeight="1" x14ac:dyDescent="0.2">
      <c r="E5704" s="7"/>
      <c r="F5704" s="7"/>
    </row>
    <row r="5705" spans="5:6" ht="15" customHeight="1" x14ac:dyDescent="0.2">
      <c r="E5705" s="7"/>
      <c r="F5705" s="7"/>
    </row>
    <row r="5706" spans="5:6" ht="15" customHeight="1" x14ac:dyDescent="0.2">
      <c r="E5706" s="7"/>
      <c r="F5706" s="7"/>
    </row>
    <row r="5707" spans="5:6" ht="15" customHeight="1" x14ac:dyDescent="0.2">
      <c r="E5707" s="7"/>
      <c r="F5707" s="7"/>
    </row>
    <row r="5708" spans="5:6" ht="15" customHeight="1" x14ac:dyDescent="0.2">
      <c r="E5708" s="7"/>
      <c r="F5708" s="7"/>
    </row>
    <row r="5709" spans="5:6" ht="15" customHeight="1" x14ac:dyDescent="0.2">
      <c r="E5709" s="7"/>
      <c r="F5709" s="7"/>
    </row>
    <row r="5710" spans="5:6" ht="15" customHeight="1" x14ac:dyDescent="0.2">
      <c r="E5710" s="7"/>
      <c r="F5710" s="7"/>
    </row>
    <row r="5711" spans="5:6" ht="15" customHeight="1" x14ac:dyDescent="0.2">
      <c r="E5711" s="7"/>
      <c r="F5711" s="7"/>
    </row>
    <row r="5712" spans="5:6" ht="15" customHeight="1" x14ac:dyDescent="0.2">
      <c r="E5712" s="7"/>
      <c r="F5712" s="7"/>
    </row>
    <row r="5713" spans="5:6" ht="15" customHeight="1" x14ac:dyDescent="0.2">
      <c r="E5713" s="7"/>
      <c r="F5713" s="7"/>
    </row>
    <row r="5714" spans="5:6" ht="15" customHeight="1" x14ac:dyDescent="0.2">
      <c r="E5714" s="7"/>
      <c r="F5714" s="7"/>
    </row>
    <row r="5715" spans="5:6" ht="15" customHeight="1" x14ac:dyDescent="0.2">
      <c r="E5715" s="7"/>
      <c r="F5715" s="7"/>
    </row>
    <row r="5716" spans="5:6" ht="15" customHeight="1" x14ac:dyDescent="0.2">
      <c r="E5716" s="7"/>
      <c r="F5716" s="7"/>
    </row>
    <row r="5717" spans="5:6" ht="15" customHeight="1" x14ac:dyDescent="0.2">
      <c r="E5717" s="7"/>
      <c r="F5717" s="7"/>
    </row>
    <row r="5718" spans="5:6" ht="15" customHeight="1" x14ac:dyDescent="0.2">
      <c r="E5718" s="7"/>
      <c r="F5718" s="7"/>
    </row>
    <row r="5719" spans="5:6" ht="15" customHeight="1" x14ac:dyDescent="0.2">
      <c r="E5719" s="7"/>
      <c r="F5719" s="7"/>
    </row>
    <row r="5720" spans="5:6" ht="15" customHeight="1" x14ac:dyDescent="0.2">
      <c r="E5720" s="7"/>
      <c r="F5720" s="7"/>
    </row>
    <row r="5721" spans="5:6" ht="15" customHeight="1" x14ac:dyDescent="0.2">
      <c r="E5721" s="7"/>
      <c r="F5721" s="7"/>
    </row>
    <row r="5722" spans="5:6" ht="15" customHeight="1" x14ac:dyDescent="0.2">
      <c r="E5722" s="7"/>
      <c r="F5722" s="7"/>
    </row>
    <row r="5723" spans="5:6" ht="15" customHeight="1" x14ac:dyDescent="0.2">
      <c r="E5723" s="7"/>
      <c r="F5723" s="7"/>
    </row>
    <row r="5724" spans="5:6" ht="15" customHeight="1" x14ac:dyDescent="0.2">
      <c r="E5724" s="7"/>
      <c r="F5724" s="7"/>
    </row>
    <row r="5725" spans="5:6" ht="15" customHeight="1" x14ac:dyDescent="0.2">
      <c r="E5725" s="7"/>
      <c r="F5725" s="7"/>
    </row>
    <row r="5726" spans="5:6" ht="15" customHeight="1" x14ac:dyDescent="0.2">
      <c r="E5726" s="7"/>
      <c r="F5726" s="7"/>
    </row>
    <row r="5727" spans="5:6" ht="15" customHeight="1" x14ac:dyDescent="0.2">
      <c r="E5727" s="7"/>
      <c r="F5727" s="7"/>
    </row>
    <row r="5728" spans="5:6" ht="15" customHeight="1" x14ac:dyDescent="0.2">
      <c r="E5728" s="7"/>
      <c r="F5728" s="7"/>
    </row>
    <row r="5729" spans="5:6" ht="15" customHeight="1" x14ac:dyDescent="0.2">
      <c r="E5729" s="7"/>
      <c r="F5729" s="7"/>
    </row>
    <row r="5730" spans="5:6" ht="15" customHeight="1" x14ac:dyDescent="0.2">
      <c r="E5730" s="7"/>
      <c r="F5730" s="7"/>
    </row>
    <row r="5731" spans="5:6" ht="15" customHeight="1" x14ac:dyDescent="0.2">
      <c r="E5731" s="7"/>
      <c r="F5731" s="7"/>
    </row>
    <row r="5732" spans="5:6" ht="15" customHeight="1" x14ac:dyDescent="0.2">
      <c r="E5732" s="7"/>
      <c r="F5732" s="7"/>
    </row>
    <row r="5733" spans="5:6" ht="15" customHeight="1" x14ac:dyDescent="0.2">
      <c r="E5733" s="7"/>
      <c r="F5733" s="7"/>
    </row>
    <row r="5734" spans="5:6" ht="15" customHeight="1" x14ac:dyDescent="0.2">
      <c r="E5734" s="7"/>
      <c r="F5734" s="7"/>
    </row>
    <row r="5735" spans="5:6" ht="15" customHeight="1" x14ac:dyDescent="0.2">
      <c r="E5735" s="7"/>
      <c r="F5735" s="7"/>
    </row>
    <row r="5736" spans="5:6" ht="15" customHeight="1" x14ac:dyDescent="0.2">
      <c r="E5736" s="7"/>
      <c r="F5736" s="7"/>
    </row>
    <row r="5737" spans="5:6" ht="15" customHeight="1" x14ac:dyDescent="0.2">
      <c r="E5737" s="7"/>
      <c r="F5737" s="7"/>
    </row>
    <row r="5738" spans="5:6" ht="15" customHeight="1" x14ac:dyDescent="0.2">
      <c r="E5738" s="7"/>
      <c r="F5738" s="7"/>
    </row>
    <row r="5739" spans="5:6" ht="15" customHeight="1" x14ac:dyDescent="0.2">
      <c r="E5739" s="7"/>
      <c r="F5739" s="7"/>
    </row>
    <row r="5740" spans="5:6" ht="15" customHeight="1" x14ac:dyDescent="0.2">
      <c r="E5740" s="7"/>
      <c r="F5740" s="7"/>
    </row>
    <row r="5741" spans="5:6" ht="15" customHeight="1" x14ac:dyDescent="0.2">
      <c r="E5741" s="7"/>
      <c r="F5741" s="7"/>
    </row>
    <row r="5742" spans="5:6" ht="15" customHeight="1" x14ac:dyDescent="0.2">
      <c r="E5742" s="7"/>
      <c r="F5742" s="7"/>
    </row>
    <row r="5743" spans="5:6" ht="15" customHeight="1" x14ac:dyDescent="0.2">
      <c r="E5743" s="7"/>
      <c r="F5743" s="7"/>
    </row>
    <row r="5744" spans="5:6" ht="15" customHeight="1" x14ac:dyDescent="0.2">
      <c r="E5744" s="7"/>
      <c r="F5744" s="7"/>
    </row>
    <row r="5745" spans="5:6" ht="15" customHeight="1" x14ac:dyDescent="0.2">
      <c r="E5745" s="7"/>
      <c r="F5745" s="7"/>
    </row>
    <row r="5746" spans="5:6" ht="15" customHeight="1" x14ac:dyDescent="0.2">
      <c r="E5746" s="7"/>
      <c r="F5746" s="7"/>
    </row>
    <row r="5747" spans="5:6" ht="15" customHeight="1" x14ac:dyDescent="0.2">
      <c r="E5747" s="7"/>
      <c r="F5747" s="7"/>
    </row>
    <row r="5748" spans="5:6" ht="15" customHeight="1" x14ac:dyDescent="0.2">
      <c r="E5748" s="7"/>
      <c r="F5748" s="7"/>
    </row>
    <row r="5749" spans="5:6" ht="15" customHeight="1" x14ac:dyDescent="0.2">
      <c r="E5749" s="7"/>
      <c r="F5749" s="7"/>
    </row>
    <row r="5750" spans="5:6" ht="15" customHeight="1" x14ac:dyDescent="0.2">
      <c r="E5750" s="7"/>
      <c r="F5750" s="7"/>
    </row>
    <row r="5751" spans="5:6" ht="15" customHeight="1" x14ac:dyDescent="0.2">
      <c r="E5751" s="7"/>
      <c r="F5751" s="7"/>
    </row>
    <row r="5752" spans="5:6" ht="15" customHeight="1" x14ac:dyDescent="0.2">
      <c r="E5752" s="7"/>
      <c r="F5752" s="7"/>
    </row>
    <row r="5753" spans="5:6" ht="15" customHeight="1" x14ac:dyDescent="0.2">
      <c r="E5753" s="7"/>
      <c r="F5753" s="7"/>
    </row>
    <row r="5754" spans="5:6" ht="15" customHeight="1" x14ac:dyDescent="0.2">
      <c r="E5754" s="7"/>
      <c r="F5754" s="7"/>
    </row>
    <row r="5755" spans="5:6" ht="15" customHeight="1" x14ac:dyDescent="0.2">
      <c r="E5755" s="7"/>
      <c r="F5755" s="7"/>
    </row>
    <row r="5756" spans="5:6" ht="15" customHeight="1" x14ac:dyDescent="0.2">
      <c r="E5756" s="7"/>
      <c r="F5756" s="7"/>
    </row>
    <row r="5757" spans="5:6" ht="15" customHeight="1" x14ac:dyDescent="0.2">
      <c r="E5757" s="7"/>
      <c r="F5757" s="7"/>
    </row>
    <row r="5758" spans="5:6" ht="15" customHeight="1" x14ac:dyDescent="0.2">
      <c r="E5758" s="7"/>
      <c r="F5758" s="7"/>
    </row>
    <row r="5759" spans="5:6" ht="15" customHeight="1" x14ac:dyDescent="0.2">
      <c r="E5759" s="7"/>
      <c r="F5759" s="7"/>
    </row>
    <row r="5760" spans="5:6" ht="15" customHeight="1" x14ac:dyDescent="0.2">
      <c r="E5760" s="7"/>
      <c r="F5760" s="7"/>
    </row>
    <row r="5761" spans="5:6" ht="15" customHeight="1" x14ac:dyDescent="0.2">
      <c r="E5761" s="7"/>
      <c r="F5761" s="7"/>
    </row>
    <row r="5762" spans="5:6" ht="15" customHeight="1" x14ac:dyDescent="0.2">
      <c r="E5762" s="7"/>
      <c r="F5762" s="7"/>
    </row>
    <row r="5763" spans="5:6" ht="15" customHeight="1" x14ac:dyDescent="0.2">
      <c r="E5763" s="7"/>
      <c r="F5763" s="7"/>
    </row>
    <row r="5764" spans="5:6" ht="15" customHeight="1" x14ac:dyDescent="0.2">
      <c r="E5764" s="7"/>
      <c r="F5764" s="7"/>
    </row>
    <row r="5765" spans="5:6" ht="15" customHeight="1" x14ac:dyDescent="0.2">
      <c r="E5765" s="7"/>
      <c r="F5765" s="7"/>
    </row>
    <row r="5766" spans="5:6" ht="15" customHeight="1" x14ac:dyDescent="0.2">
      <c r="E5766" s="7"/>
      <c r="F5766" s="7"/>
    </row>
    <row r="5767" spans="5:6" ht="15" customHeight="1" x14ac:dyDescent="0.2">
      <c r="E5767" s="7"/>
      <c r="F5767" s="7"/>
    </row>
    <row r="5768" spans="5:6" ht="15" customHeight="1" x14ac:dyDescent="0.2">
      <c r="E5768" s="7"/>
      <c r="F5768" s="7"/>
    </row>
    <row r="5769" spans="5:6" ht="15" customHeight="1" x14ac:dyDescent="0.2">
      <c r="E5769" s="7"/>
      <c r="F5769" s="7"/>
    </row>
    <row r="5770" spans="5:6" ht="15" customHeight="1" x14ac:dyDescent="0.2">
      <c r="E5770" s="7"/>
      <c r="F5770" s="7"/>
    </row>
    <row r="5771" spans="5:6" ht="15" customHeight="1" x14ac:dyDescent="0.2">
      <c r="E5771" s="7"/>
      <c r="F5771" s="7"/>
    </row>
    <row r="5772" spans="5:6" ht="15" customHeight="1" x14ac:dyDescent="0.2">
      <c r="E5772" s="7"/>
      <c r="F5772" s="7"/>
    </row>
    <row r="5773" spans="5:6" ht="15" customHeight="1" x14ac:dyDescent="0.2">
      <c r="E5773" s="7"/>
      <c r="F5773" s="7"/>
    </row>
    <row r="5774" spans="5:6" ht="15" customHeight="1" x14ac:dyDescent="0.2">
      <c r="E5774" s="7"/>
      <c r="F5774" s="7"/>
    </row>
    <row r="5775" spans="5:6" ht="15" customHeight="1" x14ac:dyDescent="0.2">
      <c r="E5775" s="7"/>
      <c r="F5775" s="7"/>
    </row>
    <row r="5776" spans="5:6" ht="15" customHeight="1" x14ac:dyDescent="0.2">
      <c r="E5776" s="7"/>
      <c r="F5776" s="7"/>
    </row>
    <row r="5777" spans="5:6" ht="15" customHeight="1" x14ac:dyDescent="0.2">
      <c r="E5777" s="7"/>
      <c r="F5777" s="7"/>
    </row>
    <row r="5778" spans="5:6" ht="15" customHeight="1" x14ac:dyDescent="0.2">
      <c r="E5778" s="7"/>
      <c r="F5778" s="7"/>
    </row>
    <row r="5779" spans="5:6" ht="15" customHeight="1" x14ac:dyDescent="0.2">
      <c r="E5779" s="7"/>
      <c r="F5779" s="7"/>
    </row>
    <row r="5780" spans="5:6" ht="15" customHeight="1" x14ac:dyDescent="0.2">
      <c r="E5780" s="7"/>
      <c r="F5780" s="7"/>
    </row>
    <row r="5781" spans="5:6" ht="15" customHeight="1" x14ac:dyDescent="0.2">
      <c r="E5781" s="7"/>
      <c r="F5781" s="7"/>
    </row>
    <row r="5782" spans="5:6" ht="15" customHeight="1" x14ac:dyDescent="0.2">
      <c r="E5782" s="7"/>
      <c r="F5782" s="7"/>
    </row>
    <row r="5783" spans="5:6" ht="15" customHeight="1" x14ac:dyDescent="0.2">
      <c r="E5783" s="7"/>
      <c r="F5783" s="7"/>
    </row>
    <row r="5784" spans="5:6" ht="15" customHeight="1" x14ac:dyDescent="0.2">
      <c r="E5784" s="7"/>
      <c r="F5784" s="7"/>
    </row>
    <row r="5785" spans="5:6" ht="15" customHeight="1" x14ac:dyDescent="0.2">
      <c r="E5785" s="7"/>
      <c r="F5785" s="7"/>
    </row>
    <row r="5786" spans="5:6" ht="15" customHeight="1" x14ac:dyDescent="0.2">
      <c r="E5786" s="7"/>
      <c r="F5786" s="7"/>
    </row>
    <row r="5787" spans="5:6" ht="15" customHeight="1" x14ac:dyDescent="0.2">
      <c r="E5787" s="7"/>
      <c r="F5787" s="7"/>
    </row>
    <row r="5788" spans="5:6" ht="15" customHeight="1" x14ac:dyDescent="0.2">
      <c r="E5788" s="7"/>
      <c r="F5788" s="7"/>
    </row>
    <row r="5789" spans="5:6" ht="15" customHeight="1" x14ac:dyDescent="0.2">
      <c r="E5789" s="7"/>
      <c r="F5789" s="7"/>
    </row>
    <row r="5790" spans="5:6" ht="15" customHeight="1" x14ac:dyDescent="0.2">
      <c r="E5790" s="7"/>
      <c r="F5790" s="7"/>
    </row>
    <row r="5791" spans="5:6" ht="15" customHeight="1" x14ac:dyDescent="0.2">
      <c r="E5791" s="7"/>
      <c r="F5791" s="7"/>
    </row>
    <row r="5792" spans="5:6" ht="15" customHeight="1" x14ac:dyDescent="0.2">
      <c r="E5792" s="7"/>
      <c r="F5792" s="7"/>
    </row>
    <row r="5793" spans="5:6" ht="15" customHeight="1" x14ac:dyDescent="0.2">
      <c r="E5793" s="7"/>
      <c r="F5793" s="7"/>
    </row>
    <row r="5794" spans="5:6" ht="15" customHeight="1" x14ac:dyDescent="0.2">
      <c r="E5794" s="7"/>
      <c r="F5794" s="7"/>
    </row>
    <row r="5795" spans="5:6" ht="15" customHeight="1" x14ac:dyDescent="0.2">
      <c r="E5795" s="7"/>
      <c r="F5795" s="7"/>
    </row>
    <row r="5796" spans="5:6" ht="15" customHeight="1" x14ac:dyDescent="0.2">
      <c r="E5796" s="7"/>
      <c r="F5796" s="7"/>
    </row>
    <row r="5797" spans="5:6" ht="15" customHeight="1" x14ac:dyDescent="0.2">
      <c r="E5797" s="7"/>
      <c r="F5797" s="7"/>
    </row>
    <row r="5798" spans="5:6" ht="15" customHeight="1" x14ac:dyDescent="0.2">
      <c r="E5798" s="7"/>
      <c r="F5798" s="7"/>
    </row>
    <row r="5799" spans="5:6" ht="15" customHeight="1" x14ac:dyDescent="0.2">
      <c r="E5799" s="7"/>
      <c r="F5799" s="7"/>
    </row>
    <row r="5800" spans="5:6" ht="15" customHeight="1" x14ac:dyDescent="0.2">
      <c r="E5800" s="7"/>
      <c r="F5800" s="7"/>
    </row>
    <row r="5801" spans="5:6" ht="15" customHeight="1" x14ac:dyDescent="0.2">
      <c r="E5801" s="7"/>
      <c r="F5801" s="7"/>
    </row>
    <row r="5802" spans="5:6" ht="15" customHeight="1" x14ac:dyDescent="0.2">
      <c r="E5802" s="7"/>
      <c r="F5802" s="7"/>
    </row>
    <row r="5803" spans="5:6" ht="15" customHeight="1" x14ac:dyDescent="0.2">
      <c r="E5803" s="7"/>
      <c r="F5803" s="7"/>
    </row>
    <row r="5804" spans="5:6" ht="15" customHeight="1" x14ac:dyDescent="0.2">
      <c r="E5804" s="7"/>
      <c r="F5804" s="7"/>
    </row>
    <row r="5805" spans="5:6" ht="15" customHeight="1" x14ac:dyDescent="0.2">
      <c r="E5805" s="7"/>
      <c r="F5805" s="7"/>
    </row>
    <row r="5806" spans="5:6" ht="15" customHeight="1" x14ac:dyDescent="0.2">
      <c r="E5806" s="7"/>
      <c r="F5806" s="7"/>
    </row>
    <row r="5807" spans="5:6" ht="15" customHeight="1" x14ac:dyDescent="0.2">
      <c r="E5807" s="7"/>
      <c r="F5807" s="7"/>
    </row>
    <row r="5808" spans="5:6" ht="15" customHeight="1" x14ac:dyDescent="0.2">
      <c r="E5808" s="7"/>
      <c r="F5808" s="7"/>
    </row>
    <row r="5809" spans="5:6" ht="15" customHeight="1" x14ac:dyDescent="0.2">
      <c r="E5809" s="7"/>
      <c r="F5809" s="7"/>
    </row>
    <row r="5810" spans="5:6" ht="15" customHeight="1" x14ac:dyDescent="0.2">
      <c r="E5810" s="7"/>
      <c r="F5810" s="7"/>
    </row>
    <row r="5811" spans="5:6" ht="15" customHeight="1" x14ac:dyDescent="0.2">
      <c r="E5811" s="7"/>
      <c r="F5811" s="7"/>
    </row>
    <row r="5812" spans="5:6" ht="15" customHeight="1" x14ac:dyDescent="0.2">
      <c r="E5812" s="7"/>
      <c r="F5812" s="7"/>
    </row>
    <row r="5813" spans="5:6" ht="15" customHeight="1" x14ac:dyDescent="0.2">
      <c r="E5813" s="7"/>
      <c r="F5813" s="7"/>
    </row>
    <row r="5814" spans="5:6" ht="15" customHeight="1" x14ac:dyDescent="0.2">
      <c r="E5814" s="7"/>
      <c r="F5814" s="7"/>
    </row>
    <row r="5815" spans="5:6" ht="15" customHeight="1" x14ac:dyDescent="0.2">
      <c r="E5815" s="7"/>
      <c r="F5815" s="7"/>
    </row>
    <row r="5816" spans="5:6" ht="15" customHeight="1" x14ac:dyDescent="0.2">
      <c r="E5816" s="7"/>
      <c r="F5816" s="7"/>
    </row>
    <row r="5817" spans="5:6" ht="15" customHeight="1" x14ac:dyDescent="0.2">
      <c r="E5817" s="7"/>
      <c r="F5817" s="7"/>
    </row>
    <row r="5818" spans="5:6" ht="15" customHeight="1" x14ac:dyDescent="0.2">
      <c r="E5818" s="7"/>
      <c r="F5818" s="7"/>
    </row>
    <row r="5819" spans="5:6" ht="15" customHeight="1" x14ac:dyDescent="0.2">
      <c r="E5819" s="7"/>
      <c r="F5819" s="7"/>
    </row>
    <row r="5820" spans="5:6" ht="15" customHeight="1" x14ac:dyDescent="0.2">
      <c r="E5820" s="7"/>
      <c r="F5820" s="7"/>
    </row>
    <row r="5821" spans="5:6" ht="15" customHeight="1" x14ac:dyDescent="0.2">
      <c r="E5821" s="7"/>
      <c r="F5821" s="7"/>
    </row>
    <row r="5822" spans="5:6" ht="15" customHeight="1" x14ac:dyDescent="0.2">
      <c r="E5822" s="7"/>
      <c r="F5822" s="7"/>
    </row>
    <row r="5823" spans="5:6" ht="15" customHeight="1" x14ac:dyDescent="0.2">
      <c r="E5823" s="7"/>
      <c r="F5823" s="7"/>
    </row>
    <row r="5824" spans="5:6" ht="15" customHeight="1" x14ac:dyDescent="0.2">
      <c r="E5824" s="7"/>
      <c r="F5824" s="7"/>
    </row>
    <row r="5825" spans="5:6" ht="15" customHeight="1" x14ac:dyDescent="0.2">
      <c r="E5825" s="7"/>
      <c r="F5825" s="7"/>
    </row>
    <row r="5826" spans="5:6" ht="15" customHeight="1" x14ac:dyDescent="0.2">
      <c r="E5826" s="7"/>
      <c r="F5826" s="7"/>
    </row>
    <row r="5827" spans="5:6" ht="15" customHeight="1" x14ac:dyDescent="0.2">
      <c r="E5827" s="7"/>
      <c r="F5827" s="7"/>
    </row>
    <row r="5828" spans="5:6" ht="15" customHeight="1" x14ac:dyDescent="0.2">
      <c r="E5828" s="7"/>
      <c r="F5828" s="7"/>
    </row>
    <row r="5829" spans="5:6" ht="15" customHeight="1" x14ac:dyDescent="0.2">
      <c r="E5829" s="7"/>
      <c r="F5829" s="7"/>
    </row>
    <row r="5830" spans="5:6" ht="15" customHeight="1" x14ac:dyDescent="0.2">
      <c r="E5830" s="7"/>
      <c r="F5830" s="7"/>
    </row>
    <row r="5831" spans="5:6" ht="15" customHeight="1" x14ac:dyDescent="0.2">
      <c r="E5831" s="7"/>
      <c r="F5831" s="7"/>
    </row>
    <row r="5832" spans="5:6" ht="15" customHeight="1" x14ac:dyDescent="0.2">
      <c r="E5832" s="7"/>
      <c r="F5832" s="7"/>
    </row>
    <row r="5833" spans="5:6" ht="15" customHeight="1" x14ac:dyDescent="0.2">
      <c r="E5833" s="7"/>
      <c r="F5833" s="7"/>
    </row>
    <row r="5834" spans="5:6" ht="15" customHeight="1" x14ac:dyDescent="0.2">
      <c r="E5834" s="7"/>
      <c r="F5834" s="7"/>
    </row>
    <row r="5835" spans="5:6" ht="15" customHeight="1" x14ac:dyDescent="0.2">
      <c r="E5835" s="7"/>
      <c r="F5835" s="7"/>
    </row>
    <row r="5836" spans="5:6" ht="15" customHeight="1" x14ac:dyDescent="0.2">
      <c r="E5836" s="7"/>
      <c r="F5836" s="7"/>
    </row>
    <row r="5837" spans="5:6" ht="15" customHeight="1" x14ac:dyDescent="0.2">
      <c r="E5837" s="7"/>
      <c r="F5837" s="7"/>
    </row>
    <row r="5838" spans="5:6" ht="15" customHeight="1" x14ac:dyDescent="0.2">
      <c r="E5838" s="7"/>
      <c r="F5838" s="7"/>
    </row>
    <row r="5839" spans="5:6" ht="15" customHeight="1" x14ac:dyDescent="0.2">
      <c r="E5839" s="7"/>
      <c r="F5839" s="7"/>
    </row>
    <row r="5840" spans="5:6" ht="15" customHeight="1" x14ac:dyDescent="0.2">
      <c r="E5840" s="7"/>
      <c r="F5840" s="7"/>
    </row>
    <row r="5841" spans="5:6" ht="15" customHeight="1" x14ac:dyDescent="0.2">
      <c r="E5841" s="7"/>
      <c r="F5841" s="7"/>
    </row>
    <row r="5842" spans="5:6" ht="15" customHeight="1" x14ac:dyDescent="0.2">
      <c r="E5842" s="7"/>
      <c r="F5842" s="7"/>
    </row>
    <row r="5843" spans="5:6" ht="15" customHeight="1" x14ac:dyDescent="0.2">
      <c r="E5843" s="7"/>
      <c r="F5843" s="7"/>
    </row>
    <row r="5844" spans="5:6" ht="15" customHeight="1" x14ac:dyDescent="0.2">
      <c r="E5844" s="7"/>
      <c r="F5844" s="7"/>
    </row>
    <row r="5845" spans="5:6" ht="15" customHeight="1" x14ac:dyDescent="0.2">
      <c r="E5845" s="7"/>
      <c r="F5845" s="7"/>
    </row>
    <row r="5846" spans="5:6" ht="15" customHeight="1" x14ac:dyDescent="0.2">
      <c r="E5846" s="7"/>
      <c r="F5846" s="7"/>
    </row>
    <row r="5847" spans="5:6" ht="15" customHeight="1" x14ac:dyDescent="0.2">
      <c r="E5847" s="7"/>
      <c r="F5847" s="7"/>
    </row>
    <row r="5848" spans="5:6" ht="15" customHeight="1" x14ac:dyDescent="0.2">
      <c r="E5848" s="7"/>
      <c r="F5848" s="7"/>
    </row>
    <row r="5849" spans="5:6" ht="15" customHeight="1" x14ac:dyDescent="0.2">
      <c r="E5849" s="7"/>
      <c r="F5849" s="7"/>
    </row>
    <row r="5850" spans="5:6" ht="15" customHeight="1" x14ac:dyDescent="0.2">
      <c r="E5850" s="7"/>
      <c r="F5850" s="7"/>
    </row>
    <row r="5851" spans="5:6" ht="15" customHeight="1" x14ac:dyDescent="0.2">
      <c r="E5851" s="7"/>
      <c r="F5851" s="7"/>
    </row>
    <row r="5852" spans="5:6" ht="15" customHeight="1" x14ac:dyDescent="0.2">
      <c r="E5852" s="7"/>
      <c r="F5852" s="7"/>
    </row>
    <row r="5853" spans="5:6" ht="15" customHeight="1" x14ac:dyDescent="0.2">
      <c r="E5853" s="7"/>
      <c r="F5853" s="7"/>
    </row>
    <row r="5854" spans="5:6" ht="15" customHeight="1" x14ac:dyDescent="0.2">
      <c r="E5854" s="7"/>
      <c r="F5854" s="7"/>
    </row>
    <row r="5855" spans="5:6" ht="15" customHeight="1" x14ac:dyDescent="0.2">
      <c r="E5855" s="7"/>
      <c r="F5855" s="7"/>
    </row>
    <row r="5856" spans="5:6" ht="15" customHeight="1" x14ac:dyDescent="0.2">
      <c r="E5856" s="7"/>
      <c r="F5856" s="7"/>
    </row>
    <row r="5857" spans="5:6" ht="15" customHeight="1" x14ac:dyDescent="0.2">
      <c r="E5857" s="7"/>
      <c r="F5857" s="7"/>
    </row>
    <row r="5858" spans="5:6" ht="15" customHeight="1" x14ac:dyDescent="0.2">
      <c r="E5858" s="7"/>
      <c r="F5858" s="7"/>
    </row>
    <row r="5859" spans="5:6" ht="15" customHeight="1" x14ac:dyDescent="0.2">
      <c r="E5859" s="7"/>
      <c r="F5859" s="7"/>
    </row>
    <row r="5860" spans="5:6" ht="15" customHeight="1" x14ac:dyDescent="0.2">
      <c r="E5860" s="7"/>
      <c r="F5860" s="7"/>
    </row>
    <row r="5861" spans="5:6" ht="15" customHeight="1" x14ac:dyDescent="0.2">
      <c r="E5861" s="7"/>
      <c r="F5861" s="7"/>
    </row>
    <row r="5862" spans="5:6" ht="15" customHeight="1" x14ac:dyDescent="0.2">
      <c r="E5862" s="7"/>
      <c r="F5862" s="7"/>
    </row>
    <row r="5863" spans="5:6" ht="15" customHeight="1" x14ac:dyDescent="0.2">
      <c r="E5863" s="7"/>
      <c r="F5863" s="7"/>
    </row>
    <row r="5864" spans="5:6" ht="15" customHeight="1" x14ac:dyDescent="0.2">
      <c r="E5864" s="7"/>
      <c r="F5864" s="7"/>
    </row>
    <row r="5865" spans="5:6" ht="15" customHeight="1" x14ac:dyDescent="0.2">
      <c r="E5865" s="7"/>
      <c r="F5865" s="7"/>
    </row>
    <row r="5866" spans="5:6" ht="15" customHeight="1" x14ac:dyDescent="0.2">
      <c r="E5866" s="7"/>
      <c r="F5866" s="7"/>
    </row>
    <row r="5867" spans="5:6" ht="15" customHeight="1" x14ac:dyDescent="0.2">
      <c r="E5867" s="7"/>
      <c r="F5867" s="7"/>
    </row>
    <row r="5868" spans="5:6" ht="15" customHeight="1" x14ac:dyDescent="0.2">
      <c r="E5868" s="7"/>
      <c r="F5868" s="7"/>
    </row>
    <row r="5869" spans="5:6" ht="15" customHeight="1" x14ac:dyDescent="0.2">
      <c r="E5869" s="7"/>
      <c r="F5869" s="7"/>
    </row>
    <row r="5870" spans="5:6" ht="15" customHeight="1" x14ac:dyDescent="0.2">
      <c r="E5870" s="7"/>
      <c r="F5870" s="7"/>
    </row>
    <row r="5871" spans="5:6" ht="15" customHeight="1" x14ac:dyDescent="0.2">
      <c r="E5871" s="7"/>
      <c r="F5871" s="7"/>
    </row>
    <row r="5872" spans="5:6" ht="15" customHeight="1" x14ac:dyDescent="0.2">
      <c r="E5872" s="7"/>
      <c r="F5872" s="7"/>
    </row>
    <row r="5873" spans="5:6" ht="15" customHeight="1" x14ac:dyDescent="0.2">
      <c r="E5873" s="7"/>
      <c r="F5873" s="7"/>
    </row>
    <row r="5874" spans="5:6" ht="15" customHeight="1" x14ac:dyDescent="0.2">
      <c r="E5874" s="7"/>
      <c r="F5874" s="7"/>
    </row>
    <row r="5875" spans="5:6" ht="15" customHeight="1" x14ac:dyDescent="0.2">
      <c r="E5875" s="7"/>
      <c r="F5875" s="7"/>
    </row>
    <row r="5876" spans="5:6" ht="15" customHeight="1" x14ac:dyDescent="0.2">
      <c r="E5876" s="7"/>
      <c r="F5876" s="7"/>
    </row>
    <row r="5877" spans="5:6" ht="15" customHeight="1" x14ac:dyDescent="0.2">
      <c r="E5877" s="7"/>
      <c r="F5877" s="7"/>
    </row>
    <row r="5878" spans="5:6" ht="15" customHeight="1" x14ac:dyDescent="0.2">
      <c r="E5878" s="7"/>
      <c r="F5878" s="7"/>
    </row>
    <row r="5879" spans="5:6" ht="15" customHeight="1" x14ac:dyDescent="0.2">
      <c r="E5879" s="7"/>
      <c r="F5879" s="7"/>
    </row>
    <row r="5880" spans="5:6" ht="15" customHeight="1" x14ac:dyDescent="0.2">
      <c r="E5880" s="7"/>
      <c r="F5880" s="7"/>
    </row>
    <row r="5881" spans="5:6" ht="15" customHeight="1" x14ac:dyDescent="0.2">
      <c r="E5881" s="7"/>
      <c r="F5881" s="7"/>
    </row>
    <row r="5882" spans="5:6" ht="15" customHeight="1" x14ac:dyDescent="0.2">
      <c r="E5882" s="7"/>
      <c r="F5882" s="7"/>
    </row>
    <row r="5883" spans="5:6" ht="15" customHeight="1" x14ac:dyDescent="0.2">
      <c r="E5883" s="7"/>
      <c r="F5883" s="7"/>
    </row>
    <row r="5884" spans="5:6" ht="15" customHeight="1" x14ac:dyDescent="0.2">
      <c r="E5884" s="7"/>
      <c r="F5884" s="7"/>
    </row>
    <row r="5885" spans="5:6" ht="15" customHeight="1" x14ac:dyDescent="0.2">
      <c r="E5885" s="7"/>
      <c r="F5885" s="7"/>
    </row>
    <row r="5886" spans="5:6" ht="15" customHeight="1" x14ac:dyDescent="0.2">
      <c r="E5886" s="7"/>
      <c r="F5886" s="7"/>
    </row>
    <row r="5887" spans="5:6" ht="15" customHeight="1" x14ac:dyDescent="0.2">
      <c r="E5887" s="7"/>
      <c r="F5887" s="7"/>
    </row>
    <row r="5888" spans="5:6" ht="15" customHeight="1" x14ac:dyDescent="0.2">
      <c r="E5888" s="7"/>
      <c r="F5888" s="7"/>
    </row>
    <row r="5889" spans="5:6" ht="15" customHeight="1" x14ac:dyDescent="0.2">
      <c r="E5889" s="7"/>
      <c r="F5889" s="7"/>
    </row>
    <row r="5890" spans="5:6" ht="15" customHeight="1" x14ac:dyDescent="0.2">
      <c r="E5890" s="7"/>
      <c r="F5890" s="7"/>
    </row>
    <row r="5891" spans="5:6" ht="15" customHeight="1" x14ac:dyDescent="0.2">
      <c r="E5891" s="7"/>
      <c r="F5891" s="7"/>
    </row>
    <row r="5892" spans="5:6" ht="15" customHeight="1" x14ac:dyDescent="0.2">
      <c r="E5892" s="7"/>
      <c r="F5892" s="7"/>
    </row>
    <row r="5893" spans="5:6" ht="15" customHeight="1" x14ac:dyDescent="0.2">
      <c r="E5893" s="7"/>
      <c r="F5893" s="7"/>
    </row>
    <row r="5894" spans="5:6" ht="15" customHeight="1" x14ac:dyDescent="0.2">
      <c r="E5894" s="7"/>
      <c r="F5894" s="7"/>
    </row>
    <row r="5895" spans="5:6" ht="15" customHeight="1" x14ac:dyDescent="0.2">
      <c r="E5895" s="7"/>
      <c r="F5895" s="7"/>
    </row>
    <row r="5896" spans="5:6" ht="15" customHeight="1" x14ac:dyDescent="0.2">
      <c r="E5896" s="7"/>
      <c r="F5896" s="7"/>
    </row>
    <row r="5897" spans="5:6" ht="15" customHeight="1" x14ac:dyDescent="0.2">
      <c r="E5897" s="7"/>
      <c r="F5897" s="7"/>
    </row>
    <row r="5898" spans="5:6" ht="15" customHeight="1" x14ac:dyDescent="0.2">
      <c r="E5898" s="7"/>
      <c r="F5898" s="7"/>
    </row>
    <row r="5899" spans="5:6" ht="15" customHeight="1" x14ac:dyDescent="0.2">
      <c r="E5899" s="7"/>
      <c r="F5899" s="7"/>
    </row>
    <row r="5900" spans="5:6" ht="15" customHeight="1" x14ac:dyDescent="0.2">
      <c r="E5900" s="7"/>
      <c r="F5900" s="7"/>
    </row>
    <row r="5901" spans="5:6" ht="15" customHeight="1" x14ac:dyDescent="0.2">
      <c r="E5901" s="7"/>
      <c r="F5901" s="7"/>
    </row>
    <row r="5902" spans="5:6" ht="15" customHeight="1" x14ac:dyDescent="0.2">
      <c r="E5902" s="7"/>
      <c r="F5902" s="7"/>
    </row>
    <row r="5903" spans="5:6" ht="15" customHeight="1" x14ac:dyDescent="0.2">
      <c r="E5903" s="7"/>
      <c r="F5903" s="7"/>
    </row>
    <row r="5904" spans="5:6" ht="15" customHeight="1" x14ac:dyDescent="0.2">
      <c r="E5904" s="7"/>
      <c r="F5904" s="7"/>
    </row>
    <row r="5905" spans="5:6" ht="15" customHeight="1" x14ac:dyDescent="0.2">
      <c r="E5905" s="7"/>
      <c r="F5905" s="7"/>
    </row>
    <row r="5906" spans="5:6" ht="15" customHeight="1" x14ac:dyDescent="0.2">
      <c r="E5906" s="7"/>
      <c r="F5906" s="7"/>
    </row>
    <row r="5907" spans="5:6" ht="15" customHeight="1" x14ac:dyDescent="0.2">
      <c r="E5907" s="7"/>
      <c r="F5907" s="7"/>
    </row>
    <row r="5908" spans="5:6" ht="15" customHeight="1" x14ac:dyDescent="0.2">
      <c r="E5908" s="7"/>
      <c r="F5908" s="7"/>
    </row>
    <row r="5909" spans="5:6" ht="15" customHeight="1" x14ac:dyDescent="0.2">
      <c r="E5909" s="7"/>
      <c r="F5909" s="7"/>
    </row>
    <row r="5910" spans="5:6" ht="15" customHeight="1" x14ac:dyDescent="0.2">
      <c r="E5910" s="7"/>
      <c r="F5910" s="7"/>
    </row>
    <row r="5911" spans="5:6" ht="15" customHeight="1" x14ac:dyDescent="0.2">
      <c r="E5911" s="7"/>
      <c r="F5911" s="7"/>
    </row>
    <row r="5912" spans="5:6" ht="15" customHeight="1" x14ac:dyDescent="0.2">
      <c r="E5912" s="7"/>
      <c r="F5912" s="7"/>
    </row>
    <row r="5913" spans="5:6" ht="15" customHeight="1" x14ac:dyDescent="0.2">
      <c r="E5913" s="7"/>
      <c r="F5913" s="7"/>
    </row>
    <row r="5914" spans="5:6" ht="15" customHeight="1" x14ac:dyDescent="0.2">
      <c r="E5914" s="7"/>
      <c r="F5914" s="7"/>
    </row>
    <row r="5915" spans="5:6" ht="15" customHeight="1" x14ac:dyDescent="0.2">
      <c r="E5915" s="7"/>
      <c r="F5915" s="7"/>
    </row>
    <row r="5916" spans="5:6" ht="15" customHeight="1" x14ac:dyDescent="0.2">
      <c r="E5916" s="7"/>
      <c r="F5916" s="7"/>
    </row>
    <row r="5917" spans="5:6" ht="15" customHeight="1" x14ac:dyDescent="0.2">
      <c r="E5917" s="7"/>
      <c r="F5917" s="7"/>
    </row>
    <row r="5918" spans="5:6" ht="15" customHeight="1" x14ac:dyDescent="0.2">
      <c r="E5918" s="7"/>
      <c r="F5918" s="7"/>
    </row>
    <row r="5919" spans="5:6" ht="15" customHeight="1" x14ac:dyDescent="0.2">
      <c r="E5919" s="7"/>
      <c r="F5919" s="7"/>
    </row>
    <row r="5920" spans="5:6" ht="15" customHeight="1" x14ac:dyDescent="0.2">
      <c r="E5920" s="7"/>
      <c r="F5920" s="7"/>
    </row>
    <row r="5921" spans="5:6" ht="15" customHeight="1" x14ac:dyDescent="0.2">
      <c r="E5921" s="7"/>
      <c r="F5921" s="7"/>
    </row>
    <row r="5922" spans="5:6" ht="15" customHeight="1" x14ac:dyDescent="0.2">
      <c r="E5922" s="7"/>
      <c r="F5922" s="7"/>
    </row>
    <row r="5923" spans="5:6" ht="15" customHeight="1" x14ac:dyDescent="0.2">
      <c r="E5923" s="7"/>
      <c r="F5923" s="7"/>
    </row>
    <row r="5924" spans="5:6" ht="15" customHeight="1" x14ac:dyDescent="0.2">
      <c r="E5924" s="7"/>
      <c r="F5924" s="7"/>
    </row>
    <row r="5925" spans="5:6" ht="15" customHeight="1" x14ac:dyDescent="0.2">
      <c r="E5925" s="7"/>
      <c r="F5925" s="7"/>
    </row>
    <row r="5926" spans="5:6" ht="15" customHeight="1" x14ac:dyDescent="0.2">
      <c r="E5926" s="7"/>
      <c r="F5926" s="7"/>
    </row>
    <row r="5927" spans="5:6" ht="15" customHeight="1" x14ac:dyDescent="0.2">
      <c r="E5927" s="7"/>
      <c r="F5927" s="7"/>
    </row>
    <row r="5928" spans="5:6" ht="15" customHeight="1" x14ac:dyDescent="0.2">
      <c r="E5928" s="7"/>
      <c r="F5928" s="7"/>
    </row>
    <row r="5929" spans="5:6" ht="15" customHeight="1" x14ac:dyDescent="0.2">
      <c r="E5929" s="7"/>
      <c r="F5929" s="7"/>
    </row>
    <row r="5930" spans="5:6" ht="15" customHeight="1" x14ac:dyDescent="0.2">
      <c r="E5930" s="7"/>
      <c r="F5930" s="7"/>
    </row>
    <row r="5931" spans="5:6" ht="15" customHeight="1" x14ac:dyDescent="0.2">
      <c r="E5931" s="7"/>
      <c r="F5931" s="7"/>
    </row>
    <row r="5932" spans="5:6" ht="15" customHeight="1" x14ac:dyDescent="0.2">
      <c r="E5932" s="7"/>
      <c r="F5932" s="7"/>
    </row>
    <row r="5933" spans="5:6" ht="15" customHeight="1" x14ac:dyDescent="0.2">
      <c r="E5933" s="7"/>
      <c r="F5933" s="7"/>
    </row>
    <row r="5934" spans="5:6" ht="15" customHeight="1" x14ac:dyDescent="0.2">
      <c r="E5934" s="7"/>
      <c r="F5934" s="7"/>
    </row>
    <row r="5935" spans="5:6" ht="15" customHeight="1" x14ac:dyDescent="0.2">
      <c r="E5935" s="7"/>
      <c r="F5935" s="7"/>
    </row>
    <row r="5936" spans="5:6" ht="15" customHeight="1" x14ac:dyDescent="0.2">
      <c r="E5936" s="7"/>
      <c r="F5936" s="7"/>
    </row>
    <row r="5937" spans="5:6" ht="15" customHeight="1" x14ac:dyDescent="0.2">
      <c r="E5937" s="7"/>
      <c r="F5937" s="7"/>
    </row>
    <row r="5938" spans="5:6" ht="15" customHeight="1" x14ac:dyDescent="0.2">
      <c r="E5938" s="7"/>
      <c r="F5938" s="7"/>
    </row>
    <row r="5939" spans="5:6" ht="15" customHeight="1" x14ac:dyDescent="0.2">
      <c r="E5939" s="7"/>
      <c r="F5939" s="7"/>
    </row>
    <row r="5940" spans="5:6" ht="15" customHeight="1" x14ac:dyDescent="0.2">
      <c r="E5940" s="7"/>
      <c r="F5940" s="7"/>
    </row>
    <row r="5941" spans="5:6" ht="15" customHeight="1" x14ac:dyDescent="0.2">
      <c r="E5941" s="7"/>
      <c r="F5941" s="7"/>
    </row>
    <row r="5942" spans="5:6" ht="15" customHeight="1" x14ac:dyDescent="0.2">
      <c r="E5942" s="7"/>
      <c r="F5942" s="7"/>
    </row>
    <row r="5943" spans="5:6" ht="15" customHeight="1" x14ac:dyDescent="0.2">
      <c r="E5943" s="7"/>
      <c r="F5943" s="7"/>
    </row>
    <row r="5944" spans="5:6" ht="15" customHeight="1" x14ac:dyDescent="0.2">
      <c r="E5944" s="7"/>
      <c r="F5944" s="7"/>
    </row>
    <row r="5945" spans="5:6" ht="15" customHeight="1" x14ac:dyDescent="0.2">
      <c r="E5945" s="7"/>
      <c r="F5945" s="7"/>
    </row>
    <row r="5946" spans="5:6" ht="15" customHeight="1" x14ac:dyDescent="0.2">
      <c r="E5946" s="7"/>
      <c r="F5946" s="7"/>
    </row>
    <row r="5947" spans="5:6" ht="15" customHeight="1" x14ac:dyDescent="0.2">
      <c r="E5947" s="7"/>
      <c r="F5947" s="7"/>
    </row>
    <row r="5948" spans="5:6" ht="15" customHeight="1" x14ac:dyDescent="0.2">
      <c r="E5948" s="7"/>
      <c r="F5948" s="7"/>
    </row>
    <row r="5949" spans="5:6" ht="15" customHeight="1" x14ac:dyDescent="0.2">
      <c r="E5949" s="7"/>
      <c r="F5949" s="7"/>
    </row>
    <row r="5950" spans="5:6" ht="15" customHeight="1" x14ac:dyDescent="0.2">
      <c r="E5950" s="7"/>
      <c r="F5950" s="7"/>
    </row>
    <row r="5951" spans="5:6" ht="15" customHeight="1" x14ac:dyDescent="0.2">
      <c r="E5951" s="7"/>
      <c r="F5951" s="7"/>
    </row>
    <row r="5952" spans="5:6" ht="15" customHeight="1" x14ac:dyDescent="0.2">
      <c r="E5952" s="7"/>
      <c r="F5952" s="7"/>
    </row>
    <row r="5953" spans="5:6" ht="15" customHeight="1" x14ac:dyDescent="0.2">
      <c r="E5953" s="7"/>
      <c r="F5953" s="7"/>
    </row>
    <row r="5954" spans="5:6" ht="15" customHeight="1" x14ac:dyDescent="0.2">
      <c r="E5954" s="7"/>
      <c r="F5954" s="7"/>
    </row>
    <row r="5955" spans="5:6" ht="15" customHeight="1" x14ac:dyDescent="0.2">
      <c r="E5955" s="7"/>
      <c r="F5955" s="7"/>
    </row>
    <row r="5956" spans="5:6" ht="15" customHeight="1" x14ac:dyDescent="0.2">
      <c r="E5956" s="7"/>
      <c r="F5956" s="7"/>
    </row>
    <row r="5957" spans="5:6" ht="15" customHeight="1" x14ac:dyDescent="0.2">
      <c r="E5957" s="7"/>
      <c r="F5957" s="7"/>
    </row>
    <row r="5958" spans="5:6" ht="15" customHeight="1" x14ac:dyDescent="0.2">
      <c r="E5958" s="7"/>
      <c r="F5958" s="7"/>
    </row>
    <row r="5959" spans="5:6" ht="15" customHeight="1" x14ac:dyDescent="0.2">
      <c r="E5959" s="7"/>
      <c r="F5959" s="7"/>
    </row>
    <row r="5960" spans="5:6" ht="15" customHeight="1" x14ac:dyDescent="0.2">
      <c r="E5960" s="7"/>
      <c r="F5960" s="7"/>
    </row>
    <row r="5961" spans="5:6" ht="15" customHeight="1" x14ac:dyDescent="0.2">
      <c r="E5961" s="7"/>
      <c r="F5961" s="7"/>
    </row>
    <row r="5962" spans="5:6" ht="15" customHeight="1" x14ac:dyDescent="0.2">
      <c r="E5962" s="7"/>
      <c r="F5962" s="7"/>
    </row>
    <row r="5963" spans="5:6" ht="15" customHeight="1" x14ac:dyDescent="0.2">
      <c r="E5963" s="7"/>
      <c r="F5963" s="7"/>
    </row>
    <row r="5964" spans="5:6" ht="15" customHeight="1" x14ac:dyDescent="0.2">
      <c r="E5964" s="7"/>
      <c r="F5964" s="7"/>
    </row>
    <row r="5965" spans="5:6" ht="15" customHeight="1" x14ac:dyDescent="0.2">
      <c r="E5965" s="7"/>
      <c r="F5965" s="7"/>
    </row>
    <row r="5966" spans="5:6" ht="15" customHeight="1" x14ac:dyDescent="0.2">
      <c r="E5966" s="7"/>
      <c r="F5966" s="7"/>
    </row>
    <row r="5967" spans="5:6" ht="15" customHeight="1" x14ac:dyDescent="0.2">
      <c r="E5967" s="7"/>
      <c r="F5967" s="7"/>
    </row>
    <row r="5968" spans="5:6" ht="15" customHeight="1" x14ac:dyDescent="0.2">
      <c r="E5968" s="7"/>
      <c r="F5968" s="7"/>
    </row>
    <row r="5969" spans="5:6" ht="15" customHeight="1" x14ac:dyDescent="0.2">
      <c r="E5969" s="7"/>
      <c r="F5969" s="7"/>
    </row>
    <row r="5970" spans="5:6" ht="15" customHeight="1" x14ac:dyDescent="0.2">
      <c r="E5970" s="7"/>
      <c r="F5970" s="7"/>
    </row>
    <row r="5971" spans="5:6" ht="15" customHeight="1" x14ac:dyDescent="0.2">
      <c r="E5971" s="7"/>
      <c r="F5971" s="7"/>
    </row>
    <row r="5972" spans="5:6" ht="15" customHeight="1" x14ac:dyDescent="0.2">
      <c r="E5972" s="7"/>
      <c r="F5972" s="7"/>
    </row>
    <row r="5973" spans="5:6" ht="15" customHeight="1" x14ac:dyDescent="0.2">
      <c r="E5973" s="7"/>
      <c r="F5973" s="7"/>
    </row>
    <row r="5974" spans="5:6" ht="15" customHeight="1" x14ac:dyDescent="0.2">
      <c r="E5974" s="7"/>
      <c r="F5974" s="7"/>
    </row>
    <row r="5975" spans="5:6" ht="15" customHeight="1" x14ac:dyDescent="0.2">
      <c r="E5975" s="7"/>
      <c r="F5975" s="7"/>
    </row>
    <row r="5976" spans="5:6" ht="15" customHeight="1" x14ac:dyDescent="0.2">
      <c r="E5976" s="7"/>
      <c r="F5976" s="7"/>
    </row>
    <row r="5977" spans="5:6" ht="15" customHeight="1" x14ac:dyDescent="0.2">
      <c r="E5977" s="7"/>
      <c r="F5977" s="7"/>
    </row>
    <row r="5978" spans="5:6" ht="15" customHeight="1" x14ac:dyDescent="0.2">
      <c r="E5978" s="7"/>
      <c r="F5978" s="7"/>
    </row>
    <row r="5979" spans="5:6" ht="15" customHeight="1" x14ac:dyDescent="0.2">
      <c r="E5979" s="7"/>
      <c r="F5979" s="7"/>
    </row>
    <row r="5980" spans="5:6" ht="15" customHeight="1" x14ac:dyDescent="0.2">
      <c r="E5980" s="7"/>
      <c r="F5980" s="7"/>
    </row>
    <row r="5981" spans="5:6" ht="15" customHeight="1" x14ac:dyDescent="0.2">
      <c r="E5981" s="7"/>
      <c r="F5981" s="7"/>
    </row>
    <row r="5982" spans="5:6" ht="15" customHeight="1" x14ac:dyDescent="0.2">
      <c r="E5982" s="7"/>
      <c r="F5982" s="7"/>
    </row>
    <row r="5983" spans="5:6" ht="15" customHeight="1" x14ac:dyDescent="0.2">
      <c r="E5983" s="7"/>
      <c r="F5983" s="7"/>
    </row>
    <row r="5984" spans="5:6" ht="15" customHeight="1" x14ac:dyDescent="0.2">
      <c r="E5984" s="7"/>
      <c r="F5984" s="7"/>
    </row>
    <row r="5985" spans="5:6" ht="15" customHeight="1" x14ac:dyDescent="0.2">
      <c r="E5985" s="7"/>
      <c r="F5985" s="7"/>
    </row>
    <row r="5986" spans="5:6" ht="15" customHeight="1" x14ac:dyDescent="0.2">
      <c r="E5986" s="7"/>
      <c r="F5986" s="7"/>
    </row>
    <row r="5987" spans="5:6" ht="15" customHeight="1" x14ac:dyDescent="0.2">
      <c r="E5987" s="7"/>
      <c r="F5987" s="7"/>
    </row>
    <row r="5988" spans="5:6" ht="15" customHeight="1" x14ac:dyDescent="0.2">
      <c r="E5988" s="7"/>
      <c r="F5988" s="7"/>
    </row>
    <row r="5989" spans="5:6" ht="15" customHeight="1" x14ac:dyDescent="0.2">
      <c r="E5989" s="7"/>
      <c r="F5989" s="7"/>
    </row>
    <row r="5990" spans="5:6" ht="15" customHeight="1" x14ac:dyDescent="0.2">
      <c r="E5990" s="7"/>
      <c r="F5990" s="7"/>
    </row>
    <row r="5991" spans="5:6" ht="15" customHeight="1" x14ac:dyDescent="0.2">
      <c r="E5991" s="7"/>
      <c r="F5991" s="7"/>
    </row>
    <row r="5992" spans="5:6" ht="15" customHeight="1" x14ac:dyDescent="0.2">
      <c r="E5992" s="7"/>
      <c r="F5992" s="7"/>
    </row>
    <row r="5993" spans="5:6" ht="15" customHeight="1" x14ac:dyDescent="0.2">
      <c r="E5993" s="7"/>
      <c r="F5993" s="7"/>
    </row>
    <row r="5994" spans="5:6" ht="15" customHeight="1" x14ac:dyDescent="0.2">
      <c r="E5994" s="7"/>
      <c r="F5994" s="7"/>
    </row>
    <row r="5995" spans="5:6" ht="15" customHeight="1" x14ac:dyDescent="0.2">
      <c r="E5995" s="7"/>
      <c r="F5995" s="7"/>
    </row>
    <row r="5996" spans="5:6" ht="15" customHeight="1" x14ac:dyDescent="0.2">
      <c r="E5996" s="7"/>
      <c r="F5996" s="7"/>
    </row>
    <row r="5997" spans="5:6" ht="15" customHeight="1" x14ac:dyDescent="0.2">
      <c r="E5997" s="7"/>
      <c r="F5997" s="7"/>
    </row>
    <row r="5998" spans="5:6" ht="15" customHeight="1" x14ac:dyDescent="0.2">
      <c r="E5998" s="7"/>
      <c r="F5998" s="7"/>
    </row>
    <row r="5999" spans="5:6" ht="15" customHeight="1" x14ac:dyDescent="0.2">
      <c r="E5999" s="7"/>
      <c r="F5999" s="7"/>
    </row>
    <row r="6000" spans="5:6" ht="15" customHeight="1" x14ac:dyDescent="0.2">
      <c r="E6000" s="7"/>
      <c r="F6000" s="7"/>
    </row>
    <row r="6001" spans="5:6" ht="15" customHeight="1" x14ac:dyDescent="0.2">
      <c r="E6001" s="7"/>
      <c r="F6001" s="7"/>
    </row>
    <row r="6002" spans="5:6" ht="15" customHeight="1" x14ac:dyDescent="0.2">
      <c r="E6002" s="7"/>
      <c r="F6002" s="7"/>
    </row>
    <row r="6003" spans="5:6" ht="15" customHeight="1" x14ac:dyDescent="0.2">
      <c r="E6003" s="7"/>
      <c r="F6003" s="7"/>
    </row>
    <row r="6004" spans="5:6" ht="15" customHeight="1" x14ac:dyDescent="0.2">
      <c r="E6004" s="7"/>
      <c r="F6004" s="7"/>
    </row>
    <row r="6005" spans="5:6" ht="15" customHeight="1" x14ac:dyDescent="0.2">
      <c r="E6005" s="7"/>
      <c r="F6005" s="7"/>
    </row>
    <row r="6006" spans="5:6" ht="15" customHeight="1" x14ac:dyDescent="0.2">
      <c r="E6006" s="7"/>
      <c r="F6006" s="7"/>
    </row>
    <row r="6007" spans="5:6" ht="15" customHeight="1" x14ac:dyDescent="0.2">
      <c r="E6007" s="7"/>
      <c r="F6007" s="7"/>
    </row>
    <row r="6008" spans="5:6" ht="15" customHeight="1" x14ac:dyDescent="0.2">
      <c r="E6008" s="7"/>
      <c r="F6008" s="7"/>
    </row>
    <row r="6009" spans="5:6" ht="15" customHeight="1" x14ac:dyDescent="0.2">
      <c r="E6009" s="7"/>
      <c r="F6009" s="7"/>
    </row>
    <row r="6010" spans="5:6" ht="15" customHeight="1" x14ac:dyDescent="0.2">
      <c r="E6010" s="7"/>
      <c r="F6010" s="7"/>
    </row>
    <row r="6011" spans="5:6" ht="15" customHeight="1" x14ac:dyDescent="0.2">
      <c r="E6011" s="7"/>
      <c r="F6011" s="7"/>
    </row>
    <row r="6012" spans="5:6" ht="15" customHeight="1" x14ac:dyDescent="0.2">
      <c r="E6012" s="7"/>
      <c r="F6012" s="7"/>
    </row>
    <row r="6013" spans="5:6" ht="15" customHeight="1" x14ac:dyDescent="0.2">
      <c r="E6013" s="7"/>
      <c r="F6013" s="7"/>
    </row>
    <row r="6014" spans="5:6" ht="15" customHeight="1" x14ac:dyDescent="0.2">
      <c r="E6014" s="7"/>
      <c r="F6014" s="7"/>
    </row>
    <row r="6015" spans="5:6" ht="15" customHeight="1" x14ac:dyDescent="0.2">
      <c r="E6015" s="7"/>
      <c r="F6015" s="7"/>
    </row>
    <row r="6016" spans="5:6" ht="15" customHeight="1" x14ac:dyDescent="0.2">
      <c r="E6016" s="7"/>
      <c r="F6016" s="7"/>
    </row>
    <row r="6017" spans="5:6" ht="15" customHeight="1" x14ac:dyDescent="0.2">
      <c r="E6017" s="7"/>
      <c r="F6017" s="7"/>
    </row>
    <row r="6018" spans="5:6" ht="15" customHeight="1" x14ac:dyDescent="0.2">
      <c r="E6018" s="7"/>
      <c r="F6018" s="7"/>
    </row>
    <row r="6019" spans="5:6" ht="15" customHeight="1" x14ac:dyDescent="0.2">
      <c r="E6019" s="7"/>
      <c r="F6019" s="7"/>
    </row>
    <row r="6020" spans="5:6" ht="15" customHeight="1" x14ac:dyDescent="0.2">
      <c r="E6020" s="7"/>
      <c r="F6020" s="7"/>
    </row>
    <row r="6021" spans="5:6" ht="15" customHeight="1" x14ac:dyDescent="0.2">
      <c r="E6021" s="7"/>
      <c r="F6021" s="7"/>
    </row>
    <row r="6022" spans="5:6" ht="15" customHeight="1" x14ac:dyDescent="0.2">
      <c r="E6022" s="7"/>
      <c r="F6022" s="7"/>
    </row>
    <row r="6023" spans="5:6" ht="15" customHeight="1" x14ac:dyDescent="0.2">
      <c r="E6023" s="7"/>
      <c r="F6023" s="7"/>
    </row>
    <row r="6024" spans="5:6" ht="15" customHeight="1" x14ac:dyDescent="0.2">
      <c r="E6024" s="7"/>
      <c r="F6024" s="7"/>
    </row>
    <row r="6025" spans="5:6" ht="15" customHeight="1" x14ac:dyDescent="0.2">
      <c r="E6025" s="7"/>
      <c r="F6025" s="7"/>
    </row>
    <row r="6026" spans="5:6" ht="15" customHeight="1" x14ac:dyDescent="0.2">
      <c r="E6026" s="7"/>
      <c r="F6026" s="7"/>
    </row>
    <row r="6027" spans="5:6" ht="15" customHeight="1" x14ac:dyDescent="0.2">
      <c r="E6027" s="7"/>
      <c r="F6027" s="7"/>
    </row>
    <row r="6028" spans="5:6" ht="15" customHeight="1" x14ac:dyDescent="0.2">
      <c r="E6028" s="7"/>
      <c r="F6028" s="7"/>
    </row>
    <row r="6029" spans="5:6" ht="15" customHeight="1" x14ac:dyDescent="0.2">
      <c r="E6029" s="7"/>
      <c r="F6029" s="7"/>
    </row>
    <row r="6030" spans="5:6" ht="15" customHeight="1" x14ac:dyDescent="0.2">
      <c r="E6030" s="7"/>
      <c r="F6030" s="7"/>
    </row>
    <row r="6031" spans="5:6" ht="15" customHeight="1" x14ac:dyDescent="0.2">
      <c r="E6031" s="7"/>
      <c r="F6031" s="7"/>
    </row>
    <row r="6032" spans="5:6" ht="15" customHeight="1" x14ac:dyDescent="0.2">
      <c r="E6032" s="7"/>
      <c r="F6032" s="7"/>
    </row>
    <row r="6033" spans="5:6" ht="15" customHeight="1" x14ac:dyDescent="0.2">
      <c r="E6033" s="7"/>
      <c r="F6033" s="7"/>
    </row>
    <row r="6034" spans="5:6" ht="15" customHeight="1" x14ac:dyDescent="0.2">
      <c r="E6034" s="7"/>
      <c r="F6034" s="7"/>
    </row>
    <row r="6035" spans="5:6" ht="15" customHeight="1" x14ac:dyDescent="0.2">
      <c r="E6035" s="7"/>
      <c r="F6035" s="7"/>
    </row>
    <row r="6036" spans="5:6" ht="15" customHeight="1" x14ac:dyDescent="0.2">
      <c r="E6036" s="7"/>
      <c r="F6036" s="7"/>
    </row>
    <row r="6037" spans="5:6" ht="15" customHeight="1" x14ac:dyDescent="0.2">
      <c r="E6037" s="7"/>
      <c r="F6037" s="7"/>
    </row>
    <row r="6038" spans="5:6" ht="15" customHeight="1" x14ac:dyDescent="0.2">
      <c r="E6038" s="7"/>
      <c r="F6038" s="7"/>
    </row>
    <row r="6039" spans="5:6" ht="15" customHeight="1" x14ac:dyDescent="0.2">
      <c r="E6039" s="7"/>
      <c r="F6039" s="7"/>
    </row>
    <row r="6040" spans="5:6" ht="15" customHeight="1" x14ac:dyDescent="0.2">
      <c r="E6040" s="7"/>
      <c r="F6040" s="7"/>
    </row>
    <row r="6041" spans="5:6" ht="15" customHeight="1" x14ac:dyDescent="0.2">
      <c r="E6041" s="7"/>
      <c r="F6041" s="7"/>
    </row>
    <row r="6042" spans="5:6" ht="15" customHeight="1" x14ac:dyDescent="0.2">
      <c r="E6042" s="7"/>
      <c r="F6042" s="7"/>
    </row>
    <row r="6043" spans="5:6" ht="15" customHeight="1" x14ac:dyDescent="0.2">
      <c r="E6043" s="7"/>
      <c r="F6043" s="7"/>
    </row>
    <row r="6044" spans="5:6" ht="15" customHeight="1" x14ac:dyDescent="0.2">
      <c r="E6044" s="7"/>
      <c r="F6044" s="7"/>
    </row>
    <row r="6045" spans="5:6" ht="15" customHeight="1" x14ac:dyDescent="0.2">
      <c r="E6045" s="7"/>
      <c r="F6045" s="7"/>
    </row>
    <row r="6046" spans="5:6" ht="15" customHeight="1" x14ac:dyDescent="0.2">
      <c r="E6046" s="7"/>
      <c r="F6046" s="7"/>
    </row>
    <row r="6047" spans="5:6" ht="15" customHeight="1" x14ac:dyDescent="0.2">
      <c r="E6047" s="7"/>
      <c r="F6047" s="7"/>
    </row>
    <row r="6048" spans="5:6" ht="15" customHeight="1" x14ac:dyDescent="0.2">
      <c r="E6048" s="7"/>
      <c r="F6048" s="7"/>
    </row>
    <row r="6049" spans="5:6" ht="15" customHeight="1" x14ac:dyDescent="0.2">
      <c r="E6049" s="7"/>
      <c r="F6049" s="7"/>
    </row>
    <row r="6050" spans="5:6" ht="15" customHeight="1" x14ac:dyDescent="0.2">
      <c r="E6050" s="7"/>
      <c r="F6050" s="7"/>
    </row>
    <row r="6051" spans="5:6" ht="15" customHeight="1" x14ac:dyDescent="0.2">
      <c r="E6051" s="7"/>
      <c r="F6051" s="7"/>
    </row>
    <row r="6052" spans="5:6" ht="15" customHeight="1" x14ac:dyDescent="0.2">
      <c r="E6052" s="7"/>
      <c r="F6052" s="7"/>
    </row>
    <row r="6053" spans="5:6" ht="15" customHeight="1" x14ac:dyDescent="0.2">
      <c r="E6053" s="7"/>
      <c r="F6053" s="7"/>
    </row>
    <row r="6054" spans="5:6" ht="15" customHeight="1" x14ac:dyDescent="0.2">
      <c r="E6054" s="7"/>
      <c r="F6054" s="7"/>
    </row>
    <row r="6055" spans="5:6" ht="15" customHeight="1" x14ac:dyDescent="0.2">
      <c r="E6055" s="7"/>
      <c r="F6055" s="7"/>
    </row>
    <row r="6056" spans="5:6" ht="15" customHeight="1" x14ac:dyDescent="0.2">
      <c r="E6056" s="7"/>
      <c r="F6056" s="7"/>
    </row>
    <row r="6057" spans="5:6" ht="15" customHeight="1" x14ac:dyDescent="0.2">
      <c r="E6057" s="7"/>
      <c r="F6057" s="7"/>
    </row>
    <row r="6058" spans="5:6" ht="15" customHeight="1" x14ac:dyDescent="0.2">
      <c r="E6058" s="7"/>
      <c r="F6058" s="7"/>
    </row>
    <row r="6059" spans="5:6" ht="15" customHeight="1" x14ac:dyDescent="0.2">
      <c r="E6059" s="7"/>
      <c r="F6059" s="7"/>
    </row>
    <row r="6060" spans="5:6" ht="15" customHeight="1" x14ac:dyDescent="0.2">
      <c r="E6060" s="7"/>
      <c r="F6060" s="7"/>
    </row>
    <row r="6061" spans="5:6" ht="15" customHeight="1" x14ac:dyDescent="0.2">
      <c r="E6061" s="7"/>
      <c r="F6061" s="7"/>
    </row>
    <row r="6062" spans="5:6" ht="15" customHeight="1" x14ac:dyDescent="0.2">
      <c r="E6062" s="7"/>
      <c r="F6062" s="7"/>
    </row>
    <row r="6063" spans="5:6" ht="15" customHeight="1" x14ac:dyDescent="0.2">
      <c r="E6063" s="7"/>
      <c r="F6063" s="7"/>
    </row>
    <row r="6064" spans="5:6" ht="15" customHeight="1" x14ac:dyDescent="0.2">
      <c r="E6064" s="7"/>
      <c r="F6064" s="7"/>
    </row>
    <row r="6065" spans="5:6" ht="15" customHeight="1" x14ac:dyDescent="0.2">
      <c r="E6065" s="7"/>
      <c r="F6065" s="7"/>
    </row>
    <row r="6066" spans="5:6" ht="15" customHeight="1" x14ac:dyDescent="0.2">
      <c r="E6066" s="7"/>
      <c r="F6066" s="7"/>
    </row>
    <row r="6067" spans="5:6" ht="15" customHeight="1" x14ac:dyDescent="0.2">
      <c r="E6067" s="7"/>
      <c r="F6067" s="7"/>
    </row>
    <row r="6068" spans="5:6" ht="15" customHeight="1" x14ac:dyDescent="0.2">
      <c r="E6068" s="7"/>
      <c r="F6068" s="7"/>
    </row>
    <row r="6069" spans="5:6" ht="15" customHeight="1" x14ac:dyDescent="0.2">
      <c r="E6069" s="7"/>
      <c r="F6069" s="7"/>
    </row>
    <row r="6070" spans="5:6" ht="15" customHeight="1" x14ac:dyDescent="0.2">
      <c r="E6070" s="7"/>
      <c r="F6070" s="7"/>
    </row>
    <row r="6071" spans="5:6" ht="15" customHeight="1" x14ac:dyDescent="0.2">
      <c r="E6071" s="7"/>
      <c r="F6071" s="7"/>
    </row>
    <row r="6072" spans="5:6" ht="15" customHeight="1" x14ac:dyDescent="0.2">
      <c r="E6072" s="7"/>
      <c r="F6072" s="7"/>
    </row>
    <row r="6073" spans="5:6" ht="15" customHeight="1" x14ac:dyDescent="0.2">
      <c r="E6073" s="7"/>
      <c r="F6073" s="7"/>
    </row>
    <row r="6074" spans="5:6" ht="15" customHeight="1" x14ac:dyDescent="0.2">
      <c r="E6074" s="7"/>
      <c r="F6074" s="7"/>
    </row>
    <row r="6075" spans="5:6" ht="15" customHeight="1" x14ac:dyDescent="0.2">
      <c r="E6075" s="7"/>
      <c r="F6075" s="7"/>
    </row>
    <row r="6076" spans="5:6" ht="15" customHeight="1" x14ac:dyDescent="0.2">
      <c r="E6076" s="7"/>
      <c r="F6076" s="7"/>
    </row>
    <row r="6077" spans="5:6" ht="15" customHeight="1" x14ac:dyDescent="0.2">
      <c r="E6077" s="7"/>
      <c r="F6077" s="7"/>
    </row>
    <row r="6078" spans="5:6" ht="15" customHeight="1" x14ac:dyDescent="0.2">
      <c r="E6078" s="7"/>
      <c r="F6078" s="7"/>
    </row>
    <row r="6079" spans="5:6" ht="15" customHeight="1" x14ac:dyDescent="0.2">
      <c r="E6079" s="7"/>
      <c r="F6079" s="7"/>
    </row>
    <row r="6080" spans="5:6" ht="15" customHeight="1" x14ac:dyDescent="0.2">
      <c r="E6080" s="7"/>
      <c r="F6080" s="7"/>
    </row>
    <row r="6081" spans="5:6" ht="15" customHeight="1" x14ac:dyDescent="0.2">
      <c r="E6081" s="7"/>
      <c r="F6081" s="7"/>
    </row>
    <row r="6082" spans="5:6" ht="15" customHeight="1" x14ac:dyDescent="0.2">
      <c r="E6082" s="7"/>
      <c r="F6082" s="7"/>
    </row>
    <row r="6083" spans="5:6" ht="15" customHeight="1" x14ac:dyDescent="0.2">
      <c r="E6083" s="7"/>
      <c r="F6083" s="7"/>
    </row>
    <row r="6084" spans="5:6" ht="15" customHeight="1" x14ac:dyDescent="0.2">
      <c r="E6084" s="7"/>
      <c r="F6084" s="7"/>
    </row>
    <row r="6085" spans="5:6" ht="15" customHeight="1" x14ac:dyDescent="0.2">
      <c r="E6085" s="7"/>
      <c r="F6085" s="7"/>
    </row>
    <row r="6086" spans="5:6" ht="15" customHeight="1" x14ac:dyDescent="0.2">
      <c r="E6086" s="7"/>
      <c r="F6086" s="7"/>
    </row>
    <row r="6087" spans="5:6" ht="15" customHeight="1" x14ac:dyDescent="0.2">
      <c r="E6087" s="7"/>
      <c r="F6087" s="7"/>
    </row>
    <row r="6088" spans="5:6" ht="15" customHeight="1" x14ac:dyDescent="0.2">
      <c r="E6088" s="7"/>
      <c r="F6088" s="7"/>
    </row>
    <row r="6089" spans="5:6" ht="15" customHeight="1" x14ac:dyDescent="0.2">
      <c r="E6089" s="7"/>
      <c r="F6089" s="7"/>
    </row>
    <row r="6090" spans="5:6" ht="15" customHeight="1" x14ac:dyDescent="0.2">
      <c r="E6090" s="7"/>
      <c r="F6090" s="7"/>
    </row>
    <row r="6091" spans="5:6" ht="15" customHeight="1" x14ac:dyDescent="0.2">
      <c r="E6091" s="7"/>
      <c r="F6091" s="7"/>
    </row>
    <row r="6092" spans="5:6" ht="15" customHeight="1" x14ac:dyDescent="0.2">
      <c r="E6092" s="7"/>
      <c r="F6092" s="7"/>
    </row>
    <row r="6093" spans="5:6" ht="15" customHeight="1" x14ac:dyDescent="0.2">
      <c r="E6093" s="7"/>
      <c r="F6093" s="7"/>
    </row>
    <row r="6094" spans="5:6" ht="15" customHeight="1" x14ac:dyDescent="0.2">
      <c r="E6094" s="7"/>
      <c r="F6094" s="7"/>
    </row>
    <row r="6095" spans="5:6" ht="15" customHeight="1" x14ac:dyDescent="0.2">
      <c r="E6095" s="7"/>
      <c r="F6095" s="7"/>
    </row>
    <row r="6096" spans="5:6" ht="15" customHeight="1" x14ac:dyDescent="0.2">
      <c r="E6096" s="7"/>
      <c r="F6096" s="7"/>
    </row>
    <row r="6097" spans="5:6" ht="15" customHeight="1" x14ac:dyDescent="0.2">
      <c r="E6097" s="7"/>
      <c r="F6097" s="7"/>
    </row>
    <row r="6098" spans="5:6" ht="15" customHeight="1" x14ac:dyDescent="0.2">
      <c r="E6098" s="7"/>
      <c r="F6098" s="7"/>
    </row>
    <row r="6099" spans="5:6" ht="15" customHeight="1" x14ac:dyDescent="0.2">
      <c r="E6099" s="7"/>
      <c r="F6099" s="7"/>
    </row>
    <row r="6100" spans="5:6" ht="15" customHeight="1" x14ac:dyDescent="0.2">
      <c r="E6100" s="7"/>
      <c r="F6100" s="7"/>
    </row>
    <row r="6101" spans="5:6" ht="15" customHeight="1" x14ac:dyDescent="0.2">
      <c r="E6101" s="7"/>
      <c r="F6101" s="7"/>
    </row>
    <row r="6102" spans="5:6" ht="15" customHeight="1" x14ac:dyDescent="0.2">
      <c r="E6102" s="7"/>
      <c r="F6102" s="7"/>
    </row>
    <row r="6103" spans="5:6" ht="15" customHeight="1" x14ac:dyDescent="0.2">
      <c r="E6103" s="7"/>
      <c r="F6103" s="7"/>
    </row>
    <row r="6104" spans="5:6" ht="15" customHeight="1" x14ac:dyDescent="0.2">
      <c r="E6104" s="7"/>
      <c r="F6104" s="7"/>
    </row>
    <row r="6105" spans="5:6" ht="15" customHeight="1" x14ac:dyDescent="0.2">
      <c r="E6105" s="7"/>
      <c r="F6105" s="7"/>
    </row>
    <row r="6106" spans="5:6" ht="15" customHeight="1" x14ac:dyDescent="0.2">
      <c r="E6106" s="7"/>
      <c r="F6106" s="7"/>
    </row>
    <row r="6107" spans="5:6" ht="15" customHeight="1" x14ac:dyDescent="0.2">
      <c r="E6107" s="7"/>
      <c r="F6107" s="7"/>
    </row>
    <row r="6108" spans="5:6" ht="15" customHeight="1" x14ac:dyDescent="0.2">
      <c r="E6108" s="7"/>
      <c r="F6108" s="7"/>
    </row>
    <row r="6109" spans="5:6" ht="15" customHeight="1" x14ac:dyDescent="0.2">
      <c r="E6109" s="7"/>
      <c r="F6109" s="7"/>
    </row>
    <row r="6110" spans="5:6" ht="15" customHeight="1" x14ac:dyDescent="0.2">
      <c r="E6110" s="7"/>
      <c r="F6110" s="7"/>
    </row>
    <row r="6111" spans="5:6" ht="15" customHeight="1" x14ac:dyDescent="0.2">
      <c r="E6111" s="7"/>
      <c r="F6111" s="7"/>
    </row>
    <row r="6112" spans="5:6" ht="15" customHeight="1" x14ac:dyDescent="0.2">
      <c r="E6112" s="7"/>
      <c r="F6112" s="7"/>
    </row>
    <row r="6113" spans="5:6" ht="15" customHeight="1" x14ac:dyDescent="0.2">
      <c r="E6113" s="7"/>
      <c r="F6113" s="7"/>
    </row>
    <row r="6114" spans="5:6" ht="15" customHeight="1" x14ac:dyDescent="0.2">
      <c r="E6114" s="7"/>
      <c r="F6114" s="7"/>
    </row>
    <row r="6115" spans="5:6" ht="15" customHeight="1" x14ac:dyDescent="0.2">
      <c r="E6115" s="7"/>
      <c r="F6115" s="7"/>
    </row>
    <row r="6116" spans="5:6" ht="15" customHeight="1" x14ac:dyDescent="0.2">
      <c r="E6116" s="7"/>
      <c r="F6116" s="7"/>
    </row>
    <row r="6117" spans="5:6" ht="15" customHeight="1" x14ac:dyDescent="0.2">
      <c r="E6117" s="7"/>
      <c r="F6117" s="7"/>
    </row>
    <row r="6118" spans="5:6" ht="15" customHeight="1" x14ac:dyDescent="0.2">
      <c r="E6118" s="7"/>
      <c r="F6118" s="7"/>
    </row>
    <row r="6119" spans="5:6" ht="15" customHeight="1" x14ac:dyDescent="0.2">
      <c r="E6119" s="7"/>
      <c r="F6119" s="7"/>
    </row>
    <row r="6120" spans="5:6" ht="15" customHeight="1" x14ac:dyDescent="0.2">
      <c r="E6120" s="7"/>
      <c r="F6120" s="7"/>
    </row>
    <row r="6121" spans="5:6" ht="15" customHeight="1" x14ac:dyDescent="0.2">
      <c r="E6121" s="7"/>
      <c r="F6121" s="7"/>
    </row>
    <row r="6122" spans="5:6" ht="15" customHeight="1" x14ac:dyDescent="0.2">
      <c r="E6122" s="7"/>
      <c r="F6122" s="7"/>
    </row>
    <row r="6123" spans="5:6" ht="15" customHeight="1" x14ac:dyDescent="0.2">
      <c r="E6123" s="7"/>
      <c r="F6123" s="7"/>
    </row>
    <row r="6124" spans="5:6" ht="15" customHeight="1" x14ac:dyDescent="0.2">
      <c r="E6124" s="7"/>
      <c r="F6124" s="7"/>
    </row>
    <row r="6125" spans="5:6" ht="15" customHeight="1" x14ac:dyDescent="0.2">
      <c r="E6125" s="7"/>
      <c r="F6125" s="7"/>
    </row>
    <row r="6126" spans="5:6" ht="15" customHeight="1" x14ac:dyDescent="0.2">
      <c r="E6126" s="7"/>
      <c r="F6126" s="7"/>
    </row>
    <row r="6127" spans="5:6" ht="15" customHeight="1" x14ac:dyDescent="0.2">
      <c r="E6127" s="7"/>
      <c r="F6127" s="7"/>
    </row>
    <row r="6128" spans="5:6" ht="15" customHeight="1" x14ac:dyDescent="0.2">
      <c r="E6128" s="7"/>
      <c r="F6128" s="7"/>
    </row>
    <row r="6129" spans="5:6" ht="15" customHeight="1" x14ac:dyDescent="0.2">
      <c r="E6129" s="7"/>
      <c r="F6129" s="7"/>
    </row>
    <row r="6130" spans="5:6" ht="15" customHeight="1" x14ac:dyDescent="0.2">
      <c r="E6130" s="7"/>
      <c r="F6130" s="7"/>
    </row>
    <row r="6131" spans="5:6" ht="15" customHeight="1" x14ac:dyDescent="0.2">
      <c r="E6131" s="7"/>
      <c r="F6131" s="7"/>
    </row>
    <row r="6132" spans="5:6" ht="15" customHeight="1" x14ac:dyDescent="0.2">
      <c r="E6132" s="7"/>
      <c r="F6132" s="7"/>
    </row>
    <row r="6133" spans="5:6" ht="15" customHeight="1" x14ac:dyDescent="0.2">
      <c r="E6133" s="7"/>
      <c r="F6133" s="7"/>
    </row>
    <row r="6134" spans="5:6" ht="15" customHeight="1" x14ac:dyDescent="0.2">
      <c r="E6134" s="7"/>
      <c r="F6134" s="7"/>
    </row>
    <row r="6135" spans="5:6" ht="15" customHeight="1" x14ac:dyDescent="0.2">
      <c r="E6135" s="7"/>
      <c r="F6135" s="7"/>
    </row>
    <row r="6136" spans="5:6" ht="15" customHeight="1" x14ac:dyDescent="0.2">
      <c r="E6136" s="7"/>
      <c r="F6136" s="7"/>
    </row>
    <row r="6137" spans="5:6" ht="15" customHeight="1" x14ac:dyDescent="0.2">
      <c r="E6137" s="7"/>
      <c r="F6137" s="7"/>
    </row>
    <row r="6138" spans="5:6" ht="15" customHeight="1" x14ac:dyDescent="0.2">
      <c r="E6138" s="7"/>
      <c r="F6138" s="7"/>
    </row>
    <row r="6139" spans="5:6" ht="15" customHeight="1" x14ac:dyDescent="0.2">
      <c r="E6139" s="7"/>
      <c r="F6139" s="7"/>
    </row>
    <row r="6140" spans="5:6" ht="15" customHeight="1" x14ac:dyDescent="0.2">
      <c r="E6140" s="7"/>
      <c r="F6140" s="7"/>
    </row>
    <row r="6141" spans="5:6" ht="15" customHeight="1" x14ac:dyDescent="0.2">
      <c r="E6141" s="7"/>
      <c r="F6141" s="7"/>
    </row>
    <row r="6142" spans="5:6" ht="15" customHeight="1" x14ac:dyDescent="0.2">
      <c r="E6142" s="7"/>
      <c r="F6142" s="7"/>
    </row>
    <row r="6143" spans="5:6" ht="15" customHeight="1" x14ac:dyDescent="0.2">
      <c r="E6143" s="7"/>
      <c r="F6143" s="7"/>
    </row>
    <row r="6144" spans="5:6" ht="15" customHeight="1" x14ac:dyDescent="0.2">
      <c r="E6144" s="7"/>
      <c r="F6144" s="7"/>
    </row>
    <row r="6145" spans="5:6" ht="15" customHeight="1" x14ac:dyDescent="0.2">
      <c r="E6145" s="7"/>
      <c r="F6145" s="7"/>
    </row>
    <row r="6146" spans="5:6" ht="15" customHeight="1" x14ac:dyDescent="0.2">
      <c r="E6146" s="7"/>
      <c r="F6146" s="7"/>
    </row>
    <row r="6147" spans="5:6" ht="15" customHeight="1" x14ac:dyDescent="0.2">
      <c r="E6147" s="7"/>
      <c r="F6147" s="7"/>
    </row>
    <row r="6148" spans="5:6" ht="15" customHeight="1" x14ac:dyDescent="0.2">
      <c r="E6148" s="7"/>
      <c r="F6148" s="7"/>
    </row>
    <row r="6149" spans="5:6" ht="15" customHeight="1" x14ac:dyDescent="0.2">
      <c r="E6149" s="7"/>
      <c r="F6149" s="7"/>
    </row>
    <row r="6150" spans="5:6" ht="15" customHeight="1" x14ac:dyDescent="0.2">
      <c r="E6150" s="7"/>
      <c r="F6150" s="7"/>
    </row>
    <row r="6151" spans="5:6" ht="15" customHeight="1" x14ac:dyDescent="0.2">
      <c r="E6151" s="7"/>
      <c r="F6151" s="7"/>
    </row>
    <row r="6152" spans="5:6" ht="15" customHeight="1" x14ac:dyDescent="0.2">
      <c r="E6152" s="7"/>
      <c r="F6152" s="7"/>
    </row>
    <row r="6153" spans="5:6" ht="15" customHeight="1" x14ac:dyDescent="0.2">
      <c r="E6153" s="7"/>
      <c r="F6153" s="7"/>
    </row>
    <row r="6154" spans="5:6" ht="15" customHeight="1" x14ac:dyDescent="0.2">
      <c r="E6154" s="7"/>
      <c r="F6154" s="7"/>
    </row>
    <row r="6155" spans="5:6" ht="15" customHeight="1" x14ac:dyDescent="0.2">
      <c r="E6155" s="7"/>
      <c r="F6155" s="7"/>
    </row>
    <row r="6156" spans="5:6" ht="15" customHeight="1" x14ac:dyDescent="0.2">
      <c r="E6156" s="7"/>
      <c r="F6156" s="7"/>
    </row>
    <row r="6157" spans="5:6" ht="15" customHeight="1" x14ac:dyDescent="0.2">
      <c r="E6157" s="7"/>
      <c r="F6157" s="7"/>
    </row>
    <row r="6158" spans="5:6" ht="15" customHeight="1" x14ac:dyDescent="0.2">
      <c r="E6158" s="7"/>
      <c r="F6158" s="7"/>
    </row>
    <row r="6159" spans="5:6" ht="15" customHeight="1" x14ac:dyDescent="0.2">
      <c r="E6159" s="7"/>
      <c r="F6159" s="7"/>
    </row>
    <row r="6160" spans="5:6" ht="15" customHeight="1" x14ac:dyDescent="0.2">
      <c r="E6160" s="7"/>
      <c r="F6160" s="7"/>
    </row>
    <row r="6161" spans="5:6" ht="15" customHeight="1" x14ac:dyDescent="0.2">
      <c r="E6161" s="7"/>
      <c r="F6161" s="7"/>
    </row>
    <row r="6162" spans="5:6" ht="15" customHeight="1" x14ac:dyDescent="0.2">
      <c r="E6162" s="7"/>
      <c r="F6162" s="7"/>
    </row>
    <row r="6163" spans="5:6" ht="15" customHeight="1" x14ac:dyDescent="0.2">
      <c r="E6163" s="7"/>
      <c r="F6163" s="7"/>
    </row>
    <row r="6164" spans="5:6" ht="15" customHeight="1" x14ac:dyDescent="0.2">
      <c r="E6164" s="7"/>
      <c r="F6164" s="7"/>
    </row>
    <row r="6165" spans="5:6" ht="15" customHeight="1" x14ac:dyDescent="0.2">
      <c r="E6165" s="7"/>
      <c r="F6165" s="7"/>
    </row>
    <row r="6166" spans="5:6" ht="15" customHeight="1" x14ac:dyDescent="0.2">
      <c r="E6166" s="7"/>
      <c r="F6166" s="7"/>
    </row>
    <row r="6167" spans="5:6" ht="15" customHeight="1" x14ac:dyDescent="0.2">
      <c r="E6167" s="7"/>
      <c r="F6167" s="7"/>
    </row>
    <row r="6168" spans="5:6" ht="15" customHeight="1" x14ac:dyDescent="0.2">
      <c r="E6168" s="7"/>
      <c r="F6168" s="7"/>
    </row>
    <row r="6169" spans="5:6" ht="15" customHeight="1" x14ac:dyDescent="0.2">
      <c r="E6169" s="7"/>
      <c r="F6169" s="7"/>
    </row>
    <row r="6170" spans="5:6" ht="15" customHeight="1" x14ac:dyDescent="0.2">
      <c r="E6170" s="7"/>
      <c r="F6170" s="7"/>
    </row>
    <row r="6171" spans="5:6" ht="15" customHeight="1" x14ac:dyDescent="0.2">
      <c r="E6171" s="7"/>
      <c r="F6171" s="7"/>
    </row>
    <row r="6172" spans="5:6" ht="15" customHeight="1" x14ac:dyDescent="0.2">
      <c r="E6172" s="7"/>
      <c r="F6172" s="7"/>
    </row>
    <row r="6173" spans="5:6" ht="15" customHeight="1" x14ac:dyDescent="0.2">
      <c r="E6173" s="7"/>
      <c r="F6173" s="7"/>
    </row>
    <row r="6174" spans="5:6" ht="15" customHeight="1" x14ac:dyDescent="0.2">
      <c r="E6174" s="7"/>
      <c r="F6174" s="7"/>
    </row>
    <row r="6175" spans="5:6" ht="15" customHeight="1" x14ac:dyDescent="0.2">
      <c r="E6175" s="7"/>
      <c r="F6175" s="7"/>
    </row>
    <row r="6176" spans="5:6" ht="15" customHeight="1" x14ac:dyDescent="0.2">
      <c r="E6176" s="7"/>
      <c r="F6176" s="7"/>
    </row>
    <row r="6177" spans="5:6" ht="15" customHeight="1" x14ac:dyDescent="0.2">
      <c r="E6177" s="7"/>
      <c r="F6177" s="7"/>
    </row>
    <row r="6178" spans="5:6" ht="15" customHeight="1" x14ac:dyDescent="0.2">
      <c r="E6178" s="7"/>
      <c r="F6178" s="7"/>
    </row>
    <row r="6179" spans="5:6" ht="15" customHeight="1" x14ac:dyDescent="0.2">
      <c r="E6179" s="7"/>
      <c r="F6179" s="7"/>
    </row>
    <row r="6180" spans="5:6" ht="15" customHeight="1" x14ac:dyDescent="0.2">
      <c r="E6180" s="7"/>
      <c r="F6180" s="7"/>
    </row>
    <row r="6181" spans="5:6" ht="15" customHeight="1" x14ac:dyDescent="0.2">
      <c r="E6181" s="7"/>
      <c r="F6181" s="7"/>
    </row>
    <row r="6182" spans="5:6" ht="15" customHeight="1" x14ac:dyDescent="0.2">
      <c r="E6182" s="7"/>
      <c r="F6182" s="7"/>
    </row>
    <row r="6183" spans="5:6" ht="15" customHeight="1" x14ac:dyDescent="0.2">
      <c r="E6183" s="7"/>
      <c r="F6183" s="7"/>
    </row>
    <row r="6184" spans="5:6" ht="15" customHeight="1" x14ac:dyDescent="0.2">
      <c r="E6184" s="7"/>
      <c r="F6184" s="7"/>
    </row>
    <row r="6185" spans="5:6" ht="15" customHeight="1" x14ac:dyDescent="0.2">
      <c r="E6185" s="7"/>
      <c r="F6185" s="7"/>
    </row>
    <row r="6186" spans="5:6" ht="15" customHeight="1" x14ac:dyDescent="0.2">
      <c r="E6186" s="7"/>
      <c r="F6186" s="7"/>
    </row>
    <row r="6187" spans="5:6" ht="15" customHeight="1" x14ac:dyDescent="0.2">
      <c r="E6187" s="7"/>
      <c r="F6187" s="7"/>
    </row>
    <row r="6188" spans="5:6" ht="15" customHeight="1" x14ac:dyDescent="0.2">
      <c r="E6188" s="7"/>
      <c r="F6188" s="7"/>
    </row>
    <row r="6189" spans="5:6" ht="15" customHeight="1" x14ac:dyDescent="0.2">
      <c r="E6189" s="7"/>
      <c r="F6189" s="7"/>
    </row>
    <row r="6190" spans="5:6" ht="15" customHeight="1" x14ac:dyDescent="0.2">
      <c r="E6190" s="7"/>
      <c r="F6190" s="7"/>
    </row>
    <row r="6191" spans="5:6" ht="15" customHeight="1" x14ac:dyDescent="0.2">
      <c r="E6191" s="7"/>
      <c r="F6191" s="7"/>
    </row>
    <row r="6192" spans="5:6" ht="15" customHeight="1" x14ac:dyDescent="0.2">
      <c r="E6192" s="7"/>
      <c r="F6192" s="7"/>
    </row>
    <row r="6193" spans="5:6" ht="15" customHeight="1" x14ac:dyDescent="0.2">
      <c r="E6193" s="7"/>
      <c r="F6193" s="7"/>
    </row>
    <row r="6194" spans="5:6" ht="15" customHeight="1" x14ac:dyDescent="0.2">
      <c r="E6194" s="7"/>
      <c r="F6194" s="7"/>
    </row>
    <row r="6195" spans="5:6" ht="15" customHeight="1" x14ac:dyDescent="0.2">
      <c r="E6195" s="7"/>
      <c r="F6195" s="7"/>
    </row>
    <row r="6196" spans="5:6" ht="15" customHeight="1" x14ac:dyDescent="0.2">
      <c r="E6196" s="7"/>
      <c r="F6196" s="7"/>
    </row>
    <row r="6197" spans="5:6" ht="15" customHeight="1" x14ac:dyDescent="0.2">
      <c r="E6197" s="7"/>
      <c r="F6197" s="7"/>
    </row>
    <row r="6198" spans="5:6" ht="15" customHeight="1" x14ac:dyDescent="0.2">
      <c r="E6198" s="7"/>
      <c r="F6198" s="7"/>
    </row>
    <row r="6199" spans="5:6" ht="15" customHeight="1" x14ac:dyDescent="0.2">
      <c r="E6199" s="7"/>
      <c r="F6199" s="7"/>
    </row>
    <row r="6200" spans="5:6" ht="15" customHeight="1" x14ac:dyDescent="0.2">
      <c r="E6200" s="7"/>
      <c r="F6200" s="7"/>
    </row>
    <row r="6201" spans="5:6" ht="15" customHeight="1" x14ac:dyDescent="0.2">
      <c r="E6201" s="7"/>
      <c r="F6201" s="7"/>
    </row>
    <row r="6202" spans="5:6" ht="15" customHeight="1" x14ac:dyDescent="0.2">
      <c r="E6202" s="7"/>
      <c r="F6202" s="7"/>
    </row>
    <row r="6203" spans="5:6" ht="15" customHeight="1" x14ac:dyDescent="0.2">
      <c r="E6203" s="7"/>
      <c r="F6203" s="7"/>
    </row>
    <row r="6204" spans="5:6" ht="15" customHeight="1" x14ac:dyDescent="0.2">
      <c r="E6204" s="7"/>
      <c r="F6204" s="7"/>
    </row>
    <row r="6205" spans="5:6" ht="15" customHeight="1" x14ac:dyDescent="0.2">
      <c r="E6205" s="7"/>
      <c r="F6205" s="7"/>
    </row>
    <row r="6206" spans="5:6" ht="15" customHeight="1" x14ac:dyDescent="0.2">
      <c r="E6206" s="7"/>
      <c r="F6206" s="7"/>
    </row>
    <row r="6207" spans="5:6" ht="15" customHeight="1" x14ac:dyDescent="0.2">
      <c r="E6207" s="7"/>
      <c r="F6207" s="7"/>
    </row>
    <row r="6208" spans="5:6" ht="15" customHeight="1" x14ac:dyDescent="0.2">
      <c r="E6208" s="7"/>
      <c r="F6208" s="7"/>
    </row>
    <row r="6209" spans="5:6" ht="15" customHeight="1" x14ac:dyDescent="0.2">
      <c r="E6209" s="7"/>
      <c r="F6209" s="7"/>
    </row>
    <row r="6210" spans="5:6" ht="15" customHeight="1" x14ac:dyDescent="0.2">
      <c r="E6210" s="7"/>
      <c r="F6210" s="7"/>
    </row>
    <row r="6211" spans="5:6" ht="15" customHeight="1" x14ac:dyDescent="0.2">
      <c r="E6211" s="7"/>
      <c r="F6211" s="7"/>
    </row>
    <row r="6212" spans="5:6" ht="15" customHeight="1" x14ac:dyDescent="0.2">
      <c r="E6212" s="7"/>
      <c r="F6212" s="7"/>
    </row>
    <row r="6213" spans="5:6" ht="15" customHeight="1" x14ac:dyDescent="0.2">
      <c r="E6213" s="7"/>
      <c r="F6213" s="7"/>
    </row>
    <row r="6214" spans="5:6" ht="15" customHeight="1" x14ac:dyDescent="0.2">
      <c r="E6214" s="7"/>
      <c r="F6214" s="7"/>
    </row>
    <row r="6215" spans="5:6" ht="15" customHeight="1" x14ac:dyDescent="0.2">
      <c r="E6215" s="7"/>
      <c r="F6215" s="7"/>
    </row>
    <row r="6216" spans="5:6" ht="15" customHeight="1" x14ac:dyDescent="0.2">
      <c r="E6216" s="7"/>
      <c r="F6216" s="7"/>
    </row>
    <row r="6217" spans="5:6" ht="15" customHeight="1" x14ac:dyDescent="0.2">
      <c r="E6217" s="7"/>
      <c r="F6217" s="7"/>
    </row>
    <row r="6218" spans="5:6" ht="15" customHeight="1" x14ac:dyDescent="0.2">
      <c r="E6218" s="7"/>
      <c r="F6218" s="7"/>
    </row>
    <row r="6219" spans="5:6" ht="15" customHeight="1" x14ac:dyDescent="0.2">
      <c r="E6219" s="7"/>
      <c r="F6219" s="7"/>
    </row>
    <row r="6220" spans="5:6" ht="15" customHeight="1" x14ac:dyDescent="0.2">
      <c r="E6220" s="7"/>
      <c r="F6220" s="7"/>
    </row>
    <row r="6221" spans="5:6" ht="15" customHeight="1" x14ac:dyDescent="0.2">
      <c r="E6221" s="7"/>
      <c r="F6221" s="7"/>
    </row>
    <row r="6222" spans="5:6" ht="15" customHeight="1" x14ac:dyDescent="0.2">
      <c r="E6222" s="7"/>
      <c r="F6222" s="7"/>
    </row>
    <row r="6223" spans="5:6" ht="15" customHeight="1" x14ac:dyDescent="0.2">
      <c r="E6223" s="7"/>
      <c r="F6223" s="7"/>
    </row>
    <row r="6224" spans="5:6" ht="15" customHeight="1" x14ac:dyDescent="0.2">
      <c r="E6224" s="7"/>
      <c r="F6224" s="7"/>
    </row>
    <row r="6225" spans="5:6" ht="15" customHeight="1" x14ac:dyDescent="0.2">
      <c r="E6225" s="7"/>
      <c r="F6225" s="7"/>
    </row>
    <row r="6226" spans="5:6" ht="15" customHeight="1" x14ac:dyDescent="0.2">
      <c r="E6226" s="7"/>
      <c r="F6226" s="7"/>
    </row>
    <row r="6227" spans="5:6" ht="15" customHeight="1" x14ac:dyDescent="0.2">
      <c r="E6227" s="7"/>
      <c r="F6227" s="7"/>
    </row>
    <row r="6228" spans="5:6" ht="15" customHeight="1" x14ac:dyDescent="0.2">
      <c r="E6228" s="7"/>
      <c r="F6228" s="7"/>
    </row>
    <row r="6229" spans="5:6" ht="15" customHeight="1" x14ac:dyDescent="0.2">
      <c r="E6229" s="7"/>
      <c r="F6229" s="7"/>
    </row>
    <row r="6230" spans="5:6" ht="15" customHeight="1" x14ac:dyDescent="0.2">
      <c r="E6230" s="7"/>
      <c r="F6230" s="7"/>
    </row>
    <row r="6231" spans="5:6" ht="15" customHeight="1" x14ac:dyDescent="0.2">
      <c r="E6231" s="7"/>
      <c r="F6231" s="7"/>
    </row>
    <row r="6232" spans="5:6" ht="15" customHeight="1" x14ac:dyDescent="0.2">
      <c r="E6232" s="7"/>
      <c r="F6232" s="7"/>
    </row>
    <row r="6233" spans="5:6" ht="15" customHeight="1" x14ac:dyDescent="0.2">
      <c r="E6233" s="7"/>
      <c r="F6233" s="7"/>
    </row>
    <row r="6234" spans="5:6" ht="15" customHeight="1" x14ac:dyDescent="0.2">
      <c r="E6234" s="7"/>
      <c r="F6234" s="7"/>
    </row>
    <row r="6235" spans="5:6" ht="15" customHeight="1" x14ac:dyDescent="0.2">
      <c r="E6235" s="7"/>
      <c r="F6235" s="7"/>
    </row>
    <row r="6236" spans="5:6" ht="15" customHeight="1" x14ac:dyDescent="0.2">
      <c r="E6236" s="7"/>
      <c r="F6236" s="7"/>
    </row>
    <row r="6237" spans="5:6" ht="15" customHeight="1" x14ac:dyDescent="0.2">
      <c r="E6237" s="7"/>
      <c r="F6237" s="7"/>
    </row>
    <row r="6238" spans="5:6" ht="15" customHeight="1" x14ac:dyDescent="0.2">
      <c r="E6238" s="7"/>
      <c r="F6238" s="7"/>
    </row>
    <row r="6239" spans="5:6" ht="15" customHeight="1" x14ac:dyDescent="0.2">
      <c r="E6239" s="7"/>
      <c r="F6239" s="7"/>
    </row>
    <row r="6240" spans="5:6" ht="15" customHeight="1" x14ac:dyDescent="0.2">
      <c r="E6240" s="7"/>
      <c r="F6240" s="7"/>
    </row>
    <row r="6241" spans="5:6" ht="15" customHeight="1" x14ac:dyDescent="0.2">
      <c r="E6241" s="7"/>
      <c r="F6241" s="7"/>
    </row>
    <row r="6242" spans="5:6" ht="15" customHeight="1" x14ac:dyDescent="0.2">
      <c r="E6242" s="7"/>
      <c r="F6242" s="7"/>
    </row>
    <row r="6243" spans="5:6" ht="15" customHeight="1" x14ac:dyDescent="0.2">
      <c r="E6243" s="7"/>
      <c r="F6243" s="7"/>
    </row>
    <row r="6244" spans="5:6" ht="15" customHeight="1" x14ac:dyDescent="0.2">
      <c r="E6244" s="7"/>
      <c r="F6244" s="7"/>
    </row>
    <row r="6245" spans="5:6" ht="15" customHeight="1" x14ac:dyDescent="0.2">
      <c r="E6245" s="7"/>
      <c r="F6245" s="7"/>
    </row>
    <row r="6246" spans="5:6" ht="15" customHeight="1" x14ac:dyDescent="0.2">
      <c r="E6246" s="7"/>
      <c r="F6246" s="7"/>
    </row>
    <row r="6247" spans="5:6" ht="15" customHeight="1" x14ac:dyDescent="0.2">
      <c r="E6247" s="7"/>
      <c r="F6247" s="7"/>
    </row>
    <row r="6248" spans="5:6" ht="15" customHeight="1" x14ac:dyDescent="0.2">
      <c r="E6248" s="7"/>
      <c r="F6248" s="7"/>
    </row>
    <row r="6249" spans="5:6" ht="15" customHeight="1" x14ac:dyDescent="0.2">
      <c r="E6249" s="7"/>
      <c r="F6249" s="7"/>
    </row>
    <row r="6250" spans="5:6" ht="15" customHeight="1" x14ac:dyDescent="0.2">
      <c r="E6250" s="7"/>
      <c r="F6250" s="7"/>
    </row>
    <row r="6251" spans="5:6" ht="15" customHeight="1" x14ac:dyDescent="0.2">
      <c r="E6251" s="7"/>
      <c r="F6251" s="7"/>
    </row>
    <row r="6252" spans="5:6" ht="15" customHeight="1" x14ac:dyDescent="0.2">
      <c r="E6252" s="7"/>
      <c r="F6252" s="7"/>
    </row>
    <row r="6253" spans="5:6" ht="15" customHeight="1" x14ac:dyDescent="0.2">
      <c r="E6253" s="7"/>
      <c r="F6253" s="7"/>
    </row>
    <row r="6254" spans="5:6" ht="15" customHeight="1" x14ac:dyDescent="0.2">
      <c r="E6254" s="7"/>
      <c r="F6254" s="7"/>
    </row>
    <row r="6255" spans="5:6" ht="15" customHeight="1" x14ac:dyDescent="0.2">
      <c r="E6255" s="7"/>
      <c r="F6255" s="7"/>
    </row>
    <row r="6256" spans="5:6" ht="15" customHeight="1" x14ac:dyDescent="0.2">
      <c r="E6256" s="7"/>
      <c r="F6256" s="7"/>
    </row>
    <row r="6257" spans="5:6" ht="15" customHeight="1" x14ac:dyDescent="0.2">
      <c r="E6257" s="7"/>
      <c r="F6257" s="7"/>
    </row>
    <row r="6258" spans="5:6" ht="15" customHeight="1" x14ac:dyDescent="0.2">
      <c r="E6258" s="7"/>
      <c r="F6258" s="7"/>
    </row>
    <row r="6259" spans="5:6" ht="15" customHeight="1" x14ac:dyDescent="0.2">
      <c r="E6259" s="7"/>
      <c r="F6259" s="7"/>
    </row>
    <row r="6260" spans="5:6" ht="15" customHeight="1" x14ac:dyDescent="0.2">
      <c r="E6260" s="7"/>
      <c r="F6260" s="7"/>
    </row>
    <row r="6261" spans="5:6" ht="15" customHeight="1" x14ac:dyDescent="0.2">
      <c r="E6261" s="7"/>
      <c r="F6261" s="7"/>
    </row>
    <row r="6262" spans="5:6" ht="15" customHeight="1" x14ac:dyDescent="0.2">
      <c r="E6262" s="7"/>
      <c r="F6262" s="7"/>
    </row>
    <row r="6263" spans="5:6" ht="15" customHeight="1" x14ac:dyDescent="0.2">
      <c r="E6263" s="7"/>
      <c r="F6263" s="7"/>
    </row>
    <row r="6264" spans="5:6" ht="15" customHeight="1" x14ac:dyDescent="0.2">
      <c r="E6264" s="7"/>
      <c r="F6264" s="7"/>
    </row>
    <row r="6265" spans="5:6" ht="15" customHeight="1" x14ac:dyDescent="0.2">
      <c r="E6265" s="7"/>
      <c r="F6265" s="7"/>
    </row>
    <row r="6266" spans="5:6" ht="15" customHeight="1" x14ac:dyDescent="0.2">
      <c r="E6266" s="7"/>
      <c r="F6266" s="7"/>
    </row>
    <row r="6267" spans="5:6" ht="15" customHeight="1" x14ac:dyDescent="0.2">
      <c r="E6267" s="7"/>
      <c r="F6267" s="7"/>
    </row>
    <row r="6268" spans="5:6" ht="15" customHeight="1" x14ac:dyDescent="0.2">
      <c r="E6268" s="7"/>
      <c r="F6268" s="7"/>
    </row>
    <row r="6269" spans="5:6" ht="15" customHeight="1" x14ac:dyDescent="0.2">
      <c r="E6269" s="7"/>
      <c r="F6269" s="7"/>
    </row>
    <row r="6270" spans="5:6" ht="15" customHeight="1" x14ac:dyDescent="0.2">
      <c r="E6270" s="7"/>
      <c r="F6270" s="7"/>
    </row>
    <row r="6271" spans="5:6" ht="15" customHeight="1" x14ac:dyDescent="0.2">
      <c r="E6271" s="7"/>
      <c r="F6271" s="7"/>
    </row>
    <row r="6272" spans="5:6" ht="15" customHeight="1" x14ac:dyDescent="0.2">
      <c r="E6272" s="7"/>
      <c r="F6272" s="7"/>
    </row>
    <row r="6273" spans="5:6" ht="15" customHeight="1" x14ac:dyDescent="0.2">
      <c r="E6273" s="7"/>
      <c r="F6273" s="7"/>
    </row>
    <row r="6274" spans="5:6" ht="15" customHeight="1" x14ac:dyDescent="0.2">
      <c r="E6274" s="7"/>
      <c r="F6274" s="7"/>
    </row>
    <row r="6275" spans="5:6" ht="15" customHeight="1" x14ac:dyDescent="0.2">
      <c r="E6275" s="7"/>
      <c r="F6275" s="7"/>
    </row>
    <row r="6276" spans="5:6" ht="15" customHeight="1" x14ac:dyDescent="0.2">
      <c r="E6276" s="7"/>
      <c r="F6276" s="7"/>
    </row>
    <row r="6277" spans="5:6" ht="15" customHeight="1" x14ac:dyDescent="0.2">
      <c r="E6277" s="7"/>
      <c r="F6277" s="7"/>
    </row>
    <row r="6278" spans="5:6" ht="15" customHeight="1" x14ac:dyDescent="0.2">
      <c r="E6278" s="7"/>
      <c r="F6278" s="7"/>
    </row>
    <row r="6279" spans="5:6" ht="15" customHeight="1" x14ac:dyDescent="0.2">
      <c r="E6279" s="7"/>
      <c r="F6279" s="7"/>
    </row>
    <row r="6280" spans="5:6" ht="15" customHeight="1" x14ac:dyDescent="0.2">
      <c r="E6280" s="7"/>
      <c r="F6280" s="7"/>
    </row>
    <row r="6281" spans="5:6" ht="15" customHeight="1" x14ac:dyDescent="0.2">
      <c r="E6281" s="7"/>
      <c r="F6281" s="7"/>
    </row>
    <row r="6282" spans="5:6" ht="15" customHeight="1" x14ac:dyDescent="0.2">
      <c r="E6282" s="7"/>
      <c r="F6282" s="7"/>
    </row>
    <row r="6283" spans="5:6" ht="15" customHeight="1" x14ac:dyDescent="0.2">
      <c r="E6283" s="7"/>
      <c r="F6283" s="7"/>
    </row>
    <row r="6284" spans="5:6" ht="15" customHeight="1" x14ac:dyDescent="0.2">
      <c r="E6284" s="7"/>
      <c r="F6284" s="7"/>
    </row>
    <row r="6285" spans="5:6" ht="15" customHeight="1" x14ac:dyDescent="0.2">
      <c r="E6285" s="7"/>
      <c r="F6285" s="7"/>
    </row>
    <row r="6286" spans="5:6" ht="15" customHeight="1" x14ac:dyDescent="0.2">
      <c r="E6286" s="7"/>
      <c r="F6286" s="7"/>
    </row>
    <row r="6287" spans="5:6" ht="15" customHeight="1" x14ac:dyDescent="0.2">
      <c r="E6287" s="7"/>
      <c r="F6287" s="7"/>
    </row>
    <row r="6288" spans="5:6" ht="15" customHeight="1" x14ac:dyDescent="0.2">
      <c r="E6288" s="7"/>
      <c r="F6288" s="7"/>
    </row>
    <row r="6289" spans="5:6" ht="15" customHeight="1" x14ac:dyDescent="0.2">
      <c r="E6289" s="7"/>
      <c r="F6289" s="7"/>
    </row>
    <row r="6290" spans="5:6" ht="15" customHeight="1" x14ac:dyDescent="0.2">
      <c r="E6290" s="7"/>
      <c r="F6290" s="7"/>
    </row>
    <row r="6291" spans="5:6" ht="15" customHeight="1" x14ac:dyDescent="0.2">
      <c r="E6291" s="7"/>
      <c r="F6291" s="7"/>
    </row>
    <row r="6292" spans="5:6" ht="15" customHeight="1" x14ac:dyDescent="0.2">
      <c r="E6292" s="7"/>
      <c r="F6292" s="7"/>
    </row>
    <row r="6293" spans="5:6" ht="15" customHeight="1" x14ac:dyDescent="0.2">
      <c r="E6293" s="7"/>
      <c r="F6293" s="7"/>
    </row>
    <row r="6294" spans="5:6" ht="15" customHeight="1" x14ac:dyDescent="0.2">
      <c r="E6294" s="7"/>
      <c r="F6294" s="7"/>
    </row>
    <row r="6295" spans="5:6" ht="15" customHeight="1" x14ac:dyDescent="0.2">
      <c r="E6295" s="7"/>
      <c r="F6295" s="7"/>
    </row>
    <row r="6296" spans="5:6" ht="15" customHeight="1" x14ac:dyDescent="0.2">
      <c r="E6296" s="7"/>
      <c r="F6296" s="7"/>
    </row>
    <row r="6297" spans="5:6" ht="15" customHeight="1" x14ac:dyDescent="0.2">
      <c r="E6297" s="7"/>
      <c r="F6297" s="7"/>
    </row>
    <row r="6298" spans="5:6" ht="15" customHeight="1" x14ac:dyDescent="0.2">
      <c r="E6298" s="7"/>
      <c r="F6298" s="7"/>
    </row>
    <row r="6299" spans="5:6" ht="15" customHeight="1" x14ac:dyDescent="0.2">
      <c r="E6299" s="7"/>
      <c r="F6299" s="7"/>
    </row>
    <row r="6300" spans="5:6" ht="15" customHeight="1" x14ac:dyDescent="0.2">
      <c r="E6300" s="7"/>
      <c r="F6300" s="7"/>
    </row>
    <row r="6301" spans="5:6" ht="15" customHeight="1" x14ac:dyDescent="0.2">
      <c r="E6301" s="7"/>
      <c r="F6301" s="7"/>
    </row>
    <row r="6302" spans="5:6" ht="15" customHeight="1" x14ac:dyDescent="0.2">
      <c r="E6302" s="7"/>
      <c r="F6302" s="7"/>
    </row>
    <row r="6303" spans="5:6" ht="15" customHeight="1" x14ac:dyDescent="0.2">
      <c r="E6303" s="7"/>
      <c r="F6303" s="7"/>
    </row>
    <row r="6304" spans="5:6" ht="15" customHeight="1" x14ac:dyDescent="0.2">
      <c r="E6304" s="7"/>
      <c r="F6304" s="7"/>
    </row>
    <row r="6305" spans="5:6" ht="15" customHeight="1" x14ac:dyDescent="0.2">
      <c r="E6305" s="7"/>
      <c r="F6305" s="7"/>
    </row>
    <row r="6306" spans="5:6" ht="15" customHeight="1" x14ac:dyDescent="0.2">
      <c r="E6306" s="7"/>
      <c r="F6306" s="7"/>
    </row>
    <row r="6307" spans="5:6" ht="15" customHeight="1" x14ac:dyDescent="0.2">
      <c r="E6307" s="7"/>
      <c r="F6307" s="7"/>
    </row>
    <row r="6308" spans="5:6" ht="15" customHeight="1" x14ac:dyDescent="0.2">
      <c r="E6308" s="7"/>
      <c r="F6308" s="7"/>
    </row>
    <row r="6309" spans="5:6" ht="15" customHeight="1" x14ac:dyDescent="0.2">
      <c r="E6309" s="7"/>
      <c r="F6309" s="7"/>
    </row>
    <row r="6310" spans="5:6" ht="15" customHeight="1" x14ac:dyDescent="0.2">
      <c r="E6310" s="7"/>
      <c r="F6310" s="7"/>
    </row>
    <row r="6311" spans="5:6" ht="15" customHeight="1" x14ac:dyDescent="0.2">
      <c r="E6311" s="7"/>
      <c r="F6311" s="7"/>
    </row>
    <row r="6312" spans="5:6" ht="15" customHeight="1" x14ac:dyDescent="0.2">
      <c r="E6312" s="7"/>
      <c r="F6312" s="7"/>
    </row>
    <row r="6313" spans="5:6" ht="15" customHeight="1" x14ac:dyDescent="0.2">
      <c r="E6313" s="7"/>
      <c r="F6313" s="7"/>
    </row>
    <row r="6314" spans="5:6" ht="15" customHeight="1" x14ac:dyDescent="0.2">
      <c r="E6314" s="7"/>
      <c r="F6314" s="7"/>
    </row>
    <row r="6315" spans="5:6" ht="15" customHeight="1" x14ac:dyDescent="0.2">
      <c r="E6315" s="7"/>
      <c r="F6315" s="7"/>
    </row>
    <row r="6316" spans="5:6" ht="15" customHeight="1" x14ac:dyDescent="0.2">
      <c r="E6316" s="7"/>
      <c r="F6316" s="7"/>
    </row>
    <row r="6317" spans="5:6" ht="15" customHeight="1" x14ac:dyDescent="0.2">
      <c r="E6317" s="7"/>
      <c r="F6317" s="7"/>
    </row>
    <row r="6318" spans="5:6" ht="15" customHeight="1" x14ac:dyDescent="0.2">
      <c r="E6318" s="7"/>
      <c r="F6318" s="7"/>
    </row>
    <row r="6319" spans="5:6" ht="15" customHeight="1" x14ac:dyDescent="0.2">
      <c r="E6319" s="7"/>
      <c r="F6319" s="7"/>
    </row>
    <row r="6320" spans="5:6" ht="15" customHeight="1" x14ac:dyDescent="0.2">
      <c r="E6320" s="7"/>
      <c r="F6320" s="7"/>
    </row>
    <row r="6321" spans="5:6" ht="15" customHeight="1" x14ac:dyDescent="0.2">
      <c r="E6321" s="7"/>
      <c r="F6321" s="7"/>
    </row>
    <row r="6322" spans="5:6" ht="15" customHeight="1" x14ac:dyDescent="0.2">
      <c r="E6322" s="7"/>
      <c r="F6322" s="7"/>
    </row>
    <row r="6323" spans="5:6" ht="15" customHeight="1" x14ac:dyDescent="0.2">
      <c r="E6323" s="7"/>
      <c r="F6323" s="7"/>
    </row>
    <row r="6324" spans="5:6" ht="15" customHeight="1" x14ac:dyDescent="0.2">
      <c r="E6324" s="7"/>
      <c r="F6324" s="7"/>
    </row>
    <row r="6325" spans="5:6" ht="15" customHeight="1" x14ac:dyDescent="0.2">
      <c r="E6325" s="7"/>
      <c r="F6325" s="7"/>
    </row>
    <row r="6326" spans="5:6" ht="15" customHeight="1" x14ac:dyDescent="0.2">
      <c r="E6326" s="7"/>
      <c r="F6326" s="7"/>
    </row>
    <row r="6327" spans="5:6" ht="15" customHeight="1" x14ac:dyDescent="0.2">
      <c r="E6327" s="7"/>
      <c r="F6327" s="7"/>
    </row>
    <row r="6328" spans="5:6" ht="15" customHeight="1" x14ac:dyDescent="0.2">
      <c r="E6328" s="7"/>
      <c r="F6328" s="7"/>
    </row>
    <row r="6329" spans="5:6" ht="15" customHeight="1" x14ac:dyDescent="0.2">
      <c r="E6329" s="7"/>
      <c r="F6329" s="7"/>
    </row>
    <row r="6330" spans="5:6" ht="15" customHeight="1" x14ac:dyDescent="0.2">
      <c r="E6330" s="7"/>
      <c r="F6330" s="7"/>
    </row>
    <row r="6331" spans="5:6" ht="15" customHeight="1" x14ac:dyDescent="0.2">
      <c r="E6331" s="7"/>
      <c r="F6331" s="7"/>
    </row>
    <row r="6332" spans="5:6" ht="15" customHeight="1" x14ac:dyDescent="0.2">
      <c r="E6332" s="7"/>
      <c r="F6332" s="7"/>
    </row>
    <row r="6333" spans="5:6" ht="15" customHeight="1" x14ac:dyDescent="0.2">
      <c r="E6333" s="7"/>
      <c r="F6333" s="7"/>
    </row>
    <row r="6334" spans="5:6" ht="15" customHeight="1" x14ac:dyDescent="0.2">
      <c r="E6334" s="7"/>
      <c r="F6334" s="7"/>
    </row>
    <row r="6335" spans="5:6" ht="15" customHeight="1" x14ac:dyDescent="0.2">
      <c r="E6335" s="7"/>
      <c r="F6335" s="7"/>
    </row>
    <row r="6336" spans="5:6" ht="15" customHeight="1" x14ac:dyDescent="0.2">
      <c r="E6336" s="7"/>
      <c r="F6336" s="7"/>
    </row>
    <row r="6337" spans="5:6" ht="15" customHeight="1" x14ac:dyDescent="0.2">
      <c r="E6337" s="7"/>
      <c r="F6337" s="7"/>
    </row>
    <row r="6338" spans="5:6" ht="15" customHeight="1" x14ac:dyDescent="0.2">
      <c r="E6338" s="7"/>
      <c r="F6338" s="7"/>
    </row>
    <row r="6339" spans="5:6" ht="15" customHeight="1" x14ac:dyDescent="0.2">
      <c r="E6339" s="7"/>
      <c r="F6339" s="7"/>
    </row>
    <row r="6340" spans="5:6" ht="15" customHeight="1" x14ac:dyDescent="0.2">
      <c r="E6340" s="7"/>
      <c r="F6340" s="7"/>
    </row>
    <row r="6341" spans="5:6" ht="15" customHeight="1" x14ac:dyDescent="0.2">
      <c r="E6341" s="7"/>
      <c r="F6341" s="7"/>
    </row>
    <row r="6342" spans="5:6" ht="15" customHeight="1" x14ac:dyDescent="0.2">
      <c r="E6342" s="7"/>
      <c r="F6342" s="7"/>
    </row>
    <row r="6343" spans="5:6" ht="15" customHeight="1" x14ac:dyDescent="0.2">
      <c r="E6343" s="7"/>
      <c r="F6343" s="7"/>
    </row>
    <row r="6344" spans="5:6" ht="15" customHeight="1" x14ac:dyDescent="0.2">
      <c r="E6344" s="7"/>
      <c r="F6344" s="7"/>
    </row>
    <row r="6345" spans="5:6" ht="15" customHeight="1" x14ac:dyDescent="0.2">
      <c r="E6345" s="7"/>
      <c r="F6345" s="7"/>
    </row>
    <row r="6346" spans="5:6" ht="15" customHeight="1" x14ac:dyDescent="0.2">
      <c r="E6346" s="7"/>
      <c r="F6346" s="7"/>
    </row>
    <row r="6347" spans="5:6" ht="15" customHeight="1" x14ac:dyDescent="0.2">
      <c r="E6347" s="7"/>
      <c r="F6347" s="7"/>
    </row>
    <row r="6348" spans="5:6" ht="15" customHeight="1" x14ac:dyDescent="0.2">
      <c r="E6348" s="7"/>
      <c r="F6348" s="7"/>
    </row>
    <row r="6349" spans="5:6" ht="15" customHeight="1" x14ac:dyDescent="0.2">
      <c r="E6349" s="7"/>
      <c r="F6349" s="7"/>
    </row>
    <row r="6350" spans="5:6" ht="15" customHeight="1" x14ac:dyDescent="0.2">
      <c r="E6350" s="7"/>
      <c r="F6350" s="7"/>
    </row>
    <row r="6351" spans="5:6" ht="15" customHeight="1" x14ac:dyDescent="0.2">
      <c r="E6351" s="7"/>
      <c r="F6351" s="7"/>
    </row>
    <row r="6352" spans="5:6" ht="15" customHeight="1" x14ac:dyDescent="0.2">
      <c r="E6352" s="7"/>
      <c r="F6352" s="7"/>
    </row>
    <row r="6353" spans="5:6" ht="15" customHeight="1" x14ac:dyDescent="0.2">
      <c r="E6353" s="7"/>
      <c r="F6353" s="7"/>
    </row>
    <row r="6354" spans="5:6" ht="15" customHeight="1" x14ac:dyDescent="0.2">
      <c r="E6354" s="7"/>
      <c r="F6354" s="7"/>
    </row>
    <row r="6355" spans="5:6" ht="15" customHeight="1" x14ac:dyDescent="0.2">
      <c r="E6355" s="7"/>
      <c r="F6355" s="7"/>
    </row>
    <row r="6356" spans="5:6" ht="15" customHeight="1" x14ac:dyDescent="0.2">
      <c r="E6356" s="7"/>
      <c r="F6356" s="7"/>
    </row>
    <row r="6357" spans="5:6" ht="15" customHeight="1" x14ac:dyDescent="0.2">
      <c r="E6357" s="7"/>
      <c r="F6357" s="7"/>
    </row>
    <row r="6358" spans="5:6" ht="15" customHeight="1" x14ac:dyDescent="0.2">
      <c r="E6358" s="7"/>
      <c r="F6358" s="7"/>
    </row>
    <row r="6359" spans="5:6" ht="15" customHeight="1" x14ac:dyDescent="0.2">
      <c r="E6359" s="7"/>
      <c r="F6359" s="7"/>
    </row>
    <row r="6360" spans="5:6" ht="15" customHeight="1" x14ac:dyDescent="0.2">
      <c r="E6360" s="7"/>
      <c r="F6360" s="7"/>
    </row>
    <row r="6361" spans="5:6" ht="15" customHeight="1" x14ac:dyDescent="0.2">
      <c r="E6361" s="7"/>
      <c r="F6361" s="7"/>
    </row>
    <row r="6362" spans="5:6" ht="15" customHeight="1" x14ac:dyDescent="0.2">
      <c r="E6362" s="7"/>
      <c r="F6362" s="7"/>
    </row>
    <row r="6363" spans="5:6" ht="15" customHeight="1" x14ac:dyDescent="0.2">
      <c r="E6363" s="7"/>
      <c r="F6363" s="7"/>
    </row>
    <row r="6364" spans="5:6" ht="15" customHeight="1" x14ac:dyDescent="0.2">
      <c r="E6364" s="7"/>
      <c r="F6364" s="7"/>
    </row>
    <row r="6365" spans="5:6" ht="15" customHeight="1" x14ac:dyDescent="0.2">
      <c r="E6365" s="7"/>
      <c r="F6365" s="7"/>
    </row>
    <row r="6366" spans="5:6" ht="15" customHeight="1" x14ac:dyDescent="0.2">
      <c r="E6366" s="7"/>
      <c r="F6366" s="7"/>
    </row>
    <row r="6367" spans="5:6" ht="15" customHeight="1" x14ac:dyDescent="0.2">
      <c r="E6367" s="7"/>
      <c r="F6367" s="7"/>
    </row>
    <row r="6368" spans="5:6" ht="15" customHeight="1" x14ac:dyDescent="0.2">
      <c r="E6368" s="7"/>
      <c r="F6368" s="7"/>
    </row>
    <row r="6369" spans="5:6" ht="15" customHeight="1" x14ac:dyDescent="0.2">
      <c r="E6369" s="7"/>
      <c r="F6369" s="7"/>
    </row>
    <row r="6370" spans="5:6" ht="15" customHeight="1" x14ac:dyDescent="0.2">
      <c r="E6370" s="7"/>
      <c r="F6370" s="7"/>
    </row>
    <row r="6371" spans="5:6" ht="15" customHeight="1" x14ac:dyDescent="0.2">
      <c r="E6371" s="7"/>
      <c r="F6371" s="7"/>
    </row>
    <row r="6372" spans="5:6" ht="15" customHeight="1" x14ac:dyDescent="0.2">
      <c r="E6372" s="7"/>
      <c r="F6372" s="7"/>
    </row>
    <row r="6373" spans="5:6" ht="15" customHeight="1" x14ac:dyDescent="0.2">
      <c r="E6373" s="7"/>
      <c r="F6373" s="7"/>
    </row>
    <row r="6374" spans="5:6" ht="15" customHeight="1" x14ac:dyDescent="0.2">
      <c r="E6374" s="7"/>
      <c r="F6374" s="7"/>
    </row>
    <row r="6375" spans="5:6" ht="15" customHeight="1" x14ac:dyDescent="0.2">
      <c r="E6375" s="7"/>
      <c r="F6375" s="7"/>
    </row>
    <row r="6376" spans="5:6" ht="15" customHeight="1" x14ac:dyDescent="0.2">
      <c r="E6376" s="7"/>
      <c r="F6376" s="7"/>
    </row>
    <row r="6377" spans="5:6" ht="15" customHeight="1" x14ac:dyDescent="0.2">
      <c r="E6377" s="7"/>
      <c r="F6377" s="7"/>
    </row>
    <row r="6378" spans="5:6" ht="15" customHeight="1" x14ac:dyDescent="0.2">
      <c r="E6378" s="7"/>
      <c r="F6378" s="7"/>
    </row>
    <row r="6379" spans="5:6" ht="15" customHeight="1" x14ac:dyDescent="0.2">
      <c r="E6379" s="7"/>
      <c r="F6379" s="7"/>
    </row>
    <row r="6380" spans="5:6" ht="15" customHeight="1" x14ac:dyDescent="0.2">
      <c r="E6380" s="7"/>
      <c r="F6380" s="7"/>
    </row>
    <row r="6381" spans="5:6" ht="15" customHeight="1" x14ac:dyDescent="0.2">
      <c r="E6381" s="7"/>
      <c r="F6381" s="7"/>
    </row>
    <row r="6382" spans="5:6" ht="15" customHeight="1" x14ac:dyDescent="0.2">
      <c r="E6382" s="7"/>
      <c r="F6382" s="7"/>
    </row>
    <row r="6383" spans="5:6" ht="15" customHeight="1" x14ac:dyDescent="0.2">
      <c r="E6383" s="7"/>
      <c r="F6383" s="7"/>
    </row>
    <row r="6384" spans="5:6" ht="15" customHeight="1" x14ac:dyDescent="0.2">
      <c r="E6384" s="7"/>
      <c r="F6384" s="7"/>
    </row>
    <row r="6385" spans="5:6" ht="15" customHeight="1" x14ac:dyDescent="0.2">
      <c r="E6385" s="7"/>
      <c r="F6385" s="7"/>
    </row>
    <row r="6386" spans="5:6" ht="15" customHeight="1" x14ac:dyDescent="0.2">
      <c r="E6386" s="7"/>
      <c r="F6386" s="7"/>
    </row>
    <row r="6387" spans="5:6" ht="15" customHeight="1" x14ac:dyDescent="0.2">
      <c r="E6387" s="7"/>
      <c r="F6387" s="7"/>
    </row>
    <row r="6388" spans="5:6" ht="15" customHeight="1" x14ac:dyDescent="0.2">
      <c r="E6388" s="7"/>
      <c r="F6388" s="7"/>
    </row>
    <row r="6389" spans="5:6" ht="15" customHeight="1" x14ac:dyDescent="0.2">
      <c r="E6389" s="7"/>
      <c r="F6389" s="7"/>
    </row>
    <row r="6390" spans="5:6" ht="15" customHeight="1" x14ac:dyDescent="0.2">
      <c r="E6390" s="7"/>
      <c r="F6390" s="7"/>
    </row>
    <row r="6391" spans="5:6" ht="15" customHeight="1" x14ac:dyDescent="0.2">
      <c r="E6391" s="7"/>
      <c r="F6391" s="7"/>
    </row>
    <row r="6392" spans="5:6" ht="15" customHeight="1" x14ac:dyDescent="0.2">
      <c r="E6392" s="7"/>
      <c r="F6392" s="7"/>
    </row>
    <row r="6393" spans="5:6" ht="15" customHeight="1" x14ac:dyDescent="0.2">
      <c r="E6393" s="7"/>
      <c r="F6393" s="7"/>
    </row>
    <row r="6394" spans="5:6" ht="15" customHeight="1" x14ac:dyDescent="0.2">
      <c r="E6394" s="7"/>
      <c r="F6394" s="7"/>
    </row>
    <row r="6395" spans="5:6" ht="15" customHeight="1" x14ac:dyDescent="0.2">
      <c r="E6395" s="7"/>
      <c r="F6395" s="7"/>
    </row>
    <row r="6396" spans="5:6" ht="15" customHeight="1" x14ac:dyDescent="0.2">
      <c r="E6396" s="7"/>
      <c r="F6396" s="7"/>
    </row>
    <row r="6397" spans="5:6" ht="15" customHeight="1" x14ac:dyDescent="0.2">
      <c r="E6397" s="7"/>
      <c r="F6397" s="7"/>
    </row>
    <row r="6398" spans="5:6" ht="15" customHeight="1" x14ac:dyDescent="0.2">
      <c r="E6398" s="7"/>
      <c r="F6398" s="7"/>
    </row>
    <row r="6399" spans="5:6" ht="15" customHeight="1" x14ac:dyDescent="0.2">
      <c r="E6399" s="7"/>
      <c r="F6399" s="7"/>
    </row>
    <row r="6400" spans="5:6" ht="15" customHeight="1" x14ac:dyDescent="0.2">
      <c r="E6400" s="7"/>
      <c r="F6400" s="7"/>
    </row>
    <row r="6401" spans="5:6" ht="15" customHeight="1" x14ac:dyDescent="0.2">
      <c r="E6401" s="7"/>
      <c r="F6401" s="7"/>
    </row>
    <row r="6402" spans="5:6" ht="15" customHeight="1" x14ac:dyDescent="0.2">
      <c r="E6402" s="7"/>
      <c r="F6402" s="7"/>
    </row>
    <row r="6403" spans="5:6" ht="15" customHeight="1" x14ac:dyDescent="0.2">
      <c r="E6403" s="7"/>
      <c r="F6403" s="7"/>
    </row>
    <row r="6404" spans="5:6" ht="15" customHeight="1" x14ac:dyDescent="0.2">
      <c r="E6404" s="7"/>
      <c r="F6404" s="7"/>
    </row>
    <row r="6405" spans="5:6" ht="15" customHeight="1" x14ac:dyDescent="0.2">
      <c r="E6405" s="7"/>
      <c r="F6405" s="7"/>
    </row>
    <row r="6406" spans="5:6" ht="15" customHeight="1" x14ac:dyDescent="0.2">
      <c r="E6406" s="7"/>
      <c r="F6406" s="7"/>
    </row>
    <row r="6407" spans="5:6" ht="15" customHeight="1" x14ac:dyDescent="0.2">
      <c r="E6407" s="7"/>
      <c r="F6407" s="7"/>
    </row>
    <row r="6408" spans="5:6" ht="15" customHeight="1" x14ac:dyDescent="0.2">
      <c r="E6408" s="7"/>
      <c r="F6408" s="7"/>
    </row>
    <row r="6409" spans="5:6" ht="15" customHeight="1" x14ac:dyDescent="0.2">
      <c r="E6409" s="7"/>
      <c r="F6409" s="7"/>
    </row>
    <row r="6410" spans="5:6" ht="15" customHeight="1" x14ac:dyDescent="0.2">
      <c r="E6410" s="7"/>
      <c r="F6410" s="7"/>
    </row>
    <row r="6411" spans="5:6" ht="15" customHeight="1" x14ac:dyDescent="0.2">
      <c r="E6411" s="7"/>
      <c r="F6411" s="7"/>
    </row>
    <row r="6412" spans="5:6" ht="15" customHeight="1" x14ac:dyDescent="0.2">
      <c r="E6412" s="7"/>
      <c r="F6412" s="7"/>
    </row>
    <row r="6413" spans="5:6" ht="15" customHeight="1" x14ac:dyDescent="0.2">
      <c r="E6413" s="7"/>
      <c r="F6413" s="7"/>
    </row>
    <row r="6414" spans="5:6" ht="15" customHeight="1" x14ac:dyDescent="0.2">
      <c r="E6414" s="7"/>
      <c r="F6414" s="7"/>
    </row>
    <row r="6415" spans="5:6" ht="15" customHeight="1" x14ac:dyDescent="0.2">
      <c r="E6415" s="7"/>
      <c r="F6415" s="7"/>
    </row>
    <row r="6416" spans="5:6" ht="15" customHeight="1" x14ac:dyDescent="0.2">
      <c r="E6416" s="7"/>
      <c r="F6416" s="7"/>
    </row>
    <row r="6417" spans="5:6" ht="15" customHeight="1" x14ac:dyDescent="0.2">
      <c r="E6417" s="7"/>
      <c r="F6417" s="7"/>
    </row>
    <row r="6418" spans="5:6" ht="15" customHeight="1" x14ac:dyDescent="0.2">
      <c r="E6418" s="7"/>
      <c r="F6418" s="7"/>
    </row>
    <row r="6419" spans="5:6" ht="15" customHeight="1" x14ac:dyDescent="0.2">
      <c r="E6419" s="7"/>
      <c r="F6419" s="7"/>
    </row>
    <row r="6420" spans="5:6" ht="15" customHeight="1" x14ac:dyDescent="0.2">
      <c r="E6420" s="7"/>
      <c r="F6420" s="7"/>
    </row>
    <row r="6421" spans="5:6" ht="15" customHeight="1" x14ac:dyDescent="0.2">
      <c r="E6421" s="7"/>
      <c r="F6421" s="7"/>
    </row>
    <row r="6422" spans="5:6" ht="15" customHeight="1" x14ac:dyDescent="0.2">
      <c r="E6422" s="7"/>
      <c r="F6422" s="7"/>
    </row>
    <row r="6423" spans="5:6" ht="15" customHeight="1" x14ac:dyDescent="0.2">
      <c r="E6423" s="7"/>
      <c r="F6423" s="7"/>
    </row>
    <row r="6424" spans="5:6" ht="15" customHeight="1" x14ac:dyDescent="0.2">
      <c r="E6424" s="7"/>
      <c r="F6424" s="7"/>
    </row>
    <row r="6425" spans="5:6" ht="15" customHeight="1" x14ac:dyDescent="0.2">
      <c r="E6425" s="7"/>
      <c r="F6425" s="7"/>
    </row>
    <row r="6426" spans="5:6" ht="15" customHeight="1" x14ac:dyDescent="0.2">
      <c r="E6426" s="7"/>
      <c r="F6426" s="7"/>
    </row>
    <row r="6427" spans="5:6" ht="15" customHeight="1" x14ac:dyDescent="0.2">
      <c r="E6427" s="7"/>
      <c r="F6427" s="7"/>
    </row>
    <row r="6428" spans="5:6" ht="15" customHeight="1" x14ac:dyDescent="0.2">
      <c r="E6428" s="7"/>
      <c r="F6428" s="7"/>
    </row>
    <row r="6429" spans="5:6" ht="15" customHeight="1" x14ac:dyDescent="0.2">
      <c r="E6429" s="7"/>
      <c r="F6429" s="7"/>
    </row>
    <row r="6430" spans="5:6" ht="15" customHeight="1" x14ac:dyDescent="0.2">
      <c r="E6430" s="7"/>
      <c r="F6430" s="7"/>
    </row>
    <row r="6431" spans="5:6" ht="15" customHeight="1" x14ac:dyDescent="0.2">
      <c r="E6431" s="7"/>
      <c r="F6431" s="7"/>
    </row>
    <row r="6432" spans="5:6" ht="15" customHeight="1" x14ac:dyDescent="0.2">
      <c r="E6432" s="7"/>
      <c r="F6432" s="7"/>
    </row>
    <row r="6433" spans="5:6" ht="15" customHeight="1" x14ac:dyDescent="0.2">
      <c r="E6433" s="7"/>
      <c r="F6433" s="7"/>
    </row>
    <row r="6434" spans="5:6" ht="15" customHeight="1" x14ac:dyDescent="0.2">
      <c r="E6434" s="7"/>
      <c r="F6434" s="7"/>
    </row>
    <row r="6435" spans="5:6" ht="15" customHeight="1" x14ac:dyDescent="0.2">
      <c r="E6435" s="7"/>
      <c r="F6435" s="7"/>
    </row>
    <row r="6436" spans="5:6" ht="15" customHeight="1" x14ac:dyDescent="0.2">
      <c r="E6436" s="7"/>
      <c r="F6436" s="7"/>
    </row>
    <row r="6437" spans="5:6" ht="15" customHeight="1" x14ac:dyDescent="0.2">
      <c r="E6437" s="7"/>
      <c r="F6437" s="7"/>
    </row>
    <row r="6438" spans="5:6" ht="15" customHeight="1" x14ac:dyDescent="0.2">
      <c r="E6438" s="7"/>
      <c r="F6438" s="7"/>
    </row>
    <row r="6439" spans="5:6" ht="15" customHeight="1" x14ac:dyDescent="0.2">
      <c r="E6439" s="7"/>
      <c r="F6439" s="7"/>
    </row>
    <row r="6440" spans="5:6" ht="15" customHeight="1" x14ac:dyDescent="0.2">
      <c r="E6440" s="7"/>
      <c r="F6440" s="7"/>
    </row>
    <row r="6441" spans="5:6" ht="15" customHeight="1" x14ac:dyDescent="0.2">
      <c r="E6441" s="7"/>
      <c r="F6441" s="7"/>
    </row>
    <row r="6442" spans="5:6" ht="15" customHeight="1" x14ac:dyDescent="0.2">
      <c r="E6442" s="7"/>
      <c r="F6442" s="7"/>
    </row>
    <row r="6443" spans="5:6" ht="15" customHeight="1" x14ac:dyDescent="0.2">
      <c r="E6443" s="7"/>
      <c r="F6443" s="7"/>
    </row>
    <row r="6444" spans="5:6" ht="15" customHeight="1" x14ac:dyDescent="0.2">
      <c r="E6444" s="7"/>
      <c r="F6444" s="7"/>
    </row>
    <row r="6445" spans="5:6" ht="15" customHeight="1" x14ac:dyDescent="0.2">
      <c r="E6445" s="7"/>
      <c r="F6445" s="7"/>
    </row>
    <row r="6446" spans="5:6" ht="15" customHeight="1" x14ac:dyDescent="0.2">
      <c r="E6446" s="7"/>
      <c r="F6446" s="7"/>
    </row>
    <row r="6447" spans="5:6" ht="15" customHeight="1" x14ac:dyDescent="0.2">
      <c r="E6447" s="7"/>
      <c r="F6447" s="7"/>
    </row>
    <row r="6448" spans="5:6" ht="15" customHeight="1" x14ac:dyDescent="0.2">
      <c r="E6448" s="7"/>
      <c r="F6448" s="7"/>
    </row>
    <row r="6449" spans="5:6" ht="15" customHeight="1" x14ac:dyDescent="0.2">
      <c r="E6449" s="7"/>
      <c r="F6449" s="7"/>
    </row>
    <row r="6450" spans="5:6" ht="15" customHeight="1" x14ac:dyDescent="0.2">
      <c r="E6450" s="7"/>
      <c r="F6450" s="7"/>
    </row>
    <row r="6451" spans="5:6" ht="15" customHeight="1" x14ac:dyDescent="0.2">
      <c r="E6451" s="7"/>
      <c r="F6451" s="7"/>
    </row>
    <row r="6452" spans="5:6" ht="15" customHeight="1" x14ac:dyDescent="0.2">
      <c r="E6452" s="7"/>
      <c r="F6452" s="7"/>
    </row>
    <row r="6453" spans="5:6" ht="15" customHeight="1" x14ac:dyDescent="0.2">
      <c r="E6453" s="7"/>
      <c r="F6453" s="7"/>
    </row>
    <row r="6454" spans="5:6" ht="15" customHeight="1" x14ac:dyDescent="0.2">
      <c r="E6454" s="7"/>
      <c r="F6454" s="7"/>
    </row>
    <row r="6455" spans="5:6" ht="15" customHeight="1" x14ac:dyDescent="0.2">
      <c r="E6455" s="7"/>
      <c r="F6455" s="7"/>
    </row>
    <row r="6456" spans="5:6" ht="15" customHeight="1" x14ac:dyDescent="0.2">
      <c r="E6456" s="7"/>
      <c r="F6456" s="7"/>
    </row>
    <row r="6457" spans="5:6" ht="15" customHeight="1" x14ac:dyDescent="0.2">
      <c r="E6457" s="7"/>
      <c r="F6457" s="7"/>
    </row>
    <row r="6458" spans="5:6" ht="15" customHeight="1" x14ac:dyDescent="0.2">
      <c r="E6458" s="7"/>
      <c r="F6458" s="7"/>
    </row>
    <row r="6459" spans="5:6" ht="15" customHeight="1" x14ac:dyDescent="0.2">
      <c r="E6459" s="7"/>
      <c r="F6459" s="7"/>
    </row>
    <row r="6460" spans="5:6" ht="15" customHeight="1" x14ac:dyDescent="0.2">
      <c r="E6460" s="7"/>
      <c r="F6460" s="7"/>
    </row>
    <row r="6461" spans="5:6" ht="15" customHeight="1" x14ac:dyDescent="0.2">
      <c r="E6461" s="7"/>
      <c r="F6461" s="7"/>
    </row>
    <row r="6462" spans="5:6" ht="15" customHeight="1" x14ac:dyDescent="0.2">
      <c r="E6462" s="7"/>
      <c r="F6462" s="7"/>
    </row>
    <row r="6463" spans="5:6" ht="15" customHeight="1" x14ac:dyDescent="0.2">
      <c r="E6463" s="7"/>
      <c r="F6463" s="7"/>
    </row>
    <row r="6464" spans="5:6" ht="15" customHeight="1" x14ac:dyDescent="0.2">
      <c r="E6464" s="7"/>
      <c r="F6464" s="7"/>
    </row>
    <row r="6465" spans="5:6" ht="15" customHeight="1" x14ac:dyDescent="0.2">
      <c r="E6465" s="7"/>
      <c r="F6465" s="7"/>
    </row>
    <row r="6466" spans="5:6" ht="15" customHeight="1" x14ac:dyDescent="0.2">
      <c r="E6466" s="7"/>
      <c r="F6466" s="7"/>
    </row>
    <row r="6467" spans="5:6" ht="15" customHeight="1" x14ac:dyDescent="0.2">
      <c r="E6467" s="7"/>
      <c r="F6467" s="7"/>
    </row>
    <row r="6468" spans="5:6" ht="15" customHeight="1" x14ac:dyDescent="0.2">
      <c r="E6468" s="7"/>
      <c r="F6468" s="7"/>
    </row>
    <row r="6469" spans="5:6" ht="15" customHeight="1" x14ac:dyDescent="0.2">
      <c r="E6469" s="7"/>
      <c r="F6469" s="7"/>
    </row>
    <row r="6470" spans="5:6" ht="15" customHeight="1" x14ac:dyDescent="0.2">
      <c r="E6470" s="7"/>
      <c r="F6470" s="7"/>
    </row>
    <row r="6471" spans="5:6" ht="15" customHeight="1" x14ac:dyDescent="0.2">
      <c r="E6471" s="7"/>
      <c r="F6471" s="7"/>
    </row>
    <row r="6472" spans="5:6" ht="15" customHeight="1" x14ac:dyDescent="0.2">
      <c r="E6472" s="7"/>
      <c r="F6472" s="7"/>
    </row>
    <row r="6473" spans="5:6" ht="15" customHeight="1" x14ac:dyDescent="0.2">
      <c r="E6473" s="7"/>
      <c r="F6473" s="7"/>
    </row>
    <row r="6474" spans="5:6" ht="15" customHeight="1" x14ac:dyDescent="0.2">
      <c r="E6474" s="7"/>
      <c r="F6474" s="7"/>
    </row>
    <row r="6475" spans="5:6" ht="15" customHeight="1" x14ac:dyDescent="0.2">
      <c r="E6475" s="7"/>
      <c r="F6475" s="7"/>
    </row>
    <row r="6476" spans="5:6" ht="15" customHeight="1" x14ac:dyDescent="0.2">
      <c r="E6476" s="7"/>
      <c r="F6476" s="7"/>
    </row>
    <row r="6477" spans="5:6" ht="15" customHeight="1" x14ac:dyDescent="0.2">
      <c r="E6477" s="7"/>
      <c r="F6477" s="7"/>
    </row>
    <row r="6478" spans="5:6" ht="15" customHeight="1" x14ac:dyDescent="0.2">
      <c r="E6478" s="7"/>
      <c r="F6478" s="7"/>
    </row>
    <row r="6479" spans="5:6" ht="15" customHeight="1" x14ac:dyDescent="0.2">
      <c r="E6479" s="7"/>
      <c r="F6479" s="7"/>
    </row>
    <row r="6480" spans="5:6" ht="15" customHeight="1" x14ac:dyDescent="0.2">
      <c r="E6480" s="7"/>
      <c r="F6480" s="7"/>
    </row>
    <row r="6481" spans="5:6" ht="15" customHeight="1" x14ac:dyDescent="0.2">
      <c r="E6481" s="7"/>
      <c r="F6481" s="7"/>
    </row>
    <row r="6482" spans="5:6" ht="15" customHeight="1" x14ac:dyDescent="0.2">
      <c r="E6482" s="7"/>
      <c r="F6482" s="7"/>
    </row>
    <row r="6483" spans="5:6" ht="15" customHeight="1" x14ac:dyDescent="0.2">
      <c r="E6483" s="7"/>
      <c r="F6483" s="7"/>
    </row>
    <row r="6484" spans="5:6" ht="15" customHeight="1" x14ac:dyDescent="0.2">
      <c r="E6484" s="7"/>
      <c r="F6484" s="7"/>
    </row>
    <row r="6485" spans="5:6" ht="15" customHeight="1" x14ac:dyDescent="0.2">
      <c r="E6485" s="7"/>
      <c r="F6485" s="7"/>
    </row>
    <row r="6486" spans="5:6" ht="15" customHeight="1" x14ac:dyDescent="0.2">
      <c r="E6486" s="7"/>
      <c r="F6486" s="7"/>
    </row>
    <row r="6487" spans="5:6" ht="15" customHeight="1" x14ac:dyDescent="0.2">
      <c r="E6487" s="7"/>
      <c r="F6487" s="7"/>
    </row>
    <row r="6488" spans="5:6" ht="15" customHeight="1" x14ac:dyDescent="0.2">
      <c r="E6488" s="7"/>
      <c r="F6488" s="7"/>
    </row>
    <row r="6489" spans="5:6" ht="15" customHeight="1" x14ac:dyDescent="0.2">
      <c r="E6489" s="7"/>
      <c r="F6489" s="7"/>
    </row>
    <row r="6490" spans="5:6" ht="15" customHeight="1" x14ac:dyDescent="0.2">
      <c r="E6490" s="7"/>
      <c r="F6490" s="7"/>
    </row>
    <row r="6491" spans="5:6" ht="15" customHeight="1" x14ac:dyDescent="0.2">
      <c r="E6491" s="7"/>
      <c r="F6491" s="7"/>
    </row>
    <row r="6492" spans="5:6" ht="15" customHeight="1" x14ac:dyDescent="0.2">
      <c r="E6492" s="7"/>
      <c r="F6492" s="7"/>
    </row>
    <row r="6493" spans="5:6" ht="15" customHeight="1" x14ac:dyDescent="0.2">
      <c r="E6493" s="7"/>
      <c r="F6493" s="7"/>
    </row>
    <row r="6494" spans="5:6" ht="15" customHeight="1" x14ac:dyDescent="0.2">
      <c r="E6494" s="7"/>
      <c r="F6494" s="7"/>
    </row>
    <row r="6495" spans="5:6" ht="15" customHeight="1" x14ac:dyDescent="0.2">
      <c r="E6495" s="7"/>
      <c r="F6495" s="7"/>
    </row>
    <row r="6496" spans="5:6" ht="15" customHeight="1" x14ac:dyDescent="0.2">
      <c r="E6496" s="7"/>
      <c r="F6496" s="7"/>
    </row>
    <row r="6497" spans="5:6" ht="15" customHeight="1" x14ac:dyDescent="0.2">
      <c r="E6497" s="7"/>
      <c r="F6497" s="7"/>
    </row>
    <row r="6498" spans="5:6" ht="15" customHeight="1" x14ac:dyDescent="0.2">
      <c r="E6498" s="7"/>
      <c r="F6498" s="7"/>
    </row>
    <row r="6499" spans="5:6" ht="15" customHeight="1" x14ac:dyDescent="0.2">
      <c r="E6499" s="7"/>
      <c r="F6499" s="7"/>
    </row>
    <row r="6500" spans="5:6" ht="15" customHeight="1" x14ac:dyDescent="0.2">
      <c r="E6500" s="7"/>
      <c r="F6500" s="7"/>
    </row>
    <row r="6501" spans="5:6" ht="15" customHeight="1" x14ac:dyDescent="0.2">
      <c r="E6501" s="7"/>
      <c r="F6501" s="7"/>
    </row>
    <row r="6502" spans="5:6" ht="15" customHeight="1" x14ac:dyDescent="0.2">
      <c r="E6502" s="7"/>
      <c r="F6502" s="7"/>
    </row>
    <row r="6503" spans="5:6" ht="15" customHeight="1" x14ac:dyDescent="0.2">
      <c r="E6503" s="7"/>
      <c r="F6503" s="7"/>
    </row>
    <row r="6504" spans="5:6" ht="15" customHeight="1" x14ac:dyDescent="0.2">
      <c r="E6504" s="7"/>
      <c r="F6504" s="7"/>
    </row>
    <row r="6505" spans="5:6" ht="15" customHeight="1" x14ac:dyDescent="0.2">
      <c r="E6505" s="7"/>
      <c r="F6505" s="7"/>
    </row>
    <row r="6506" spans="5:6" ht="15" customHeight="1" x14ac:dyDescent="0.2">
      <c r="E6506" s="7"/>
      <c r="F6506" s="7"/>
    </row>
    <row r="6507" spans="5:6" ht="15" customHeight="1" x14ac:dyDescent="0.2">
      <c r="E6507" s="7"/>
      <c r="F6507" s="7"/>
    </row>
    <row r="6508" spans="5:6" ht="15" customHeight="1" x14ac:dyDescent="0.2">
      <c r="E6508" s="7"/>
      <c r="F6508" s="7"/>
    </row>
    <row r="6509" spans="5:6" ht="15" customHeight="1" x14ac:dyDescent="0.2">
      <c r="E6509" s="7"/>
      <c r="F6509" s="7"/>
    </row>
    <row r="6510" spans="5:6" ht="15" customHeight="1" x14ac:dyDescent="0.2">
      <c r="E6510" s="7"/>
      <c r="F6510" s="7"/>
    </row>
    <row r="6511" spans="5:6" ht="15" customHeight="1" x14ac:dyDescent="0.2">
      <c r="E6511" s="7"/>
      <c r="F6511" s="7"/>
    </row>
    <row r="6512" spans="5:6" ht="15" customHeight="1" x14ac:dyDescent="0.2">
      <c r="E6512" s="7"/>
      <c r="F6512" s="7"/>
    </row>
    <row r="6513" spans="5:6" ht="15" customHeight="1" x14ac:dyDescent="0.2">
      <c r="E6513" s="7"/>
      <c r="F6513" s="7"/>
    </row>
    <row r="6514" spans="5:6" ht="15" customHeight="1" x14ac:dyDescent="0.2">
      <c r="E6514" s="7"/>
      <c r="F6514" s="7"/>
    </row>
    <row r="6515" spans="5:6" ht="15" customHeight="1" x14ac:dyDescent="0.2">
      <c r="E6515" s="7"/>
      <c r="F6515" s="7"/>
    </row>
    <row r="6516" spans="5:6" ht="15" customHeight="1" x14ac:dyDescent="0.2">
      <c r="E6516" s="7"/>
      <c r="F6516" s="7"/>
    </row>
    <row r="6517" spans="5:6" ht="15" customHeight="1" x14ac:dyDescent="0.2">
      <c r="E6517" s="7"/>
      <c r="F6517" s="7"/>
    </row>
    <row r="6518" spans="5:6" ht="15" customHeight="1" x14ac:dyDescent="0.2">
      <c r="E6518" s="7"/>
      <c r="F6518" s="7"/>
    </row>
    <row r="6519" spans="5:6" ht="15" customHeight="1" x14ac:dyDescent="0.2">
      <c r="E6519" s="7"/>
      <c r="F6519" s="7"/>
    </row>
    <row r="6520" spans="5:6" ht="15" customHeight="1" x14ac:dyDescent="0.2">
      <c r="E6520" s="7"/>
      <c r="F6520" s="7"/>
    </row>
    <row r="6521" spans="5:6" ht="15" customHeight="1" x14ac:dyDescent="0.2">
      <c r="E6521" s="7"/>
      <c r="F6521" s="7"/>
    </row>
    <row r="6522" spans="5:6" ht="15" customHeight="1" x14ac:dyDescent="0.2">
      <c r="E6522" s="7"/>
      <c r="F6522" s="7"/>
    </row>
    <row r="6523" spans="5:6" ht="15" customHeight="1" x14ac:dyDescent="0.2">
      <c r="E6523" s="7"/>
      <c r="F6523" s="7"/>
    </row>
    <row r="6524" spans="5:6" ht="15" customHeight="1" x14ac:dyDescent="0.2">
      <c r="E6524" s="7"/>
      <c r="F6524" s="7"/>
    </row>
    <row r="6525" spans="5:6" ht="15" customHeight="1" x14ac:dyDescent="0.2">
      <c r="E6525" s="7"/>
      <c r="F6525" s="7"/>
    </row>
    <row r="6526" spans="5:6" ht="15" customHeight="1" x14ac:dyDescent="0.2">
      <c r="E6526" s="7"/>
      <c r="F6526" s="7"/>
    </row>
    <row r="6527" spans="5:6" ht="15" customHeight="1" x14ac:dyDescent="0.2">
      <c r="E6527" s="7"/>
      <c r="F6527" s="7"/>
    </row>
    <row r="6528" spans="5:6" ht="15" customHeight="1" x14ac:dyDescent="0.2">
      <c r="E6528" s="7"/>
      <c r="F6528" s="7"/>
    </row>
    <row r="6529" spans="5:6" ht="15" customHeight="1" x14ac:dyDescent="0.2">
      <c r="E6529" s="7"/>
      <c r="F6529" s="7"/>
    </row>
    <row r="6530" spans="5:6" ht="15" customHeight="1" x14ac:dyDescent="0.2">
      <c r="E6530" s="7"/>
      <c r="F6530" s="7"/>
    </row>
    <row r="6531" spans="5:6" ht="15" customHeight="1" x14ac:dyDescent="0.2">
      <c r="E6531" s="7"/>
      <c r="F6531" s="7"/>
    </row>
    <row r="6532" spans="5:6" ht="15" customHeight="1" x14ac:dyDescent="0.2">
      <c r="E6532" s="7"/>
      <c r="F6532" s="7"/>
    </row>
    <row r="6533" spans="5:6" ht="15" customHeight="1" x14ac:dyDescent="0.2">
      <c r="E6533" s="7"/>
      <c r="F6533" s="7"/>
    </row>
    <row r="6534" spans="5:6" ht="15" customHeight="1" x14ac:dyDescent="0.2">
      <c r="E6534" s="7"/>
      <c r="F6534" s="7"/>
    </row>
    <row r="6535" spans="5:6" ht="15" customHeight="1" x14ac:dyDescent="0.2">
      <c r="E6535" s="7"/>
      <c r="F6535" s="7"/>
    </row>
    <row r="6536" spans="5:6" ht="15" customHeight="1" x14ac:dyDescent="0.2">
      <c r="E6536" s="7"/>
      <c r="F6536" s="7"/>
    </row>
    <row r="6537" spans="5:6" ht="15" customHeight="1" x14ac:dyDescent="0.2">
      <c r="E6537" s="7"/>
      <c r="F6537" s="7"/>
    </row>
    <row r="6538" spans="5:6" ht="15" customHeight="1" x14ac:dyDescent="0.2">
      <c r="E6538" s="7"/>
      <c r="F6538" s="7"/>
    </row>
    <row r="6539" spans="5:6" ht="15" customHeight="1" x14ac:dyDescent="0.2">
      <c r="E6539" s="7"/>
      <c r="F6539" s="7"/>
    </row>
    <row r="6540" spans="5:6" ht="15" customHeight="1" x14ac:dyDescent="0.2">
      <c r="E6540" s="7"/>
      <c r="F6540" s="7"/>
    </row>
    <row r="6541" spans="5:6" ht="15" customHeight="1" x14ac:dyDescent="0.2">
      <c r="E6541" s="7"/>
      <c r="F6541" s="7"/>
    </row>
    <row r="6542" spans="5:6" ht="15" customHeight="1" x14ac:dyDescent="0.2">
      <c r="E6542" s="7"/>
      <c r="F6542" s="7"/>
    </row>
    <row r="6543" spans="5:6" ht="15" customHeight="1" x14ac:dyDescent="0.2">
      <c r="E6543" s="7"/>
      <c r="F6543" s="7"/>
    </row>
    <row r="6544" spans="5:6" ht="15" customHeight="1" x14ac:dyDescent="0.2">
      <c r="E6544" s="7"/>
      <c r="F6544" s="7"/>
    </row>
    <row r="6545" spans="5:6" ht="15" customHeight="1" x14ac:dyDescent="0.2">
      <c r="E6545" s="7"/>
      <c r="F6545" s="7"/>
    </row>
    <row r="6546" spans="5:6" ht="15" customHeight="1" x14ac:dyDescent="0.2">
      <c r="E6546" s="7"/>
      <c r="F6546" s="7"/>
    </row>
    <row r="6547" spans="5:6" ht="15" customHeight="1" x14ac:dyDescent="0.2">
      <c r="E6547" s="7"/>
      <c r="F6547" s="7"/>
    </row>
    <row r="6548" spans="5:6" ht="15" customHeight="1" x14ac:dyDescent="0.2">
      <c r="E6548" s="7"/>
      <c r="F6548" s="7"/>
    </row>
    <row r="6549" spans="5:6" ht="15" customHeight="1" x14ac:dyDescent="0.2">
      <c r="E6549" s="7"/>
      <c r="F6549" s="7"/>
    </row>
    <row r="6550" spans="5:6" ht="15" customHeight="1" x14ac:dyDescent="0.2">
      <c r="E6550" s="7"/>
      <c r="F6550" s="7"/>
    </row>
    <row r="6551" spans="5:6" ht="15" customHeight="1" x14ac:dyDescent="0.2">
      <c r="E6551" s="7"/>
      <c r="F6551" s="7"/>
    </row>
    <row r="6552" spans="5:6" ht="15" customHeight="1" x14ac:dyDescent="0.2">
      <c r="E6552" s="7"/>
      <c r="F6552" s="7"/>
    </row>
    <row r="6553" spans="5:6" ht="15" customHeight="1" x14ac:dyDescent="0.2">
      <c r="E6553" s="7"/>
      <c r="F6553" s="7"/>
    </row>
    <row r="6554" spans="5:6" ht="15" customHeight="1" x14ac:dyDescent="0.2">
      <c r="E6554" s="7"/>
      <c r="F6554" s="7"/>
    </row>
    <row r="6555" spans="5:6" ht="15" customHeight="1" x14ac:dyDescent="0.2">
      <c r="E6555" s="7"/>
      <c r="F6555" s="7"/>
    </row>
    <row r="6556" spans="5:6" ht="15" customHeight="1" x14ac:dyDescent="0.2">
      <c r="E6556" s="7"/>
      <c r="F6556" s="7"/>
    </row>
    <row r="6557" spans="5:6" ht="15" customHeight="1" x14ac:dyDescent="0.2">
      <c r="E6557" s="7"/>
      <c r="F6557" s="7"/>
    </row>
    <row r="6558" spans="5:6" ht="15" customHeight="1" x14ac:dyDescent="0.2">
      <c r="E6558" s="7"/>
      <c r="F6558" s="7"/>
    </row>
    <row r="6559" spans="5:6" ht="15" customHeight="1" x14ac:dyDescent="0.2">
      <c r="E6559" s="7"/>
      <c r="F6559" s="7"/>
    </row>
    <row r="6560" spans="5:6" ht="15" customHeight="1" x14ac:dyDescent="0.2">
      <c r="E6560" s="7"/>
      <c r="F6560" s="7"/>
    </row>
    <row r="6561" spans="5:6" ht="15" customHeight="1" x14ac:dyDescent="0.2">
      <c r="E6561" s="7"/>
      <c r="F6561" s="7"/>
    </row>
    <row r="6562" spans="5:6" ht="15" customHeight="1" x14ac:dyDescent="0.2">
      <c r="E6562" s="7"/>
      <c r="F6562" s="7"/>
    </row>
    <row r="6563" spans="5:6" ht="15" customHeight="1" x14ac:dyDescent="0.2">
      <c r="E6563" s="7"/>
      <c r="F6563" s="7"/>
    </row>
    <row r="6564" spans="5:6" ht="15" customHeight="1" x14ac:dyDescent="0.2">
      <c r="E6564" s="7"/>
      <c r="F6564" s="7"/>
    </row>
    <row r="6565" spans="5:6" ht="15" customHeight="1" x14ac:dyDescent="0.2">
      <c r="E6565" s="7"/>
      <c r="F6565" s="7"/>
    </row>
    <row r="6566" spans="5:6" ht="15" customHeight="1" x14ac:dyDescent="0.2">
      <c r="E6566" s="7"/>
      <c r="F6566" s="7"/>
    </row>
    <row r="6567" spans="5:6" ht="15" customHeight="1" x14ac:dyDescent="0.2">
      <c r="E6567" s="7"/>
      <c r="F6567" s="7"/>
    </row>
    <row r="6568" spans="5:6" ht="15" customHeight="1" x14ac:dyDescent="0.2">
      <c r="E6568" s="7"/>
      <c r="F6568" s="7"/>
    </row>
    <row r="6569" spans="5:6" ht="15" customHeight="1" x14ac:dyDescent="0.2">
      <c r="E6569" s="7"/>
      <c r="F6569" s="7"/>
    </row>
    <row r="6570" spans="5:6" ht="15" customHeight="1" x14ac:dyDescent="0.2">
      <c r="E6570" s="7"/>
      <c r="F6570" s="7"/>
    </row>
    <row r="6571" spans="5:6" ht="15" customHeight="1" x14ac:dyDescent="0.2">
      <c r="E6571" s="7"/>
      <c r="F6571" s="7"/>
    </row>
    <row r="6572" spans="5:6" ht="15" customHeight="1" x14ac:dyDescent="0.2">
      <c r="E6572" s="7"/>
      <c r="F6572" s="7"/>
    </row>
    <row r="6573" spans="5:6" ht="15" customHeight="1" x14ac:dyDescent="0.2">
      <c r="E6573" s="7"/>
      <c r="F6573" s="7"/>
    </row>
    <row r="6574" spans="5:6" ht="15" customHeight="1" x14ac:dyDescent="0.2">
      <c r="E6574" s="7"/>
      <c r="F6574" s="7"/>
    </row>
    <row r="6575" spans="5:6" ht="15" customHeight="1" x14ac:dyDescent="0.2">
      <c r="E6575" s="7"/>
      <c r="F6575" s="7"/>
    </row>
    <row r="6576" spans="5:6" ht="15" customHeight="1" x14ac:dyDescent="0.2">
      <c r="E6576" s="7"/>
      <c r="F6576" s="7"/>
    </row>
    <row r="6577" spans="5:6" ht="15" customHeight="1" x14ac:dyDescent="0.2">
      <c r="E6577" s="7"/>
      <c r="F6577" s="7"/>
    </row>
    <row r="6578" spans="5:6" ht="15" customHeight="1" x14ac:dyDescent="0.2">
      <c r="E6578" s="7"/>
      <c r="F6578" s="7"/>
    </row>
    <row r="6579" spans="5:6" ht="15" customHeight="1" x14ac:dyDescent="0.2">
      <c r="E6579" s="7"/>
      <c r="F6579" s="7"/>
    </row>
    <row r="6580" spans="5:6" ht="15" customHeight="1" x14ac:dyDescent="0.2">
      <c r="E6580" s="7"/>
      <c r="F6580" s="7"/>
    </row>
    <row r="6581" spans="5:6" ht="15" customHeight="1" x14ac:dyDescent="0.2">
      <c r="E6581" s="7"/>
      <c r="F6581" s="7"/>
    </row>
    <row r="6582" spans="5:6" ht="15" customHeight="1" x14ac:dyDescent="0.2">
      <c r="E6582" s="7"/>
      <c r="F6582" s="7"/>
    </row>
    <row r="6583" spans="5:6" ht="15" customHeight="1" x14ac:dyDescent="0.2">
      <c r="E6583" s="7"/>
      <c r="F6583" s="7"/>
    </row>
    <row r="6584" spans="5:6" ht="15" customHeight="1" x14ac:dyDescent="0.2">
      <c r="E6584" s="7"/>
      <c r="F6584" s="7"/>
    </row>
    <row r="6585" spans="5:6" ht="15" customHeight="1" x14ac:dyDescent="0.2">
      <c r="E6585" s="7"/>
      <c r="F6585" s="7"/>
    </row>
    <row r="6586" spans="5:6" ht="15" customHeight="1" x14ac:dyDescent="0.2">
      <c r="E6586" s="7"/>
      <c r="F6586" s="7"/>
    </row>
    <row r="6587" spans="5:6" ht="15" customHeight="1" x14ac:dyDescent="0.2">
      <c r="E6587" s="7"/>
      <c r="F6587" s="7"/>
    </row>
    <row r="6588" spans="5:6" ht="15" customHeight="1" x14ac:dyDescent="0.2">
      <c r="E6588" s="7"/>
      <c r="F6588" s="7"/>
    </row>
    <row r="6589" spans="5:6" ht="15" customHeight="1" x14ac:dyDescent="0.2">
      <c r="E6589" s="7"/>
      <c r="F6589" s="7"/>
    </row>
    <row r="6590" spans="5:6" ht="15" customHeight="1" x14ac:dyDescent="0.2">
      <c r="E6590" s="7"/>
      <c r="F6590" s="7"/>
    </row>
    <row r="6591" spans="5:6" ht="15" customHeight="1" x14ac:dyDescent="0.2">
      <c r="E6591" s="7"/>
      <c r="F6591" s="7"/>
    </row>
    <row r="6592" spans="5:6" ht="15" customHeight="1" x14ac:dyDescent="0.2">
      <c r="E6592" s="7"/>
      <c r="F6592" s="7"/>
    </row>
    <row r="6593" spans="5:6" ht="15" customHeight="1" x14ac:dyDescent="0.2">
      <c r="E6593" s="7"/>
      <c r="F6593" s="7"/>
    </row>
    <row r="6594" spans="5:6" ht="15" customHeight="1" x14ac:dyDescent="0.2">
      <c r="E6594" s="7"/>
      <c r="F6594" s="7"/>
    </row>
    <row r="6595" spans="5:6" ht="15" customHeight="1" x14ac:dyDescent="0.2">
      <c r="E6595" s="7"/>
      <c r="F6595" s="7"/>
    </row>
    <row r="6596" spans="5:6" ht="15" customHeight="1" x14ac:dyDescent="0.2">
      <c r="E6596" s="7"/>
      <c r="F6596" s="7"/>
    </row>
    <row r="6597" spans="5:6" ht="15" customHeight="1" x14ac:dyDescent="0.2">
      <c r="E6597" s="7"/>
      <c r="F6597" s="7"/>
    </row>
    <row r="6598" spans="5:6" ht="15" customHeight="1" x14ac:dyDescent="0.2">
      <c r="E6598" s="7"/>
      <c r="F6598" s="7"/>
    </row>
    <row r="6599" spans="5:6" ht="15" customHeight="1" x14ac:dyDescent="0.2">
      <c r="E6599" s="7"/>
      <c r="F6599" s="7"/>
    </row>
    <row r="6600" spans="5:6" ht="15" customHeight="1" x14ac:dyDescent="0.2">
      <c r="E6600" s="7"/>
      <c r="F6600" s="7"/>
    </row>
    <row r="6601" spans="5:6" ht="15" customHeight="1" x14ac:dyDescent="0.2">
      <c r="E6601" s="7"/>
      <c r="F6601" s="7"/>
    </row>
    <row r="6602" spans="5:6" ht="15" customHeight="1" x14ac:dyDescent="0.2">
      <c r="E6602" s="7"/>
      <c r="F6602" s="7"/>
    </row>
    <row r="6603" spans="5:6" ht="15" customHeight="1" x14ac:dyDescent="0.2">
      <c r="E6603" s="7"/>
      <c r="F6603" s="7"/>
    </row>
    <row r="6604" spans="5:6" ht="15" customHeight="1" x14ac:dyDescent="0.2">
      <c r="E6604" s="7"/>
      <c r="F6604" s="7"/>
    </row>
    <row r="6605" spans="5:6" ht="15" customHeight="1" x14ac:dyDescent="0.2">
      <c r="E6605" s="7"/>
      <c r="F6605" s="7"/>
    </row>
    <row r="6606" spans="5:6" ht="15" customHeight="1" x14ac:dyDescent="0.2">
      <c r="E6606" s="7"/>
      <c r="F6606" s="7"/>
    </row>
    <row r="6607" spans="5:6" ht="15" customHeight="1" x14ac:dyDescent="0.2">
      <c r="E6607" s="7"/>
      <c r="F6607" s="7"/>
    </row>
    <row r="6608" spans="5:6" ht="15" customHeight="1" x14ac:dyDescent="0.2">
      <c r="E6608" s="7"/>
      <c r="F6608" s="7"/>
    </row>
    <row r="6609" spans="5:6" ht="15" customHeight="1" x14ac:dyDescent="0.2">
      <c r="E6609" s="7"/>
      <c r="F6609" s="7"/>
    </row>
    <row r="6610" spans="5:6" ht="15" customHeight="1" x14ac:dyDescent="0.2">
      <c r="E6610" s="7"/>
      <c r="F6610" s="7"/>
    </row>
    <row r="6611" spans="5:6" ht="15" customHeight="1" x14ac:dyDescent="0.2">
      <c r="E6611" s="7"/>
      <c r="F6611" s="7"/>
    </row>
    <row r="6612" spans="5:6" ht="15" customHeight="1" x14ac:dyDescent="0.2">
      <c r="E6612" s="7"/>
      <c r="F6612" s="7"/>
    </row>
    <row r="6613" spans="5:6" ht="15" customHeight="1" x14ac:dyDescent="0.2">
      <c r="E6613" s="7"/>
      <c r="F6613" s="7"/>
    </row>
    <row r="6614" spans="5:6" ht="15" customHeight="1" x14ac:dyDescent="0.2">
      <c r="E6614" s="7"/>
      <c r="F6614" s="7"/>
    </row>
    <row r="6615" spans="5:6" ht="15" customHeight="1" x14ac:dyDescent="0.2">
      <c r="E6615" s="7"/>
      <c r="F6615" s="7"/>
    </row>
    <row r="6616" spans="5:6" ht="15" customHeight="1" x14ac:dyDescent="0.2">
      <c r="E6616" s="7"/>
      <c r="F6616" s="7"/>
    </row>
    <row r="6617" spans="5:6" ht="15" customHeight="1" x14ac:dyDescent="0.2">
      <c r="E6617" s="7"/>
      <c r="F6617" s="7"/>
    </row>
    <row r="6618" spans="5:6" ht="15" customHeight="1" x14ac:dyDescent="0.2">
      <c r="E6618" s="7"/>
      <c r="F6618" s="7"/>
    </row>
    <row r="6619" spans="5:6" ht="15" customHeight="1" x14ac:dyDescent="0.2">
      <c r="E6619" s="7"/>
      <c r="F6619" s="7"/>
    </row>
    <row r="6620" spans="5:6" ht="15" customHeight="1" x14ac:dyDescent="0.2">
      <c r="E6620" s="7"/>
      <c r="F6620" s="7"/>
    </row>
    <row r="6621" spans="5:6" ht="15" customHeight="1" x14ac:dyDescent="0.2">
      <c r="E6621" s="7"/>
      <c r="F6621" s="7"/>
    </row>
    <row r="6622" spans="5:6" ht="15" customHeight="1" x14ac:dyDescent="0.2">
      <c r="E6622" s="7"/>
      <c r="F6622" s="7"/>
    </row>
    <row r="6623" spans="5:6" ht="15" customHeight="1" x14ac:dyDescent="0.2">
      <c r="E6623" s="7"/>
      <c r="F6623" s="7"/>
    </row>
    <row r="6624" spans="5:6" ht="15" customHeight="1" x14ac:dyDescent="0.2">
      <c r="E6624" s="7"/>
      <c r="F6624" s="7"/>
    </row>
    <row r="6625" spans="5:6" ht="15" customHeight="1" x14ac:dyDescent="0.2">
      <c r="E6625" s="7"/>
      <c r="F6625" s="7"/>
    </row>
    <row r="6626" spans="5:6" ht="15" customHeight="1" x14ac:dyDescent="0.2">
      <c r="E6626" s="7"/>
      <c r="F6626" s="7"/>
    </row>
    <row r="6627" spans="5:6" ht="15" customHeight="1" x14ac:dyDescent="0.2">
      <c r="E6627" s="7"/>
      <c r="F6627" s="7"/>
    </row>
    <row r="6628" spans="5:6" ht="15" customHeight="1" x14ac:dyDescent="0.2">
      <c r="E6628" s="7"/>
      <c r="F6628" s="7"/>
    </row>
    <row r="6629" spans="5:6" ht="15" customHeight="1" x14ac:dyDescent="0.2">
      <c r="E6629" s="7"/>
      <c r="F6629" s="7"/>
    </row>
    <row r="6630" spans="5:6" ht="15" customHeight="1" x14ac:dyDescent="0.2">
      <c r="E6630" s="7"/>
      <c r="F6630" s="7"/>
    </row>
    <row r="6631" spans="5:6" ht="15" customHeight="1" x14ac:dyDescent="0.2">
      <c r="E6631" s="7"/>
      <c r="F6631" s="7"/>
    </row>
    <row r="6632" spans="5:6" ht="15" customHeight="1" x14ac:dyDescent="0.2">
      <c r="E6632" s="7"/>
      <c r="F6632" s="7"/>
    </row>
    <row r="6633" spans="5:6" ht="15" customHeight="1" x14ac:dyDescent="0.2">
      <c r="E6633" s="7"/>
      <c r="F6633" s="7"/>
    </row>
    <row r="6634" spans="5:6" ht="15" customHeight="1" x14ac:dyDescent="0.2">
      <c r="E6634" s="7"/>
      <c r="F6634" s="7"/>
    </row>
    <row r="6635" spans="5:6" ht="15" customHeight="1" x14ac:dyDescent="0.2">
      <c r="E6635" s="7"/>
      <c r="F6635" s="7"/>
    </row>
    <row r="6636" spans="5:6" ht="15" customHeight="1" x14ac:dyDescent="0.2">
      <c r="E6636" s="7"/>
      <c r="F6636" s="7"/>
    </row>
    <row r="6637" spans="5:6" ht="15" customHeight="1" x14ac:dyDescent="0.2">
      <c r="E6637" s="7"/>
      <c r="F6637" s="7"/>
    </row>
    <row r="6638" spans="5:6" ht="15" customHeight="1" x14ac:dyDescent="0.2">
      <c r="E6638" s="7"/>
      <c r="F6638" s="7"/>
    </row>
    <row r="6639" spans="5:6" ht="15" customHeight="1" x14ac:dyDescent="0.2">
      <c r="E6639" s="7"/>
      <c r="F6639" s="7"/>
    </row>
    <row r="6640" spans="5:6" ht="15" customHeight="1" x14ac:dyDescent="0.2">
      <c r="E6640" s="7"/>
      <c r="F6640" s="7"/>
    </row>
    <row r="6641" spans="5:6" ht="15" customHeight="1" x14ac:dyDescent="0.2">
      <c r="E6641" s="7"/>
      <c r="F6641" s="7"/>
    </row>
    <row r="6642" spans="5:6" ht="15" customHeight="1" x14ac:dyDescent="0.2">
      <c r="E6642" s="7"/>
      <c r="F6642" s="7"/>
    </row>
    <row r="6643" spans="5:6" ht="15" customHeight="1" x14ac:dyDescent="0.2">
      <c r="E6643" s="7"/>
      <c r="F6643" s="7"/>
    </row>
    <row r="6644" spans="5:6" ht="15" customHeight="1" x14ac:dyDescent="0.2">
      <c r="E6644" s="7"/>
      <c r="F6644" s="7"/>
    </row>
    <row r="6645" spans="5:6" ht="15" customHeight="1" x14ac:dyDescent="0.2">
      <c r="E6645" s="7"/>
      <c r="F6645" s="7"/>
    </row>
    <row r="6646" spans="5:6" ht="15" customHeight="1" x14ac:dyDescent="0.2">
      <c r="E6646" s="7"/>
      <c r="F6646" s="7"/>
    </row>
    <row r="6647" spans="5:6" ht="15" customHeight="1" x14ac:dyDescent="0.2">
      <c r="E6647" s="7"/>
      <c r="F6647" s="7"/>
    </row>
    <row r="6648" spans="5:6" ht="15" customHeight="1" x14ac:dyDescent="0.2">
      <c r="E6648" s="7"/>
      <c r="F6648" s="7"/>
    </row>
    <row r="6649" spans="5:6" ht="15" customHeight="1" x14ac:dyDescent="0.2">
      <c r="E6649" s="7"/>
      <c r="F6649" s="7"/>
    </row>
    <row r="6650" spans="5:6" ht="15" customHeight="1" x14ac:dyDescent="0.2">
      <c r="E6650" s="7"/>
      <c r="F6650" s="7"/>
    </row>
    <row r="6651" spans="5:6" ht="15" customHeight="1" x14ac:dyDescent="0.2">
      <c r="E6651" s="7"/>
      <c r="F6651" s="7"/>
    </row>
    <row r="6652" spans="5:6" ht="15" customHeight="1" x14ac:dyDescent="0.2">
      <c r="E6652" s="7"/>
      <c r="F6652" s="7"/>
    </row>
    <row r="6653" spans="5:6" ht="15" customHeight="1" x14ac:dyDescent="0.2">
      <c r="E6653" s="7"/>
      <c r="F6653" s="7"/>
    </row>
    <row r="6654" spans="5:6" ht="15" customHeight="1" x14ac:dyDescent="0.2">
      <c r="E6654" s="7"/>
      <c r="F6654" s="7"/>
    </row>
    <row r="6655" spans="5:6" ht="15" customHeight="1" x14ac:dyDescent="0.2">
      <c r="E6655" s="7"/>
      <c r="F6655" s="7"/>
    </row>
    <row r="6656" spans="5:6" ht="15" customHeight="1" x14ac:dyDescent="0.2">
      <c r="E6656" s="7"/>
      <c r="F6656" s="7"/>
    </row>
    <row r="6657" spans="5:6" ht="15" customHeight="1" x14ac:dyDescent="0.2">
      <c r="E6657" s="7"/>
      <c r="F6657" s="7"/>
    </row>
    <row r="6658" spans="5:6" ht="15" customHeight="1" x14ac:dyDescent="0.2">
      <c r="E6658" s="7"/>
      <c r="F6658" s="7"/>
    </row>
    <row r="6659" spans="5:6" ht="15" customHeight="1" x14ac:dyDescent="0.2">
      <c r="E6659" s="7"/>
      <c r="F6659" s="7"/>
    </row>
    <row r="6660" spans="5:6" ht="15" customHeight="1" x14ac:dyDescent="0.2">
      <c r="E6660" s="7"/>
      <c r="F6660" s="7"/>
    </row>
    <row r="6661" spans="5:6" ht="15" customHeight="1" x14ac:dyDescent="0.2">
      <c r="E6661" s="7"/>
      <c r="F6661" s="7"/>
    </row>
    <row r="6662" spans="5:6" ht="15" customHeight="1" x14ac:dyDescent="0.2">
      <c r="E6662" s="7"/>
      <c r="F6662" s="7"/>
    </row>
    <row r="6663" spans="5:6" ht="15" customHeight="1" x14ac:dyDescent="0.2">
      <c r="E6663" s="7"/>
      <c r="F6663" s="7"/>
    </row>
    <row r="6664" spans="5:6" ht="15" customHeight="1" x14ac:dyDescent="0.2">
      <c r="E6664" s="7"/>
      <c r="F6664" s="7"/>
    </row>
    <row r="6665" spans="5:6" ht="15" customHeight="1" x14ac:dyDescent="0.2">
      <c r="E6665" s="7"/>
      <c r="F6665" s="7"/>
    </row>
    <row r="6666" spans="5:6" ht="15" customHeight="1" x14ac:dyDescent="0.2">
      <c r="E6666" s="7"/>
      <c r="F6666" s="7"/>
    </row>
    <row r="6667" spans="5:6" ht="15" customHeight="1" x14ac:dyDescent="0.2">
      <c r="E6667" s="7"/>
      <c r="F6667" s="7"/>
    </row>
    <row r="6668" spans="5:6" ht="15" customHeight="1" x14ac:dyDescent="0.2">
      <c r="E6668" s="7"/>
      <c r="F6668" s="7"/>
    </row>
    <row r="6669" spans="5:6" ht="15" customHeight="1" x14ac:dyDescent="0.2">
      <c r="E6669" s="7"/>
      <c r="F6669" s="7"/>
    </row>
    <row r="6670" spans="5:6" ht="15" customHeight="1" x14ac:dyDescent="0.2">
      <c r="E6670" s="7"/>
      <c r="F6670" s="7"/>
    </row>
    <row r="6671" spans="5:6" ht="15" customHeight="1" x14ac:dyDescent="0.2">
      <c r="E6671" s="7"/>
      <c r="F6671" s="7"/>
    </row>
    <row r="6672" spans="5:6" ht="15" customHeight="1" x14ac:dyDescent="0.2">
      <c r="E6672" s="7"/>
      <c r="F6672" s="7"/>
    </row>
    <row r="6673" spans="5:6" ht="15" customHeight="1" x14ac:dyDescent="0.2">
      <c r="E6673" s="7"/>
      <c r="F6673" s="7"/>
    </row>
    <row r="6674" spans="5:6" ht="15" customHeight="1" x14ac:dyDescent="0.2">
      <c r="E6674" s="7"/>
      <c r="F6674" s="7"/>
    </row>
    <row r="6675" spans="5:6" ht="15" customHeight="1" x14ac:dyDescent="0.2">
      <c r="E6675" s="7"/>
      <c r="F6675" s="7"/>
    </row>
    <row r="6676" spans="5:6" ht="15" customHeight="1" x14ac:dyDescent="0.2">
      <c r="E6676" s="7"/>
      <c r="F6676" s="7"/>
    </row>
    <row r="6677" spans="5:6" ht="15" customHeight="1" x14ac:dyDescent="0.2">
      <c r="E6677" s="7"/>
      <c r="F6677" s="7"/>
    </row>
    <row r="6678" spans="5:6" ht="15" customHeight="1" x14ac:dyDescent="0.2">
      <c r="E6678" s="7"/>
      <c r="F6678" s="7"/>
    </row>
    <row r="6679" spans="5:6" ht="15" customHeight="1" x14ac:dyDescent="0.2">
      <c r="E6679" s="7"/>
      <c r="F6679" s="7"/>
    </row>
    <row r="6680" spans="5:6" ht="15" customHeight="1" x14ac:dyDescent="0.2">
      <c r="E6680" s="7"/>
      <c r="F6680" s="7"/>
    </row>
    <row r="6681" spans="5:6" ht="15" customHeight="1" x14ac:dyDescent="0.2">
      <c r="E6681" s="7"/>
      <c r="F6681" s="7"/>
    </row>
    <row r="6682" spans="5:6" ht="15" customHeight="1" x14ac:dyDescent="0.2">
      <c r="E6682" s="7"/>
      <c r="F6682" s="7"/>
    </row>
    <row r="6683" spans="5:6" ht="15" customHeight="1" x14ac:dyDescent="0.2">
      <c r="E6683" s="7"/>
      <c r="F6683" s="7"/>
    </row>
    <row r="6684" spans="5:6" ht="15" customHeight="1" x14ac:dyDescent="0.2">
      <c r="E6684" s="7"/>
      <c r="F6684" s="7"/>
    </row>
    <row r="6685" spans="5:6" ht="15" customHeight="1" x14ac:dyDescent="0.2">
      <c r="E6685" s="7"/>
      <c r="F6685" s="7"/>
    </row>
    <row r="6686" spans="5:6" ht="15" customHeight="1" x14ac:dyDescent="0.2">
      <c r="E6686" s="7"/>
      <c r="F6686" s="7"/>
    </row>
    <row r="6687" spans="5:6" ht="15" customHeight="1" x14ac:dyDescent="0.2">
      <c r="E6687" s="7"/>
      <c r="F6687" s="7"/>
    </row>
    <row r="6688" spans="5:6" ht="15" customHeight="1" x14ac:dyDescent="0.2">
      <c r="E6688" s="7"/>
      <c r="F6688" s="7"/>
    </row>
    <row r="6689" spans="5:6" ht="15" customHeight="1" x14ac:dyDescent="0.2">
      <c r="E6689" s="7"/>
      <c r="F6689" s="7"/>
    </row>
    <row r="6690" spans="5:6" ht="15" customHeight="1" x14ac:dyDescent="0.2">
      <c r="E6690" s="7"/>
      <c r="F6690" s="7"/>
    </row>
    <row r="6691" spans="5:6" ht="15" customHeight="1" x14ac:dyDescent="0.2">
      <c r="E6691" s="7"/>
      <c r="F6691" s="7"/>
    </row>
    <row r="6692" spans="5:6" ht="15" customHeight="1" x14ac:dyDescent="0.2">
      <c r="E6692" s="7"/>
      <c r="F6692" s="7"/>
    </row>
    <row r="6693" spans="5:6" ht="15" customHeight="1" x14ac:dyDescent="0.2">
      <c r="E6693" s="7"/>
      <c r="F6693" s="7"/>
    </row>
    <row r="6694" spans="5:6" ht="15" customHeight="1" x14ac:dyDescent="0.2">
      <c r="E6694" s="7"/>
      <c r="F6694" s="7"/>
    </row>
    <row r="6695" spans="5:6" ht="15" customHeight="1" x14ac:dyDescent="0.2">
      <c r="E6695" s="7"/>
      <c r="F6695" s="7"/>
    </row>
    <row r="6696" spans="5:6" ht="15" customHeight="1" x14ac:dyDescent="0.2">
      <c r="E6696" s="7"/>
      <c r="F6696" s="7"/>
    </row>
    <row r="6697" spans="5:6" ht="15" customHeight="1" x14ac:dyDescent="0.2">
      <c r="E6697" s="7"/>
      <c r="F6697" s="7"/>
    </row>
    <row r="6698" spans="5:6" ht="15" customHeight="1" x14ac:dyDescent="0.2">
      <c r="E6698" s="7"/>
      <c r="F6698" s="7"/>
    </row>
    <row r="6699" spans="5:6" ht="15" customHeight="1" x14ac:dyDescent="0.2">
      <c r="E6699" s="7"/>
      <c r="F6699" s="7"/>
    </row>
    <row r="6700" spans="5:6" ht="15" customHeight="1" x14ac:dyDescent="0.2">
      <c r="E6700" s="7"/>
      <c r="F6700" s="7"/>
    </row>
    <row r="6701" spans="5:6" ht="15" customHeight="1" x14ac:dyDescent="0.2">
      <c r="E6701" s="7"/>
      <c r="F6701" s="7"/>
    </row>
    <row r="6702" spans="5:6" ht="15" customHeight="1" x14ac:dyDescent="0.2">
      <c r="E6702" s="7"/>
      <c r="F6702" s="7"/>
    </row>
    <row r="6703" spans="5:6" ht="15" customHeight="1" x14ac:dyDescent="0.2">
      <c r="E6703" s="7"/>
      <c r="F6703" s="7"/>
    </row>
    <row r="6704" spans="5:6" ht="15" customHeight="1" x14ac:dyDescent="0.2">
      <c r="E6704" s="7"/>
      <c r="F6704" s="7"/>
    </row>
    <row r="6705" spans="5:6" ht="15" customHeight="1" x14ac:dyDescent="0.2">
      <c r="E6705" s="7"/>
      <c r="F6705" s="7"/>
    </row>
    <row r="6706" spans="5:6" ht="15" customHeight="1" x14ac:dyDescent="0.2">
      <c r="E6706" s="7"/>
      <c r="F6706" s="7"/>
    </row>
    <row r="6707" spans="5:6" ht="15" customHeight="1" x14ac:dyDescent="0.2">
      <c r="E6707" s="7"/>
      <c r="F6707" s="7"/>
    </row>
    <row r="6708" spans="5:6" ht="15" customHeight="1" x14ac:dyDescent="0.2">
      <c r="E6708" s="7"/>
      <c r="F6708" s="7"/>
    </row>
    <row r="6709" spans="5:6" ht="15" customHeight="1" x14ac:dyDescent="0.2">
      <c r="E6709" s="7"/>
      <c r="F6709" s="7"/>
    </row>
    <row r="6710" spans="5:6" ht="15" customHeight="1" x14ac:dyDescent="0.2">
      <c r="E6710" s="7"/>
      <c r="F6710" s="7"/>
    </row>
    <row r="6711" spans="5:6" ht="15" customHeight="1" x14ac:dyDescent="0.2">
      <c r="E6711" s="7"/>
      <c r="F6711" s="7"/>
    </row>
    <row r="6712" spans="5:6" ht="15" customHeight="1" x14ac:dyDescent="0.2">
      <c r="E6712" s="7"/>
      <c r="F6712" s="7"/>
    </row>
    <row r="6713" spans="5:6" ht="15" customHeight="1" x14ac:dyDescent="0.2">
      <c r="E6713" s="7"/>
      <c r="F6713" s="7"/>
    </row>
    <row r="6714" spans="5:6" ht="15" customHeight="1" x14ac:dyDescent="0.2">
      <c r="E6714" s="7"/>
      <c r="F6714" s="7"/>
    </row>
    <row r="6715" spans="5:6" ht="15" customHeight="1" x14ac:dyDescent="0.2">
      <c r="E6715" s="7"/>
      <c r="F6715" s="7"/>
    </row>
    <row r="6716" spans="5:6" ht="15" customHeight="1" x14ac:dyDescent="0.2">
      <c r="E6716" s="7"/>
      <c r="F6716" s="7"/>
    </row>
    <row r="6717" spans="5:6" ht="15" customHeight="1" x14ac:dyDescent="0.2">
      <c r="E6717" s="7"/>
      <c r="F6717" s="7"/>
    </row>
    <row r="6718" spans="5:6" ht="15" customHeight="1" x14ac:dyDescent="0.2">
      <c r="E6718" s="7"/>
      <c r="F6718" s="7"/>
    </row>
    <row r="6719" spans="5:6" ht="15" customHeight="1" x14ac:dyDescent="0.2">
      <c r="E6719" s="7"/>
      <c r="F6719" s="7"/>
    </row>
    <row r="6720" spans="5:6" ht="15" customHeight="1" x14ac:dyDescent="0.2">
      <c r="E6720" s="7"/>
      <c r="F6720" s="7"/>
    </row>
    <row r="6721" spans="5:6" ht="15" customHeight="1" x14ac:dyDescent="0.2">
      <c r="E6721" s="7"/>
      <c r="F6721" s="7"/>
    </row>
    <row r="6722" spans="5:6" ht="15" customHeight="1" x14ac:dyDescent="0.2">
      <c r="E6722" s="7"/>
      <c r="F6722" s="7"/>
    </row>
    <row r="6723" spans="5:6" ht="15" customHeight="1" x14ac:dyDescent="0.2">
      <c r="E6723" s="7"/>
      <c r="F6723" s="7"/>
    </row>
    <row r="6724" spans="5:6" ht="15" customHeight="1" x14ac:dyDescent="0.2">
      <c r="E6724" s="7"/>
      <c r="F6724" s="7"/>
    </row>
    <row r="6725" spans="5:6" ht="15" customHeight="1" x14ac:dyDescent="0.2">
      <c r="E6725" s="7"/>
      <c r="F6725" s="7"/>
    </row>
    <row r="6726" spans="5:6" ht="15" customHeight="1" x14ac:dyDescent="0.2">
      <c r="E6726" s="7"/>
      <c r="F6726" s="7"/>
    </row>
    <row r="6727" spans="5:6" ht="15" customHeight="1" x14ac:dyDescent="0.2">
      <c r="E6727" s="7"/>
      <c r="F6727" s="7"/>
    </row>
    <row r="6728" spans="5:6" ht="15" customHeight="1" x14ac:dyDescent="0.2">
      <c r="E6728" s="7"/>
      <c r="F6728" s="7"/>
    </row>
    <row r="6729" spans="5:6" ht="15" customHeight="1" x14ac:dyDescent="0.2">
      <c r="E6729" s="7"/>
      <c r="F6729" s="7"/>
    </row>
    <row r="6730" spans="5:6" ht="15" customHeight="1" x14ac:dyDescent="0.2">
      <c r="E6730" s="7"/>
      <c r="F6730" s="7"/>
    </row>
    <row r="6731" spans="5:6" ht="15" customHeight="1" x14ac:dyDescent="0.2">
      <c r="E6731" s="7"/>
      <c r="F6731" s="7"/>
    </row>
    <row r="6732" spans="5:6" ht="15" customHeight="1" x14ac:dyDescent="0.2">
      <c r="E6732" s="7"/>
      <c r="F6732" s="7"/>
    </row>
    <row r="6733" spans="5:6" ht="15" customHeight="1" x14ac:dyDescent="0.2">
      <c r="E6733" s="7"/>
      <c r="F6733" s="7"/>
    </row>
    <row r="6734" spans="5:6" ht="15" customHeight="1" x14ac:dyDescent="0.2">
      <c r="E6734" s="7"/>
      <c r="F6734" s="7"/>
    </row>
    <row r="6735" spans="5:6" ht="15" customHeight="1" x14ac:dyDescent="0.2">
      <c r="E6735" s="7"/>
      <c r="F6735" s="7"/>
    </row>
    <row r="6736" spans="5:6" ht="15" customHeight="1" x14ac:dyDescent="0.2">
      <c r="E6736" s="7"/>
      <c r="F6736" s="7"/>
    </row>
    <row r="6737" spans="5:6" ht="15" customHeight="1" x14ac:dyDescent="0.2">
      <c r="E6737" s="7"/>
      <c r="F6737" s="7"/>
    </row>
    <row r="6738" spans="5:6" ht="15" customHeight="1" x14ac:dyDescent="0.2">
      <c r="E6738" s="7"/>
      <c r="F6738" s="7"/>
    </row>
    <row r="6739" spans="5:6" ht="15" customHeight="1" x14ac:dyDescent="0.2">
      <c r="E6739" s="7"/>
      <c r="F6739" s="7"/>
    </row>
    <row r="6740" spans="5:6" ht="15" customHeight="1" x14ac:dyDescent="0.2">
      <c r="E6740" s="7"/>
      <c r="F6740" s="7"/>
    </row>
    <row r="6741" spans="5:6" ht="15" customHeight="1" x14ac:dyDescent="0.2">
      <c r="E6741" s="7"/>
      <c r="F6741" s="7"/>
    </row>
    <row r="6742" spans="5:6" ht="15" customHeight="1" x14ac:dyDescent="0.2">
      <c r="E6742" s="7"/>
      <c r="F6742" s="7"/>
    </row>
    <row r="6743" spans="5:6" ht="15" customHeight="1" x14ac:dyDescent="0.2">
      <c r="E6743" s="7"/>
      <c r="F6743" s="7"/>
    </row>
    <row r="6744" spans="5:6" ht="15" customHeight="1" x14ac:dyDescent="0.2">
      <c r="E6744" s="7"/>
      <c r="F6744" s="7"/>
    </row>
    <row r="6745" spans="5:6" ht="15" customHeight="1" x14ac:dyDescent="0.2">
      <c r="E6745" s="7"/>
      <c r="F6745" s="7"/>
    </row>
    <row r="6746" spans="5:6" ht="15" customHeight="1" x14ac:dyDescent="0.2">
      <c r="E6746" s="7"/>
      <c r="F6746" s="7"/>
    </row>
    <row r="6747" spans="5:6" ht="15" customHeight="1" x14ac:dyDescent="0.2">
      <c r="E6747" s="7"/>
      <c r="F6747" s="7"/>
    </row>
    <row r="6748" spans="5:6" ht="15" customHeight="1" x14ac:dyDescent="0.2">
      <c r="E6748" s="7"/>
      <c r="F6748" s="7"/>
    </row>
    <row r="6749" spans="5:6" ht="15" customHeight="1" x14ac:dyDescent="0.2">
      <c r="E6749" s="7"/>
      <c r="F6749" s="7"/>
    </row>
    <row r="6750" spans="5:6" ht="15" customHeight="1" x14ac:dyDescent="0.2">
      <c r="E6750" s="7"/>
      <c r="F6750" s="7"/>
    </row>
    <row r="6751" spans="5:6" ht="15" customHeight="1" x14ac:dyDescent="0.2">
      <c r="E6751" s="7"/>
      <c r="F6751" s="7"/>
    </row>
    <row r="6752" spans="5:6" ht="15" customHeight="1" x14ac:dyDescent="0.2">
      <c r="E6752" s="7"/>
      <c r="F6752" s="7"/>
    </row>
    <row r="6753" spans="5:6" ht="15" customHeight="1" x14ac:dyDescent="0.2">
      <c r="E6753" s="7"/>
      <c r="F6753" s="7"/>
    </row>
    <row r="6754" spans="5:6" ht="15" customHeight="1" x14ac:dyDescent="0.2">
      <c r="E6754" s="7"/>
      <c r="F6754" s="7"/>
    </row>
    <row r="6755" spans="5:6" ht="15" customHeight="1" x14ac:dyDescent="0.2">
      <c r="E6755" s="7"/>
      <c r="F6755" s="7"/>
    </row>
    <row r="6756" spans="5:6" ht="15" customHeight="1" x14ac:dyDescent="0.2">
      <c r="E6756" s="7"/>
      <c r="F6756" s="7"/>
    </row>
    <row r="6757" spans="5:6" ht="15" customHeight="1" x14ac:dyDescent="0.2">
      <c r="E6757" s="7"/>
      <c r="F6757" s="7"/>
    </row>
    <row r="6758" spans="5:6" ht="15" customHeight="1" x14ac:dyDescent="0.2">
      <c r="E6758" s="7"/>
      <c r="F6758" s="7"/>
    </row>
    <row r="6759" spans="5:6" ht="15" customHeight="1" x14ac:dyDescent="0.2">
      <c r="E6759" s="7"/>
      <c r="F6759" s="7"/>
    </row>
    <row r="6760" spans="5:6" ht="15" customHeight="1" x14ac:dyDescent="0.2">
      <c r="E6760" s="7"/>
      <c r="F6760" s="7"/>
    </row>
    <row r="6761" spans="5:6" ht="15" customHeight="1" x14ac:dyDescent="0.2">
      <c r="E6761" s="7"/>
      <c r="F6761" s="7"/>
    </row>
    <row r="6762" spans="5:6" ht="15" customHeight="1" x14ac:dyDescent="0.2">
      <c r="E6762" s="7"/>
      <c r="F6762" s="7"/>
    </row>
    <row r="6763" spans="5:6" ht="15" customHeight="1" x14ac:dyDescent="0.2">
      <c r="E6763" s="7"/>
      <c r="F6763" s="7"/>
    </row>
    <row r="6764" spans="5:6" ht="15" customHeight="1" x14ac:dyDescent="0.2">
      <c r="E6764" s="7"/>
      <c r="F6764" s="7"/>
    </row>
    <row r="6765" spans="5:6" ht="15" customHeight="1" x14ac:dyDescent="0.2">
      <c r="E6765" s="7"/>
      <c r="F6765" s="7"/>
    </row>
    <row r="6766" spans="5:6" ht="15" customHeight="1" x14ac:dyDescent="0.2">
      <c r="E6766" s="7"/>
      <c r="F6766" s="7"/>
    </row>
    <row r="6767" spans="5:6" ht="15" customHeight="1" x14ac:dyDescent="0.2">
      <c r="E6767" s="7"/>
      <c r="F6767" s="7"/>
    </row>
    <row r="6768" spans="5:6" ht="15" customHeight="1" x14ac:dyDescent="0.2">
      <c r="E6768" s="7"/>
      <c r="F6768" s="7"/>
    </row>
    <row r="6769" spans="5:6" ht="15" customHeight="1" x14ac:dyDescent="0.2">
      <c r="E6769" s="7"/>
      <c r="F6769" s="7"/>
    </row>
    <row r="6770" spans="5:6" ht="15" customHeight="1" x14ac:dyDescent="0.2">
      <c r="E6770" s="7"/>
      <c r="F6770" s="7"/>
    </row>
    <row r="6771" spans="5:6" ht="15" customHeight="1" x14ac:dyDescent="0.2">
      <c r="E6771" s="7"/>
      <c r="F6771" s="7"/>
    </row>
    <row r="6772" spans="5:6" ht="15" customHeight="1" x14ac:dyDescent="0.2">
      <c r="E6772" s="7"/>
      <c r="F6772" s="7"/>
    </row>
    <row r="6773" spans="5:6" ht="15" customHeight="1" x14ac:dyDescent="0.2">
      <c r="E6773" s="7"/>
      <c r="F6773" s="7"/>
    </row>
    <row r="6774" spans="5:6" ht="15" customHeight="1" x14ac:dyDescent="0.2">
      <c r="E6774" s="7"/>
      <c r="F6774" s="7"/>
    </row>
    <row r="6775" spans="5:6" ht="15" customHeight="1" x14ac:dyDescent="0.2">
      <c r="E6775" s="7"/>
      <c r="F6775" s="7"/>
    </row>
    <row r="6776" spans="5:6" ht="15" customHeight="1" x14ac:dyDescent="0.2">
      <c r="E6776" s="7"/>
      <c r="F6776" s="7"/>
    </row>
    <row r="6777" spans="5:6" ht="15" customHeight="1" x14ac:dyDescent="0.2">
      <c r="E6777" s="7"/>
      <c r="F6777" s="7"/>
    </row>
    <row r="6778" spans="5:6" ht="15" customHeight="1" x14ac:dyDescent="0.2">
      <c r="E6778" s="7"/>
      <c r="F6778" s="7"/>
    </row>
    <row r="6779" spans="5:6" ht="15" customHeight="1" x14ac:dyDescent="0.2">
      <c r="E6779" s="7"/>
      <c r="F6779" s="7"/>
    </row>
    <row r="6780" spans="5:6" ht="15" customHeight="1" x14ac:dyDescent="0.2">
      <c r="E6780" s="7"/>
      <c r="F6780" s="7"/>
    </row>
    <row r="6781" spans="5:6" ht="15" customHeight="1" x14ac:dyDescent="0.2">
      <c r="E6781" s="7"/>
      <c r="F6781" s="7"/>
    </row>
    <row r="6782" spans="5:6" ht="15" customHeight="1" x14ac:dyDescent="0.2">
      <c r="E6782" s="7"/>
      <c r="F6782" s="7"/>
    </row>
    <row r="6783" spans="5:6" ht="15" customHeight="1" x14ac:dyDescent="0.2">
      <c r="E6783" s="7"/>
      <c r="F6783" s="7"/>
    </row>
    <row r="6784" spans="5:6" ht="15" customHeight="1" x14ac:dyDescent="0.2">
      <c r="E6784" s="7"/>
      <c r="F6784" s="7"/>
    </row>
    <row r="6785" spans="5:6" ht="15" customHeight="1" x14ac:dyDescent="0.2">
      <c r="E6785" s="7"/>
      <c r="F6785" s="7"/>
    </row>
    <row r="6786" spans="5:6" ht="15" customHeight="1" x14ac:dyDescent="0.2">
      <c r="E6786" s="7"/>
      <c r="F6786" s="7"/>
    </row>
    <row r="6787" spans="5:6" ht="15" customHeight="1" x14ac:dyDescent="0.2">
      <c r="E6787" s="7"/>
      <c r="F6787" s="7"/>
    </row>
    <row r="6788" spans="5:6" ht="15" customHeight="1" x14ac:dyDescent="0.2">
      <c r="E6788" s="7"/>
      <c r="F6788" s="7"/>
    </row>
    <row r="6789" spans="5:6" ht="15" customHeight="1" x14ac:dyDescent="0.2">
      <c r="E6789" s="7"/>
      <c r="F6789" s="7"/>
    </row>
    <row r="6790" spans="5:6" ht="15" customHeight="1" x14ac:dyDescent="0.2">
      <c r="E6790" s="7"/>
      <c r="F6790" s="7"/>
    </row>
    <row r="6791" spans="5:6" ht="15" customHeight="1" x14ac:dyDescent="0.2">
      <c r="E6791" s="7"/>
      <c r="F6791" s="7"/>
    </row>
    <row r="6792" spans="5:6" ht="15" customHeight="1" x14ac:dyDescent="0.2">
      <c r="E6792" s="7"/>
      <c r="F6792" s="7"/>
    </row>
    <row r="6793" spans="5:6" ht="15" customHeight="1" x14ac:dyDescent="0.2">
      <c r="E6793" s="7"/>
      <c r="F6793" s="7"/>
    </row>
    <row r="6794" spans="5:6" ht="15" customHeight="1" x14ac:dyDescent="0.2">
      <c r="E6794" s="7"/>
      <c r="F6794" s="7"/>
    </row>
    <row r="6795" spans="5:6" ht="15" customHeight="1" x14ac:dyDescent="0.2">
      <c r="E6795" s="7"/>
      <c r="F6795" s="7"/>
    </row>
    <row r="6796" spans="5:6" ht="15" customHeight="1" x14ac:dyDescent="0.2">
      <c r="E6796" s="7"/>
      <c r="F6796" s="7"/>
    </row>
    <row r="6797" spans="5:6" ht="15" customHeight="1" x14ac:dyDescent="0.2">
      <c r="E6797" s="7"/>
      <c r="F6797" s="7"/>
    </row>
    <row r="6798" spans="5:6" ht="15" customHeight="1" x14ac:dyDescent="0.2">
      <c r="E6798" s="7"/>
      <c r="F6798" s="7"/>
    </row>
    <row r="6799" spans="5:6" ht="15" customHeight="1" x14ac:dyDescent="0.2">
      <c r="E6799" s="7"/>
      <c r="F6799" s="7"/>
    </row>
    <row r="6800" spans="5:6" ht="15" customHeight="1" x14ac:dyDescent="0.2">
      <c r="E6800" s="7"/>
      <c r="F6800" s="7"/>
    </row>
    <row r="6801" spans="5:6" ht="15" customHeight="1" x14ac:dyDescent="0.2">
      <c r="E6801" s="7"/>
      <c r="F6801" s="7"/>
    </row>
    <row r="6802" spans="5:6" ht="15" customHeight="1" x14ac:dyDescent="0.2">
      <c r="E6802" s="7"/>
      <c r="F6802" s="7"/>
    </row>
    <row r="6803" spans="5:6" ht="15" customHeight="1" x14ac:dyDescent="0.2">
      <c r="E6803" s="7"/>
      <c r="F6803" s="7"/>
    </row>
    <row r="6804" spans="5:6" ht="15" customHeight="1" x14ac:dyDescent="0.2">
      <c r="E6804" s="7"/>
      <c r="F6804" s="7"/>
    </row>
    <row r="6805" spans="5:6" ht="15" customHeight="1" x14ac:dyDescent="0.2">
      <c r="E6805" s="7"/>
      <c r="F6805" s="7"/>
    </row>
    <row r="6806" spans="5:6" ht="15" customHeight="1" x14ac:dyDescent="0.2">
      <c r="E6806" s="7"/>
      <c r="F6806" s="7"/>
    </row>
    <row r="6807" spans="5:6" ht="15" customHeight="1" x14ac:dyDescent="0.2">
      <c r="E6807" s="7"/>
      <c r="F6807" s="7"/>
    </row>
    <row r="6808" spans="5:6" ht="15" customHeight="1" x14ac:dyDescent="0.2">
      <c r="E6808" s="7"/>
      <c r="F6808" s="7"/>
    </row>
    <row r="6809" spans="5:6" ht="15" customHeight="1" x14ac:dyDescent="0.2">
      <c r="E6809" s="7"/>
      <c r="F6809" s="7"/>
    </row>
    <row r="6810" spans="5:6" ht="15" customHeight="1" x14ac:dyDescent="0.2">
      <c r="E6810" s="7"/>
      <c r="F6810" s="7"/>
    </row>
    <row r="6811" spans="5:6" ht="15" customHeight="1" x14ac:dyDescent="0.2">
      <c r="E6811" s="7"/>
      <c r="F6811" s="7"/>
    </row>
    <row r="6812" spans="5:6" ht="15" customHeight="1" x14ac:dyDescent="0.2">
      <c r="E6812" s="7"/>
      <c r="F6812" s="7"/>
    </row>
    <row r="6813" spans="5:6" ht="15" customHeight="1" x14ac:dyDescent="0.2">
      <c r="E6813" s="7"/>
      <c r="F6813" s="7"/>
    </row>
    <row r="6814" spans="5:6" ht="15" customHeight="1" x14ac:dyDescent="0.2">
      <c r="E6814" s="7"/>
      <c r="F6814" s="7"/>
    </row>
    <row r="6815" spans="5:6" ht="15" customHeight="1" x14ac:dyDescent="0.2">
      <c r="E6815" s="7"/>
      <c r="F6815" s="7"/>
    </row>
    <row r="6816" spans="5:6" ht="15" customHeight="1" x14ac:dyDescent="0.2">
      <c r="E6816" s="7"/>
      <c r="F6816" s="7"/>
    </row>
    <row r="6817" spans="5:6" ht="15" customHeight="1" x14ac:dyDescent="0.2">
      <c r="E6817" s="7"/>
      <c r="F6817" s="7"/>
    </row>
    <row r="6818" spans="5:6" ht="15" customHeight="1" x14ac:dyDescent="0.2">
      <c r="E6818" s="7"/>
      <c r="F6818" s="7"/>
    </row>
    <row r="6819" spans="5:6" ht="15" customHeight="1" x14ac:dyDescent="0.2">
      <c r="E6819" s="7"/>
      <c r="F6819" s="7"/>
    </row>
    <row r="6820" spans="5:6" ht="15" customHeight="1" x14ac:dyDescent="0.2">
      <c r="E6820" s="7"/>
      <c r="F6820" s="7"/>
    </row>
    <row r="6821" spans="5:6" ht="15" customHeight="1" x14ac:dyDescent="0.2">
      <c r="E6821" s="7"/>
      <c r="F6821" s="7"/>
    </row>
    <row r="6822" spans="5:6" ht="15" customHeight="1" x14ac:dyDescent="0.2">
      <c r="E6822" s="7"/>
      <c r="F6822" s="7"/>
    </row>
    <row r="6823" spans="5:6" ht="15" customHeight="1" x14ac:dyDescent="0.2">
      <c r="E6823" s="7"/>
      <c r="F6823" s="7"/>
    </row>
    <row r="6824" spans="5:6" ht="15" customHeight="1" x14ac:dyDescent="0.2">
      <c r="E6824" s="7"/>
      <c r="F6824" s="7"/>
    </row>
    <row r="6825" spans="5:6" ht="15" customHeight="1" x14ac:dyDescent="0.2">
      <c r="E6825" s="7"/>
      <c r="F6825" s="7"/>
    </row>
    <row r="6826" spans="5:6" ht="15" customHeight="1" x14ac:dyDescent="0.2">
      <c r="E6826" s="7"/>
      <c r="F6826" s="7"/>
    </row>
    <row r="6827" spans="5:6" ht="15" customHeight="1" x14ac:dyDescent="0.2">
      <c r="E6827" s="7"/>
      <c r="F6827" s="7"/>
    </row>
    <row r="6828" spans="5:6" ht="15" customHeight="1" x14ac:dyDescent="0.2">
      <c r="E6828" s="7"/>
      <c r="F6828" s="7"/>
    </row>
    <row r="6829" spans="5:6" ht="15" customHeight="1" x14ac:dyDescent="0.2">
      <c r="E6829" s="7"/>
      <c r="F6829" s="7"/>
    </row>
    <row r="6830" spans="5:6" ht="15" customHeight="1" x14ac:dyDescent="0.2">
      <c r="E6830" s="7"/>
      <c r="F6830" s="7"/>
    </row>
    <row r="6831" spans="5:6" ht="15" customHeight="1" x14ac:dyDescent="0.2">
      <c r="E6831" s="7"/>
      <c r="F6831" s="7"/>
    </row>
    <row r="6832" spans="5:6" ht="15" customHeight="1" x14ac:dyDescent="0.2">
      <c r="E6832" s="7"/>
      <c r="F6832" s="7"/>
    </row>
    <row r="6833" spans="5:6" ht="15" customHeight="1" x14ac:dyDescent="0.2">
      <c r="E6833" s="7"/>
      <c r="F6833" s="7"/>
    </row>
    <row r="6834" spans="5:6" ht="15" customHeight="1" x14ac:dyDescent="0.2">
      <c r="E6834" s="7"/>
      <c r="F6834" s="7"/>
    </row>
    <row r="6835" spans="5:6" ht="15" customHeight="1" x14ac:dyDescent="0.2">
      <c r="E6835" s="7"/>
      <c r="F6835" s="7"/>
    </row>
    <row r="6836" spans="5:6" ht="15" customHeight="1" x14ac:dyDescent="0.2">
      <c r="E6836" s="7"/>
      <c r="F6836" s="7"/>
    </row>
    <row r="6837" spans="5:6" ht="15" customHeight="1" x14ac:dyDescent="0.2">
      <c r="E6837" s="7"/>
      <c r="F6837" s="7"/>
    </row>
    <row r="6838" spans="5:6" ht="15" customHeight="1" x14ac:dyDescent="0.2">
      <c r="E6838" s="7"/>
      <c r="F6838" s="7"/>
    </row>
    <row r="6839" spans="5:6" ht="15" customHeight="1" x14ac:dyDescent="0.2">
      <c r="E6839" s="7"/>
      <c r="F6839" s="7"/>
    </row>
    <row r="6840" spans="5:6" ht="15" customHeight="1" x14ac:dyDescent="0.2">
      <c r="E6840" s="7"/>
      <c r="F6840" s="7"/>
    </row>
    <row r="6841" spans="5:6" ht="15" customHeight="1" x14ac:dyDescent="0.2">
      <c r="E6841" s="7"/>
      <c r="F6841" s="7"/>
    </row>
    <row r="6842" spans="5:6" ht="15" customHeight="1" x14ac:dyDescent="0.2">
      <c r="E6842" s="7"/>
      <c r="F6842" s="7"/>
    </row>
    <row r="6843" spans="5:6" ht="15" customHeight="1" x14ac:dyDescent="0.2">
      <c r="E6843" s="7"/>
      <c r="F6843" s="7"/>
    </row>
    <row r="6844" spans="5:6" ht="15" customHeight="1" x14ac:dyDescent="0.2">
      <c r="E6844" s="7"/>
      <c r="F6844" s="7"/>
    </row>
    <row r="6845" spans="5:6" ht="15" customHeight="1" x14ac:dyDescent="0.2">
      <c r="E6845" s="7"/>
      <c r="F6845" s="7"/>
    </row>
    <row r="6846" spans="5:6" ht="15" customHeight="1" x14ac:dyDescent="0.2">
      <c r="E6846" s="7"/>
      <c r="F6846" s="7"/>
    </row>
    <row r="6847" spans="5:6" ht="15" customHeight="1" x14ac:dyDescent="0.2">
      <c r="E6847" s="7"/>
      <c r="F6847" s="7"/>
    </row>
    <row r="6848" spans="5:6" ht="15" customHeight="1" x14ac:dyDescent="0.2">
      <c r="E6848" s="7"/>
      <c r="F6848" s="7"/>
    </row>
    <row r="6849" spans="5:6" ht="15" customHeight="1" x14ac:dyDescent="0.2">
      <c r="E6849" s="7"/>
      <c r="F6849" s="7"/>
    </row>
    <row r="6850" spans="5:6" ht="15" customHeight="1" x14ac:dyDescent="0.2">
      <c r="E6850" s="7"/>
      <c r="F6850" s="7"/>
    </row>
    <row r="6851" spans="5:6" ht="15" customHeight="1" x14ac:dyDescent="0.2">
      <c r="E6851" s="7"/>
      <c r="F6851" s="7"/>
    </row>
    <row r="6852" spans="5:6" ht="15" customHeight="1" x14ac:dyDescent="0.2">
      <c r="E6852" s="7"/>
      <c r="F6852" s="7"/>
    </row>
    <row r="6853" spans="5:6" ht="15" customHeight="1" x14ac:dyDescent="0.2">
      <c r="E6853" s="7"/>
      <c r="F6853" s="7"/>
    </row>
    <row r="6854" spans="5:6" ht="15" customHeight="1" x14ac:dyDescent="0.2">
      <c r="E6854" s="7"/>
      <c r="F6854" s="7"/>
    </row>
    <row r="6855" spans="5:6" ht="15" customHeight="1" x14ac:dyDescent="0.2">
      <c r="E6855" s="7"/>
      <c r="F6855" s="7"/>
    </row>
    <row r="6856" spans="5:6" ht="15" customHeight="1" x14ac:dyDescent="0.2">
      <c r="E6856" s="7"/>
      <c r="F6856" s="7"/>
    </row>
    <row r="6857" spans="5:6" ht="15" customHeight="1" x14ac:dyDescent="0.2">
      <c r="E6857" s="7"/>
      <c r="F6857" s="7"/>
    </row>
    <row r="6858" spans="5:6" ht="15" customHeight="1" x14ac:dyDescent="0.2">
      <c r="E6858" s="7"/>
      <c r="F6858" s="7"/>
    </row>
    <row r="6859" spans="5:6" ht="15" customHeight="1" x14ac:dyDescent="0.2">
      <c r="E6859" s="7"/>
      <c r="F6859" s="7"/>
    </row>
    <row r="6860" spans="5:6" ht="15" customHeight="1" x14ac:dyDescent="0.2">
      <c r="E6860" s="7"/>
      <c r="F6860" s="7"/>
    </row>
    <row r="6861" spans="5:6" ht="15" customHeight="1" x14ac:dyDescent="0.2">
      <c r="E6861" s="7"/>
      <c r="F6861" s="7"/>
    </row>
    <row r="6862" spans="5:6" ht="15" customHeight="1" x14ac:dyDescent="0.2">
      <c r="E6862" s="7"/>
      <c r="F6862" s="7"/>
    </row>
    <row r="6863" spans="5:6" ht="15" customHeight="1" x14ac:dyDescent="0.2">
      <c r="E6863" s="7"/>
      <c r="F6863" s="7"/>
    </row>
    <row r="6864" spans="5:6" ht="15" customHeight="1" x14ac:dyDescent="0.2">
      <c r="E6864" s="7"/>
      <c r="F6864" s="7"/>
    </row>
    <row r="6865" spans="5:6" ht="15" customHeight="1" x14ac:dyDescent="0.2">
      <c r="E6865" s="7"/>
      <c r="F6865" s="7"/>
    </row>
    <row r="6866" spans="5:6" ht="15" customHeight="1" x14ac:dyDescent="0.2">
      <c r="E6866" s="7"/>
      <c r="F6866" s="7"/>
    </row>
    <row r="6867" spans="5:6" ht="15" customHeight="1" x14ac:dyDescent="0.2">
      <c r="E6867" s="7"/>
      <c r="F6867" s="7"/>
    </row>
    <row r="6868" spans="5:6" ht="15" customHeight="1" x14ac:dyDescent="0.2">
      <c r="E6868" s="7"/>
      <c r="F6868" s="7"/>
    </row>
    <row r="6869" spans="5:6" ht="15" customHeight="1" x14ac:dyDescent="0.2">
      <c r="E6869" s="7"/>
      <c r="F6869" s="7"/>
    </row>
    <row r="6870" spans="5:6" ht="15" customHeight="1" x14ac:dyDescent="0.2">
      <c r="E6870" s="7"/>
      <c r="F6870" s="7"/>
    </row>
    <row r="6871" spans="5:6" ht="15" customHeight="1" x14ac:dyDescent="0.2">
      <c r="E6871" s="7"/>
      <c r="F6871" s="7"/>
    </row>
    <row r="6872" spans="5:6" ht="15" customHeight="1" x14ac:dyDescent="0.2">
      <c r="E6872" s="7"/>
      <c r="F6872" s="7"/>
    </row>
    <row r="6873" spans="5:6" ht="15" customHeight="1" x14ac:dyDescent="0.2">
      <c r="E6873" s="7"/>
      <c r="F6873" s="7"/>
    </row>
    <row r="6874" spans="5:6" ht="15" customHeight="1" x14ac:dyDescent="0.2">
      <c r="E6874" s="7"/>
      <c r="F6874" s="7"/>
    </row>
    <row r="6875" spans="5:6" ht="15" customHeight="1" x14ac:dyDescent="0.2">
      <c r="E6875" s="7"/>
      <c r="F6875" s="7"/>
    </row>
    <row r="6876" spans="5:6" ht="15" customHeight="1" x14ac:dyDescent="0.2">
      <c r="E6876" s="7"/>
      <c r="F6876" s="7"/>
    </row>
    <row r="6877" spans="5:6" ht="15" customHeight="1" x14ac:dyDescent="0.2">
      <c r="E6877" s="7"/>
      <c r="F6877" s="7"/>
    </row>
    <row r="6878" spans="5:6" ht="15" customHeight="1" x14ac:dyDescent="0.2">
      <c r="E6878" s="7"/>
      <c r="F6878" s="7"/>
    </row>
    <row r="6879" spans="5:6" ht="15" customHeight="1" x14ac:dyDescent="0.2">
      <c r="E6879" s="7"/>
      <c r="F6879" s="7"/>
    </row>
    <row r="6880" spans="5:6" ht="15" customHeight="1" x14ac:dyDescent="0.2">
      <c r="E6880" s="7"/>
      <c r="F6880" s="7"/>
    </row>
    <row r="6881" spans="5:6" ht="15" customHeight="1" x14ac:dyDescent="0.2">
      <c r="E6881" s="7"/>
      <c r="F6881" s="7"/>
    </row>
    <row r="6882" spans="5:6" ht="15" customHeight="1" x14ac:dyDescent="0.2">
      <c r="E6882" s="7"/>
      <c r="F6882" s="7"/>
    </row>
    <row r="6883" spans="5:6" ht="15" customHeight="1" x14ac:dyDescent="0.2">
      <c r="E6883" s="7"/>
      <c r="F6883" s="7"/>
    </row>
    <row r="6884" spans="5:6" ht="15" customHeight="1" x14ac:dyDescent="0.2">
      <c r="E6884" s="7"/>
      <c r="F6884" s="7"/>
    </row>
    <row r="6885" spans="5:6" ht="15" customHeight="1" x14ac:dyDescent="0.2">
      <c r="E6885" s="7"/>
      <c r="F6885" s="7"/>
    </row>
    <row r="6886" spans="5:6" ht="15" customHeight="1" x14ac:dyDescent="0.2">
      <c r="E6886" s="7"/>
      <c r="F6886" s="7"/>
    </row>
    <row r="6887" spans="5:6" ht="15" customHeight="1" x14ac:dyDescent="0.2">
      <c r="E6887" s="7"/>
      <c r="F6887" s="7"/>
    </row>
    <row r="6888" spans="5:6" ht="15" customHeight="1" x14ac:dyDescent="0.2">
      <c r="E6888" s="7"/>
      <c r="F6888" s="7"/>
    </row>
    <row r="6889" spans="5:6" ht="15" customHeight="1" x14ac:dyDescent="0.2">
      <c r="E6889" s="7"/>
      <c r="F6889" s="7"/>
    </row>
    <row r="6890" spans="5:6" ht="15" customHeight="1" x14ac:dyDescent="0.2">
      <c r="E6890" s="7"/>
      <c r="F6890" s="7"/>
    </row>
    <row r="6891" spans="5:6" ht="15" customHeight="1" x14ac:dyDescent="0.2">
      <c r="E6891" s="7"/>
      <c r="F6891" s="7"/>
    </row>
    <row r="6892" spans="5:6" ht="15" customHeight="1" x14ac:dyDescent="0.2">
      <c r="E6892" s="7"/>
      <c r="F6892" s="7"/>
    </row>
    <row r="6893" spans="5:6" ht="15" customHeight="1" x14ac:dyDescent="0.2">
      <c r="E6893" s="7"/>
      <c r="F6893" s="7"/>
    </row>
    <row r="6894" spans="5:6" ht="15" customHeight="1" x14ac:dyDescent="0.2">
      <c r="E6894" s="7"/>
      <c r="F6894" s="7"/>
    </row>
    <row r="6895" spans="5:6" ht="15" customHeight="1" x14ac:dyDescent="0.2">
      <c r="E6895" s="7"/>
      <c r="F6895" s="7"/>
    </row>
    <row r="6896" spans="5:6" ht="15" customHeight="1" x14ac:dyDescent="0.2">
      <c r="E6896" s="7"/>
      <c r="F6896" s="7"/>
    </row>
    <row r="6897" spans="5:6" ht="15" customHeight="1" x14ac:dyDescent="0.2">
      <c r="E6897" s="7"/>
      <c r="F6897" s="7"/>
    </row>
    <row r="6898" spans="5:6" ht="15" customHeight="1" x14ac:dyDescent="0.2">
      <c r="E6898" s="7"/>
      <c r="F6898" s="7"/>
    </row>
    <row r="6899" spans="5:6" ht="15" customHeight="1" x14ac:dyDescent="0.2">
      <c r="E6899" s="7"/>
      <c r="F6899" s="7"/>
    </row>
    <row r="6900" spans="5:6" ht="15" customHeight="1" x14ac:dyDescent="0.2">
      <c r="E6900" s="7"/>
      <c r="F6900" s="7"/>
    </row>
    <row r="6901" spans="5:6" ht="15" customHeight="1" x14ac:dyDescent="0.2">
      <c r="E6901" s="7"/>
      <c r="F6901" s="7"/>
    </row>
    <row r="6902" spans="5:6" ht="15" customHeight="1" x14ac:dyDescent="0.2">
      <c r="E6902" s="7"/>
      <c r="F6902" s="7"/>
    </row>
    <row r="6903" spans="5:6" ht="15" customHeight="1" x14ac:dyDescent="0.2">
      <c r="E6903" s="7"/>
      <c r="F6903" s="7"/>
    </row>
    <row r="6904" spans="5:6" ht="15" customHeight="1" x14ac:dyDescent="0.2">
      <c r="E6904" s="7"/>
      <c r="F6904" s="7"/>
    </row>
    <row r="6905" spans="5:6" ht="15" customHeight="1" x14ac:dyDescent="0.2">
      <c r="E6905" s="7"/>
      <c r="F6905" s="7"/>
    </row>
    <row r="6906" spans="5:6" ht="15" customHeight="1" x14ac:dyDescent="0.2">
      <c r="E6906" s="7"/>
      <c r="F6906" s="7"/>
    </row>
    <row r="6907" spans="5:6" ht="15" customHeight="1" x14ac:dyDescent="0.2">
      <c r="E6907" s="7"/>
      <c r="F6907" s="7"/>
    </row>
    <row r="6908" spans="5:6" ht="15" customHeight="1" x14ac:dyDescent="0.2">
      <c r="E6908" s="7"/>
      <c r="F6908" s="7"/>
    </row>
    <row r="6909" spans="5:6" ht="15" customHeight="1" x14ac:dyDescent="0.2">
      <c r="E6909" s="7"/>
      <c r="F6909" s="7"/>
    </row>
    <row r="6910" spans="5:6" ht="15" customHeight="1" x14ac:dyDescent="0.2">
      <c r="E6910" s="7"/>
      <c r="F6910" s="7"/>
    </row>
    <row r="6911" spans="5:6" ht="15" customHeight="1" x14ac:dyDescent="0.2">
      <c r="E6911" s="7"/>
      <c r="F6911" s="7"/>
    </row>
    <row r="6912" spans="5:6" ht="15" customHeight="1" x14ac:dyDescent="0.2">
      <c r="E6912" s="7"/>
      <c r="F6912" s="7"/>
    </row>
    <row r="6913" spans="5:6" ht="15" customHeight="1" x14ac:dyDescent="0.2">
      <c r="E6913" s="7"/>
      <c r="F6913" s="7"/>
    </row>
    <row r="6914" spans="5:6" ht="15" customHeight="1" x14ac:dyDescent="0.2">
      <c r="E6914" s="7"/>
      <c r="F6914" s="7"/>
    </row>
    <row r="6915" spans="5:6" ht="15" customHeight="1" x14ac:dyDescent="0.2">
      <c r="E6915" s="7"/>
      <c r="F6915" s="7"/>
    </row>
    <row r="6916" spans="5:6" ht="15" customHeight="1" x14ac:dyDescent="0.2">
      <c r="E6916" s="7"/>
      <c r="F6916" s="7"/>
    </row>
    <row r="6917" spans="5:6" ht="15" customHeight="1" x14ac:dyDescent="0.2">
      <c r="E6917" s="7"/>
      <c r="F6917" s="7"/>
    </row>
    <row r="6918" spans="5:6" ht="15" customHeight="1" x14ac:dyDescent="0.2">
      <c r="E6918" s="7"/>
      <c r="F6918" s="7"/>
    </row>
    <row r="6919" spans="5:6" ht="15" customHeight="1" x14ac:dyDescent="0.2">
      <c r="E6919" s="7"/>
      <c r="F6919" s="7"/>
    </row>
    <row r="6920" spans="5:6" ht="15" customHeight="1" x14ac:dyDescent="0.2">
      <c r="E6920" s="7"/>
      <c r="F6920" s="7"/>
    </row>
    <row r="6921" spans="5:6" ht="15" customHeight="1" x14ac:dyDescent="0.2">
      <c r="E6921" s="7"/>
      <c r="F6921" s="7"/>
    </row>
    <row r="6922" spans="5:6" ht="15" customHeight="1" x14ac:dyDescent="0.2">
      <c r="E6922" s="7"/>
      <c r="F6922" s="7"/>
    </row>
    <row r="6923" spans="5:6" ht="15" customHeight="1" x14ac:dyDescent="0.2">
      <c r="E6923" s="7"/>
      <c r="F6923" s="7"/>
    </row>
    <row r="6924" spans="5:6" ht="15" customHeight="1" x14ac:dyDescent="0.2">
      <c r="E6924" s="7"/>
      <c r="F6924" s="7"/>
    </row>
    <row r="6925" spans="5:6" ht="15" customHeight="1" x14ac:dyDescent="0.2">
      <c r="E6925" s="7"/>
      <c r="F6925" s="7"/>
    </row>
    <row r="6926" spans="5:6" ht="15" customHeight="1" x14ac:dyDescent="0.2">
      <c r="E6926" s="7"/>
      <c r="F6926" s="7"/>
    </row>
    <row r="6927" spans="5:6" ht="15" customHeight="1" x14ac:dyDescent="0.2">
      <c r="E6927" s="7"/>
      <c r="F6927" s="7"/>
    </row>
    <row r="6928" spans="5:6" ht="15" customHeight="1" x14ac:dyDescent="0.2">
      <c r="E6928" s="7"/>
      <c r="F6928" s="7"/>
    </row>
    <row r="6929" spans="5:6" ht="15" customHeight="1" x14ac:dyDescent="0.2">
      <c r="E6929" s="7"/>
      <c r="F6929" s="7"/>
    </row>
    <row r="6930" spans="5:6" ht="15" customHeight="1" x14ac:dyDescent="0.2">
      <c r="E6930" s="7"/>
      <c r="F6930" s="7"/>
    </row>
    <row r="6931" spans="5:6" ht="15" customHeight="1" x14ac:dyDescent="0.2">
      <c r="E6931" s="7"/>
      <c r="F6931" s="7"/>
    </row>
    <row r="6932" spans="5:6" ht="15" customHeight="1" x14ac:dyDescent="0.2">
      <c r="E6932" s="7"/>
      <c r="F6932" s="7"/>
    </row>
    <row r="6933" spans="5:6" ht="15" customHeight="1" x14ac:dyDescent="0.2">
      <c r="E6933" s="7"/>
      <c r="F6933" s="7"/>
    </row>
    <row r="6934" spans="5:6" ht="15" customHeight="1" x14ac:dyDescent="0.2">
      <c r="E6934" s="7"/>
      <c r="F6934" s="7"/>
    </row>
    <row r="6935" spans="5:6" ht="15" customHeight="1" x14ac:dyDescent="0.2">
      <c r="E6935" s="7"/>
      <c r="F6935" s="7"/>
    </row>
    <row r="6936" spans="5:6" ht="15" customHeight="1" x14ac:dyDescent="0.2">
      <c r="E6936" s="7"/>
      <c r="F6936" s="7"/>
    </row>
    <row r="6937" spans="5:6" ht="15" customHeight="1" x14ac:dyDescent="0.2">
      <c r="E6937" s="7"/>
      <c r="F6937" s="7"/>
    </row>
    <row r="6938" spans="5:6" ht="15" customHeight="1" x14ac:dyDescent="0.2">
      <c r="E6938" s="7"/>
      <c r="F6938" s="7"/>
    </row>
    <row r="6939" spans="5:6" ht="15" customHeight="1" x14ac:dyDescent="0.2">
      <c r="E6939" s="7"/>
      <c r="F6939" s="7"/>
    </row>
    <row r="6940" spans="5:6" ht="15" customHeight="1" x14ac:dyDescent="0.2">
      <c r="E6940" s="7"/>
      <c r="F6940" s="7"/>
    </row>
    <row r="6941" spans="5:6" ht="15" customHeight="1" x14ac:dyDescent="0.2">
      <c r="E6941" s="7"/>
      <c r="F6941" s="7"/>
    </row>
    <row r="6942" spans="5:6" ht="15" customHeight="1" x14ac:dyDescent="0.2">
      <c r="E6942" s="7"/>
      <c r="F6942" s="7"/>
    </row>
    <row r="6943" spans="5:6" ht="15" customHeight="1" x14ac:dyDescent="0.2">
      <c r="E6943" s="7"/>
      <c r="F6943" s="7"/>
    </row>
    <row r="6944" spans="5:6" ht="15" customHeight="1" x14ac:dyDescent="0.2">
      <c r="E6944" s="7"/>
      <c r="F6944" s="7"/>
    </row>
    <row r="6945" spans="5:6" ht="15" customHeight="1" x14ac:dyDescent="0.2">
      <c r="E6945" s="7"/>
      <c r="F6945" s="7"/>
    </row>
    <row r="6946" spans="5:6" ht="15" customHeight="1" x14ac:dyDescent="0.2">
      <c r="E6946" s="7"/>
      <c r="F6946" s="7"/>
    </row>
    <row r="6947" spans="5:6" ht="15" customHeight="1" x14ac:dyDescent="0.2">
      <c r="E6947" s="7"/>
      <c r="F6947" s="7"/>
    </row>
    <row r="6948" spans="5:6" ht="15" customHeight="1" x14ac:dyDescent="0.2">
      <c r="E6948" s="7"/>
      <c r="F6948" s="7"/>
    </row>
    <row r="6949" spans="5:6" ht="15" customHeight="1" x14ac:dyDescent="0.2">
      <c r="E6949" s="7"/>
      <c r="F6949" s="7"/>
    </row>
    <row r="6950" spans="5:6" ht="15" customHeight="1" x14ac:dyDescent="0.2">
      <c r="E6950" s="7"/>
      <c r="F6950" s="7"/>
    </row>
    <row r="6951" spans="5:6" ht="15" customHeight="1" x14ac:dyDescent="0.2">
      <c r="E6951" s="7"/>
      <c r="F6951" s="7"/>
    </row>
    <row r="6952" spans="5:6" ht="15" customHeight="1" x14ac:dyDescent="0.2">
      <c r="E6952" s="7"/>
      <c r="F6952" s="7"/>
    </row>
    <row r="6953" spans="5:6" ht="15" customHeight="1" x14ac:dyDescent="0.2">
      <c r="E6953" s="7"/>
      <c r="F6953" s="7"/>
    </row>
    <row r="6954" spans="5:6" ht="15" customHeight="1" x14ac:dyDescent="0.2">
      <c r="E6954" s="7"/>
      <c r="F6954" s="7"/>
    </row>
    <row r="6955" spans="5:6" ht="15" customHeight="1" x14ac:dyDescent="0.2">
      <c r="E6955" s="7"/>
      <c r="F6955" s="7"/>
    </row>
    <row r="6956" spans="5:6" ht="15" customHeight="1" x14ac:dyDescent="0.2">
      <c r="E6956" s="7"/>
      <c r="F6956" s="7"/>
    </row>
    <row r="6957" spans="5:6" ht="15" customHeight="1" x14ac:dyDescent="0.2">
      <c r="E6957" s="7"/>
      <c r="F6957" s="7"/>
    </row>
    <row r="6958" spans="5:6" ht="15" customHeight="1" x14ac:dyDescent="0.2">
      <c r="E6958" s="7"/>
      <c r="F6958" s="7"/>
    </row>
    <row r="6959" spans="5:6" ht="15" customHeight="1" x14ac:dyDescent="0.2">
      <c r="E6959" s="7"/>
      <c r="F6959" s="7"/>
    </row>
    <row r="6960" spans="5:6" ht="15" customHeight="1" x14ac:dyDescent="0.2">
      <c r="E6960" s="7"/>
      <c r="F6960" s="7"/>
    </row>
    <row r="6961" spans="5:6" ht="15" customHeight="1" x14ac:dyDescent="0.2">
      <c r="E6961" s="7"/>
      <c r="F6961" s="7"/>
    </row>
    <row r="6962" spans="5:6" ht="15" customHeight="1" x14ac:dyDescent="0.2">
      <c r="E6962" s="7"/>
      <c r="F6962" s="7"/>
    </row>
    <row r="6963" spans="5:6" ht="15" customHeight="1" x14ac:dyDescent="0.2">
      <c r="E6963" s="7"/>
      <c r="F6963" s="7"/>
    </row>
    <row r="6964" spans="5:6" ht="15" customHeight="1" x14ac:dyDescent="0.2">
      <c r="E6964" s="7"/>
      <c r="F6964" s="7"/>
    </row>
    <row r="6965" spans="5:6" ht="15" customHeight="1" x14ac:dyDescent="0.2">
      <c r="E6965" s="7"/>
      <c r="F6965" s="7"/>
    </row>
    <row r="6966" spans="5:6" ht="15" customHeight="1" x14ac:dyDescent="0.2">
      <c r="E6966" s="7"/>
      <c r="F6966" s="7"/>
    </row>
    <row r="6967" spans="5:6" ht="15" customHeight="1" x14ac:dyDescent="0.2">
      <c r="E6967" s="7"/>
      <c r="F6967" s="7"/>
    </row>
    <row r="6968" spans="5:6" ht="15" customHeight="1" x14ac:dyDescent="0.2">
      <c r="E6968" s="7"/>
      <c r="F6968" s="7"/>
    </row>
    <row r="6969" spans="5:6" ht="15" customHeight="1" x14ac:dyDescent="0.2">
      <c r="E6969" s="7"/>
      <c r="F6969" s="7"/>
    </row>
    <row r="6970" spans="5:6" ht="15" customHeight="1" x14ac:dyDescent="0.2">
      <c r="E6970" s="7"/>
      <c r="F6970" s="7"/>
    </row>
    <row r="6971" spans="5:6" ht="15" customHeight="1" x14ac:dyDescent="0.2">
      <c r="E6971" s="7"/>
      <c r="F6971" s="7"/>
    </row>
    <row r="6972" spans="5:6" ht="15" customHeight="1" x14ac:dyDescent="0.2">
      <c r="E6972" s="7"/>
      <c r="F6972" s="7"/>
    </row>
    <row r="6973" spans="5:6" ht="15" customHeight="1" x14ac:dyDescent="0.2">
      <c r="E6973" s="7"/>
      <c r="F6973" s="7"/>
    </row>
    <row r="6974" spans="5:6" ht="15" customHeight="1" x14ac:dyDescent="0.2">
      <c r="E6974" s="7"/>
      <c r="F6974" s="7"/>
    </row>
    <row r="6975" spans="5:6" ht="15" customHeight="1" x14ac:dyDescent="0.2">
      <c r="E6975" s="7"/>
      <c r="F6975" s="7"/>
    </row>
    <row r="6976" spans="5:6" ht="15" customHeight="1" x14ac:dyDescent="0.2">
      <c r="E6976" s="7"/>
      <c r="F6976" s="7"/>
    </row>
    <row r="6977" spans="5:6" ht="15" customHeight="1" x14ac:dyDescent="0.2">
      <c r="E6977" s="7"/>
      <c r="F6977" s="7"/>
    </row>
    <row r="6978" spans="5:6" ht="15" customHeight="1" x14ac:dyDescent="0.2">
      <c r="E6978" s="7"/>
      <c r="F6978" s="7"/>
    </row>
    <row r="6979" spans="5:6" ht="15" customHeight="1" x14ac:dyDescent="0.2">
      <c r="E6979" s="7"/>
      <c r="F6979" s="7"/>
    </row>
    <row r="6980" spans="5:6" ht="15" customHeight="1" x14ac:dyDescent="0.2">
      <c r="E6980" s="7"/>
      <c r="F6980" s="7"/>
    </row>
    <row r="6981" spans="5:6" ht="15" customHeight="1" x14ac:dyDescent="0.2">
      <c r="E6981" s="7"/>
      <c r="F6981" s="7"/>
    </row>
    <row r="6982" spans="5:6" ht="15" customHeight="1" x14ac:dyDescent="0.2">
      <c r="E6982" s="7"/>
      <c r="F6982" s="7"/>
    </row>
    <row r="6983" spans="5:6" ht="15" customHeight="1" x14ac:dyDescent="0.2">
      <c r="E6983" s="7"/>
      <c r="F6983" s="7"/>
    </row>
    <row r="6984" spans="5:6" ht="15" customHeight="1" x14ac:dyDescent="0.2">
      <c r="E6984" s="7"/>
      <c r="F6984" s="7"/>
    </row>
    <row r="6985" spans="5:6" ht="15" customHeight="1" x14ac:dyDescent="0.2">
      <c r="E6985" s="7"/>
      <c r="F6985" s="7"/>
    </row>
    <row r="6986" spans="5:6" ht="15" customHeight="1" x14ac:dyDescent="0.2">
      <c r="E6986" s="7"/>
      <c r="F6986" s="7"/>
    </row>
    <row r="6987" spans="5:6" ht="15" customHeight="1" x14ac:dyDescent="0.2">
      <c r="E6987" s="7"/>
      <c r="F6987" s="7"/>
    </row>
    <row r="6988" spans="5:6" ht="15" customHeight="1" x14ac:dyDescent="0.2">
      <c r="E6988" s="7"/>
      <c r="F6988" s="7"/>
    </row>
    <row r="6989" spans="5:6" ht="15" customHeight="1" x14ac:dyDescent="0.2">
      <c r="E6989" s="7"/>
      <c r="F6989" s="7"/>
    </row>
    <row r="6990" spans="5:6" ht="15" customHeight="1" x14ac:dyDescent="0.2">
      <c r="E6990" s="7"/>
      <c r="F6990" s="7"/>
    </row>
    <row r="6991" spans="5:6" ht="15" customHeight="1" x14ac:dyDescent="0.2">
      <c r="E6991" s="7"/>
      <c r="F6991" s="7"/>
    </row>
    <row r="6992" spans="5:6" ht="15" customHeight="1" x14ac:dyDescent="0.2">
      <c r="E6992" s="7"/>
      <c r="F6992" s="7"/>
    </row>
    <row r="6993" spans="5:6" ht="15" customHeight="1" x14ac:dyDescent="0.2">
      <c r="E6993" s="7"/>
      <c r="F6993" s="7"/>
    </row>
    <row r="6994" spans="5:6" ht="15" customHeight="1" x14ac:dyDescent="0.2">
      <c r="E6994" s="7"/>
      <c r="F6994" s="7"/>
    </row>
    <row r="6995" spans="5:6" ht="15" customHeight="1" x14ac:dyDescent="0.2">
      <c r="E6995" s="7"/>
      <c r="F6995" s="7"/>
    </row>
    <row r="6996" spans="5:6" ht="15" customHeight="1" x14ac:dyDescent="0.2">
      <c r="E6996" s="7"/>
      <c r="F6996" s="7"/>
    </row>
    <row r="6997" spans="5:6" ht="15" customHeight="1" x14ac:dyDescent="0.2">
      <c r="E6997" s="7"/>
      <c r="F6997" s="7"/>
    </row>
    <row r="6998" spans="5:6" ht="15" customHeight="1" x14ac:dyDescent="0.2">
      <c r="E6998" s="7"/>
      <c r="F6998" s="7"/>
    </row>
    <row r="6999" spans="5:6" ht="15" customHeight="1" x14ac:dyDescent="0.2">
      <c r="E6999" s="7"/>
      <c r="F6999" s="7"/>
    </row>
    <row r="7000" spans="5:6" ht="15" customHeight="1" x14ac:dyDescent="0.2">
      <c r="E7000" s="7"/>
      <c r="F7000" s="7"/>
    </row>
    <row r="7001" spans="5:6" ht="15" customHeight="1" x14ac:dyDescent="0.2">
      <c r="E7001" s="7"/>
      <c r="F7001" s="7"/>
    </row>
    <row r="7002" spans="5:6" ht="15" customHeight="1" x14ac:dyDescent="0.2">
      <c r="E7002" s="7"/>
      <c r="F7002" s="7"/>
    </row>
    <row r="7003" spans="5:6" ht="15" customHeight="1" x14ac:dyDescent="0.2">
      <c r="E7003" s="7"/>
      <c r="F7003" s="7"/>
    </row>
    <row r="7004" spans="5:6" ht="15" customHeight="1" x14ac:dyDescent="0.2">
      <c r="E7004" s="7"/>
      <c r="F7004" s="7"/>
    </row>
    <row r="7005" spans="5:6" ht="15" customHeight="1" x14ac:dyDescent="0.2">
      <c r="E7005" s="7"/>
      <c r="F7005" s="7"/>
    </row>
    <row r="7006" spans="5:6" ht="15" customHeight="1" x14ac:dyDescent="0.2">
      <c r="E7006" s="7"/>
      <c r="F7006" s="7"/>
    </row>
    <row r="7007" spans="5:6" ht="15" customHeight="1" x14ac:dyDescent="0.2">
      <c r="E7007" s="7"/>
      <c r="F7007" s="7"/>
    </row>
    <row r="7008" spans="5:6" ht="15" customHeight="1" x14ac:dyDescent="0.2">
      <c r="E7008" s="7"/>
      <c r="F7008" s="7"/>
    </row>
    <row r="7009" spans="5:6" ht="15" customHeight="1" x14ac:dyDescent="0.2">
      <c r="E7009" s="7"/>
      <c r="F7009" s="7"/>
    </row>
    <row r="7010" spans="5:6" ht="15" customHeight="1" x14ac:dyDescent="0.2">
      <c r="E7010" s="7"/>
      <c r="F7010" s="7"/>
    </row>
    <row r="7011" spans="5:6" ht="15" customHeight="1" x14ac:dyDescent="0.2">
      <c r="E7011" s="7"/>
      <c r="F7011" s="7"/>
    </row>
    <row r="7012" spans="5:6" ht="15" customHeight="1" x14ac:dyDescent="0.2">
      <c r="E7012" s="7"/>
      <c r="F7012" s="7"/>
    </row>
    <row r="7013" spans="5:6" ht="15" customHeight="1" x14ac:dyDescent="0.2">
      <c r="E7013" s="7"/>
      <c r="F7013" s="7"/>
    </row>
    <row r="7014" spans="5:6" ht="15" customHeight="1" x14ac:dyDescent="0.2">
      <c r="E7014" s="7"/>
      <c r="F7014" s="7"/>
    </row>
    <row r="7015" spans="5:6" ht="15" customHeight="1" x14ac:dyDescent="0.2">
      <c r="E7015" s="7"/>
      <c r="F7015" s="7"/>
    </row>
    <row r="7016" spans="5:6" ht="15" customHeight="1" x14ac:dyDescent="0.2">
      <c r="E7016" s="7"/>
      <c r="F7016" s="7"/>
    </row>
    <row r="7017" spans="5:6" ht="15" customHeight="1" x14ac:dyDescent="0.2">
      <c r="E7017" s="7"/>
      <c r="F7017" s="7"/>
    </row>
    <row r="7018" spans="5:6" ht="15" customHeight="1" x14ac:dyDescent="0.2">
      <c r="E7018" s="7"/>
      <c r="F7018" s="7"/>
    </row>
    <row r="7019" spans="5:6" ht="15" customHeight="1" x14ac:dyDescent="0.2">
      <c r="E7019" s="7"/>
      <c r="F7019" s="7"/>
    </row>
    <row r="7020" spans="5:6" ht="15" customHeight="1" x14ac:dyDescent="0.2">
      <c r="E7020" s="7"/>
      <c r="F7020" s="7"/>
    </row>
    <row r="7021" spans="5:6" ht="15" customHeight="1" x14ac:dyDescent="0.2">
      <c r="E7021" s="7"/>
      <c r="F7021" s="7"/>
    </row>
    <row r="7022" spans="5:6" ht="15" customHeight="1" x14ac:dyDescent="0.2">
      <c r="E7022" s="7"/>
      <c r="F7022" s="7"/>
    </row>
    <row r="7023" spans="5:6" ht="15" customHeight="1" x14ac:dyDescent="0.2">
      <c r="E7023" s="7"/>
      <c r="F7023" s="7"/>
    </row>
    <row r="7024" spans="5:6" ht="15" customHeight="1" x14ac:dyDescent="0.2">
      <c r="E7024" s="7"/>
      <c r="F7024" s="7"/>
    </row>
    <row r="7025" spans="5:6" ht="15" customHeight="1" x14ac:dyDescent="0.2">
      <c r="E7025" s="7"/>
      <c r="F7025" s="7"/>
    </row>
    <row r="7026" spans="5:6" ht="15" customHeight="1" x14ac:dyDescent="0.2">
      <c r="E7026" s="7"/>
      <c r="F7026" s="7"/>
    </row>
    <row r="7027" spans="5:6" ht="15" customHeight="1" x14ac:dyDescent="0.2">
      <c r="E7027" s="7"/>
      <c r="F7027" s="7"/>
    </row>
    <row r="7028" spans="5:6" ht="15" customHeight="1" x14ac:dyDescent="0.2">
      <c r="E7028" s="7"/>
      <c r="F7028" s="7"/>
    </row>
    <row r="7029" spans="5:6" ht="15" customHeight="1" x14ac:dyDescent="0.2">
      <c r="E7029" s="7"/>
      <c r="F7029" s="7"/>
    </row>
    <row r="7030" spans="5:6" ht="15" customHeight="1" x14ac:dyDescent="0.2">
      <c r="E7030" s="7"/>
      <c r="F7030" s="7"/>
    </row>
    <row r="7031" spans="5:6" ht="15" customHeight="1" x14ac:dyDescent="0.2">
      <c r="E7031" s="7"/>
      <c r="F7031" s="7"/>
    </row>
    <row r="7032" spans="5:6" ht="15" customHeight="1" x14ac:dyDescent="0.2">
      <c r="E7032" s="7"/>
      <c r="F7032" s="7"/>
    </row>
    <row r="7033" spans="5:6" ht="15" customHeight="1" x14ac:dyDescent="0.2">
      <c r="E7033" s="7"/>
      <c r="F7033" s="7"/>
    </row>
    <row r="7034" spans="5:6" ht="15" customHeight="1" x14ac:dyDescent="0.2">
      <c r="E7034" s="7"/>
      <c r="F7034" s="7"/>
    </row>
    <row r="7035" spans="5:6" ht="15" customHeight="1" x14ac:dyDescent="0.2">
      <c r="E7035" s="7"/>
      <c r="F7035" s="7"/>
    </row>
    <row r="7036" spans="5:6" ht="15" customHeight="1" x14ac:dyDescent="0.2">
      <c r="E7036" s="7"/>
      <c r="F7036" s="7"/>
    </row>
    <row r="7037" spans="5:6" ht="15" customHeight="1" x14ac:dyDescent="0.2">
      <c r="E7037" s="7"/>
      <c r="F7037" s="7"/>
    </row>
    <row r="7038" spans="5:6" ht="15" customHeight="1" x14ac:dyDescent="0.2">
      <c r="E7038" s="7"/>
      <c r="F7038" s="7"/>
    </row>
    <row r="7039" spans="5:6" ht="15" customHeight="1" x14ac:dyDescent="0.2">
      <c r="E7039" s="7"/>
      <c r="F7039" s="7"/>
    </row>
    <row r="7040" spans="5:6" ht="15" customHeight="1" x14ac:dyDescent="0.2">
      <c r="E7040" s="7"/>
      <c r="F7040" s="7"/>
    </row>
    <row r="7041" spans="5:6" ht="15" customHeight="1" x14ac:dyDescent="0.2">
      <c r="E7041" s="7"/>
      <c r="F7041" s="7"/>
    </row>
    <row r="7042" spans="5:6" ht="15" customHeight="1" x14ac:dyDescent="0.2">
      <c r="E7042" s="7"/>
      <c r="F7042" s="7"/>
    </row>
    <row r="7043" spans="5:6" ht="15" customHeight="1" x14ac:dyDescent="0.2">
      <c r="E7043" s="7"/>
      <c r="F7043" s="7"/>
    </row>
    <row r="7044" spans="5:6" ht="15" customHeight="1" x14ac:dyDescent="0.2">
      <c r="E7044" s="7"/>
      <c r="F7044" s="7"/>
    </row>
    <row r="7045" spans="5:6" ht="15" customHeight="1" x14ac:dyDescent="0.2">
      <c r="E7045" s="7"/>
      <c r="F7045" s="7"/>
    </row>
    <row r="7046" spans="5:6" ht="15" customHeight="1" x14ac:dyDescent="0.2">
      <c r="E7046" s="7"/>
      <c r="F7046" s="7"/>
    </row>
    <row r="7047" spans="5:6" ht="15" customHeight="1" x14ac:dyDescent="0.2">
      <c r="E7047" s="7"/>
      <c r="F7047" s="7"/>
    </row>
    <row r="7048" spans="5:6" ht="15" customHeight="1" x14ac:dyDescent="0.2">
      <c r="E7048" s="7"/>
      <c r="F7048" s="7"/>
    </row>
    <row r="7049" spans="5:6" ht="15" customHeight="1" x14ac:dyDescent="0.2">
      <c r="E7049" s="7"/>
      <c r="F7049" s="7"/>
    </row>
    <row r="7050" spans="5:6" ht="15" customHeight="1" x14ac:dyDescent="0.2">
      <c r="E7050" s="7"/>
      <c r="F7050" s="7"/>
    </row>
    <row r="7051" spans="5:6" ht="15" customHeight="1" x14ac:dyDescent="0.2">
      <c r="E7051" s="7"/>
      <c r="F7051" s="7"/>
    </row>
    <row r="7052" spans="5:6" ht="15" customHeight="1" x14ac:dyDescent="0.2">
      <c r="E7052" s="7"/>
      <c r="F7052" s="7"/>
    </row>
    <row r="7053" spans="5:6" ht="15" customHeight="1" x14ac:dyDescent="0.2">
      <c r="E7053" s="7"/>
      <c r="F7053" s="7"/>
    </row>
    <row r="7054" spans="5:6" ht="15" customHeight="1" x14ac:dyDescent="0.2">
      <c r="E7054" s="7"/>
      <c r="F7054" s="7"/>
    </row>
    <row r="7055" spans="5:6" ht="15" customHeight="1" x14ac:dyDescent="0.2">
      <c r="E7055" s="7"/>
      <c r="F7055" s="7"/>
    </row>
    <row r="7056" spans="5:6" ht="15" customHeight="1" x14ac:dyDescent="0.2">
      <c r="E7056" s="7"/>
      <c r="F7056" s="7"/>
    </row>
    <row r="7057" spans="5:6" ht="15" customHeight="1" x14ac:dyDescent="0.2">
      <c r="E7057" s="7"/>
      <c r="F7057" s="7"/>
    </row>
    <row r="7058" spans="5:6" ht="15" customHeight="1" x14ac:dyDescent="0.2">
      <c r="E7058" s="7"/>
      <c r="F7058" s="7"/>
    </row>
    <row r="7059" spans="5:6" ht="15" customHeight="1" x14ac:dyDescent="0.2">
      <c r="E7059" s="7"/>
      <c r="F7059" s="7"/>
    </row>
    <row r="7060" spans="5:6" ht="15" customHeight="1" x14ac:dyDescent="0.2">
      <c r="E7060" s="7"/>
      <c r="F7060" s="7"/>
    </row>
    <row r="7061" spans="5:6" ht="15" customHeight="1" x14ac:dyDescent="0.2">
      <c r="E7061" s="7"/>
      <c r="F7061" s="7"/>
    </row>
    <row r="7062" spans="5:6" ht="15" customHeight="1" x14ac:dyDescent="0.2">
      <c r="E7062" s="7"/>
      <c r="F7062" s="7"/>
    </row>
    <row r="7063" spans="5:6" ht="15" customHeight="1" x14ac:dyDescent="0.2">
      <c r="E7063" s="7"/>
      <c r="F7063" s="7"/>
    </row>
    <row r="7064" spans="5:6" ht="15" customHeight="1" x14ac:dyDescent="0.2">
      <c r="E7064" s="7"/>
      <c r="F7064" s="7"/>
    </row>
    <row r="7065" spans="5:6" ht="15" customHeight="1" x14ac:dyDescent="0.2">
      <c r="E7065" s="7"/>
      <c r="F7065" s="7"/>
    </row>
    <row r="7066" spans="5:6" ht="15" customHeight="1" x14ac:dyDescent="0.2">
      <c r="E7066" s="7"/>
      <c r="F7066" s="7"/>
    </row>
    <row r="7067" spans="5:6" ht="15" customHeight="1" x14ac:dyDescent="0.2">
      <c r="E7067" s="7"/>
      <c r="F7067" s="7"/>
    </row>
    <row r="7068" spans="5:6" ht="15" customHeight="1" x14ac:dyDescent="0.2">
      <c r="E7068" s="7"/>
      <c r="F7068" s="7"/>
    </row>
    <row r="7069" spans="5:6" ht="15" customHeight="1" x14ac:dyDescent="0.2">
      <c r="E7069" s="7"/>
      <c r="F7069" s="7"/>
    </row>
    <row r="7070" spans="5:6" ht="15" customHeight="1" x14ac:dyDescent="0.2">
      <c r="E7070" s="7"/>
      <c r="F7070" s="7"/>
    </row>
    <row r="7071" spans="5:6" ht="15" customHeight="1" x14ac:dyDescent="0.2">
      <c r="E7071" s="7"/>
      <c r="F7071" s="7"/>
    </row>
    <row r="7072" spans="5:6" ht="15" customHeight="1" x14ac:dyDescent="0.2">
      <c r="E7072" s="7"/>
      <c r="F7072" s="7"/>
    </row>
    <row r="7073" spans="5:6" ht="15" customHeight="1" x14ac:dyDescent="0.2">
      <c r="E7073" s="7"/>
      <c r="F7073" s="7"/>
    </row>
    <row r="7074" spans="5:6" ht="15" customHeight="1" x14ac:dyDescent="0.2">
      <c r="E7074" s="7"/>
      <c r="F7074" s="7"/>
    </row>
    <row r="7075" spans="5:6" ht="15" customHeight="1" x14ac:dyDescent="0.2">
      <c r="E7075" s="7"/>
      <c r="F7075" s="7"/>
    </row>
    <row r="7076" spans="5:6" ht="15" customHeight="1" x14ac:dyDescent="0.2">
      <c r="E7076" s="7"/>
      <c r="F7076" s="7"/>
    </row>
    <row r="7077" spans="5:6" ht="15" customHeight="1" x14ac:dyDescent="0.2">
      <c r="E7077" s="7"/>
      <c r="F7077" s="7"/>
    </row>
    <row r="7078" spans="5:6" ht="15" customHeight="1" x14ac:dyDescent="0.2">
      <c r="E7078" s="7"/>
      <c r="F7078" s="7"/>
    </row>
    <row r="7079" spans="5:6" ht="15" customHeight="1" x14ac:dyDescent="0.2">
      <c r="E7079" s="7"/>
      <c r="F7079" s="7"/>
    </row>
    <row r="7080" spans="5:6" ht="15" customHeight="1" x14ac:dyDescent="0.2">
      <c r="E7080" s="7"/>
      <c r="F7080" s="7"/>
    </row>
    <row r="7081" spans="5:6" ht="15" customHeight="1" x14ac:dyDescent="0.2">
      <c r="E7081" s="7"/>
      <c r="F7081" s="7"/>
    </row>
    <row r="7082" spans="5:6" ht="15" customHeight="1" x14ac:dyDescent="0.2">
      <c r="E7082" s="7"/>
      <c r="F7082" s="7"/>
    </row>
    <row r="7083" spans="5:6" ht="15" customHeight="1" x14ac:dyDescent="0.2">
      <c r="E7083" s="7"/>
      <c r="F7083" s="7"/>
    </row>
    <row r="7084" spans="5:6" ht="15" customHeight="1" x14ac:dyDescent="0.2">
      <c r="E7084" s="7"/>
      <c r="F7084" s="7"/>
    </row>
    <row r="7085" spans="5:6" ht="15" customHeight="1" x14ac:dyDescent="0.2">
      <c r="E7085" s="7"/>
      <c r="F7085" s="7"/>
    </row>
    <row r="7086" spans="5:6" ht="15" customHeight="1" x14ac:dyDescent="0.2">
      <c r="E7086" s="7"/>
      <c r="F7086" s="7"/>
    </row>
    <row r="7087" spans="5:6" ht="15" customHeight="1" x14ac:dyDescent="0.2">
      <c r="E7087" s="7"/>
      <c r="F7087" s="7"/>
    </row>
    <row r="7088" spans="5:6" ht="15" customHeight="1" x14ac:dyDescent="0.2">
      <c r="E7088" s="7"/>
      <c r="F7088" s="7"/>
    </row>
    <row r="7089" spans="5:6" ht="15" customHeight="1" x14ac:dyDescent="0.2">
      <c r="E7089" s="7"/>
      <c r="F7089" s="7"/>
    </row>
    <row r="7090" spans="5:6" ht="15" customHeight="1" x14ac:dyDescent="0.2">
      <c r="E7090" s="7"/>
      <c r="F7090" s="7"/>
    </row>
    <row r="7091" spans="5:6" ht="15" customHeight="1" x14ac:dyDescent="0.2">
      <c r="E7091" s="7"/>
      <c r="F7091" s="7"/>
    </row>
    <row r="7092" spans="5:6" ht="15" customHeight="1" x14ac:dyDescent="0.2">
      <c r="E7092" s="7"/>
      <c r="F7092" s="7"/>
    </row>
    <row r="7093" spans="5:6" ht="15" customHeight="1" x14ac:dyDescent="0.2">
      <c r="E7093" s="7"/>
      <c r="F7093" s="7"/>
    </row>
    <row r="7094" spans="5:6" ht="15" customHeight="1" x14ac:dyDescent="0.2">
      <c r="E7094" s="7"/>
      <c r="F7094" s="7"/>
    </row>
    <row r="7095" spans="5:6" ht="15" customHeight="1" x14ac:dyDescent="0.2">
      <c r="E7095" s="7"/>
      <c r="F7095" s="7"/>
    </row>
    <row r="7096" spans="5:6" ht="15" customHeight="1" x14ac:dyDescent="0.2">
      <c r="E7096" s="7"/>
      <c r="F7096" s="7"/>
    </row>
    <row r="7097" spans="5:6" ht="15" customHeight="1" x14ac:dyDescent="0.2">
      <c r="E7097" s="7"/>
      <c r="F7097" s="7"/>
    </row>
    <row r="7098" spans="5:6" ht="15" customHeight="1" x14ac:dyDescent="0.2">
      <c r="E7098" s="7"/>
      <c r="F7098" s="7"/>
    </row>
    <row r="7099" spans="5:6" ht="15" customHeight="1" x14ac:dyDescent="0.2">
      <c r="E7099" s="7"/>
      <c r="F7099" s="7"/>
    </row>
    <row r="7100" spans="5:6" ht="15" customHeight="1" x14ac:dyDescent="0.2">
      <c r="E7100" s="7"/>
      <c r="F7100" s="7"/>
    </row>
    <row r="7101" spans="5:6" ht="15" customHeight="1" x14ac:dyDescent="0.2">
      <c r="E7101" s="7"/>
      <c r="F7101" s="7"/>
    </row>
    <row r="7102" spans="5:6" ht="15" customHeight="1" x14ac:dyDescent="0.2">
      <c r="E7102" s="7"/>
      <c r="F7102" s="7"/>
    </row>
    <row r="7103" spans="5:6" ht="15" customHeight="1" x14ac:dyDescent="0.2">
      <c r="E7103" s="7"/>
      <c r="F7103" s="7"/>
    </row>
    <row r="7104" spans="5:6" ht="15" customHeight="1" x14ac:dyDescent="0.2">
      <c r="E7104" s="7"/>
      <c r="F7104" s="7"/>
    </row>
    <row r="7105" spans="5:6" ht="15" customHeight="1" x14ac:dyDescent="0.2">
      <c r="E7105" s="7"/>
      <c r="F7105" s="7"/>
    </row>
    <row r="7106" spans="5:6" ht="15" customHeight="1" x14ac:dyDescent="0.2">
      <c r="E7106" s="7"/>
      <c r="F7106" s="7"/>
    </row>
    <row r="7107" spans="5:6" ht="15" customHeight="1" x14ac:dyDescent="0.2">
      <c r="E7107" s="7"/>
      <c r="F7107" s="7"/>
    </row>
    <row r="7108" spans="5:6" ht="15" customHeight="1" x14ac:dyDescent="0.2">
      <c r="E7108" s="7"/>
      <c r="F7108" s="7"/>
    </row>
    <row r="7109" spans="5:6" ht="15" customHeight="1" x14ac:dyDescent="0.2">
      <c r="E7109" s="7"/>
      <c r="F7109" s="7"/>
    </row>
    <row r="7110" spans="5:6" ht="15" customHeight="1" x14ac:dyDescent="0.2">
      <c r="E7110" s="7"/>
      <c r="F7110" s="7"/>
    </row>
    <row r="7111" spans="5:6" ht="15" customHeight="1" x14ac:dyDescent="0.2">
      <c r="E7111" s="7"/>
      <c r="F7111" s="7"/>
    </row>
    <row r="7112" spans="5:6" ht="15" customHeight="1" x14ac:dyDescent="0.2">
      <c r="E7112" s="7"/>
      <c r="F7112" s="7"/>
    </row>
    <row r="7113" spans="5:6" ht="15" customHeight="1" x14ac:dyDescent="0.2">
      <c r="E7113" s="7"/>
      <c r="F7113" s="7"/>
    </row>
    <row r="7114" spans="5:6" ht="15" customHeight="1" x14ac:dyDescent="0.2">
      <c r="E7114" s="7"/>
      <c r="F7114" s="7"/>
    </row>
    <row r="7115" spans="5:6" ht="15" customHeight="1" x14ac:dyDescent="0.2">
      <c r="E7115" s="7"/>
      <c r="F7115" s="7"/>
    </row>
    <row r="7116" spans="5:6" ht="15" customHeight="1" x14ac:dyDescent="0.2">
      <c r="E7116" s="7"/>
      <c r="F7116" s="7"/>
    </row>
    <row r="7117" spans="5:6" ht="15" customHeight="1" x14ac:dyDescent="0.2">
      <c r="E7117" s="7"/>
      <c r="F7117" s="7"/>
    </row>
    <row r="7118" spans="5:6" ht="15" customHeight="1" x14ac:dyDescent="0.2">
      <c r="E7118" s="7"/>
      <c r="F7118" s="7"/>
    </row>
    <row r="7119" spans="5:6" ht="15" customHeight="1" x14ac:dyDescent="0.2">
      <c r="E7119" s="7"/>
      <c r="F7119" s="7"/>
    </row>
    <row r="7120" spans="5:6" ht="15" customHeight="1" x14ac:dyDescent="0.2">
      <c r="E7120" s="7"/>
      <c r="F7120" s="7"/>
    </row>
    <row r="7121" spans="5:6" ht="15" customHeight="1" x14ac:dyDescent="0.2">
      <c r="E7121" s="7"/>
      <c r="F7121" s="7"/>
    </row>
    <row r="7122" spans="5:6" ht="15" customHeight="1" x14ac:dyDescent="0.2">
      <c r="E7122" s="7"/>
      <c r="F7122" s="7"/>
    </row>
    <row r="7123" spans="5:6" ht="15" customHeight="1" x14ac:dyDescent="0.2">
      <c r="E7123" s="7"/>
      <c r="F7123" s="7"/>
    </row>
    <row r="7124" spans="5:6" ht="15" customHeight="1" x14ac:dyDescent="0.2">
      <c r="E7124" s="7"/>
      <c r="F7124" s="7"/>
    </row>
    <row r="7125" spans="5:6" ht="15" customHeight="1" x14ac:dyDescent="0.2">
      <c r="E7125" s="7"/>
      <c r="F7125" s="7"/>
    </row>
    <row r="7126" spans="5:6" ht="15" customHeight="1" x14ac:dyDescent="0.2">
      <c r="E7126" s="7"/>
      <c r="F7126" s="7"/>
    </row>
    <row r="7127" spans="5:6" ht="15" customHeight="1" x14ac:dyDescent="0.2">
      <c r="E7127" s="7"/>
      <c r="F7127" s="7"/>
    </row>
    <row r="7128" spans="5:6" ht="15" customHeight="1" x14ac:dyDescent="0.2">
      <c r="E7128" s="7"/>
      <c r="F7128" s="7"/>
    </row>
    <row r="7129" spans="5:6" ht="15" customHeight="1" x14ac:dyDescent="0.2">
      <c r="E7129" s="7"/>
      <c r="F7129" s="7"/>
    </row>
    <row r="7130" spans="5:6" ht="15" customHeight="1" x14ac:dyDescent="0.2">
      <c r="E7130" s="7"/>
      <c r="F7130" s="7"/>
    </row>
    <row r="7131" spans="5:6" ht="15" customHeight="1" x14ac:dyDescent="0.2">
      <c r="E7131" s="7"/>
      <c r="F7131" s="7"/>
    </row>
    <row r="7132" spans="5:6" ht="15" customHeight="1" x14ac:dyDescent="0.2">
      <c r="E7132" s="7"/>
      <c r="F7132" s="7"/>
    </row>
    <row r="7133" spans="5:6" ht="15" customHeight="1" x14ac:dyDescent="0.2">
      <c r="E7133" s="7"/>
      <c r="F7133" s="7"/>
    </row>
    <row r="7134" spans="5:6" ht="15" customHeight="1" x14ac:dyDescent="0.2">
      <c r="E7134" s="7"/>
      <c r="F7134" s="7"/>
    </row>
    <row r="7135" spans="5:6" ht="15" customHeight="1" x14ac:dyDescent="0.2">
      <c r="E7135" s="7"/>
      <c r="F7135" s="7"/>
    </row>
    <row r="7136" spans="5:6" ht="15" customHeight="1" x14ac:dyDescent="0.2">
      <c r="E7136" s="7"/>
      <c r="F7136" s="7"/>
    </row>
    <row r="7137" spans="5:6" ht="15" customHeight="1" x14ac:dyDescent="0.2">
      <c r="E7137" s="7"/>
      <c r="F7137" s="7"/>
    </row>
    <row r="7138" spans="5:6" ht="15" customHeight="1" x14ac:dyDescent="0.2">
      <c r="E7138" s="7"/>
      <c r="F7138" s="7"/>
    </row>
    <row r="7139" spans="5:6" ht="15" customHeight="1" x14ac:dyDescent="0.2">
      <c r="E7139" s="7"/>
      <c r="F7139" s="7"/>
    </row>
    <row r="7140" spans="5:6" ht="15" customHeight="1" x14ac:dyDescent="0.2">
      <c r="E7140" s="7"/>
      <c r="F7140" s="7"/>
    </row>
    <row r="7141" spans="5:6" ht="15" customHeight="1" x14ac:dyDescent="0.2">
      <c r="E7141" s="7"/>
      <c r="F7141" s="7"/>
    </row>
    <row r="7142" spans="5:6" ht="15" customHeight="1" x14ac:dyDescent="0.2">
      <c r="E7142" s="7"/>
      <c r="F7142" s="7"/>
    </row>
    <row r="7143" spans="5:6" ht="15" customHeight="1" x14ac:dyDescent="0.2">
      <c r="E7143" s="7"/>
      <c r="F7143" s="7"/>
    </row>
    <row r="7144" spans="5:6" ht="15" customHeight="1" x14ac:dyDescent="0.2">
      <c r="E7144" s="7"/>
      <c r="F7144" s="7"/>
    </row>
    <row r="7145" spans="5:6" ht="15" customHeight="1" x14ac:dyDescent="0.2">
      <c r="E7145" s="7"/>
      <c r="F7145" s="7"/>
    </row>
    <row r="7146" spans="5:6" ht="15" customHeight="1" x14ac:dyDescent="0.2">
      <c r="E7146" s="7"/>
      <c r="F7146" s="7"/>
    </row>
    <row r="7147" spans="5:6" ht="15" customHeight="1" x14ac:dyDescent="0.2">
      <c r="E7147" s="7"/>
      <c r="F7147" s="7"/>
    </row>
    <row r="7148" spans="5:6" ht="15" customHeight="1" x14ac:dyDescent="0.2">
      <c r="E7148" s="7"/>
      <c r="F7148" s="7"/>
    </row>
    <row r="7149" spans="5:6" ht="15" customHeight="1" x14ac:dyDescent="0.2">
      <c r="E7149" s="7"/>
      <c r="F7149" s="7"/>
    </row>
    <row r="7150" spans="5:6" ht="15" customHeight="1" x14ac:dyDescent="0.2">
      <c r="E7150" s="7"/>
      <c r="F7150" s="7"/>
    </row>
    <row r="7151" spans="5:6" ht="15" customHeight="1" x14ac:dyDescent="0.2">
      <c r="E7151" s="7"/>
      <c r="F7151" s="7"/>
    </row>
    <row r="7152" spans="5:6" ht="15" customHeight="1" x14ac:dyDescent="0.2">
      <c r="E7152" s="7"/>
      <c r="F7152" s="7"/>
    </row>
    <row r="7153" spans="5:6" ht="15" customHeight="1" x14ac:dyDescent="0.2">
      <c r="E7153" s="7"/>
      <c r="F7153" s="7"/>
    </row>
    <row r="7154" spans="5:6" ht="15" customHeight="1" x14ac:dyDescent="0.2">
      <c r="E7154" s="7"/>
      <c r="F7154" s="7"/>
    </row>
    <row r="7155" spans="5:6" ht="15" customHeight="1" x14ac:dyDescent="0.2">
      <c r="E7155" s="7"/>
      <c r="F7155" s="7"/>
    </row>
    <row r="7156" spans="5:6" ht="15" customHeight="1" x14ac:dyDescent="0.2">
      <c r="E7156" s="7"/>
      <c r="F7156" s="7"/>
    </row>
    <row r="7157" spans="5:6" ht="15" customHeight="1" x14ac:dyDescent="0.2">
      <c r="E7157" s="7"/>
      <c r="F7157" s="7"/>
    </row>
    <row r="7158" spans="5:6" ht="15" customHeight="1" x14ac:dyDescent="0.2">
      <c r="E7158" s="7"/>
      <c r="F7158" s="7"/>
    </row>
    <row r="7159" spans="5:6" ht="15" customHeight="1" x14ac:dyDescent="0.2">
      <c r="E7159" s="7"/>
      <c r="F7159" s="7"/>
    </row>
    <row r="7160" spans="5:6" ht="15" customHeight="1" x14ac:dyDescent="0.2">
      <c r="E7160" s="7"/>
      <c r="F7160" s="7"/>
    </row>
    <row r="7161" spans="5:6" ht="15" customHeight="1" x14ac:dyDescent="0.2">
      <c r="E7161" s="7"/>
      <c r="F7161" s="7"/>
    </row>
    <row r="7162" spans="5:6" ht="15" customHeight="1" x14ac:dyDescent="0.2">
      <c r="E7162" s="7"/>
      <c r="F7162" s="7"/>
    </row>
    <row r="7163" spans="5:6" ht="15" customHeight="1" x14ac:dyDescent="0.2">
      <c r="E7163" s="7"/>
      <c r="F7163" s="7"/>
    </row>
    <row r="7164" spans="5:6" ht="15" customHeight="1" x14ac:dyDescent="0.2">
      <c r="E7164" s="7"/>
      <c r="F7164" s="7"/>
    </row>
    <row r="7165" spans="5:6" ht="15" customHeight="1" x14ac:dyDescent="0.2">
      <c r="E7165" s="7"/>
      <c r="F7165" s="7"/>
    </row>
    <row r="7166" spans="5:6" ht="15" customHeight="1" x14ac:dyDescent="0.2">
      <c r="E7166" s="7"/>
      <c r="F7166" s="7"/>
    </row>
    <row r="7167" spans="5:6" ht="15" customHeight="1" x14ac:dyDescent="0.2">
      <c r="E7167" s="7"/>
      <c r="F7167" s="7"/>
    </row>
    <row r="7168" spans="5:6" ht="15" customHeight="1" x14ac:dyDescent="0.2">
      <c r="E7168" s="7"/>
      <c r="F7168" s="7"/>
    </row>
    <row r="7169" spans="5:6" ht="15" customHeight="1" x14ac:dyDescent="0.2">
      <c r="E7169" s="7"/>
      <c r="F7169" s="7"/>
    </row>
    <row r="7170" spans="5:6" ht="15" customHeight="1" x14ac:dyDescent="0.2">
      <c r="E7170" s="7"/>
      <c r="F7170" s="7"/>
    </row>
    <row r="7171" spans="5:6" ht="15" customHeight="1" x14ac:dyDescent="0.2">
      <c r="E7171" s="7"/>
      <c r="F7171" s="7"/>
    </row>
    <row r="7172" spans="5:6" ht="15" customHeight="1" x14ac:dyDescent="0.2">
      <c r="E7172" s="7"/>
      <c r="F7172" s="7"/>
    </row>
    <row r="7173" spans="5:6" ht="15" customHeight="1" x14ac:dyDescent="0.2">
      <c r="E7173" s="7"/>
      <c r="F7173" s="7"/>
    </row>
    <row r="7174" spans="5:6" ht="15" customHeight="1" x14ac:dyDescent="0.2">
      <c r="E7174" s="7"/>
      <c r="F7174" s="7"/>
    </row>
    <row r="7175" spans="5:6" ht="15" customHeight="1" x14ac:dyDescent="0.2">
      <c r="E7175" s="7"/>
      <c r="F7175" s="7"/>
    </row>
    <row r="7176" spans="5:6" ht="15" customHeight="1" x14ac:dyDescent="0.2">
      <c r="E7176" s="7"/>
      <c r="F7176" s="7"/>
    </row>
    <row r="7177" spans="5:6" ht="15" customHeight="1" x14ac:dyDescent="0.2">
      <c r="E7177" s="7"/>
      <c r="F7177" s="7"/>
    </row>
    <row r="7178" spans="5:6" ht="15" customHeight="1" x14ac:dyDescent="0.2">
      <c r="E7178" s="7"/>
      <c r="F7178" s="7"/>
    </row>
    <row r="7179" spans="5:6" ht="15" customHeight="1" x14ac:dyDescent="0.2">
      <c r="E7179" s="7"/>
      <c r="F7179" s="7"/>
    </row>
    <row r="7180" spans="5:6" ht="15" customHeight="1" x14ac:dyDescent="0.2">
      <c r="E7180" s="7"/>
      <c r="F7180" s="7"/>
    </row>
    <row r="7181" spans="5:6" ht="15" customHeight="1" x14ac:dyDescent="0.2">
      <c r="E7181" s="7"/>
      <c r="F7181" s="7"/>
    </row>
    <row r="7182" spans="5:6" ht="15" customHeight="1" x14ac:dyDescent="0.2">
      <c r="E7182" s="7"/>
      <c r="F7182" s="7"/>
    </row>
    <row r="7183" spans="5:6" ht="15" customHeight="1" x14ac:dyDescent="0.2">
      <c r="E7183" s="7"/>
      <c r="F7183" s="7"/>
    </row>
    <row r="7184" spans="5:6" ht="15" customHeight="1" x14ac:dyDescent="0.2">
      <c r="E7184" s="7"/>
      <c r="F7184" s="7"/>
    </row>
    <row r="7185" spans="5:6" ht="15" customHeight="1" x14ac:dyDescent="0.2">
      <c r="E7185" s="7"/>
      <c r="F7185" s="7"/>
    </row>
    <row r="7186" spans="5:6" ht="15" customHeight="1" x14ac:dyDescent="0.2">
      <c r="E7186" s="7"/>
      <c r="F7186" s="7"/>
    </row>
    <row r="7187" spans="5:6" ht="15" customHeight="1" x14ac:dyDescent="0.2">
      <c r="E7187" s="7"/>
      <c r="F7187" s="7"/>
    </row>
    <row r="7188" spans="5:6" ht="15" customHeight="1" x14ac:dyDescent="0.2">
      <c r="E7188" s="7"/>
      <c r="F7188" s="7"/>
    </row>
    <row r="7189" spans="5:6" ht="15" customHeight="1" x14ac:dyDescent="0.2">
      <c r="E7189" s="7"/>
      <c r="F7189" s="7"/>
    </row>
    <row r="7190" spans="5:6" ht="15" customHeight="1" x14ac:dyDescent="0.2">
      <c r="E7190" s="7"/>
      <c r="F7190" s="7"/>
    </row>
    <row r="7191" spans="5:6" ht="15" customHeight="1" x14ac:dyDescent="0.2">
      <c r="E7191" s="7"/>
      <c r="F7191" s="7"/>
    </row>
    <row r="7192" spans="5:6" ht="15" customHeight="1" x14ac:dyDescent="0.2">
      <c r="E7192" s="7"/>
      <c r="F7192" s="7"/>
    </row>
    <row r="7193" spans="5:6" ht="15" customHeight="1" x14ac:dyDescent="0.2">
      <c r="E7193" s="7"/>
      <c r="F7193" s="7"/>
    </row>
    <row r="7194" spans="5:6" ht="15" customHeight="1" x14ac:dyDescent="0.2">
      <c r="E7194" s="7"/>
      <c r="F7194" s="7"/>
    </row>
    <row r="7195" spans="5:6" ht="15" customHeight="1" x14ac:dyDescent="0.2">
      <c r="E7195" s="7"/>
      <c r="F7195" s="7"/>
    </row>
    <row r="7196" spans="5:6" ht="15" customHeight="1" x14ac:dyDescent="0.2">
      <c r="E7196" s="7"/>
      <c r="F7196" s="7"/>
    </row>
    <row r="7197" spans="5:6" ht="15" customHeight="1" x14ac:dyDescent="0.2">
      <c r="E7197" s="7"/>
      <c r="F7197" s="7"/>
    </row>
    <row r="7198" spans="5:6" ht="15" customHeight="1" x14ac:dyDescent="0.2">
      <c r="E7198" s="7"/>
      <c r="F7198" s="7"/>
    </row>
    <row r="7199" spans="5:6" ht="15" customHeight="1" x14ac:dyDescent="0.2">
      <c r="E7199" s="7"/>
      <c r="F7199" s="7"/>
    </row>
    <row r="7200" spans="5:6" ht="15" customHeight="1" x14ac:dyDescent="0.2">
      <c r="E7200" s="7"/>
      <c r="F7200" s="7"/>
    </row>
    <row r="7201" spans="5:6" ht="15" customHeight="1" x14ac:dyDescent="0.2">
      <c r="E7201" s="7"/>
      <c r="F7201" s="7"/>
    </row>
    <row r="7202" spans="5:6" ht="15" customHeight="1" x14ac:dyDescent="0.2">
      <c r="E7202" s="7"/>
      <c r="F7202" s="7"/>
    </row>
    <row r="7203" spans="5:6" ht="15" customHeight="1" x14ac:dyDescent="0.2">
      <c r="E7203" s="7"/>
      <c r="F7203" s="7"/>
    </row>
    <row r="7204" spans="5:6" ht="15" customHeight="1" x14ac:dyDescent="0.2">
      <c r="E7204" s="7"/>
      <c r="F7204" s="7"/>
    </row>
    <row r="7205" spans="5:6" ht="15" customHeight="1" x14ac:dyDescent="0.2">
      <c r="E7205" s="7"/>
      <c r="F7205" s="7"/>
    </row>
    <row r="7206" spans="5:6" ht="15" customHeight="1" x14ac:dyDescent="0.2">
      <c r="E7206" s="7"/>
      <c r="F7206" s="7"/>
    </row>
    <row r="7207" spans="5:6" ht="15" customHeight="1" x14ac:dyDescent="0.2">
      <c r="E7207" s="7"/>
      <c r="F7207" s="7"/>
    </row>
    <row r="7208" spans="5:6" ht="15" customHeight="1" x14ac:dyDescent="0.2">
      <c r="E7208" s="7"/>
      <c r="F7208" s="7"/>
    </row>
    <row r="7209" spans="5:6" ht="15" customHeight="1" x14ac:dyDescent="0.2">
      <c r="E7209" s="7"/>
      <c r="F7209" s="7"/>
    </row>
    <row r="7210" spans="5:6" ht="15" customHeight="1" x14ac:dyDescent="0.2">
      <c r="E7210" s="7"/>
      <c r="F7210" s="7"/>
    </row>
    <row r="7211" spans="5:6" ht="15" customHeight="1" x14ac:dyDescent="0.2">
      <c r="E7211" s="7"/>
      <c r="F7211" s="7"/>
    </row>
    <row r="7212" spans="5:6" ht="15" customHeight="1" x14ac:dyDescent="0.2">
      <c r="E7212" s="7"/>
      <c r="F7212" s="7"/>
    </row>
    <row r="7213" spans="5:6" ht="15" customHeight="1" x14ac:dyDescent="0.2">
      <c r="E7213" s="7"/>
      <c r="F7213" s="7"/>
    </row>
    <row r="7214" spans="5:6" ht="15" customHeight="1" x14ac:dyDescent="0.2">
      <c r="E7214" s="7"/>
      <c r="F7214" s="7"/>
    </row>
    <row r="7215" spans="5:6" ht="15" customHeight="1" x14ac:dyDescent="0.2">
      <c r="E7215" s="7"/>
      <c r="F7215" s="7"/>
    </row>
    <row r="7216" spans="5:6" ht="15" customHeight="1" x14ac:dyDescent="0.2">
      <c r="E7216" s="7"/>
      <c r="F7216" s="7"/>
    </row>
    <row r="7217" spans="5:6" ht="15" customHeight="1" x14ac:dyDescent="0.2">
      <c r="E7217" s="7"/>
      <c r="F7217" s="7"/>
    </row>
    <row r="7218" spans="5:6" ht="15" customHeight="1" x14ac:dyDescent="0.2">
      <c r="E7218" s="7"/>
      <c r="F7218" s="7"/>
    </row>
    <row r="7219" spans="5:6" ht="15" customHeight="1" x14ac:dyDescent="0.2">
      <c r="E7219" s="7"/>
      <c r="F7219" s="7"/>
    </row>
    <row r="7220" spans="5:6" ht="15" customHeight="1" x14ac:dyDescent="0.2">
      <c r="E7220" s="7"/>
      <c r="F7220" s="7"/>
    </row>
    <row r="7221" spans="5:6" ht="15" customHeight="1" x14ac:dyDescent="0.2">
      <c r="E7221" s="7"/>
      <c r="F7221" s="7"/>
    </row>
    <row r="7222" spans="5:6" ht="15" customHeight="1" x14ac:dyDescent="0.2">
      <c r="E7222" s="7"/>
      <c r="F7222" s="7"/>
    </row>
    <row r="7223" spans="5:6" ht="15" customHeight="1" x14ac:dyDescent="0.2">
      <c r="E7223" s="7"/>
      <c r="F7223" s="7"/>
    </row>
    <row r="7224" spans="5:6" ht="15" customHeight="1" x14ac:dyDescent="0.2">
      <c r="E7224" s="7"/>
      <c r="F7224" s="7"/>
    </row>
    <row r="7225" spans="5:6" ht="15" customHeight="1" x14ac:dyDescent="0.2">
      <c r="E7225" s="7"/>
      <c r="F7225" s="7"/>
    </row>
    <row r="7226" spans="5:6" ht="15" customHeight="1" x14ac:dyDescent="0.2">
      <c r="E7226" s="7"/>
      <c r="F7226" s="7"/>
    </row>
    <row r="7227" spans="5:6" ht="15" customHeight="1" x14ac:dyDescent="0.2">
      <c r="E7227" s="7"/>
      <c r="F7227" s="7"/>
    </row>
    <row r="7228" spans="5:6" ht="15" customHeight="1" x14ac:dyDescent="0.2">
      <c r="E7228" s="7"/>
      <c r="F7228" s="7"/>
    </row>
    <row r="7229" spans="5:6" ht="15" customHeight="1" x14ac:dyDescent="0.2">
      <c r="E7229" s="7"/>
      <c r="F7229" s="7"/>
    </row>
    <row r="7230" spans="5:6" ht="15" customHeight="1" x14ac:dyDescent="0.2">
      <c r="E7230" s="7"/>
      <c r="F7230" s="7"/>
    </row>
    <row r="7231" spans="5:6" ht="15" customHeight="1" x14ac:dyDescent="0.2">
      <c r="E7231" s="7"/>
      <c r="F7231" s="7"/>
    </row>
    <row r="7232" spans="5:6" ht="15" customHeight="1" x14ac:dyDescent="0.2">
      <c r="E7232" s="7"/>
      <c r="F7232" s="7"/>
    </row>
    <row r="7233" spans="5:6" ht="15" customHeight="1" x14ac:dyDescent="0.2">
      <c r="E7233" s="7"/>
      <c r="F7233" s="7"/>
    </row>
    <row r="7234" spans="5:6" ht="15" customHeight="1" x14ac:dyDescent="0.2">
      <c r="E7234" s="7"/>
      <c r="F7234" s="7"/>
    </row>
    <row r="7235" spans="5:6" ht="15" customHeight="1" x14ac:dyDescent="0.2">
      <c r="E7235" s="7"/>
      <c r="F7235" s="7"/>
    </row>
    <row r="7236" spans="5:6" ht="15" customHeight="1" x14ac:dyDescent="0.2">
      <c r="E7236" s="7"/>
      <c r="F7236" s="7"/>
    </row>
    <row r="7237" spans="5:6" ht="15" customHeight="1" x14ac:dyDescent="0.2">
      <c r="E7237" s="7"/>
      <c r="F7237" s="7"/>
    </row>
    <row r="7238" spans="5:6" ht="15" customHeight="1" x14ac:dyDescent="0.2">
      <c r="E7238" s="7"/>
      <c r="F7238" s="7"/>
    </row>
    <row r="7239" spans="5:6" ht="15" customHeight="1" x14ac:dyDescent="0.2">
      <c r="E7239" s="7"/>
      <c r="F7239" s="7"/>
    </row>
    <row r="7240" spans="5:6" ht="15" customHeight="1" x14ac:dyDescent="0.2">
      <c r="E7240" s="7"/>
      <c r="F7240" s="7"/>
    </row>
    <row r="7241" spans="5:6" ht="15" customHeight="1" x14ac:dyDescent="0.2">
      <c r="E7241" s="7"/>
      <c r="F7241" s="7"/>
    </row>
    <row r="7242" spans="5:6" ht="15" customHeight="1" x14ac:dyDescent="0.2">
      <c r="E7242" s="7"/>
      <c r="F7242" s="7"/>
    </row>
    <row r="7243" spans="5:6" ht="15" customHeight="1" x14ac:dyDescent="0.2">
      <c r="E7243" s="7"/>
      <c r="F7243" s="7"/>
    </row>
    <row r="7244" spans="5:6" ht="15" customHeight="1" x14ac:dyDescent="0.2">
      <c r="E7244" s="7"/>
      <c r="F7244" s="7"/>
    </row>
    <row r="7245" spans="5:6" ht="15" customHeight="1" x14ac:dyDescent="0.2">
      <c r="E7245" s="7"/>
      <c r="F7245" s="7"/>
    </row>
    <row r="7246" spans="5:6" ht="15" customHeight="1" x14ac:dyDescent="0.2">
      <c r="E7246" s="7"/>
      <c r="F7246" s="7"/>
    </row>
    <row r="7247" spans="5:6" ht="15" customHeight="1" x14ac:dyDescent="0.2">
      <c r="E7247" s="7"/>
      <c r="F7247" s="7"/>
    </row>
    <row r="7248" spans="5:6" ht="15" customHeight="1" x14ac:dyDescent="0.2">
      <c r="E7248" s="7"/>
      <c r="F7248" s="7"/>
    </row>
    <row r="7249" spans="5:6" ht="15" customHeight="1" x14ac:dyDescent="0.2">
      <c r="E7249" s="7"/>
      <c r="F7249" s="7"/>
    </row>
    <row r="7250" spans="5:6" ht="15" customHeight="1" x14ac:dyDescent="0.2">
      <c r="E7250" s="7"/>
      <c r="F7250" s="7"/>
    </row>
    <row r="7251" spans="5:6" ht="15" customHeight="1" x14ac:dyDescent="0.2">
      <c r="E7251" s="7"/>
      <c r="F7251" s="7"/>
    </row>
    <row r="7252" spans="5:6" ht="15" customHeight="1" x14ac:dyDescent="0.2">
      <c r="E7252" s="7"/>
      <c r="F7252" s="7"/>
    </row>
    <row r="7253" spans="5:6" ht="15" customHeight="1" x14ac:dyDescent="0.2">
      <c r="E7253" s="7"/>
      <c r="F7253" s="7"/>
    </row>
    <row r="7254" spans="5:6" ht="15" customHeight="1" x14ac:dyDescent="0.2">
      <c r="E7254" s="7"/>
      <c r="F7254" s="7"/>
    </row>
    <row r="7255" spans="5:6" ht="15" customHeight="1" x14ac:dyDescent="0.2">
      <c r="E7255" s="7"/>
      <c r="F7255" s="7"/>
    </row>
    <row r="7256" spans="5:6" ht="15" customHeight="1" x14ac:dyDescent="0.2">
      <c r="E7256" s="7"/>
      <c r="F7256" s="7"/>
    </row>
    <row r="7257" spans="5:6" ht="15" customHeight="1" x14ac:dyDescent="0.2">
      <c r="E7257" s="7"/>
      <c r="F7257" s="7"/>
    </row>
    <row r="7258" spans="5:6" ht="15" customHeight="1" x14ac:dyDescent="0.2">
      <c r="E7258" s="7"/>
      <c r="F7258" s="7"/>
    </row>
    <row r="7259" spans="5:6" ht="15" customHeight="1" x14ac:dyDescent="0.2">
      <c r="E7259" s="7"/>
      <c r="F7259" s="7"/>
    </row>
    <row r="7260" spans="5:6" ht="15" customHeight="1" x14ac:dyDescent="0.2">
      <c r="E7260" s="7"/>
      <c r="F7260" s="7"/>
    </row>
    <row r="7261" spans="5:6" ht="15" customHeight="1" x14ac:dyDescent="0.2">
      <c r="E7261" s="7"/>
      <c r="F7261" s="7"/>
    </row>
    <row r="7262" spans="5:6" ht="15" customHeight="1" x14ac:dyDescent="0.2">
      <c r="E7262" s="7"/>
      <c r="F7262" s="7"/>
    </row>
    <row r="7263" spans="5:6" ht="15" customHeight="1" x14ac:dyDescent="0.2">
      <c r="E7263" s="7"/>
      <c r="F7263" s="7"/>
    </row>
    <row r="7264" spans="5:6" ht="15" customHeight="1" x14ac:dyDescent="0.2">
      <c r="E7264" s="7"/>
      <c r="F7264" s="7"/>
    </row>
    <row r="7265" spans="5:6" ht="15" customHeight="1" x14ac:dyDescent="0.2">
      <c r="E7265" s="7"/>
      <c r="F7265" s="7"/>
    </row>
    <row r="7266" spans="5:6" ht="15" customHeight="1" x14ac:dyDescent="0.2">
      <c r="E7266" s="7"/>
      <c r="F7266" s="7"/>
    </row>
    <row r="7267" spans="5:6" ht="15" customHeight="1" x14ac:dyDescent="0.2">
      <c r="E7267" s="7"/>
      <c r="F7267" s="7"/>
    </row>
    <row r="7268" spans="5:6" ht="15" customHeight="1" x14ac:dyDescent="0.2">
      <c r="E7268" s="7"/>
      <c r="F7268" s="7"/>
    </row>
    <row r="7269" spans="5:6" ht="15" customHeight="1" x14ac:dyDescent="0.2">
      <c r="E7269" s="7"/>
      <c r="F7269" s="7"/>
    </row>
    <row r="7270" spans="5:6" ht="15" customHeight="1" x14ac:dyDescent="0.2">
      <c r="E7270" s="7"/>
      <c r="F7270" s="7"/>
    </row>
    <row r="7271" spans="5:6" ht="15" customHeight="1" x14ac:dyDescent="0.2">
      <c r="E7271" s="7"/>
      <c r="F7271" s="7"/>
    </row>
    <row r="7272" spans="5:6" ht="15" customHeight="1" x14ac:dyDescent="0.2">
      <c r="E7272" s="7"/>
      <c r="F7272" s="7"/>
    </row>
    <row r="7273" spans="5:6" ht="15" customHeight="1" x14ac:dyDescent="0.2">
      <c r="E7273" s="7"/>
      <c r="F7273" s="7"/>
    </row>
    <row r="7274" spans="5:6" ht="15" customHeight="1" x14ac:dyDescent="0.2">
      <c r="E7274" s="7"/>
      <c r="F7274" s="7"/>
    </row>
    <row r="7275" spans="5:6" ht="15" customHeight="1" x14ac:dyDescent="0.2">
      <c r="E7275" s="7"/>
      <c r="F7275" s="7"/>
    </row>
    <row r="7276" spans="5:6" ht="15" customHeight="1" x14ac:dyDescent="0.2">
      <c r="E7276" s="7"/>
      <c r="F7276" s="7"/>
    </row>
    <row r="7277" spans="5:6" ht="15" customHeight="1" x14ac:dyDescent="0.2">
      <c r="E7277" s="7"/>
      <c r="F7277" s="7"/>
    </row>
    <row r="7278" spans="5:6" ht="15" customHeight="1" x14ac:dyDescent="0.2">
      <c r="E7278" s="7"/>
      <c r="F7278" s="7"/>
    </row>
    <row r="7279" spans="5:6" ht="15" customHeight="1" x14ac:dyDescent="0.2">
      <c r="E7279" s="7"/>
      <c r="F7279" s="7"/>
    </row>
    <row r="7280" spans="5:6" ht="15" customHeight="1" x14ac:dyDescent="0.2">
      <c r="E7280" s="7"/>
      <c r="F7280" s="7"/>
    </row>
    <row r="7281" spans="5:6" ht="15" customHeight="1" x14ac:dyDescent="0.2">
      <c r="E7281" s="7"/>
      <c r="F7281" s="7"/>
    </row>
    <row r="7282" spans="5:6" ht="15" customHeight="1" x14ac:dyDescent="0.2">
      <c r="E7282" s="7"/>
      <c r="F7282" s="7"/>
    </row>
    <row r="7283" spans="5:6" ht="15" customHeight="1" x14ac:dyDescent="0.2">
      <c r="E7283" s="7"/>
      <c r="F7283" s="7"/>
    </row>
    <row r="7284" spans="5:6" ht="15" customHeight="1" x14ac:dyDescent="0.2">
      <c r="E7284" s="7"/>
      <c r="F7284" s="7"/>
    </row>
    <row r="7285" spans="5:6" ht="15" customHeight="1" x14ac:dyDescent="0.2">
      <c r="E7285" s="7"/>
      <c r="F7285" s="7"/>
    </row>
    <row r="7286" spans="5:6" ht="15" customHeight="1" x14ac:dyDescent="0.2">
      <c r="E7286" s="7"/>
      <c r="F7286" s="7"/>
    </row>
    <row r="7287" spans="5:6" ht="15" customHeight="1" x14ac:dyDescent="0.2">
      <c r="E7287" s="7"/>
      <c r="F7287" s="7"/>
    </row>
    <row r="7288" spans="5:6" ht="15" customHeight="1" x14ac:dyDescent="0.2">
      <c r="E7288" s="7"/>
      <c r="F7288" s="7"/>
    </row>
    <row r="7289" spans="5:6" ht="15" customHeight="1" x14ac:dyDescent="0.2">
      <c r="E7289" s="7"/>
      <c r="F7289" s="7"/>
    </row>
    <row r="7290" spans="5:6" ht="15" customHeight="1" x14ac:dyDescent="0.2">
      <c r="E7290" s="7"/>
      <c r="F7290" s="7"/>
    </row>
    <row r="7291" spans="5:6" ht="15" customHeight="1" x14ac:dyDescent="0.2">
      <c r="E7291" s="7"/>
      <c r="F7291" s="7"/>
    </row>
    <row r="7292" spans="5:6" ht="15" customHeight="1" x14ac:dyDescent="0.2">
      <c r="E7292" s="7"/>
      <c r="F7292" s="7"/>
    </row>
    <row r="7293" spans="5:6" ht="15" customHeight="1" x14ac:dyDescent="0.2">
      <c r="E7293" s="7"/>
      <c r="F7293" s="7"/>
    </row>
    <row r="7294" spans="5:6" ht="15" customHeight="1" x14ac:dyDescent="0.2">
      <c r="E7294" s="7"/>
      <c r="F7294" s="7"/>
    </row>
    <row r="7295" spans="5:6" ht="15" customHeight="1" x14ac:dyDescent="0.2">
      <c r="E7295" s="7"/>
      <c r="F7295" s="7"/>
    </row>
    <row r="7296" spans="5:6" ht="15" customHeight="1" x14ac:dyDescent="0.2">
      <c r="E7296" s="7"/>
      <c r="F7296" s="7"/>
    </row>
    <row r="7297" spans="5:6" ht="15" customHeight="1" x14ac:dyDescent="0.2">
      <c r="E7297" s="7"/>
      <c r="F7297" s="7"/>
    </row>
    <row r="7298" spans="5:6" ht="15" customHeight="1" x14ac:dyDescent="0.2">
      <c r="E7298" s="7"/>
      <c r="F7298" s="7"/>
    </row>
    <row r="7299" spans="5:6" ht="15" customHeight="1" x14ac:dyDescent="0.2">
      <c r="E7299" s="7"/>
      <c r="F7299" s="7"/>
    </row>
    <row r="7300" spans="5:6" ht="15" customHeight="1" x14ac:dyDescent="0.2">
      <c r="E7300" s="7"/>
      <c r="F7300" s="7"/>
    </row>
    <row r="7301" spans="5:6" ht="15" customHeight="1" x14ac:dyDescent="0.2">
      <c r="E7301" s="7"/>
      <c r="F7301" s="7"/>
    </row>
    <row r="7302" spans="5:6" ht="15" customHeight="1" x14ac:dyDescent="0.2">
      <c r="E7302" s="7"/>
      <c r="F7302" s="7"/>
    </row>
    <row r="7303" spans="5:6" ht="15" customHeight="1" x14ac:dyDescent="0.2">
      <c r="E7303" s="7"/>
      <c r="F7303" s="7"/>
    </row>
    <row r="7304" spans="5:6" ht="15" customHeight="1" x14ac:dyDescent="0.2">
      <c r="E7304" s="7"/>
      <c r="F7304" s="7"/>
    </row>
    <row r="7305" spans="5:6" ht="15" customHeight="1" x14ac:dyDescent="0.2">
      <c r="E7305" s="7"/>
      <c r="F7305" s="7"/>
    </row>
    <row r="7306" spans="5:6" ht="15" customHeight="1" x14ac:dyDescent="0.2">
      <c r="E7306" s="7"/>
      <c r="F7306" s="7"/>
    </row>
    <row r="7307" spans="5:6" ht="15" customHeight="1" x14ac:dyDescent="0.2">
      <c r="E7307" s="7"/>
      <c r="F7307" s="7"/>
    </row>
    <row r="7308" spans="5:6" ht="15" customHeight="1" x14ac:dyDescent="0.2">
      <c r="E7308" s="7"/>
      <c r="F7308" s="7"/>
    </row>
    <row r="7309" spans="5:6" ht="15" customHeight="1" x14ac:dyDescent="0.2">
      <c r="E7309" s="7"/>
      <c r="F7309" s="7"/>
    </row>
    <row r="7310" spans="5:6" ht="15" customHeight="1" x14ac:dyDescent="0.2">
      <c r="E7310" s="7"/>
      <c r="F7310" s="7"/>
    </row>
    <row r="7311" spans="5:6" ht="15" customHeight="1" x14ac:dyDescent="0.2">
      <c r="E7311" s="7"/>
      <c r="F7311" s="7"/>
    </row>
    <row r="7312" spans="5:6" ht="15" customHeight="1" x14ac:dyDescent="0.2">
      <c r="E7312" s="7"/>
      <c r="F7312" s="7"/>
    </row>
    <row r="7313" spans="5:6" ht="15" customHeight="1" x14ac:dyDescent="0.2">
      <c r="E7313" s="7"/>
      <c r="F7313" s="7"/>
    </row>
    <row r="7314" spans="5:6" ht="15" customHeight="1" x14ac:dyDescent="0.2">
      <c r="E7314" s="7"/>
      <c r="F7314" s="7"/>
    </row>
    <row r="7315" spans="5:6" ht="15" customHeight="1" x14ac:dyDescent="0.2">
      <c r="E7315" s="7"/>
      <c r="F7315" s="7"/>
    </row>
    <row r="7316" spans="5:6" ht="15" customHeight="1" x14ac:dyDescent="0.2">
      <c r="E7316" s="7"/>
      <c r="F7316" s="7"/>
    </row>
    <row r="7317" spans="5:6" ht="15" customHeight="1" x14ac:dyDescent="0.2">
      <c r="E7317" s="7"/>
      <c r="F7317" s="7"/>
    </row>
    <row r="7318" spans="5:6" ht="15" customHeight="1" x14ac:dyDescent="0.2">
      <c r="E7318" s="7"/>
      <c r="F7318" s="7"/>
    </row>
    <row r="7319" spans="5:6" ht="15" customHeight="1" x14ac:dyDescent="0.2">
      <c r="E7319" s="7"/>
      <c r="F7319" s="7"/>
    </row>
    <row r="7320" spans="5:6" ht="15" customHeight="1" x14ac:dyDescent="0.2">
      <c r="E7320" s="7"/>
      <c r="F7320" s="7"/>
    </row>
    <row r="7321" spans="5:6" ht="15" customHeight="1" x14ac:dyDescent="0.2">
      <c r="E7321" s="7"/>
      <c r="F7321" s="7"/>
    </row>
    <row r="7322" spans="5:6" ht="15" customHeight="1" x14ac:dyDescent="0.2">
      <c r="E7322" s="7"/>
      <c r="F7322" s="7"/>
    </row>
    <row r="7323" spans="5:6" ht="15" customHeight="1" x14ac:dyDescent="0.2">
      <c r="E7323" s="7"/>
      <c r="F7323" s="7"/>
    </row>
    <row r="7324" spans="5:6" ht="15" customHeight="1" x14ac:dyDescent="0.2">
      <c r="E7324" s="7"/>
      <c r="F7324" s="7"/>
    </row>
    <row r="7325" spans="5:6" ht="15" customHeight="1" x14ac:dyDescent="0.2">
      <c r="E7325" s="7"/>
      <c r="F7325" s="7"/>
    </row>
    <row r="7326" spans="5:6" ht="15" customHeight="1" x14ac:dyDescent="0.2">
      <c r="E7326" s="7"/>
      <c r="F7326" s="7"/>
    </row>
    <row r="7327" spans="5:6" ht="15" customHeight="1" x14ac:dyDescent="0.2">
      <c r="E7327" s="7"/>
      <c r="F7327" s="7"/>
    </row>
    <row r="7328" spans="5:6" ht="15" customHeight="1" x14ac:dyDescent="0.2">
      <c r="E7328" s="7"/>
      <c r="F7328" s="7"/>
    </row>
    <row r="7329" spans="5:6" ht="15" customHeight="1" x14ac:dyDescent="0.2">
      <c r="E7329" s="7"/>
      <c r="F7329" s="7"/>
    </row>
    <row r="7330" spans="5:6" ht="15" customHeight="1" x14ac:dyDescent="0.2">
      <c r="E7330" s="7"/>
      <c r="F7330" s="7"/>
    </row>
    <row r="7331" spans="5:6" ht="15" customHeight="1" x14ac:dyDescent="0.2">
      <c r="E7331" s="7"/>
      <c r="F7331" s="7"/>
    </row>
    <row r="7332" spans="5:6" ht="15" customHeight="1" x14ac:dyDescent="0.2">
      <c r="E7332" s="7"/>
      <c r="F7332" s="7"/>
    </row>
    <row r="7333" spans="5:6" ht="15" customHeight="1" x14ac:dyDescent="0.2">
      <c r="E7333" s="7"/>
      <c r="F7333" s="7"/>
    </row>
    <row r="7334" spans="5:6" ht="15" customHeight="1" x14ac:dyDescent="0.2">
      <c r="E7334" s="7"/>
      <c r="F7334" s="7"/>
    </row>
    <row r="7335" spans="5:6" ht="15" customHeight="1" x14ac:dyDescent="0.2">
      <c r="E7335" s="7"/>
      <c r="F7335" s="7"/>
    </row>
    <row r="7336" spans="5:6" ht="15" customHeight="1" x14ac:dyDescent="0.2">
      <c r="E7336" s="7"/>
      <c r="F7336" s="7"/>
    </row>
    <row r="7337" spans="5:6" ht="15" customHeight="1" x14ac:dyDescent="0.2">
      <c r="E7337" s="7"/>
      <c r="F7337" s="7"/>
    </row>
    <row r="7338" spans="5:6" ht="15" customHeight="1" x14ac:dyDescent="0.2">
      <c r="E7338" s="7"/>
      <c r="F7338" s="7"/>
    </row>
    <row r="7339" spans="5:6" ht="15" customHeight="1" x14ac:dyDescent="0.2">
      <c r="E7339" s="7"/>
      <c r="F7339" s="7"/>
    </row>
    <row r="7340" spans="5:6" ht="15" customHeight="1" x14ac:dyDescent="0.2">
      <c r="E7340" s="7"/>
      <c r="F7340" s="7"/>
    </row>
    <row r="7341" spans="5:6" ht="15" customHeight="1" x14ac:dyDescent="0.2">
      <c r="E7341" s="7"/>
      <c r="F7341" s="7"/>
    </row>
    <row r="7342" spans="5:6" ht="15" customHeight="1" x14ac:dyDescent="0.2">
      <c r="E7342" s="7"/>
      <c r="F7342" s="7"/>
    </row>
    <row r="7343" spans="5:6" ht="15" customHeight="1" x14ac:dyDescent="0.2">
      <c r="E7343" s="7"/>
      <c r="F7343" s="7"/>
    </row>
    <row r="7344" spans="5:6" ht="15" customHeight="1" x14ac:dyDescent="0.2">
      <c r="E7344" s="7"/>
      <c r="F7344" s="7"/>
    </row>
    <row r="7345" spans="5:6" ht="15" customHeight="1" x14ac:dyDescent="0.2">
      <c r="E7345" s="7"/>
      <c r="F7345" s="7"/>
    </row>
    <row r="7346" spans="5:6" ht="15" customHeight="1" x14ac:dyDescent="0.2">
      <c r="E7346" s="7"/>
      <c r="F7346" s="7"/>
    </row>
    <row r="7347" spans="5:6" ht="15" customHeight="1" x14ac:dyDescent="0.2">
      <c r="E7347" s="7"/>
      <c r="F7347" s="7"/>
    </row>
    <row r="7348" spans="5:6" ht="15" customHeight="1" x14ac:dyDescent="0.2">
      <c r="E7348" s="7"/>
      <c r="F7348" s="7"/>
    </row>
    <row r="7349" spans="5:6" ht="15" customHeight="1" x14ac:dyDescent="0.2">
      <c r="E7349" s="7"/>
      <c r="F7349" s="7"/>
    </row>
    <row r="7350" spans="5:6" ht="15" customHeight="1" x14ac:dyDescent="0.2">
      <c r="E7350" s="7"/>
      <c r="F7350" s="7"/>
    </row>
    <row r="7351" spans="5:6" ht="15" customHeight="1" x14ac:dyDescent="0.2">
      <c r="E7351" s="7"/>
      <c r="F7351" s="7"/>
    </row>
    <row r="7352" spans="5:6" ht="15" customHeight="1" x14ac:dyDescent="0.2">
      <c r="E7352" s="7"/>
      <c r="F7352" s="7"/>
    </row>
    <row r="7353" spans="5:6" ht="15" customHeight="1" x14ac:dyDescent="0.2">
      <c r="E7353" s="7"/>
      <c r="F7353" s="7"/>
    </row>
    <row r="7354" spans="5:6" ht="15" customHeight="1" x14ac:dyDescent="0.2">
      <c r="E7354" s="7"/>
      <c r="F7354" s="7"/>
    </row>
    <row r="7355" spans="5:6" ht="15" customHeight="1" x14ac:dyDescent="0.2">
      <c r="E7355" s="7"/>
      <c r="F7355" s="7"/>
    </row>
    <row r="7356" spans="5:6" ht="15" customHeight="1" x14ac:dyDescent="0.2">
      <c r="E7356" s="7"/>
      <c r="F7356" s="7"/>
    </row>
    <row r="7357" spans="5:6" ht="15" customHeight="1" x14ac:dyDescent="0.2">
      <c r="E7357" s="7"/>
      <c r="F7357" s="7"/>
    </row>
    <row r="7358" spans="5:6" ht="15" customHeight="1" x14ac:dyDescent="0.2">
      <c r="E7358" s="7"/>
      <c r="F7358" s="7"/>
    </row>
    <row r="7359" spans="5:6" ht="15" customHeight="1" x14ac:dyDescent="0.2">
      <c r="E7359" s="7"/>
      <c r="F7359" s="7"/>
    </row>
    <row r="7360" spans="5:6" ht="15" customHeight="1" x14ac:dyDescent="0.2">
      <c r="E7360" s="7"/>
      <c r="F7360" s="7"/>
    </row>
    <row r="7361" spans="5:6" ht="15" customHeight="1" x14ac:dyDescent="0.2">
      <c r="E7361" s="7"/>
      <c r="F7361" s="7"/>
    </row>
    <row r="7362" spans="5:6" ht="15" customHeight="1" x14ac:dyDescent="0.2">
      <c r="E7362" s="7"/>
      <c r="F7362" s="7"/>
    </row>
    <row r="7363" spans="5:6" ht="15" customHeight="1" x14ac:dyDescent="0.2">
      <c r="E7363" s="7"/>
      <c r="F7363" s="7"/>
    </row>
    <row r="7364" spans="5:6" ht="15" customHeight="1" x14ac:dyDescent="0.2">
      <c r="E7364" s="7"/>
      <c r="F7364" s="7"/>
    </row>
    <row r="7365" spans="5:6" ht="15" customHeight="1" x14ac:dyDescent="0.2">
      <c r="E7365" s="7"/>
      <c r="F7365" s="7"/>
    </row>
    <row r="7366" spans="5:6" ht="15" customHeight="1" x14ac:dyDescent="0.2">
      <c r="E7366" s="7"/>
      <c r="F7366" s="7"/>
    </row>
    <row r="7367" spans="5:6" ht="15" customHeight="1" x14ac:dyDescent="0.2">
      <c r="E7367" s="7"/>
      <c r="F7367" s="7"/>
    </row>
    <row r="7368" spans="5:6" ht="15" customHeight="1" x14ac:dyDescent="0.2">
      <c r="E7368" s="7"/>
      <c r="F7368" s="7"/>
    </row>
    <row r="7369" spans="5:6" ht="15" customHeight="1" x14ac:dyDescent="0.2">
      <c r="E7369" s="7"/>
      <c r="F7369" s="7"/>
    </row>
    <row r="7370" spans="5:6" ht="15" customHeight="1" x14ac:dyDescent="0.2">
      <c r="E7370" s="7"/>
      <c r="F7370" s="7"/>
    </row>
    <row r="7371" spans="5:6" ht="15" customHeight="1" x14ac:dyDescent="0.2">
      <c r="E7371" s="7"/>
      <c r="F7371" s="7"/>
    </row>
    <row r="7372" spans="5:6" ht="15" customHeight="1" x14ac:dyDescent="0.2">
      <c r="E7372" s="7"/>
      <c r="F7372" s="7"/>
    </row>
    <row r="7373" spans="5:6" ht="15" customHeight="1" x14ac:dyDescent="0.2">
      <c r="E7373" s="7"/>
      <c r="F7373" s="7"/>
    </row>
    <row r="7374" spans="5:6" ht="15" customHeight="1" x14ac:dyDescent="0.2">
      <c r="E7374" s="7"/>
      <c r="F7374" s="7"/>
    </row>
    <row r="7375" spans="5:6" ht="15" customHeight="1" x14ac:dyDescent="0.2">
      <c r="E7375" s="7"/>
      <c r="F7375" s="7"/>
    </row>
    <row r="7376" spans="5:6" ht="15" customHeight="1" x14ac:dyDescent="0.2">
      <c r="E7376" s="7"/>
      <c r="F7376" s="7"/>
    </row>
    <row r="7377" spans="5:6" ht="15" customHeight="1" x14ac:dyDescent="0.2">
      <c r="E7377" s="7"/>
      <c r="F7377" s="7"/>
    </row>
    <row r="7378" spans="5:6" ht="15" customHeight="1" x14ac:dyDescent="0.2">
      <c r="E7378" s="7"/>
      <c r="F7378" s="7"/>
    </row>
    <row r="7379" spans="5:6" ht="15" customHeight="1" x14ac:dyDescent="0.2">
      <c r="E7379" s="7"/>
      <c r="F7379" s="7"/>
    </row>
    <row r="7380" spans="5:6" ht="15" customHeight="1" x14ac:dyDescent="0.2">
      <c r="E7380" s="7"/>
      <c r="F7380" s="7"/>
    </row>
    <row r="7381" spans="5:6" ht="15" customHeight="1" x14ac:dyDescent="0.2">
      <c r="E7381" s="7"/>
      <c r="F7381" s="7"/>
    </row>
    <row r="7382" spans="5:6" ht="15" customHeight="1" x14ac:dyDescent="0.2">
      <c r="E7382" s="7"/>
      <c r="F7382" s="7"/>
    </row>
    <row r="7383" spans="5:6" ht="15" customHeight="1" x14ac:dyDescent="0.2">
      <c r="E7383" s="7"/>
      <c r="F7383" s="7"/>
    </row>
    <row r="7384" spans="5:6" ht="15" customHeight="1" x14ac:dyDescent="0.2">
      <c r="E7384" s="7"/>
      <c r="F7384" s="7"/>
    </row>
    <row r="7385" spans="5:6" ht="15" customHeight="1" x14ac:dyDescent="0.2">
      <c r="E7385" s="7"/>
      <c r="F7385" s="7"/>
    </row>
    <row r="7386" spans="5:6" ht="15" customHeight="1" x14ac:dyDescent="0.2">
      <c r="E7386" s="7"/>
      <c r="F7386" s="7"/>
    </row>
    <row r="7387" spans="5:6" ht="15" customHeight="1" x14ac:dyDescent="0.2">
      <c r="E7387" s="7"/>
      <c r="F7387" s="7"/>
    </row>
    <row r="7388" spans="5:6" ht="15" customHeight="1" x14ac:dyDescent="0.2">
      <c r="E7388" s="7"/>
      <c r="F7388" s="7"/>
    </row>
    <row r="7389" spans="5:6" ht="15" customHeight="1" x14ac:dyDescent="0.2">
      <c r="E7389" s="7"/>
      <c r="F7389" s="7"/>
    </row>
    <row r="7390" spans="5:6" ht="15" customHeight="1" x14ac:dyDescent="0.2">
      <c r="E7390" s="7"/>
      <c r="F7390" s="7"/>
    </row>
    <row r="7391" spans="5:6" ht="15" customHeight="1" x14ac:dyDescent="0.2">
      <c r="E7391" s="7"/>
      <c r="F7391" s="7"/>
    </row>
    <row r="7392" spans="5:6" ht="15" customHeight="1" x14ac:dyDescent="0.2">
      <c r="E7392" s="7"/>
      <c r="F7392" s="7"/>
    </row>
    <row r="7393" spans="5:6" ht="15" customHeight="1" x14ac:dyDescent="0.2">
      <c r="E7393" s="7"/>
      <c r="F7393" s="7"/>
    </row>
    <row r="7394" spans="5:6" ht="15" customHeight="1" x14ac:dyDescent="0.2">
      <c r="E7394" s="7"/>
      <c r="F7394" s="7"/>
    </row>
    <row r="7395" spans="5:6" ht="15" customHeight="1" x14ac:dyDescent="0.2">
      <c r="E7395" s="7"/>
      <c r="F7395" s="7"/>
    </row>
    <row r="7396" spans="5:6" ht="15" customHeight="1" x14ac:dyDescent="0.2">
      <c r="E7396" s="7"/>
      <c r="F7396" s="7"/>
    </row>
    <row r="7397" spans="5:6" ht="15" customHeight="1" x14ac:dyDescent="0.2">
      <c r="E7397" s="7"/>
      <c r="F7397" s="7"/>
    </row>
    <row r="7398" spans="5:6" ht="15" customHeight="1" x14ac:dyDescent="0.2">
      <c r="E7398" s="7"/>
      <c r="F7398" s="7"/>
    </row>
    <row r="7399" spans="5:6" ht="15" customHeight="1" x14ac:dyDescent="0.2">
      <c r="E7399" s="7"/>
      <c r="F7399" s="7"/>
    </row>
    <row r="7400" spans="5:6" ht="15" customHeight="1" x14ac:dyDescent="0.2">
      <c r="E7400" s="7"/>
      <c r="F7400" s="7"/>
    </row>
    <row r="7401" spans="5:6" ht="15" customHeight="1" x14ac:dyDescent="0.2">
      <c r="E7401" s="7"/>
      <c r="F7401" s="7"/>
    </row>
    <row r="7402" spans="5:6" ht="15" customHeight="1" x14ac:dyDescent="0.2">
      <c r="E7402" s="7"/>
      <c r="F7402" s="7"/>
    </row>
    <row r="7403" spans="5:6" ht="15" customHeight="1" x14ac:dyDescent="0.2">
      <c r="E7403" s="7"/>
      <c r="F7403" s="7"/>
    </row>
    <row r="7404" spans="5:6" ht="15" customHeight="1" x14ac:dyDescent="0.2">
      <c r="E7404" s="7"/>
      <c r="F7404" s="7"/>
    </row>
    <row r="7405" spans="5:6" ht="15" customHeight="1" x14ac:dyDescent="0.2">
      <c r="E7405" s="7"/>
      <c r="F7405" s="7"/>
    </row>
    <row r="7406" spans="5:6" ht="15" customHeight="1" x14ac:dyDescent="0.2">
      <c r="E7406" s="7"/>
      <c r="F7406" s="7"/>
    </row>
    <row r="7407" spans="5:6" ht="15" customHeight="1" x14ac:dyDescent="0.2">
      <c r="E7407" s="7"/>
      <c r="F7407" s="7"/>
    </row>
    <row r="7408" spans="5:6" ht="15" customHeight="1" x14ac:dyDescent="0.2">
      <c r="E7408" s="7"/>
      <c r="F7408" s="7"/>
    </row>
    <row r="7409" spans="5:6" ht="15" customHeight="1" x14ac:dyDescent="0.2">
      <c r="E7409" s="7"/>
      <c r="F7409" s="7"/>
    </row>
    <row r="7410" spans="5:6" ht="15" customHeight="1" x14ac:dyDescent="0.2">
      <c r="E7410" s="7"/>
      <c r="F7410" s="7"/>
    </row>
    <row r="7411" spans="5:6" ht="15" customHeight="1" x14ac:dyDescent="0.2">
      <c r="E7411" s="7"/>
      <c r="F7411" s="7"/>
    </row>
    <row r="7412" spans="5:6" ht="15" customHeight="1" x14ac:dyDescent="0.2">
      <c r="E7412" s="7"/>
      <c r="F7412" s="7"/>
    </row>
    <row r="7413" spans="5:6" ht="15" customHeight="1" x14ac:dyDescent="0.2">
      <c r="E7413" s="7"/>
      <c r="F7413" s="7"/>
    </row>
    <row r="7414" spans="5:6" ht="15" customHeight="1" x14ac:dyDescent="0.2">
      <c r="E7414" s="7"/>
      <c r="F7414" s="7"/>
    </row>
    <row r="7415" spans="5:6" ht="15" customHeight="1" x14ac:dyDescent="0.2">
      <c r="E7415" s="7"/>
      <c r="F7415" s="7"/>
    </row>
    <row r="7416" spans="5:6" ht="15" customHeight="1" x14ac:dyDescent="0.2">
      <c r="E7416" s="7"/>
      <c r="F7416" s="7"/>
    </row>
    <row r="7417" spans="5:6" ht="15" customHeight="1" x14ac:dyDescent="0.2">
      <c r="E7417" s="7"/>
      <c r="F7417" s="7"/>
    </row>
    <row r="7418" spans="5:6" ht="15" customHeight="1" x14ac:dyDescent="0.2">
      <c r="E7418" s="7"/>
      <c r="F7418" s="7"/>
    </row>
    <row r="7419" spans="5:6" ht="15" customHeight="1" x14ac:dyDescent="0.2">
      <c r="E7419" s="7"/>
      <c r="F7419" s="7"/>
    </row>
    <row r="7420" spans="5:6" ht="15" customHeight="1" x14ac:dyDescent="0.2">
      <c r="E7420" s="7"/>
      <c r="F7420" s="7"/>
    </row>
    <row r="7421" spans="5:6" ht="15" customHeight="1" x14ac:dyDescent="0.2">
      <c r="E7421" s="7"/>
      <c r="F7421" s="7"/>
    </row>
    <row r="7422" spans="5:6" ht="15" customHeight="1" x14ac:dyDescent="0.2">
      <c r="E7422" s="7"/>
      <c r="F7422" s="7"/>
    </row>
    <row r="7423" spans="5:6" ht="15" customHeight="1" x14ac:dyDescent="0.2">
      <c r="E7423" s="7"/>
      <c r="F7423" s="7"/>
    </row>
    <row r="7424" spans="5:6" ht="15" customHeight="1" x14ac:dyDescent="0.2">
      <c r="E7424" s="7"/>
      <c r="F7424" s="7"/>
    </row>
    <row r="7425" spans="5:6" ht="15" customHeight="1" x14ac:dyDescent="0.2">
      <c r="E7425" s="7"/>
      <c r="F7425" s="7"/>
    </row>
    <row r="7426" spans="5:6" ht="15" customHeight="1" x14ac:dyDescent="0.2">
      <c r="E7426" s="7"/>
      <c r="F7426" s="7"/>
    </row>
    <row r="7427" spans="5:6" ht="15" customHeight="1" x14ac:dyDescent="0.2">
      <c r="E7427" s="7"/>
      <c r="F7427" s="7"/>
    </row>
    <row r="7428" spans="5:6" ht="15" customHeight="1" x14ac:dyDescent="0.2">
      <c r="E7428" s="7"/>
      <c r="F7428" s="7"/>
    </row>
    <row r="7429" spans="5:6" ht="15" customHeight="1" x14ac:dyDescent="0.2">
      <c r="E7429" s="7"/>
      <c r="F7429" s="7"/>
    </row>
    <row r="7430" spans="5:6" ht="15" customHeight="1" x14ac:dyDescent="0.2">
      <c r="E7430" s="7"/>
      <c r="F7430" s="7"/>
    </row>
    <row r="7431" spans="5:6" ht="15" customHeight="1" x14ac:dyDescent="0.2">
      <c r="E7431" s="7"/>
      <c r="F7431" s="7"/>
    </row>
    <row r="7432" spans="5:6" ht="15" customHeight="1" x14ac:dyDescent="0.2">
      <c r="E7432" s="7"/>
      <c r="F7432" s="7"/>
    </row>
    <row r="7433" spans="5:6" ht="15" customHeight="1" x14ac:dyDescent="0.2">
      <c r="E7433" s="7"/>
      <c r="F7433" s="7"/>
    </row>
    <row r="7434" spans="5:6" ht="15" customHeight="1" x14ac:dyDescent="0.2">
      <c r="E7434" s="7"/>
      <c r="F7434" s="7"/>
    </row>
    <row r="7435" spans="5:6" ht="15" customHeight="1" x14ac:dyDescent="0.2">
      <c r="E7435" s="7"/>
      <c r="F7435" s="7"/>
    </row>
    <row r="7436" spans="5:6" ht="15" customHeight="1" x14ac:dyDescent="0.2">
      <c r="E7436" s="7"/>
      <c r="F7436" s="7"/>
    </row>
    <row r="7437" spans="5:6" ht="15" customHeight="1" x14ac:dyDescent="0.2">
      <c r="E7437" s="7"/>
      <c r="F7437" s="7"/>
    </row>
    <row r="7438" spans="5:6" ht="15" customHeight="1" x14ac:dyDescent="0.2">
      <c r="E7438" s="7"/>
      <c r="F7438" s="7"/>
    </row>
    <row r="7439" spans="5:6" ht="15" customHeight="1" x14ac:dyDescent="0.2">
      <c r="E7439" s="7"/>
      <c r="F7439" s="7"/>
    </row>
    <row r="7440" spans="5:6" ht="15" customHeight="1" x14ac:dyDescent="0.2">
      <c r="E7440" s="7"/>
      <c r="F7440" s="7"/>
    </row>
    <row r="7441" spans="5:6" ht="15" customHeight="1" x14ac:dyDescent="0.2">
      <c r="E7441" s="7"/>
      <c r="F7441" s="7"/>
    </row>
    <row r="7442" spans="5:6" ht="15" customHeight="1" x14ac:dyDescent="0.2">
      <c r="E7442" s="7"/>
      <c r="F7442" s="7"/>
    </row>
    <row r="7443" spans="5:6" ht="15" customHeight="1" x14ac:dyDescent="0.2">
      <c r="E7443" s="7"/>
      <c r="F7443" s="7"/>
    </row>
    <row r="7444" spans="5:6" ht="15" customHeight="1" x14ac:dyDescent="0.2">
      <c r="E7444" s="7"/>
      <c r="F7444" s="7"/>
    </row>
    <row r="7445" spans="5:6" ht="15" customHeight="1" x14ac:dyDescent="0.2">
      <c r="E7445" s="7"/>
      <c r="F7445" s="7"/>
    </row>
    <row r="7446" spans="5:6" ht="15" customHeight="1" x14ac:dyDescent="0.2">
      <c r="E7446" s="7"/>
      <c r="F7446" s="7"/>
    </row>
    <row r="7447" spans="5:6" ht="15" customHeight="1" x14ac:dyDescent="0.2">
      <c r="E7447" s="7"/>
      <c r="F7447" s="7"/>
    </row>
    <row r="7448" spans="5:6" ht="15" customHeight="1" x14ac:dyDescent="0.2">
      <c r="E7448" s="7"/>
      <c r="F7448" s="7"/>
    </row>
    <row r="7449" spans="5:6" ht="15" customHeight="1" x14ac:dyDescent="0.2">
      <c r="E7449" s="7"/>
      <c r="F7449" s="7"/>
    </row>
    <row r="7450" spans="5:6" ht="15" customHeight="1" x14ac:dyDescent="0.2">
      <c r="E7450" s="7"/>
      <c r="F7450" s="7"/>
    </row>
    <row r="7451" spans="5:6" ht="15" customHeight="1" x14ac:dyDescent="0.2">
      <c r="E7451" s="7"/>
      <c r="F7451" s="7"/>
    </row>
    <row r="7452" spans="5:6" ht="15" customHeight="1" x14ac:dyDescent="0.2">
      <c r="E7452" s="7"/>
      <c r="F7452" s="7"/>
    </row>
    <row r="7453" spans="5:6" ht="15" customHeight="1" x14ac:dyDescent="0.2">
      <c r="E7453" s="7"/>
      <c r="F7453" s="7"/>
    </row>
    <row r="7454" spans="5:6" ht="15" customHeight="1" x14ac:dyDescent="0.2">
      <c r="E7454" s="7"/>
      <c r="F7454" s="7"/>
    </row>
    <row r="7455" spans="5:6" ht="15" customHeight="1" x14ac:dyDescent="0.2">
      <c r="E7455" s="7"/>
      <c r="F7455" s="7"/>
    </row>
    <row r="7456" spans="5:6" ht="15" customHeight="1" x14ac:dyDescent="0.2">
      <c r="E7456" s="7"/>
      <c r="F7456" s="7"/>
    </row>
    <row r="7457" spans="5:6" ht="15" customHeight="1" x14ac:dyDescent="0.2">
      <c r="E7457" s="7"/>
      <c r="F7457" s="7"/>
    </row>
    <row r="7458" spans="5:6" ht="15" customHeight="1" x14ac:dyDescent="0.2">
      <c r="E7458" s="7"/>
      <c r="F7458" s="7"/>
    </row>
    <row r="7459" spans="5:6" ht="15" customHeight="1" x14ac:dyDescent="0.2">
      <c r="E7459" s="7"/>
      <c r="F7459" s="7"/>
    </row>
    <row r="7460" spans="5:6" ht="15" customHeight="1" x14ac:dyDescent="0.2">
      <c r="E7460" s="7"/>
      <c r="F7460" s="7"/>
    </row>
    <row r="7461" spans="5:6" ht="15" customHeight="1" x14ac:dyDescent="0.2">
      <c r="E7461" s="7"/>
      <c r="F7461" s="7"/>
    </row>
    <row r="7462" spans="5:6" ht="15" customHeight="1" x14ac:dyDescent="0.2">
      <c r="E7462" s="7"/>
      <c r="F7462" s="7"/>
    </row>
    <row r="7463" spans="5:6" ht="15" customHeight="1" x14ac:dyDescent="0.2">
      <c r="E7463" s="7"/>
      <c r="F7463" s="7"/>
    </row>
    <row r="7464" spans="5:6" ht="15" customHeight="1" x14ac:dyDescent="0.2">
      <c r="E7464" s="7"/>
      <c r="F7464" s="7"/>
    </row>
    <row r="7465" spans="5:6" ht="15" customHeight="1" x14ac:dyDescent="0.2">
      <c r="E7465" s="7"/>
      <c r="F7465" s="7"/>
    </row>
    <row r="7466" spans="5:6" ht="15" customHeight="1" x14ac:dyDescent="0.2">
      <c r="E7466" s="7"/>
      <c r="F7466" s="7"/>
    </row>
    <row r="7467" spans="5:6" ht="15" customHeight="1" x14ac:dyDescent="0.2">
      <c r="E7467" s="7"/>
      <c r="F7467" s="7"/>
    </row>
    <row r="7468" spans="5:6" ht="15" customHeight="1" x14ac:dyDescent="0.2">
      <c r="E7468" s="7"/>
      <c r="F7468" s="7"/>
    </row>
    <row r="7469" spans="5:6" ht="15" customHeight="1" x14ac:dyDescent="0.2">
      <c r="E7469" s="7"/>
      <c r="F7469" s="7"/>
    </row>
    <row r="7470" spans="5:6" ht="15" customHeight="1" x14ac:dyDescent="0.2">
      <c r="E7470" s="7"/>
      <c r="F7470" s="7"/>
    </row>
    <row r="7471" spans="5:6" ht="15" customHeight="1" x14ac:dyDescent="0.2">
      <c r="E7471" s="7"/>
      <c r="F7471" s="7"/>
    </row>
    <row r="7472" spans="5:6" ht="15" customHeight="1" x14ac:dyDescent="0.2">
      <c r="E7472" s="7"/>
      <c r="F7472" s="7"/>
    </row>
    <row r="7473" spans="5:6" ht="15" customHeight="1" x14ac:dyDescent="0.2">
      <c r="E7473" s="7"/>
      <c r="F7473" s="7"/>
    </row>
    <row r="7474" spans="5:6" ht="15" customHeight="1" x14ac:dyDescent="0.2">
      <c r="E7474" s="7"/>
      <c r="F7474" s="7"/>
    </row>
    <row r="7475" spans="5:6" ht="15" customHeight="1" x14ac:dyDescent="0.2">
      <c r="E7475" s="7"/>
      <c r="F7475" s="7"/>
    </row>
    <row r="7476" spans="5:6" ht="15" customHeight="1" x14ac:dyDescent="0.2">
      <c r="E7476" s="7"/>
      <c r="F7476" s="7"/>
    </row>
    <row r="7477" spans="5:6" ht="15" customHeight="1" x14ac:dyDescent="0.2">
      <c r="E7477" s="7"/>
      <c r="F7477" s="7"/>
    </row>
    <row r="7478" spans="5:6" ht="15" customHeight="1" x14ac:dyDescent="0.2">
      <c r="E7478" s="7"/>
      <c r="F7478" s="7"/>
    </row>
    <row r="7479" spans="5:6" ht="15" customHeight="1" x14ac:dyDescent="0.2">
      <c r="E7479" s="7"/>
      <c r="F7479" s="7"/>
    </row>
    <row r="7480" spans="5:6" ht="15" customHeight="1" x14ac:dyDescent="0.2">
      <c r="E7480" s="7"/>
      <c r="F7480" s="7"/>
    </row>
    <row r="7481" spans="5:6" ht="15" customHeight="1" x14ac:dyDescent="0.2">
      <c r="E7481" s="7"/>
      <c r="F7481" s="7"/>
    </row>
    <row r="7482" spans="5:6" ht="15" customHeight="1" x14ac:dyDescent="0.2">
      <c r="E7482" s="7"/>
      <c r="F7482" s="7"/>
    </row>
    <row r="7483" spans="5:6" ht="15" customHeight="1" x14ac:dyDescent="0.2">
      <c r="E7483" s="7"/>
      <c r="F7483" s="7"/>
    </row>
    <row r="7484" spans="5:6" ht="15" customHeight="1" x14ac:dyDescent="0.2">
      <c r="E7484" s="7"/>
      <c r="F7484" s="7"/>
    </row>
    <row r="7485" spans="5:6" ht="15" customHeight="1" x14ac:dyDescent="0.2">
      <c r="E7485" s="7"/>
      <c r="F7485" s="7"/>
    </row>
    <row r="7486" spans="5:6" ht="15" customHeight="1" x14ac:dyDescent="0.2">
      <c r="E7486" s="7"/>
      <c r="F7486" s="7"/>
    </row>
    <row r="7487" spans="5:6" ht="15" customHeight="1" x14ac:dyDescent="0.2">
      <c r="E7487" s="7"/>
      <c r="F7487" s="7"/>
    </row>
    <row r="7488" spans="5:6" ht="15" customHeight="1" x14ac:dyDescent="0.2">
      <c r="E7488" s="7"/>
      <c r="F7488" s="7"/>
    </row>
    <row r="7489" spans="5:6" ht="15" customHeight="1" x14ac:dyDescent="0.2">
      <c r="E7489" s="7"/>
      <c r="F7489" s="7"/>
    </row>
    <row r="7490" spans="5:6" ht="15" customHeight="1" x14ac:dyDescent="0.2">
      <c r="E7490" s="7"/>
      <c r="F7490" s="7"/>
    </row>
    <row r="7491" spans="5:6" ht="15" customHeight="1" x14ac:dyDescent="0.2">
      <c r="E7491" s="7"/>
      <c r="F7491" s="7"/>
    </row>
    <row r="7492" spans="5:6" ht="15" customHeight="1" x14ac:dyDescent="0.2">
      <c r="E7492" s="7"/>
      <c r="F7492" s="7"/>
    </row>
    <row r="7493" spans="5:6" ht="15" customHeight="1" x14ac:dyDescent="0.2">
      <c r="E7493" s="7"/>
      <c r="F7493" s="7"/>
    </row>
    <row r="7494" spans="5:6" ht="15" customHeight="1" x14ac:dyDescent="0.2">
      <c r="E7494" s="7"/>
      <c r="F7494" s="7"/>
    </row>
    <row r="7495" spans="5:6" ht="15" customHeight="1" x14ac:dyDescent="0.2">
      <c r="E7495" s="7"/>
      <c r="F7495" s="7"/>
    </row>
    <row r="7496" spans="5:6" ht="15" customHeight="1" x14ac:dyDescent="0.2">
      <c r="E7496" s="7"/>
      <c r="F7496" s="7"/>
    </row>
    <row r="7497" spans="5:6" ht="15" customHeight="1" x14ac:dyDescent="0.2">
      <c r="E7497" s="7"/>
      <c r="F7497" s="7"/>
    </row>
    <row r="7498" spans="5:6" ht="15" customHeight="1" x14ac:dyDescent="0.2">
      <c r="E7498" s="7"/>
      <c r="F7498" s="7"/>
    </row>
    <row r="7499" spans="5:6" ht="15" customHeight="1" x14ac:dyDescent="0.2">
      <c r="E7499" s="7"/>
      <c r="F7499" s="7"/>
    </row>
    <row r="7500" spans="5:6" ht="15" customHeight="1" x14ac:dyDescent="0.2">
      <c r="E7500" s="7"/>
      <c r="F7500" s="7"/>
    </row>
    <row r="7501" spans="5:6" ht="15" customHeight="1" x14ac:dyDescent="0.2">
      <c r="E7501" s="7"/>
      <c r="F7501" s="7"/>
    </row>
    <row r="7502" spans="5:6" ht="15" customHeight="1" x14ac:dyDescent="0.2">
      <c r="E7502" s="7"/>
      <c r="F7502" s="7"/>
    </row>
    <row r="7503" spans="5:6" ht="15" customHeight="1" x14ac:dyDescent="0.2">
      <c r="E7503" s="7"/>
      <c r="F7503" s="7"/>
    </row>
    <row r="7504" spans="5:6" ht="15" customHeight="1" x14ac:dyDescent="0.2">
      <c r="E7504" s="7"/>
      <c r="F7504" s="7"/>
    </row>
    <row r="7505" spans="5:6" ht="15" customHeight="1" x14ac:dyDescent="0.2">
      <c r="E7505" s="7"/>
      <c r="F7505" s="7"/>
    </row>
    <row r="7506" spans="5:6" ht="15" customHeight="1" x14ac:dyDescent="0.2">
      <c r="E7506" s="7"/>
      <c r="F7506" s="7"/>
    </row>
    <row r="7507" spans="5:6" ht="15" customHeight="1" x14ac:dyDescent="0.2">
      <c r="E7507" s="7"/>
      <c r="F7507" s="7"/>
    </row>
    <row r="7508" spans="5:6" ht="15" customHeight="1" x14ac:dyDescent="0.2">
      <c r="E7508" s="7"/>
      <c r="F7508" s="7"/>
    </row>
    <row r="7509" spans="5:6" ht="15" customHeight="1" x14ac:dyDescent="0.2">
      <c r="E7509" s="7"/>
      <c r="F7509" s="7"/>
    </row>
    <row r="7510" spans="5:6" ht="15" customHeight="1" x14ac:dyDescent="0.2">
      <c r="E7510" s="7"/>
      <c r="F7510" s="7"/>
    </row>
    <row r="7511" spans="5:6" ht="15" customHeight="1" x14ac:dyDescent="0.2">
      <c r="E7511" s="7"/>
      <c r="F7511" s="7"/>
    </row>
    <row r="7512" spans="5:6" ht="15" customHeight="1" x14ac:dyDescent="0.2">
      <c r="E7512" s="7"/>
      <c r="F7512" s="7"/>
    </row>
    <row r="7513" spans="5:6" ht="15" customHeight="1" x14ac:dyDescent="0.2">
      <c r="E7513" s="7"/>
      <c r="F7513" s="7"/>
    </row>
    <row r="7514" spans="5:6" ht="15" customHeight="1" x14ac:dyDescent="0.2">
      <c r="E7514" s="7"/>
      <c r="F7514" s="7"/>
    </row>
    <row r="7515" spans="5:6" ht="15" customHeight="1" x14ac:dyDescent="0.2">
      <c r="E7515" s="7"/>
      <c r="F7515" s="7"/>
    </row>
    <row r="7516" spans="5:6" ht="15" customHeight="1" x14ac:dyDescent="0.2">
      <c r="E7516" s="7"/>
      <c r="F7516" s="7"/>
    </row>
    <row r="7517" spans="5:6" ht="15" customHeight="1" x14ac:dyDescent="0.2">
      <c r="E7517" s="7"/>
      <c r="F7517" s="7"/>
    </row>
    <row r="7518" spans="5:6" ht="15" customHeight="1" x14ac:dyDescent="0.2">
      <c r="E7518" s="7"/>
      <c r="F7518" s="7"/>
    </row>
    <row r="7519" spans="5:6" ht="15" customHeight="1" x14ac:dyDescent="0.2">
      <c r="E7519" s="7"/>
      <c r="F7519" s="7"/>
    </row>
    <row r="7520" spans="5:6" ht="15" customHeight="1" x14ac:dyDescent="0.2">
      <c r="E7520" s="7"/>
      <c r="F7520" s="7"/>
    </row>
    <row r="7521" spans="5:6" ht="15" customHeight="1" x14ac:dyDescent="0.2">
      <c r="E7521" s="7"/>
      <c r="F7521" s="7"/>
    </row>
    <row r="7522" spans="5:6" ht="15" customHeight="1" x14ac:dyDescent="0.2">
      <c r="E7522" s="7"/>
      <c r="F7522" s="7"/>
    </row>
    <row r="7523" spans="5:6" ht="15" customHeight="1" x14ac:dyDescent="0.2">
      <c r="E7523" s="7"/>
      <c r="F7523" s="7"/>
    </row>
    <row r="7524" spans="5:6" ht="15" customHeight="1" x14ac:dyDescent="0.2">
      <c r="E7524" s="7"/>
      <c r="F7524" s="7"/>
    </row>
    <row r="7525" spans="5:6" ht="15" customHeight="1" x14ac:dyDescent="0.2">
      <c r="E7525" s="7"/>
      <c r="F7525" s="7"/>
    </row>
    <row r="7526" spans="5:6" ht="15" customHeight="1" x14ac:dyDescent="0.2">
      <c r="E7526" s="7"/>
      <c r="F7526" s="7"/>
    </row>
    <row r="7527" spans="5:6" ht="15" customHeight="1" x14ac:dyDescent="0.2">
      <c r="E7527" s="7"/>
      <c r="F7527" s="7"/>
    </row>
    <row r="7528" spans="5:6" ht="15" customHeight="1" x14ac:dyDescent="0.2">
      <c r="E7528" s="7"/>
      <c r="F7528" s="7"/>
    </row>
    <row r="7529" spans="5:6" ht="15" customHeight="1" x14ac:dyDescent="0.2">
      <c r="E7529" s="7"/>
      <c r="F7529" s="7"/>
    </row>
    <row r="7530" spans="5:6" ht="15" customHeight="1" x14ac:dyDescent="0.2">
      <c r="E7530" s="7"/>
      <c r="F7530" s="7"/>
    </row>
    <row r="7531" spans="5:6" ht="15" customHeight="1" x14ac:dyDescent="0.2">
      <c r="E7531" s="7"/>
      <c r="F7531" s="7"/>
    </row>
    <row r="7532" spans="5:6" ht="15" customHeight="1" x14ac:dyDescent="0.2">
      <c r="E7532" s="7"/>
      <c r="F7532" s="7"/>
    </row>
    <row r="7533" spans="5:6" ht="15" customHeight="1" x14ac:dyDescent="0.2">
      <c r="E7533" s="7"/>
      <c r="F7533" s="7"/>
    </row>
    <row r="7534" spans="5:6" ht="15" customHeight="1" x14ac:dyDescent="0.2">
      <c r="E7534" s="7"/>
      <c r="F7534" s="7"/>
    </row>
    <row r="7535" spans="5:6" ht="15" customHeight="1" x14ac:dyDescent="0.2">
      <c r="E7535" s="7"/>
      <c r="F7535" s="7"/>
    </row>
    <row r="7536" spans="5:6" ht="15" customHeight="1" x14ac:dyDescent="0.2">
      <c r="E7536" s="7"/>
      <c r="F7536" s="7"/>
    </row>
    <row r="7537" spans="5:6" ht="15" customHeight="1" x14ac:dyDescent="0.2">
      <c r="E7537" s="7"/>
      <c r="F7537" s="7"/>
    </row>
    <row r="7538" spans="5:6" ht="15" customHeight="1" x14ac:dyDescent="0.2">
      <c r="E7538" s="7"/>
      <c r="F7538" s="7"/>
    </row>
    <row r="7539" spans="5:6" ht="15" customHeight="1" x14ac:dyDescent="0.2">
      <c r="E7539" s="7"/>
      <c r="F7539" s="7"/>
    </row>
    <row r="7540" spans="5:6" ht="15" customHeight="1" x14ac:dyDescent="0.2">
      <c r="E7540" s="7"/>
      <c r="F7540" s="7"/>
    </row>
    <row r="7541" spans="5:6" ht="15" customHeight="1" x14ac:dyDescent="0.2">
      <c r="E7541" s="7"/>
      <c r="F7541" s="7"/>
    </row>
    <row r="7542" spans="5:6" ht="15" customHeight="1" x14ac:dyDescent="0.2">
      <c r="E7542" s="7"/>
      <c r="F7542" s="7"/>
    </row>
    <row r="7543" spans="5:6" ht="15" customHeight="1" x14ac:dyDescent="0.2">
      <c r="E7543" s="7"/>
      <c r="F7543" s="7"/>
    </row>
    <row r="7544" spans="5:6" ht="15" customHeight="1" x14ac:dyDescent="0.2">
      <c r="E7544" s="7"/>
      <c r="F7544" s="7"/>
    </row>
    <row r="7545" spans="5:6" ht="15" customHeight="1" x14ac:dyDescent="0.2">
      <c r="E7545" s="7"/>
      <c r="F7545" s="7"/>
    </row>
    <row r="7546" spans="5:6" ht="15" customHeight="1" x14ac:dyDescent="0.2">
      <c r="E7546" s="7"/>
      <c r="F7546" s="7"/>
    </row>
    <row r="7547" spans="5:6" ht="15" customHeight="1" x14ac:dyDescent="0.2">
      <c r="E7547" s="7"/>
      <c r="F7547" s="7"/>
    </row>
    <row r="7548" spans="5:6" ht="15" customHeight="1" x14ac:dyDescent="0.2">
      <c r="E7548" s="7"/>
      <c r="F7548" s="7"/>
    </row>
    <row r="7549" spans="5:6" ht="15" customHeight="1" x14ac:dyDescent="0.2">
      <c r="E7549" s="7"/>
      <c r="F7549" s="7"/>
    </row>
    <row r="7550" spans="5:6" ht="15" customHeight="1" x14ac:dyDescent="0.2">
      <c r="E7550" s="7"/>
      <c r="F7550" s="7"/>
    </row>
    <row r="7551" spans="5:6" ht="15" customHeight="1" x14ac:dyDescent="0.2">
      <c r="E7551" s="7"/>
      <c r="F7551" s="7"/>
    </row>
    <row r="7552" spans="5:6" ht="15" customHeight="1" x14ac:dyDescent="0.2">
      <c r="E7552" s="7"/>
      <c r="F7552" s="7"/>
    </row>
    <row r="7553" spans="5:6" ht="15" customHeight="1" x14ac:dyDescent="0.2">
      <c r="E7553" s="7"/>
      <c r="F7553" s="7"/>
    </row>
    <row r="7554" spans="5:6" ht="15" customHeight="1" x14ac:dyDescent="0.2">
      <c r="E7554" s="7"/>
      <c r="F7554" s="7"/>
    </row>
    <row r="7555" spans="5:6" ht="15" customHeight="1" x14ac:dyDescent="0.2">
      <c r="E7555" s="7"/>
      <c r="F7555" s="7"/>
    </row>
    <row r="7556" spans="5:6" ht="15" customHeight="1" x14ac:dyDescent="0.2">
      <c r="E7556" s="7"/>
      <c r="F7556" s="7"/>
    </row>
    <row r="7557" spans="5:6" ht="15" customHeight="1" x14ac:dyDescent="0.2">
      <c r="E7557" s="7"/>
      <c r="F7557" s="7"/>
    </row>
    <row r="7558" spans="5:6" ht="15" customHeight="1" x14ac:dyDescent="0.2">
      <c r="E7558" s="7"/>
      <c r="F7558" s="7"/>
    </row>
    <row r="7559" spans="5:6" ht="15" customHeight="1" x14ac:dyDescent="0.2">
      <c r="E7559" s="7"/>
      <c r="F7559" s="7"/>
    </row>
    <row r="7560" spans="5:6" ht="15" customHeight="1" x14ac:dyDescent="0.2">
      <c r="E7560" s="7"/>
      <c r="F7560" s="7"/>
    </row>
    <row r="7561" spans="5:6" ht="15" customHeight="1" x14ac:dyDescent="0.2">
      <c r="E7561" s="7"/>
      <c r="F7561" s="7"/>
    </row>
    <row r="7562" spans="5:6" ht="15" customHeight="1" x14ac:dyDescent="0.2">
      <c r="E7562" s="7"/>
      <c r="F7562" s="7"/>
    </row>
    <row r="7563" spans="5:6" ht="15" customHeight="1" x14ac:dyDescent="0.2">
      <c r="E7563" s="7"/>
      <c r="F7563" s="7"/>
    </row>
    <row r="7564" spans="5:6" ht="15" customHeight="1" x14ac:dyDescent="0.2">
      <c r="E7564" s="7"/>
      <c r="F7564" s="7"/>
    </row>
    <row r="7565" spans="5:6" ht="15" customHeight="1" x14ac:dyDescent="0.2">
      <c r="E7565" s="7"/>
      <c r="F7565" s="7"/>
    </row>
    <row r="7566" spans="5:6" ht="15" customHeight="1" x14ac:dyDescent="0.2">
      <c r="E7566" s="7"/>
      <c r="F7566" s="7"/>
    </row>
    <row r="7567" spans="5:6" ht="15" customHeight="1" x14ac:dyDescent="0.2">
      <c r="E7567" s="7"/>
      <c r="F7567" s="7"/>
    </row>
    <row r="7568" spans="5:6" ht="15" customHeight="1" x14ac:dyDescent="0.2">
      <c r="E7568" s="7"/>
      <c r="F7568" s="7"/>
    </row>
    <row r="7569" spans="5:6" ht="15" customHeight="1" x14ac:dyDescent="0.2">
      <c r="E7569" s="7"/>
      <c r="F7569" s="7"/>
    </row>
    <row r="7570" spans="5:6" ht="15" customHeight="1" x14ac:dyDescent="0.2">
      <c r="E7570" s="7"/>
      <c r="F7570" s="7"/>
    </row>
    <row r="7571" spans="5:6" ht="15" customHeight="1" x14ac:dyDescent="0.2">
      <c r="E7571" s="7"/>
      <c r="F7571" s="7"/>
    </row>
    <row r="7572" spans="5:6" ht="15" customHeight="1" x14ac:dyDescent="0.2">
      <c r="E7572" s="7"/>
      <c r="F7572" s="7"/>
    </row>
    <row r="7573" spans="5:6" ht="15" customHeight="1" x14ac:dyDescent="0.2">
      <c r="E7573" s="7"/>
      <c r="F7573" s="7"/>
    </row>
    <row r="7574" spans="5:6" ht="15" customHeight="1" x14ac:dyDescent="0.2">
      <c r="E7574" s="7"/>
      <c r="F7574" s="7"/>
    </row>
    <row r="7575" spans="5:6" ht="15" customHeight="1" x14ac:dyDescent="0.2">
      <c r="E7575" s="7"/>
      <c r="F7575" s="7"/>
    </row>
    <row r="7576" spans="5:6" ht="15" customHeight="1" x14ac:dyDescent="0.2">
      <c r="E7576" s="7"/>
      <c r="F7576" s="7"/>
    </row>
    <row r="7577" spans="5:6" ht="15" customHeight="1" x14ac:dyDescent="0.2">
      <c r="E7577" s="7"/>
      <c r="F7577" s="7"/>
    </row>
    <row r="7578" spans="5:6" ht="15" customHeight="1" x14ac:dyDescent="0.2">
      <c r="E7578" s="7"/>
      <c r="F7578" s="7"/>
    </row>
    <row r="7579" spans="5:6" ht="15" customHeight="1" x14ac:dyDescent="0.2">
      <c r="E7579" s="7"/>
      <c r="F7579" s="7"/>
    </row>
    <row r="7580" spans="5:6" ht="15" customHeight="1" x14ac:dyDescent="0.2">
      <c r="E7580" s="7"/>
      <c r="F7580" s="7"/>
    </row>
    <row r="7581" spans="5:6" ht="15" customHeight="1" x14ac:dyDescent="0.2">
      <c r="E7581" s="7"/>
      <c r="F7581" s="7"/>
    </row>
    <row r="7582" spans="5:6" ht="15" customHeight="1" x14ac:dyDescent="0.2">
      <c r="E7582" s="7"/>
      <c r="F7582" s="7"/>
    </row>
    <row r="7583" spans="5:6" ht="15" customHeight="1" x14ac:dyDescent="0.2">
      <c r="E7583" s="7"/>
      <c r="F7583" s="7"/>
    </row>
    <row r="7584" spans="5:6" ht="15" customHeight="1" x14ac:dyDescent="0.2">
      <c r="E7584" s="7"/>
      <c r="F7584" s="7"/>
    </row>
    <row r="7585" spans="5:6" ht="15" customHeight="1" x14ac:dyDescent="0.2">
      <c r="E7585" s="7"/>
      <c r="F7585" s="7"/>
    </row>
    <row r="7586" spans="5:6" ht="15" customHeight="1" x14ac:dyDescent="0.2">
      <c r="E7586" s="7"/>
      <c r="F7586" s="7"/>
    </row>
    <row r="7587" spans="5:6" ht="15" customHeight="1" x14ac:dyDescent="0.2">
      <c r="E7587" s="7"/>
      <c r="F7587" s="7"/>
    </row>
    <row r="7588" spans="5:6" ht="15" customHeight="1" x14ac:dyDescent="0.2">
      <c r="E7588" s="7"/>
      <c r="F7588" s="7"/>
    </row>
    <row r="7589" spans="5:6" ht="15" customHeight="1" x14ac:dyDescent="0.2">
      <c r="E7589" s="7"/>
      <c r="F7589" s="7"/>
    </row>
    <row r="7590" spans="5:6" ht="15" customHeight="1" x14ac:dyDescent="0.2">
      <c r="E7590" s="7"/>
      <c r="F7590" s="7"/>
    </row>
    <row r="7591" spans="5:6" ht="15" customHeight="1" x14ac:dyDescent="0.2">
      <c r="E7591" s="7"/>
      <c r="F7591" s="7"/>
    </row>
    <row r="7592" spans="5:6" ht="15" customHeight="1" x14ac:dyDescent="0.2">
      <c r="E7592" s="7"/>
      <c r="F7592" s="7"/>
    </row>
    <row r="7593" spans="5:6" ht="15" customHeight="1" x14ac:dyDescent="0.2">
      <c r="E7593" s="7"/>
      <c r="F7593" s="7"/>
    </row>
    <row r="7594" spans="5:6" ht="15" customHeight="1" x14ac:dyDescent="0.2">
      <c r="E7594" s="7"/>
      <c r="F7594" s="7"/>
    </row>
    <row r="7595" spans="5:6" ht="15" customHeight="1" x14ac:dyDescent="0.2">
      <c r="E7595" s="7"/>
      <c r="F7595" s="7"/>
    </row>
    <row r="7596" spans="5:6" ht="15" customHeight="1" x14ac:dyDescent="0.2">
      <c r="E7596" s="7"/>
      <c r="F7596" s="7"/>
    </row>
    <row r="7597" spans="5:6" ht="15" customHeight="1" x14ac:dyDescent="0.2">
      <c r="E7597" s="7"/>
      <c r="F7597" s="7"/>
    </row>
    <row r="7598" spans="5:6" ht="15" customHeight="1" x14ac:dyDescent="0.2">
      <c r="E7598" s="7"/>
      <c r="F7598" s="7"/>
    </row>
    <row r="7599" spans="5:6" ht="15" customHeight="1" x14ac:dyDescent="0.2">
      <c r="E7599" s="7"/>
      <c r="F7599" s="7"/>
    </row>
    <row r="7600" spans="5:6" ht="15" customHeight="1" x14ac:dyDescent="0.2">
      <c r="E7600" s="7"/>
      <c r="F7600" s="7"/>
    </row>
    <row r="7601" spans="5:6" ht="15" customHeight="1" x14ac:dyDescent="0.2">
      <c r="E7601" s="7"/>
      <c r="F7601" s="7"/>
    </row>
    <row r="7602" spans="5:6" ht="15" customHeight="1" x14ac:dyDescent="0.2">
      <c r="E7602" s="7"/>
      <c r="F7602" s="7"/>
    </row>
    <row r="7603" spans="5:6" ht="15" customHeight="1" x14ac:dyDescent="0.2">
      <c r="E7603" s="7"/>
      <c r="F7603" s="7"/>
    </row>
    <row r="7604" spans="5:6" ht="15" customHeight="1" x14ac:dyDescent="0.2">
      <c r="E7604" s="7"/>
      <c r="F7604" s="7"/>
    </row>
    <row r="7605" spans="5:6" ht="15" customHeight="1" x14ac:dyDescent="0.2">
      <c r="E7605" s="7"/>
      <c r="F7605" s="7"/>
    </row>
    <row r="7606" spans="5:6" ht="15" customHeight="1" x14ac:dyDescent="0.2">
      <c r="E7606" s="7"/>
      <c r="F7606" s="7"/>
    </row>
    <row r="7607" spans="5:6" ht="15" customHeight="1" x14ac:dyDescent="0.2">
      <c r="E7607" s="7"/>
      <c r="F7607" s="7"/>
    </row>
    <row r="7608" spans="5:6" ht="15" customHeight="1" x14ac:dyDescent="0.2">
      <c r="E7608" s="7"/>
      <c r="F7608" s="7"/>
    </row>
    <row r="7609" spans="5:6" ht="15" customHeight="1" x14ac:dyDescent="0.2">
      <c r="E7609" s="7"/>
      <c r="F7609" s="7"/>
    </row>
    <row r="7610" spans="5:6" ht="15" customHeight="1" x14ac:dyDescent="0.2">
      <c r="E7610" s="7"/>
      <c r="F7610" s="7"/>
    </row>
    <row r="7611" spans="5:6" ht="15" customHeight="1" x14ac:dyDescent="0.2">
      <c r="E7611" s="7"/>
      <c r="F7611" s="7"/>
    </row>
    <row r="7612" spans="5:6" ht="15" customHeight="1" x14ac:dyDescent="0.2">
      <c r="E7612" s="7"/>
      <c r="F7612" s="7"/>
    </row>
    <row r="7613" spans="5:6" ht="15" customHeight="1" x14ac:dyDescent="0.2">
      <c r="E7613" s="7"/>
      <c r="F7613" s="7"/>
    </row>
    <row r="7614" spans="5:6" ht="15" customHeight="1" x14ac:dyDescent="0.2">
      <c r="E7614" s="7"/>
      <c r="F7614" s="7"/>
    </row>
    <row r="7615" spans="5:6" ht="15" customHeight="1" x14ac:dyDescent="0.2">
      <c r="E7615" s="7"/>
      <c r="F7615" s="7"/>
    </row>
    <row r="7616" spans="5:6" ht="15" customHeight="1" x14ac:dyDescent="0.2">
      <c r="E7616" s="7"/>
      <c r="F7616" s="7"/>
    </row>
    <row r="7617" spans="5:6" ht="15" customHeight="1" x14ac:dyDescent="0.2">
      <c r="E7617" s="7"/>
      <c r="F7617" s="7"/>
    </row>
    <row r="7618" spans="5:6" ht="15" customHeight="1" x14ac:dyDescent="0.2">
      <c r="E7618" s="7"/>
      <c r="F7618" s="7"/>
    </row>
    <row r="7619" spans="5:6" ht="15" customHeight="1" x14ac:dyDescent="0.2">
      <c r="E7619" s="7"/>
      <c r="F7619" s="7"/>
    </row>
    <row r="7620" spans="5:6" ht="15" customHeight="1" x14ac:dyDescent="0.2">
      <c r="E7620" s="7"/>
      <c r="F7620" s="7"/>
    </row>
    <row r="7621" spans="5:6" ht="15" customHeight="1" x14ac:dyDescent="0.2">
      <c r="E7621" s="7"/>
      <c r="F7621" s="7"/>
    </row>
    <row r="7622" spans="5:6" ht="15" customHeight="1" x14ac:dyDescent="0.2">
      <c r="E7622" s="7"/>
      <c r="F7622" s="7"/>
    </row>
    <row r="7623" spans="5:6" ht="15" customHeight="1" x14ac:dyDescent="0.2">
      <c r="E7623" s="7"/>
      <c r="F7623" s="7"/>
    </row>
    <row r="7624" spans="5:6" ht="15" customHeight="1" x14ac:dyDescent="0.2">
      <c r="E7624" s="7"/>
      <c r="F7624" s="7"/>
    </row>
    <row r="7625" spans="5:6" ht="15" customHeight="1" x14ac:dyDescent="0.2">
      <c r="E7625" s="7"/>
      <c r="F7625" s="7"/>
    </row>
    <row r="7626" spans="5:6" ht="15" customHeight="1" x14ac:dyDescent="0.2">
      <c r="E7626" s="7"/>
      <c r="F7626" s="7"/>
    </row>
    <row r="7627" spans="5:6" ht="15" customHeight="1" x14ac:dyDescent="0.2">
      <c r="E7627" s="7"/>
      <c r="F7627" s="7"/>
    </row>
    <row r="7628" spans="5:6" ht="15" customHeight="1" x14ac:dyDescent="0.2">
      <c r="E7628" s="7"/>
      <c r="F7628" s="7"/>
    </row>
    <row r="7629" spans="5:6" ht="15" customHeight="1" x14ac:dyDescent="0.2">
      <c r="E7629" s="7"/>
      <c r="F7629" s="7"/>
    </row>
    <row r="7630" spans="5:6" ht="15" customHeight="1" x14ac:dyDescent="0.2">
      <c r="E7630" s="7"/>
      <c r="F7630" s="7"/>
    </row>
    <row r="7631" spans="5:6" ht="15" customHeight="1" x14ac:dyDescent="0.2">
      <c r="E7631" s="7"/>
      <c r="F7631" s="7"/>
    </row>
    <row r="7632" spans="5:6" ht="15" customHeight="1" x14ac:dyDescent="0.2">
      <c r="E7632" s="7"/>
      <c r="F7632" s="7"/>
    </row>
    <row r="7633" spans="5:6" ht="15" customHeight="1" x14ac:dyDescent="0.2">
      <c r="E7633" s="7"/>
      <c r="F7633" s="7"/>
    </row>
    <row r="7634" spans="5:6" ht="15" customHeight="1" x14ac:dyDescent="0.2">
      <c r="E7634" s="7"/>
      <c r="F7634" s="7"/>
    </row>
    <row r="7635" spans="5:6" ht="15" customHeight="1" x14ac:dyDescent="0.2">
      <c r="E7635" s="7"/>
      <c r="F7635" s="7"/>
    </row>
    <row r="7636" spans="5:6" ht="15" customHeight="1" x14ac:dyDescent="0.2">
      <c r="E7636" s="7"/>
      <c r="F7636" s="7"/>
    </row>
    <row r="7637" spans="5:6" ht="15" customHeight="1" x14ac:dyDescent="0.2">
      <c r="E7637" s="7"/>
      <c r="F7637" s="7"/>
    </row>
    <row r="7638" spans="5:6" ht="15" customHeight="1" x14ac:dyDescent="0.2">
      <c r="E7638" s="7"/>
      <c r="F7638" s="7"/>
    </row>
    <row r="7639" spans="5:6" ht="15" customHeight="1" x14ac:dyDescent="0.2">
      <c r="E7639" s="7"/>
      <c r="F7639" s="7"/>
    </row>
    <row r="7640" spans="5:6" ht="15" customHeight="1" x14ac:dyDescent="0.2">
      <c r="E7640" s="7"/>
      <c r="F7640" s="7"/>
    </row>
    <row r="7641" spans="5:6" ht="15" customHeight="1" x14ac:dyDescent="0.2">
      <c r="E7641" s="7"/>
      <c r="F7641" s="7"/>
    </row>
    <row r="7642" spans="5:6" ht="15" customHeight="1" x14ac:dyDescent="0.2">
      <c r="E7642" s="7"/>
      <c r="F7642" s="7"/>
    </row>
    <row r="7643" spans="5:6" ht="15" customHeight="1" x14ac:dyDescent="0.2">
      <c r="E7643" s="7"/>
      <c r="F7643" s="7"/>
    </row>
    <row r="7644" spans="5:6" ht="15" customHeight="1" x14ac:dyDescent="0.2">
      <c r="E7644" s="7"/>
      <c r="F7644" s="7"/>
    </row>
    <row r="7645" spans="5:6" ht="15" customHeight="1" x14ac:dyDescent="0.2">
      <c r="E7645" s="7"/>
      <c r="F7645" s="7"/>
    </row>
    <row r="7646" spans="5:6" ht="15" customHeight="1" x14ac:dyDescent="0.2">
      <c r="E7646" s="7"/>
      <c r="F7646" s="7"/>
    </row>
    <row r="7647" spans="5:6" ht="15" customHeight="1" x14ac:dyDescent="0.2">
      <c r="E7647" s="7"/>
      <c r="F7647" s="7"/>
    </row>
    <row r="7648" spans="5:6" ht="15" customHeight="1" x14ac:dyDescent="0.2">
      <c r="E7648" s="7"/>
      <c r="F7648" s="7"/>
    </row>
    <row r="7649" spans="5:6" ht="15" customHeight="1" x14ac:dyDescent="0.2">
      <c r="E7649" s="7"/>
      <c r="F7649" s="7"/>
    </row>
    <row r="7650" spans="5:6" ht="15" customHeight="1" x14ac:dyDescent="0.2">
      <c r="E7650" s="7"/>
      <c r="F7650" s="7"/>
    </row>
    <row r="7651" spans="5:6" ht="15" customHeight="1" x14ac:dyDescent="0.2">
      <c r="E7651" s="7"/>
      <c r="F7651" s="7"/>
    </row>
    <row r="7652" spans="5:6" ht="15" customHeight="1" x14ac:dyDescent="0.2">
      <c r="E7652" s="7"/>
      <c r="F7652" s="7"/>
    </row>
    <row r="7653" spans="5:6" ht="15" customHeight="1" x14ac:dyDescent="0.2">
      <c r="E7653" s="7"/>
      <c r="F7653" s="7"/>
    </row>
    <row r="7654" spans="5:6" ht="15" customHeight="1" x14ac:dyDescent="0.2">
      <c r="E7654" s="7"/>
      <c r="F7654" s="7"/>
    </row>
    <row r="7655" spans="5:6" ht="15" customHeight="1" x14ac:dyDescent="0.2">
      <c r="E7655" s="7"/>
      <c r="F7655" s="7"/>
    </row>
    <row r="7656" spans="5:6" ht="15" customHeight="1" x14ac:dyDescent="0.2">
      <c r="E7656" s="7"/>
      <c r="F7656" s="7"/>
    </row>
    <row r="7657" spans="5:6" ht="15" customHeight="1" x14ac:dyDescent="0.2">
      <c r="E7657" s="7"/>
      <c r="F7657" s="7"/>
    </row>
    <row r="7658" spans="5:6" ht="15" customHeight="1" x14ac:dyDescent="0.2">
      <c r="E7658" s="7"/>
      <c r="F7658" s="7"/>
    </row>
    <row r="7659" spans="5:6" ht="15" customHeight="1" x14ac:dyDescent="0.2">
      <c r="E7659" s="7"/>
      <c r="F7659" s="7"/>
    </row>
    <row r="7660" spans="5:6" ht="15" customHeight="1" x14ac:dyDescent="0.2">
      <c r="E7660" s="7"/>
      <c r="F7660" s="7"/>
    </row>
    <row r="7661" spans="5:6" ht="15" customHeight="1" x14ac:dyDescent="0.2">
      <c r="E7661" s="7"/>
      <c r="F7661" s="7"/>
    </row>
    <row r="7662" spans="5:6" ht="15" customHeight="1" x14ac:dyDescent="0.2">
      <c r="E7662" s="7"/>
      <c r="F7662" s="7"/>
    </row>
    <row r="7663" spans="5:6" ht="15" customHeight="1" x14ac:dyDescent="0.2">
      <c r="E7663" s="7"/>
      <c r="F7663" s="7"/>
    </row>
    <row r="7664" spans="5:6" ht="15" customHeight="1" x14ac:dyDescent="0.2">
      <c r="E7664" s="7"/>
      <c r="F7664" s="7"/>
    </row>
    <row r="7665" spans="5:6" ht="15" customHeight="1" x14ac:dyDescent="0.2">
      <c r="E7665" s="7"/>
      <c r="F7665" s="7"/>
    </row>
    <row r="7666" spans="5:6" ht="15" customHeight="1" x14ac:dyDescent="0.2">
      <c r="E7666" s="7"/>
      <c r="F7666" s="7"/>
    </row>
    <row r="7667" spans="5:6" ht="15" customHeight="1" x14ac:dyDescent="0.2">
      <c r="E7667" s="7"/>
      <c r="F7667" s="7"/>
    </row>
    <row r="7668" spans="5:6" ht="15" customHeight="1" x14ac:dyDescent="0.2">
      <c r="E7668" s="7"/>
      <c r="F7668" s="7"/>
    </row>
    <row r="7669" spans="5:6" ht="15" customHeight="1" x14ac:dyDescent="0.2">
      <c r="E7669" s="7"/>
      <c r="F7669" s="7"/>
    </row>
    <row r="7670" spans="5:6" ht="15" customHeight="1" x14ac:dyDescent="0.2">
      <c r="E7670" s="7"/>
      <c r="F7670" s="7"/>
    </row>
    <row r="7671" spans="5:6" ht="15" customHeight="1" x14ac:dyDescent="0.2">
      <c r="E7671" s="7"/>
      <c r="F7671" s="7"/>
    </row>
    <row r="7672" spans="5:6" ht="15" customHeight="1" x14ac:dyDescent="0.2">
      <c r="E7672" s="7"/>
      <c r="F7672" s="7"/>
    </row>
    <row r="7673" spans="5:6" ht="15" customHeight="1" x14ac:dyDescent="0.2">
      <c r="E7673" s="7"/>
      <c r="F7673" s="7"/>
    </row>
    <row r="7674" spans="5:6" ht="15" customHeight="1" x14ac:dyDescent="0.2">
      <c r="E7674" s="7"/>
      <c r="F7674" s="7"/>
    </row>
    <row r="7675" spans="5:6" ht="15" customHeight="1" x14ac:dyDescent="0.2">
      <c r="E7675" s="7"/>
      <c r="F7675" s="7"/>
    </row>
    <row r="7676" spans="5:6" ht="15" customHeight="1" x14ac:dyDescent="0.2">
      <c r="E7676" s="7"/>
      <c r="F7676" s="7"/>
    </row>
    <row r="7677" spans="5:6" ht="15" customHeight="1" x14ac:dyDescent="0.2">
      <c r="E7677" s="7"/>
      <c r="F7677" s="7"/>
    </row>
    <row r="7678" spans="5:6" ht="15" customHeight="1" x14ac:dyDescent="0.2">
      <c r="E7678" s="7"/>
      <c r="F7678" s="7"/>
    </row>
    <row r="7679" spans="5:6" ht="15" customHeight="1" x14ac:dyDescent="0.2">
      <c r="E7679" s="7"/>
      <c r="F7679" s="7"/>
    </row>
    <row r="7680" spans="5:6" ht="15" customHeight="1" x14ac:dyDescent="0.2">
      <c r="E7680" s="7"/>
      <c r="F7680" s="7"/>
    </row>
    <row r="7681" spans="5:6" ht="15" customHeight="1" x14ac:dyDescent="0.2">
      <c r="E7681" s="7"/>
      <c r="F7681" s="7"/>
    </row>
    <row r="7682" spans="5:6" ht="15" customHeight="1" x14ac:dyDescent="0.2">
      <c r="E7682" s="7"/>
      <c r="F7682" s="7"/>
    </row>
    <row r="7683" spans="5:6" ht="15" customHeight="1" x14ac:dyDescent="0.2">
      <c r="E7683" s="7"/>
      <c r="F7683" s="7"/>
    </row>
    <row r="7684" spans="5:6" ht="15" customHeight="1" x14ac:dyDescent="0.2">
      <c r="E7684" s="7"/>
      <c r="F7684" s="7"/>
    </row>
    <row r="7685" spans="5:6" ht="15" customHeight="1" x14ac:dyDescent="0.2">
      <c r="E7685" s="7"/>
      <c r="F7685" s="7"/>
    </row>
    <row r="7686" spans="5:6" ht="15" customHeight="1" x14ac:dyDescent="0.2">
      <c r="E7686" s="7"/>
      <c r="F7686" s="7"/>
    </row>
    <row r="7687" spans="5:6" ht="15" customHeight="1" x14ac:dyDescent="0.2">
      <c r="E7687" s="7"/>
      <c r="F7687" s="7"/>
    </row>
    <row r="7688" spans="5:6" ht="15" customHeight="1" x14ac:dyDescent="0.2">
      <c r="E7688" s="7"/>
      <c r="F7688" s="7"/>
    </row>
    <row r="7689" spans="5:6" ht="15" customHeight="1" x14ac:dyDescent="0.2">
      <c r="E7689" s="7"/>
      <c r="F7689" s="7"/>
    </row>
    <row r="7690" spans="5:6" ht="15" customHeight="1" x14ac:dyDescent="0.2">
      <c r="E7690" s="7"/>
      <c r="F7690" s="7"/>
    </row>
    <row r="7691" spans="5:6" ht="15" customHeight="1" x14ac:dyDescent="0.2">
      <c r="E7691" s="7"/>
      <c r="F7691" s="7"/>
    </row>
    <row r="7692" spans="5:6" ht="15" customHeight="1" x14ac:dyDescent="0.2">
      <c r="E7692" s="7"/>
      <c r="F7692" s="7"/>
    </row>
    <row r="7693" spans="5:6" ht="15" customHeight="1" x14ac:dyDescent="0.2">
      <c r="E7693" s="7"/>
      <c r="F7693" s="7"/>
    </row>
    <row r="7694" spans="5:6" ht="15" customHeight="1" x14ac:dyDescent="0.2">
      <c r="E7694" s="7"/>
      <c r="F7694" s="7"/>
    </row>
    <row r="7695" spans="5:6" ht="15" customHeight="1" x14ac:dyDescent="0.2">
      <c r="E7695" s="7"/>
      <c r="F7695" s="7"/>
    </row>
    <row r="7696" spans="5:6" ht="15" customHeight="1" x14ac:dyDescent="0.2">
      <c r="E7696" s="7"/>
      <c r="F7696" s="7"/>
    </row>
    <row r="7697" spans="5:6" ht="15" customHeight="1" x14ac:dyDescent="0.2">
      <c r="E7697" s="7"/>
      <c r="F7697" s="7"/>
    </row>
    <row r="7698" spans="5:6" ht="15" customHeight="1" x14ac:dyDescent="0.2">
      <c r="E7698" s="7"/>
      <c r="F7698" s="7"/>
    </row>
    <row r="7699" spans="5:6" ht="15" customHeight="1" x14ac:dyDescent="0.2">
      <c r="E7699" s="7"/>
      <c r="F7699" s="7"/>
    </row>
    <row r="7700" spans="5:6" ht="15" customHeight="1" x14ac:dyDescent="0.2">
      <c r="E7700" s="7"/>
      <c r="F7700" s="7"/>
    </row>
    <row r="7701" spans="5:6" ht="15" customHeight="1" x14ac:dyDescent="0.2">
      <c r="E7701" s="7"/>
      <c r="F7701" s="7"/>
    </row>
    <row r="7702" spans="5:6" ht="15" customHeight="1" x14ac:dyDescent="0.2">
      <c r="E7702" s="7"/>
      <c r="F7702" s="7"/>
    </row>
    <row r="7703" spans="5:6" ht="15" customHeight="1" x14ac:dyDescent="0.2">
      <c r="E7703" s="7"/>
      <c r="F7703" s="7"/>
    </row>
    <row r="7704" spans="5:6" ht="15" customHeight="1" x14ac:dyDescent="0.2">
      <c r="E7704" s="7"/>
      <c r="F7704" s="7"/>
    </row>
    <row r="7705" spans="5:6" ht="15" customHeight="1" x14ac:dyDescent="0.2">
      <c r="E7705" s="7"/>
      <c r="F7705" s="7"/>
    </row>
    <row r="7706" spans="5:6" ht="15" customHeight="1" x14ac:dyDescent="0.2">
      <c r="E7706" s="7"/>
      <c r="F7706" s="7"/>
    </row>
    <row r="7707" spans="5:6" ht="15" customHeight="1" x14ac:dyDescent="0.2">
      <c r="E7707" s="7"/>
      <c r="F7707" s="7"/>
    </row>
    <row r="7708" spans="5:6" ht="15" customHeight="1" x14ac:dyDescent="0.2">
      <c r="E7708" s="7"/>
      <c r="F7708" s="7"/>
    </row>
    <row r="7709" spans="5:6" ht="15" customHeight="1" x14ac:dyDescent="0.2">
      <c r="E7709" s="7"/>
      <c r="F7709" s="7"/>
    </row>
    <row r="7710" spans="5:6" ht="15" customHeight="1" x14ac:dyDescent="0.2">
      <c r="E7710" s="7"/>
      <c r="F7710" s="7"/>
    </row>
    <row r="7711" spans="5:6" ht="15" customHeight="1" x14ac:dyDescent="0.2">
      <c r="E7711" s="7"/>
      <c r="F7711" s="7"/>
    </row>
    <row r="7712" spans="5:6" ht="15" customHeight="1" x14ac:dyDescent="0.2">
      <c r="E7712" s="7"/>
      <c r="F7712" s="7"/>
    </row>
    <row r="7713" spans="5:6" ht="15" customHeight="1" x14ac:dyDescent="0.2">
      <c r="E7713" s="7"/>
      <c r="F7713" s="7"/>
    </row>
    <row r="7714" spans="5:6" ht="15" customHeight="1" x14ac:dyDescent="0.2">
      <c r="E7714" s="7"/>
      <c r="F7714" s="7"/>
    </row>
    <row r="7715" spans="5:6" ht="15" customHeight="1" x14ac:dyDescent="0.2">
      <c r="E7715" s="7"/>
      <c r="F7715" s="7"/>
    </row>
    <row r="7716" spans="5:6" ht="15" customHeight="1" x14ac:dyDescent="0.2">
      <c r="E7716" s="7"/>
      <c r="F7716" s="7"/>
    </row>
    <row r="7717" spans="5:6" ht="15" customHeight="1" x14ac:dyDescent="0.2">
      <c r="E7717" s="7"/>
      <c r="F7717" s="7"/>
    </row>
    <row r="7718" spans="5:6" ht="15" customHeight="1" x14ac:dyDescent="0.2">
      <c r="E7718" s="7"/>
      <c r="F7718" s="7"/>
    </row>
    <row r="7719" spans="5:6" ht="15" customHeight="1" x14ac:dyDescent="0.2">
      <c r="E7719" s="7"/>
      <c r="F7719" s="7"/>
    </row>
    <row r="7720" spans="5:6" ht="15" customHeight="1" x14ac:dyDescent="0.2">
      <c r="E7720" s="7"/>
      <c r="F7720" s="7"/>
    </row>
    <row r="7721" spans="5:6" ht="15" customHeight="1" x14ac:dyDescent="0.2">
      <c r="E7721" s="7"/>
      <c r="F7721" s="7"/>
    </row>
    <row r="7722" spans="5:6" ht="15" customHeight="1" x14ac:dyDescent="0.2">
      <c r="E7722" s="7"/>
      <c r="F7722" s="7"/>
    </row>
    <row r="7723" spans="5:6" ht="15" customHeight="1" x14ac:dyDescent="0.2">
      <c r="E7723" s="7"/>
      <c r="F7723" s="7"/>
    </row>
    <row r="7724" spans="5:6" ht="15" customHeight="1" x14ac:dyDescent="0.2">
      <c r="E7724" s="7"/>
      <c r="F7724" s="7"/>
    </row>
    <row r="7725" spans="5:6" ht="15" customHeight="1" x14ac:dyDescent="0.2">
      <c r="E7725" s="7"/>
      <c r="F7725" s="7"/>
    </row>
    <row r="7726" spans="5:6" ht="15" customHeight="1" x14ac:dyDescent="0.2">
      <c r="E7726" s="7"/>
      <c r="F7726" s="7"/>
    </row>
    <row r="7727" spans="5:6" ht="15" customHeight="1" x14ac:dyDescent="0.2">
      <c r="E7727" s="7"/>
      <c r="F7727" s="7"/>
    </row>
    <row r="7728" spans="5:6" ht="15" customHeight="1" x14ac:dyDescent="0.2">
      <c r="E7728" s="7"/>
      <c r="F7728" s="7"/>
    </row>
    <row r="7729" spans="5:6" ht="15" customHeight="1" x14ac:dyDescent="0.2">
      <c r="E7729" s="7"/>
      <c r="F7729" s="7"/>
    </row>
    <row r="7730" spans="5:6" ht="15" customHeight="1" x14ac:dyDescent="0.2">
      <c r="E7730" s="7"/>
      <c r="F7730" s="7"/>
    </row>
    <row r="7731" spans="5:6" ht="15" customHeight="1" x14ac:dyDescent="0.2">
      <c r="E7731" s="7"/>
      <c r="F7731" s="7"/>
    </row>
    <row r="7732" spans="5:6" ht="15" customHeight="1" x14ac:dyDescent="0.2">
      <c r="E7732" s="7"/>
      <c r="F7732" s="7"/>
    </row>
    <row r="7733" spans="5:6" ht="15" customHeight="1" x14ac:dyDescent="0.2">
      <c r="E7733" s="7"/>
      <c r="F7733" s="7"/>
    </row>
    <row r="7734" spans="5:6" ht="15" customHeight="1" x14ac:dyDescent="0.2">
      <c r="E7734" s="7"/>
      <c r="F7734" s="7"/>
    </row>
    <row r="7735" spans="5:6" ht="15" customHeight="1" x14ac:dyDescent="0.2">
      <c r="E7735" s="7"/>
      <c r="F7735" s="7"/>
    </row>
    <row r="7736" spans="5:6" ht="15" customHeight="1" x14ac:dyDescent="0.2">
      <c r="E7736" s="7"/>
      <c r="F7736" s="7"/>
    </row>
    <row r="7737" spans="5:6" ht="15" customHeight="1" x14ac:dyDescent="0.2">
      <c r="E7737" s="7"/>
      <c r="F7737" s="7"/>
    </row>
    <row r="7738" spans="5:6" ht="15" customHeight="1" x14ac:dyDescent="0.2">
      <c r="E7738" s="7"/>
      <c r="F7738" s="7"/>
    </row>
    <row r="7739" spans="5:6" ht="15" customHeight="1" x14ac:dyDescent="0.2">
      <c r="E7739" s="7"/>
      <c r="F7739" s="7"/>
    </row>
    <row r="7740" spans="5:6" ht="15" customHeight="1" x14ac:dyDescent="0.2">
      <c r="E7740" s="7"/>
      <c r="F7740" s="7"/>
    </row>
    <row r="7741" spans="5:6" ht="15" customHeight="1" x14ac:dyDescent="0.2">
      <c r="E7741" s="7"/>
      <c r="F7741" s="7"/>
    </row>
    <row r="7742" spans="5:6" ht="15" customHeight="1" x14ac:dyDescent="0.2">
      <c r="E7742" s="7"/>
      <c r="F7742" s="7"/>
    </row>
    <row r="7743" spans="5:6" ht="15" customHeight="1" x14ac:dyDescent="0.2">
      <c r="E7743" s="7"/>
      <c r="F7743" s="7"/>
    </row>
    <row r="7744" spans="5:6" ht="15" customHeight="1" x14ac:dyDescent="0.2">
      <c r="E7744" s="7"/>
      <c r="F7744" s="7"/>
    </row>
    <row r="7745" spans="5:6" ht="15" customHeight="1" x14ac:dyDescent="0.2">
      <c r="E7745" s="7"/>
      <c r="F7745" s="7"/>
    </row>
    <row r="7746" spans="5:6" ht="15" customHeight="1" x14ac:dyDescent="0.2">
      <c r="E7746" s="7"/>
      <c r="F7746" s="7"/>
    </row>
    <row r="7747" spans="5:6" ht="15" customHeight="1" x14ac:dyDescent="0.2">
      <c r="E7747" s="7"/>
      <c r="F7747" s="7"/>
    </row>
    <row r="7748" spans="5:6" ht="15" customHeight="1" x14ac:dyDescent="0.2">
      <c r="E7748" s="7"/>
      <c r="F7748" s="7"/>
    </row>
    <row r="7749" spans="5:6" ht="15" customHeight="1" x14ac:dyDescent="0.2">
      <c r="E7749" s="7"/>
      <c r="F7749" s="7"/>
    </row>
    <row r="7750" spans="5:6" ht="15" customHeight="1" x14ac:dyDescent="0.2">
      <c r="E7750" s="7"/>
      <c r="F7750" s="7"/>
    </row>
    <row r="7751" spans="5:6" ht="15" customHeight="1" x14ac:dyDescent="0.2">
      <c r="E7751" s="7"/>
      <c r="F7751" s="7"/>
    </row>
    <row r="7752" spans="5:6" ht="15" customHeight="1" x14ac:dyDescent="0.2">
      <c r="E7752" s="7"/>
      <c r="F7752" s="7"/>
    </row>
    <row r="7753" spans="5:6" ht="15" customHeight="1" x14ac:dyDescent="0.2">
      <c r="E7753" s="7"/>
      <c r="F7753" s="7"/>
    </row>
    <row r="7754" spans="5:6" ht="15" customHeight="1" x14ac:dyDescent="0.2">
      <c r="E7754" s="7"/>
      <c r="F7754" s="7"/>
    </row>
    <row r="7755" spans="5:6" ht="15" customHeight="1" x14ac:dyDescent="0.2">
      <c r="E7755" s="7"/>
      <c r="F7755" s="7"/>
    </row>
    <row r="7756" spans="5:6" ht="15" customHeight="1" x14ac:dyDescent="0.2">
      <c r="E7756" s="7"/>
      <c r="F7756" s="7"/>
    </row>
    <row r="7757" spans="5:6" ht="15" customHeight="1" x14ac:dyDescent="0.2">
      <c r="E7757" s="7"/>
      <c r="F7757" s="7"/>
    </row>
    <row r="7758" spans="5:6" ht="15" customHeight="1" x14ac:dyDescent="0.2">
      <c r="E7758" s="7"/>
      <c r="F7758" s="7"/>
    </row>
    <row r="7759" spans="5:6" ht="15" customHeight="1" x14ac:dyDescent="0.2">
      <c r="E7759" s="7"/>
      <c r="F7759" s="7"/>
    </row>
    <row r="7760" spans="5:6" ht="15" customHeight="1" x14ac:dyDescent="0.2">
      <c r="E7760" s="7"/>
      <c r="F7760" s="7"/>
    </row>
    <row r="7761" spans="5:6" ht="15" customHeight="1" x14ac:dyDescent="0.2">
      <c r="E7761" s="7"/>
      <c r="F7761" s="7"/>
    </row>
    <row r="7762" spans="5:6" ht="15" customHeight="1" x14ac:dyDescent="0.2">
      <c r="E7762" s="7"/>
      <c r="F7762" s="7"/>
    </row>
    <row r="7763" spans="5:6" ht="15" customHeight="1" x14ac:dyDescent="0.2">
      <c r="E7763" s="7"/>
      <c r="F7763" s="7"/>
    </row>
    <row r="7764" spans="5:6" ht="15" customHeight="1" x14ac:dyDescent="0.2">
      <c r="E7764" s="7"/>
      <c r="F7764" s="7"/>
    </row>
    <row r="7765" spans="5:6" ht="15" customHeight="1" x14ac:dyDescent="0.2">
      <c r="E7765" s="7"/>
      <c r="F7765" s="7"/>
    </row>
    <row r="7766" spans="5:6" ht="15" customHeight="1" x14ac:dyDescent="0.2">
      <c r="E7766" s="7"/>
      <c r="F7766" s="7"/>
    </row>
    <row r="7767" spans="5:6" ht="15" customHeight="1" x14ac:dyDescent="0.2">
      <c r="E7767" s="7"/>
      <c r="F7767" s="7"/>
    </row>
    <row r="7768" spans="5:6" ht="15" customHeight="1" x14ac:dyDescent="0.2">
      <c r="E7768" s="7"/>
      <c r="F7768" s="7"/>
    </row>
    <row r="7769" spans="5:6" ht="15" customHeight="1" x14ac:dyDescent="0.2">
      <c r="E7769" s="7"/>
      <c r="F7769" s="7"/>
    </row>
    <row r="7770" spans="5:6" ht="15" customHeight="1" x14ac:dyDescent="0.2">
      <c r="E7770" s="7"/>
      <c r="F7770" s="7"/>
    </row>
    <row r="7771" spans="5:6" ht="15" customHeight="1" x14ac:dyDescent="0.2">
      <c r="E7771" s="7"/>
      <c r="F7771" s="7"/>
    </row>
    <row r="7772" spans="5:6" ht="15" customHeight="1" x14ac:dyDescent="0.2">
      <c r="E7772" s="7"/>
      <c r="F7772" s="7"/>
    </row>
    <row r="7773" spans="5:6" ht="15" customHeight="1" x14ac:dyDescent="0.2">
      <c r="E7773" s="7"/>
      <c r="F7773" s="7"/>
    </row>
    <row r="7774" spans="5:6" ht="15" customHeight="1" x14ac:dyDescent="0.2">
      <c r="E7774" s="7"/>
      <c r="F7774" s="7"/>
    </row>
    <row r="7775" spans="5:6" ht="15" customHeight="1" x14ac:dyDescent="0.2">
      <c r="E7775" s="7"/>
      <c r="F7775" s="7"/>
    </row>
    <row r="7776" spans="5:6" ht="15" customHeight="1" x14ac:dyDescent="0.2">
      <c r="E7776" s="7"/>
      <c r="F7776" s="7"/>
    </row>
    <row r="7777" spans="5:6" ht="15" customHeight="1" x14ac:dyDescent="0.2">
      <c r="E7777" s="7"/>
      <c r="F7777" s="7"/>
    </row>
    <row r="7778" spans="5:6" ht="15" customHeight="1" x14ac:dyDescent="0.2">
      <c r="E7778" s="7"/>
      <c r="F7778" s="7"/>
    </row>
    <row r="7779" spans="5:6" ht="15" customHeight="1" x14ac:dyDescent="0.2">
      <c r="E7779" s="7"/>
      <c r="F7779" s="7"/>
    </row>
    <row r="7780" spans="5:6" ht="15" customHeight="1" x14ac:dyDescent="0.2">
      <c r="E7780" s="7"/>
      <c r="F7780" s="7"/>
    </row>
    <row r="7781" spans="5:6" ht="15" customHeight="1" x14ac:dyDescent="0.2">
      <c r="E7781" s="7"/>
      <c r="F7781" s="7"/>
    </row>
    <row r="7782" spans="5:6" ht="15" customHeight="1" x14ac:dyDescent="0.2">
      <c r="E7782" s="7"/>
      <c r="F7782" s="7"/>
    </row>
    <row r="7783" spans="5:6" ht="15" customHeight="1" x14ac:dyDescent="0.2">
      <c r="E7783" s="7"/>
      <c r="F7783" s="7"/>
    </row>
    <row r="7784" spans="5:6" ht="15" customHeight="1" x14ac:dyDescent="0.2">
      <c r="E7784" s="7"/>
      <c r="F7784" s="7"/>
    </row>
    <row r="7785" spans="5:6" ht="15" customHeight="1" x14ac:dyDescent="0.2">
      <c r="E7785" s="7"/>
      <c r="F7785" s="7"/>
    </row>
    <row r="7786" spans="5:6" ht="15" customHeight="1" x14ac:dyDescent="0.2">
      <c r="E7786" s="7"/>
      <c r="F7786" s="7"/>
    </row>
    <row r="7787" spans="5:6" ht="15" customHeight="1" x14ac:dyDescent="0.2">
      <c r="E7787" s="7"/>
      <c r="F7787" s="7"/>
    </row>
    <row r="7788" spans="5:6" ht="15" customHeight="1" x14ac:dyDescent="0.2">
      <c r="E7788" s="7"/>
      <c r="F7788" s="7"/>
    </row>
    <row r="7789" spans="5:6" ht="15" customHeight="1" x14ac:dyDescent="0.2">
      <c r="E7789" s="7"/>
      <c r="F7789" s="7"/>
    </row>
    <row r="7790" spans="5:6" ht="15" customHeight="1" x14ac:dyDescent="0.2">
      <c r="E7790" s="7"/>
      <c r="F7790" s="7"/>
    </row>
    <row r="7791" spans="5:6" ht="15" customHeight="1" x14ac:dyDescent="0.2">
      <c r="E7791" s="7"/>
      <c r="F7791" s="7"/>
    </row>
    <row r="7792" spans="5:6" ht="15" customHeight="1" x14ac:dyDescent="0.2">
      <c r="E7792" s="7"/>
      <c r="F7792" s="7"/>
    </row>
    <row r="7793" spans="5:6" ht="15" customHeight="1" x14ac:dyDescent="0.2">
      <c r="E7793" s="7"/>
      <c r="F7793" s="7"/>
    </row>
    <row r="7794" spans="5:6" ht="15" customHeight="1" x14ac:dyDescent="0.2">
      <c r="E7794" s="7"/>
      <c r="F7794" s="7"/>
    </row>
    <row r="7795" spans="5:6" ht="15" customHeight="1" x14ac:dyDescent="0.2">
      <c r="E7795" s="7"/>
      <c r="F7795" s="7"/>
    </row>
    <row r="7796" spans="5:6" ht="15" customHeight="1" x14ac:dyDescent="0.2">
      <c r="E7796" s="7"/>
      <c r="F7796" s="7"/>
    </row>
    <row r="7797" spans="5:6" ht="15" customHeight="1" x14ac:dyDescent="0.2">
      <c r="E7797" s="7"/>
      <c r="F7797" s="7"/>
    </row>
    <row r="7798" spans="5:6" ht="15" customHeight="1" x14ac:dyDescent="0.2">
      <c r="E7798" s="7"/>
      <c r="F7798" s="7"/>
    </row>
    <row r="7799" spans="5:6" ht="15" customHeight="1" x14ac:dyDescent="0.2">
      <c r="E7799" s="7"/>
      <c r="F7799" s="7"/>
    </row>
    <row r="7800" spans="5:6" ht="15" customHeight="1" x14ac:dyDescent="0.2">
      <c r="E7800" s="7"/>
      <c r="F7800" s="7"/>
    </row>
    <row r="7801" spans="5:6" ht="15" customHeight="1" x14ac:dyDescent="0.2">
      <c r="E7801" s="7"/>
      <c r="F7801" s="7"/>
    </row>
    <row r="7802" spans="5:6" ht="15" customHeight="1" x14ac:dyDescent="0.2">
      <c r="E7802" s="7"/>
      <c r="F7802" s="7"/>
    </row>
    <row r="7803" spans="5:6" ht="15" customHeight="1" x14ac:dyDescent="0.2">
      <c r="E7803" s="7"/>
      <c r="F7803" s="7"/>
    </row>
    <row r="7804" spans="5:6" ht="15" customHeight="1" x14ac:dyDescent="0.2">
      <c r="E7804" s="7"/>
      <c r="F7804" s="7"/>
    </row>
    <row r="7805" spans="5:6" ht="15" customHeight="1" x14ac:dyDescent="0.2">
      <c r="E7805" s="7"/>
      <c r="F7805" s="7"/>
    </row>
    <row r="7806" spans="5:6" ht="15" customHeight="1" x14ac:dyDescent="0.2">
      <c r="E7806" s="7"/>
      <c r="F7806" s="7"/>
    </row>
    <row r="7807" spans="5:6" ht="15" customHeight="1" x14ac:dyDescent="0.2">
      <c r="E7807" s="7"/>
      <c r="F7807" s="7"/>
    </row>
    <row r="7808" spans="5:6" ht="15" customHeight="1" x14ac:dyDescent="0.2">
      <c r="E7808" s="7"/>
      <c r="F7808" s="7"/>
    </row>
    <row r="7809" spans="5:6" ht="15" customHeight="1" x14ac:dyDescent="0.2">
      <c r="E7809" s="7"/>
      <c r="F7809" s="7"/>
    </row>
    <row r="7810" spans="5:6" ht="15" customHeight="1" x14ac:dyDescent="0.2">
      <c r="E7810" s="7"/>
      <c r="F7810" s="7"/>
    </row>
    <row r="7811" spans="5:6" ht="15" customHeight="1" x14ac:dyDescent="0.2">
      <c r="E7811" s="7"/>
      <c r="F7811" s="7"/>
    </row>
    <row r="7812" spans="5:6" ht="15" customHeight="1" x14ac:dyDescent="0.2">
      <c r="E7812" s="7"/>
      <c r="F7812" s="7"/>
    </row>
    <row r="7813" spans="5:6" ht="15" customHeight="1" x14ac:dyDescent="0.2">
      <c r="E7813" s="7"/>
      <c r="F7813" s="7"/>
    </row>
    <row r="7814" spans="5:6" ht="15" customHeight="1" x14ac:dyDescent="0.2">
      <c r="E7814" s="7"/>
      <c r="F7814" s="7"/>
    </row>
    <row r="7815" spans="5:6" ht="15" customHeight="1" x14ac:dyDescent="0.2">
      <c r="E7815" s="7"/>
      <c r="F7815" s="7"/>
    </row>
    <row r="7816" spans="5:6" ht="15" customHeight="1" x14ac:dyDescent="0.2">
      <c r="E7816" s="7"/>
      <c r="F7816" s="7"/>
    </row>
    <row r="7817" spans="5:6" ht="15" customHeight="1" x14ac:dyDescent="0.2">
      <c r="E7817" s="7"/>
      <c r="F7817" s="7"/>
    </row>
    <row r="7818" spans="5:6" ht="15" customHeight="1" x14ac:dyDescent="0.2">
      <c r="E7818" s="7"/>
      <c r="F7818" s="7"/>
    </row>
    <row r="7819" spans="5:6" ht="15" customHeight="1" x14ac:dyDescent="0.2">
      <c r="E7819" s="7"/>
      <c r="F7819" s="7"/>
    </row>
    <row r="7820" spans="5:6" ht="15" customHeight="1" x14ac:dyDescent="0.2">
      <c r="E7820" s="7"/>
      <c r="F7820" s="7"/>
    </row>
    <row r="7821" spans="5:6" ht="15" customHeight="1" x14ac:dyDescent="0.2">
      <c r="E7821" s="7"/>
      <c r="F7821" s="7"/>
    </row>
    <row r="7822" spans="5:6" ht="15" customHeight="1" x14ac:dyDescent="0.2">
      <c r="E7822" s="7"/>
      <c r="F7822" s="7"/>
    </row>
    <row r="7823" spans="5:6" ht="15" customHeight="1" x14ac:dyDescent="0.2">
      <c r="E7823" s="7"/>
      <c r="F7823" s="7"/>
    </row>
    <row r="7824" spans="5:6" ht="15" customHeight="1" x14ac:dyDescent="0.2">
      <c r="E7824" s="7"/>
      <c r="F7824" s="7"/>
    </row>
    <row r="7825" spans="5:6" ht="15" customHeight="1" x14ac:dyDescent="0.2">
      <c r="E7825" s="7"/>
      <c r="F7825" s="7"/>
    </row>
    <row r="7826" spans="5:6" ht="15" customHeight="1" x14ac:dyDescent="0.2">
      <c r="E7826" s="7"/>
      <c r="F7826" s="7"/>
    </row>
    <row r="7827" spans="5:6" ht="15" customHeight="1" x14ac:dyDescent="0.2">
      <c r="E7827" s="7"/>
      <c r="F7827" s="7"/>
    </row>
    <row r="7828" spans="5:6" ht="15" customHeight="1" x14ac:dyDescent="0.2">
      <c r="E7828" s="7"/>
      <c r="F7828" s="7"/>
    </row>
    <row r="7829" spans="5:6" ht="15" customHeight="1" x14ac:dyDescent="0.2">
      <c r="E7829" s="7"/>
      <c r="F7829" s="7"/>
    </row>
    <row r="7830" spans="5:6" ht="15" customHeight="1" x14ac:dyDescent="0.2">
      <c r="E7830" s="7"/>
      <c r="F7830" s="7"/>
    </row>
    <row r="7831" spans="5:6" ht="15" customHeight="1" x14ac:dyDescent="0.2">
      <c r="E7831" s="7"/>
      <c r="F7831" s="7"/>
    </row>
    <row r="7832" spans="5:6" ht="15" customHeight="1" x14ac:dyDescent="0.2">
      <c r="E7832" s="7"/>
      <c r="F7832" s="7"/>
    </row>
    <row r="7833" spans="5:6" ht="15" customHeight="1" x14ac:dyDescent="0.2">
      <c r="E7833" s="7"/>
      <c r="F7833" s="7"/>
    </row>
    <row r="7834" spans="5:6" ht="15" customHeight="1" x14ac:dyDescent="0.2">
      <c r="E7834" s="7"/>
      <c r="F7834" s="7"/>
    </row>
    <row r="7835" spans="5:6" ht="15" customHeight="1" x14ac:dyDescent="0.2">
      <c r="E7835" s="7"/>
      <c r="F7835" s="7"/>
    </row>
    <row r="7836" spans="5:6" ht="15" customHeight="1" x14ac:dyDescent="0.2">
      <c r="E7836" s="7"/>
      <c r="F7836" s="7"/>
    </row>
    <row r="7837" spans="5:6" ht="15" customHeight="1" x14ac:dyDescent="0.2">
      <c r="E7837" s="7"/>
      <c r="F7837" s="7"/>
    </row>
    <row r="7838" spans="5:6" ht="15" customHeight="1" x14ac:dyDescent="0.2">
      <c r="E7838" s="7"/>
      <c r="F7838" s="7"/>
    </row>
    <row r="7839" spans="5:6" ht="15" customHeight="1" x14ac:dyDescent="0.2">
      <c r="E7839" s="7"/>
      <c r="F7839" s="7"/>
    </row>
    <row r="7840" spans="5:6" ht="15" customHeight="1" x14ac:dyDescent="0.2">
      <c r="E7840" s="7"/>
      <c r="F7840" s="7"/>
    </row>
    <row r="7841" spans="5:6" ht="15" customHeight="1" x14ac:dyDescent="0.2">
      <c r="E7841" s="7"/>
      <c r="F7841" s="7"/>
    </row>
    <row r="7842" spans="5:6" ht="15" customHeight="1" x14ac:dyDescent="0.2">
      <c r="E7842" s="7"/>
      <c r="F7842" s="7"/>
    </row>
    <row r="7843" spans="5:6" ht="15" customHeight="1" x14ac:dyDescent="0.2">
      <c r="E7843" s="7"/>
      <c r="F7843" s="7"/>
    </row>
    <row r="7844" spans="5:6" ht="15" customHeight="1" x14ac:dyDescent="0.2">
      <c r="E7844" s="7"/>
      <c r="F7844" s="7"/>
    </row>
    <row r="7845" spans="5:6" ht="15" customHeight="1" x14ac:dyDescent="0.2">
      <c r="E7845" s="7"/>
      <c r="F7845" s="7"/>
    </row>
    <row r="7846" spans="5:6" ht="15" customHeight="1" x14ac:dyDescent="0.2">
      <c r="E7846" s="7"/>
      <c r="F7846" s="7"/>
    </row>
    <row r="7847" spans="5:6" ht="15" customHeight="1" x14ac:dyDescent="0.2">
      <c r="E7847" s="7"/>
      <c r="F7847" s="7"/>
    </row>
    <row r="7848" spans="5:6" ht="15" customHeight="1" x14ac:dyDescent="0.2">
      <c r="E7848" s="7"/>
      <c r="F7848" s="7"/>
    </row>
    <row r="7849" spans="5:6" ht="15" customHeight="1" x14ac:dyDescent="0.2">
      <c r="E7849" s="7"/>
      <c r="F7849" s="7"/>
    </row>
    <row r="7850" spans="5:6" ht="15" customHeight="1" x14ac:dyDescent="0.2">
      <c r="E7850" s="7"/>
      <c r="F7850" s="7"/>
    </row>
    <row r="7851" spans="5:6" ht="15" customHeight="1" x14ac:dyDescent="0.2">
      <c r="E7851" s="7"/>
      <c r="F7851" s="7"/>
    </row>
    <row r="7852" spans="5:6" ht="15" customHeight="1" x14ac:dyDescent="0.2">
      <c r="E7852" s="7"/>
      <c r="F7852" s="7"/>
    </row>
    <row r="7853" spans="5:6" ht="15" customHeight="1" x14ac:dyDescent="0.2">
      <c r="E7853" s="7"/>
      <c r="F7853" s="7"/>
    </row>
    <row r="7854" spans="5:6" ht="15" customHeight="1" x14ac:dyDescent="0.2">
      <c r="E7854" s="7"/>
      <c r="F7854" s="7"/>
    </row>
    <row r="7855" spans="5:6" ht="15" customHeight="1" x14ac:dyDescent="0.2">
      <c r="E7855" s="7"/>
      <c r="F7855" s="7"/>
    </row>
    <row r="7856" spans="5:6" ht="15" customHeight="1" x14ac:dyDescent="0.2">
      <c r="E7856" s="7"/>
      <c r="F7856" s="7"/>
    </row>
    <row r="7857" spans="5:6" ht="15" customHeight="1" x14ac:dyDescent="0.2">
      <c r="E7857" s="7"/>
      <c r="F7857" s="7"/>
    </row>
    <row r="7858" spans="5:6" ht="15" customHeight="1" x14ac:dyDescent="0.2">
      <c r="E7858" s="7"/>
      <c r="F7858" s="7"/>
    </row>
    <row r="7859" spans="5:6" ht="15" customHeight="1" x14ac:dyDescent="0.2">
      <c r="E7859" s="7"/>
      <c r="F7859" s="7"/>
    </row>
    <row r="7860" spans="5:6" ht="15" customHeight="1" x14ac:dyDescent="0.2">
      <c r="E7860" s="7"/>
      <c r="F7860" s="7"/>
    </row>
    <row r="7861" spans="5:6" ht="15" customHeight="1" x14ac:dyDescent="0.2">
      <c r="E7861" s="7"/>
      <c r="F7861" s="7"/>
    </row>
    <row r="7862" spans="5:6" ht="15" customHeight="1" x14ac:dyDescent="0.2">
      <c r="E7862" s="7"/>
      <c r="F7862" s="7"/>
    </row>
    <row r="7863" spans="5:6" ht="15" customHeight="1" x14ac:dyDescent="0.2">
      <c r="E7863" s="7"/>
      <c r="F7863" s="7"/>
    </row>
    <row r="7864" spans="5:6" ht="15" customHeight="1" x14ac:dyDescent="0.2">
      <c r="E7864" s="7"/>
      <c r="F7864" s="7"/>
    </row>
    <row r="7865" spans="5:6" ht="15" customHeight="1" x14ac:dyDescent="0.2">
      <c r="E7865" s="7"/>
      <c r="F7865" s="7"/>
    </row>
    <row r="7866" spans="5:6" ht="15" customHeight="1" x14ac:dyDescent="0.2">
      <c r="E7866" s="7"/>
      <c r="F7866" s="7"/>
    </row>
    <row r="7867" spans="5:6" ht="15" customHeight="1" x14ac:dyDescent="0.2">
      <c r="E7867" s="7"/>
      <c r="F7867" s="7"/>
    </row>
    <row r="7868" spans="5:6" ht="15" customHeight="1" x14ac:dyDescent="0.2">
      <c r="E7868" s="7"/>
      <c r="F7868" s="7"/>
    </row>
    <row r="7869" spans="5:6" ht="15" customHeight="1" x14ac:dyDescent="0.2">
      <c r="E7869" s="7"/>
      <c r="F7869" s="7"/>
    </row>
    <row r="7870" spans="5:6" ht="15" customHeight="1" x14ac:dyDescent="0.2">
      <c r="E7870" s="7"/>
      <c r="F7870" s="7"/>
    </row>
    <row r="7871" spans="5:6" ht="15" customHeight="1" x14ac:dyDescent="0.2">
      <c r="E7871" s="7"/>
      <c r="F7871" s="7"/>
    </row>
    <row r="7872" spans="5:6" ht="15" customHeight="1" x14ac:dyDescent="0.2">
      <c r="E7872" s="7"/>
      <c r="F7872" s="7"/>
    </row>
    <row r="7873" spans="5:6" ht="15" customHeight="1" x14ac:dyDescent="0.2">
      <c r="E7873" s="7"/>
      <c r="F7873" s="7"/>
    </row>
    <row r="7874" spans="5:6" ht="15" customHeight="1" x14ac:dyDescent="0.2">
      <c r="E7874" s="7"/>
      <c r="F7874" s="7"/>
    </row>
    <row r="7875" spans="5:6" ht="15" customHeight="1" x14ac:dyDescent="0.2">
      <c r="E7875" s="7"/>
      <c r="F7875" s="7"/>
    </row>
    <row r="7876" spans="5:6" ht="15" customHeight="1" x14ac:dyDescent="0.2">
      <c r="E7876" s="7"/>
      <c r="F7876" s="7"/>
    </row>
    <row r="7877" spans="5:6" ht="15" customHeight="1" x14ac:dyDescent="0.2">
      <c r="E7877" s="7"/>
      <c r="F7877" s="7"/>
    </row>
    <row r="7878" spans="5:6" ht="15" customHeight="1" x14ac:dyDescent="0.2">
      <c r="E7878" s="7"/>
      <c r="F7878" s="7"/>
    </row>
    <row r="7879" spans="5:6" ht="15" customHeight="1" x14ac:dyDescent="0.2">
      <c r="E7879" s="7"/>
      <c r="F7879" s="7"/>
    </row>
    <row r="7880" spans="5:6" ht="15" customHeight="1" x14ac:dyDescent="0.2">
      <c r="E7880" s="7"/>
      <c r="F7880" s="7"/>
    </row>
    <row r="7881" spans="5:6" ht="15" customHeight="1" x14ac:dyDescent="0.2">
      <c r="E7881" s="7"/>
      <c r="F7881" s="7"/>
    </row>
    <row r="7882" spans="5:6" ht="15" customHeight="1" x14ac:dyDescent="0.2">
      <c r="E7882" s="7"/>
      <c r="F7882" s="7"/>
    </row>
    <row r="7883" spans="5:6" ht="15" customHeight="1" x14ac:dyDescent="0.2">
      <c r="E7883" s="7"/>
      <c r="F7883" s="7"/>
    </row>
    <row r="7884" spans="5:6" ht="15" customHeight="1" x14ac:dyDescent="0.2">
      <c r="E7884" s="7"/>
      <c r="F7884" s="7"/>
    </row>
    <row r="7885" spans="5:6" ht="15" customHeight="1" x14ac:dyDescent="0.2">
      <c r="E7885" s="7"/>
      <c r="F7885" s="7"/>
    </row>
    <row r="7886" spans="5:6" ht="15" customHeight="1" x14ac:dyDescent="0.2">
      <c r="E7886" s="7"/>
      <c r="F7886" s="7"/>
    </row>
    <row r="7887" spans="5:6" ht="15" customHeight="1" x14ac:dyDescent="0.2">
      <c r="E7887" s="7"/>
      <c r="F7887" s="7"/>
    </row>
    <row r="7888" spans="5:6" ht="15" customHeight="1" x14ac:dyDescent="0.2">
      <c r="E7888" s="7"/>
      <c r="F7888" s="7"/>
    </row>
    <row r="7889" spans="5:6" ht="15" customHeight="1" x14ac:dyDescent="0.2">
      <c r="E7889" s="7"/>
      <c r="F7889" s="7"/>
    </row>
    <row r="7890" spans="5:6" ht="15" customHeight="1" x14ac:dyDescent="0.2">
      <c r="E7890" s="7"/>
      <c r="F7890" s="7"/>
    </row>
    <row r="7891" spans="5:6" ht="15" customHeight="1" x14ac:dyDescent="0.2">
      <c r="E7891" s="7"/>
      <c r="F7891" s="7"/>
    </row>
    <row r="7892" spans="5:6" ht="15" customHeight="1" x14ac:dyDescent="0.2">
      <c r="E7892" s="7"/>
      <c r="F7892" s="7"/>
    </row>
    <row r="7893" spans="5:6" ht="15" customHeight="1" x14ac:dyDescent="0.2">
      <c r="E7893" s="7"/>
      <c r="F7893" s="7"/>
    </row>
    <row r="7894" spans="5:6" ht="15" customHeight="1" x14ac:dyDescent="0.2">
      <c r="E7894" s="7"/>
      <c r="F7894" s="7"/>
    </row>
    <row r="7895" spans="5:6" ht="15" customHeight="1" x14ac:dyDescent="0.2">
      <c r="E7895" s="7"/>
      <c r="F7895" s="7"/>
    </row>
    <row r="7896" spans="5:6" ht="15" customHeight="1" x14ac:dyDescent="0.2">
      <c r="E7896" s="7"/>
      <c r="F7896" s="7"/>
    </row>
    <row r="7897" spans="5:6" ht="15" customHeight="1" x14ac:dyDescent="0.2">
      <c r="E7897" s="7"/>
      <c r="F7897" s="7"/>
    </row>
    <row r="7898" spans="5:6" ht="15" customHeight="1" x14ac:dyDescent="0.2">
      <c r="E7898" s="7"/>
      <c r="F7898" s="7"/>
    </row>
    <row r="7899" spans="5:6" ht="15" customHeight="1" x14ac:dyDescent="0.2">
      <c r="E7899" s="7"/>
      <c r="F7899" s="7"/>
    </row>
    <row r="7900" spans="5:6" ht="15" customHeight="1" x14ac:dyDescent="0.2">
      <c r="E7900" s="7"/>
      <c r="F7900" s="7"/>
    </row>
    <row r="7901" spans="5:6" ht="15" customHeight="1" x14ac:dyDescent="0.2">
      <c r="E7901" s="7"/>
      <c r="F7901" s="7"/>
    </row>
    <row r="7902" spans="5:6" ht="15" customHeight="1" x14ac:dyDescent="0.2">
      <c r="E7902" s="7"/>
      <c r="F7902" s="7"/>
    </row>
    <row r="7903" spans="5:6" ht="15" customHeight="1" x14ac:dyDescent="0.2">
      <c r="E7903" s="7"/>
      <c r="F7903" s="7"/>
    </row>
    <row r="7904" spans="5:6" ht="15" customHeight="1" x14ac:dyDescent="0.2">
      <c r="E7904" s="7"/>
      <c r="F7904" s="7"/>
    </row>
    <row r="7905" spans="5:6" ht="15" customHeight="1" x14ac:dyDescent="0.2">
      <c r="E7905" s="7"/>
      <c r="F7905" s="7"/>
    </row>
    <row r="7906" spans="5:6" ht="15" customHeight="1" x14ac:dyDescent="0.2">
      <c r="E7906" s="7"/>
      <c r="F7906" s="7"/>
    </row>
    <row r="7907" spans="5:6" ht="15" customHeight="1" x14ac:dyDescent="0.2">
      <c r="E7907" s="7"/>
      <c r="F7907" s="7"/>
    </row>
    <row r="7908" spans="5:6" ht="15" customHeight="1" x14ac:dyDescent="0.2">
      <c r="E7908" s="7"/>
      <c r="F7908" s="7"/>
    </row>
    <row r="7909" spans="5:6" ht="15" customHeight="1" x14ac:dyDescent="0.2">
      <c r="E7909" s="7"/>
      <c r="F7909" s="7"/>
    </row>
    <row r="7910" spans="5:6" ht="15" customHeight="1" x14ac:dyDescent="0.2">
      <c r="E7910" s="7"/>
      <c r="F7910" s="7"/>
    </row>
    <row r="7911" spans="5:6" ht="15" customHeight="1" x14ac:dyDescent="0.2">
      <c r="E7911" s="7"/>
      <c r="F7911" s="7"/>
    </row>
    <row r="7912" spans="5:6" ht="15" customHeight="1" x14ac:dyDescent="0.2">
      <c r="E7912" s="7"/>
      <c r="F7912" s="7"/>
    </row>
    <row r="7913" spans="5:6" ht="15" customHeight="1" x14ac:dyDescent="0.2">
      <c r="E7913" s="7"/>
      <c r="F7913" s="7"/>
    </row>
    <row r="7914" spans="5:6" ht="15" customHeight="1" x14ac:dyDescent="0.2">
      <c r="E7914" s="7"/>
      <c r="F7914" s="7"/>
    </row>
    <row r="7915" spans="5:6" ht="15" customHeight="1" x14ac:dyDescent="0.2">
      <c r="E7915" s="7"/>
      <c r="F7915" s="7"/>
    </row>
    <row r="7916" spans="5:6" ht="15" customHeight="1" x14ac:dyDescent="0.2">
      <c r="E7916" s="7"/>
      <c r="F7916" s="7"/>
    </row>
    <row r="7917" spans="5:6" ht="15" customHeight="1" x14ac:dyDescent="0.2">
      <c r="E7917" s="7"/>
      <c r="F7917" s="7"/>
    </row>
    <row r="7918" spans="5:6" ht="15" customHeight="1" x14ac:dyDescent="0.2">
      <c r="E7918" s="7"/>
      <c r="F7918" s="7"/>
    </row>
    <row r="7919" spans="5:6" ht="15" customHeight="1" x14ac:dyDescent="0.2">
      <c r="E7919" s="7"/>
      <c r="F7919" s="7"/>
    </row>
    <row r="7920" spans="5:6" ht="15" customHeight="1" x14ac:dyDescent="0.2">
      <c r="E7920" s="7"/>
      <c r="F7920" s="7"/>
    </row>
    <row r="7921" spans="5:6" ht="15" customHeight="1" x14ac:dyDescent="0.2">
      <c r="E7921" s="7"/>
      <c r="F7921" s="7"/>
    </row>
    <row r="7922" spans="5:6" ht="15" customHeight="1" x14ac:dyDescent="0.2">
      <c r="E7922" s="7"/>
      <c r="F7922" s="7"/>
    </row>
    <row r="7923" spans="5:6" ht="15" customHeight="1" x14ac:dyDescent="0.2">
      <c r="E7923" s="7"/>
      <c r="F7923" s="7"/>
    </row>
    <row r="7924" spans="5:6" ht="15" customHeight="1" x14ac:dyDescent="0.2">
      <c r="E7924" s="7"/>
      <c r="F7924" s="7"/>
    </row>
    <row r="7925" spans="5:6" ht="15" customHeight="1" x14ac:dyDescent="0.2">
      <c r="E7925" s="7"/>
      <c r="F7925" s="7"/>
    </row>
    <row r="7926" spans="5:6" ht="15" customHeight="1" x14ac:dyDescent="0.2">
      <c r="E7926" s="7"/>
      <c r="F7926" s="7"/>
    </row>
    <row r="7927" spans="5:6" ht="15" customHeight="1" x14ac:dyDescent="0.2">
      <c r="E7927" s="7"/>
      <c r="F7927" s="7"/>
    </row>
    <row r="7928" spans="5:6" ht="15" customHeight="1" x14ac:dyDescent="0.2">
      <c r="E7928" s="7"/>
      <c r="F7928" s="7"/>
    </row>
    <row r="7929" spans="5:6" ht="15" customHeight="1" x14ac:dyDescent="0.2">
      <c r="E7929" s="7"/>
      <c r="F7929" s="7"/>
    </row>
    <row r="7930" spans="5:6" ht="15" customHeight="1" x14ac:dyDescent="0.2">
      <c r="E7930" s="7"/>
      <c r="F7930" s="7"/>
    </row>
    <row r="7931" spans="5:6" ht="15" customHeight="1" x14ac:dyDescent="0.2">
      <c r="E7931" s="7"/>
      <c r="F7931" s="7"/>
    </row>
    <row r="7932" spans="5:6" ht="15" customHeight="1" x14ac:dyDescent="0.2">
      <c r="E7932" s="7"/>
      <c r="F7932" s="7"/>
    </row>
    <row r="7933" spans="5:6" ht="15" customHeight="1" x14ac:dyDescent="0.2">
      <c r="E7933" s="7"/>
      <c r="F7933" s="7"/>
    </row>
    <row r="7934" spans="5:6" ht="15" customHeight="1" x14ac:dyDescent="0.2">
      <c r="E7934" s="7"/>
      <c r="F7934" s="7"/>
    </row>
    <row r="7935" spans="5:6" ht="15" customHeight="1" x14ac:dyDescent="0.2">
      <c r="E7935" s="7"/>
      <c r="F7935" s="7"/>
    </row>
    <row r="7936" spans="5:6" ht="15" customHeight="1" x14ac:dyDescent="0.2">
      <c r="E7936" s="7"/>
      <c r="F7936" s="7"/>
    </row>
    <row r="7937" spans="5:6" ht="15" customHeight="1" x14ac:dyDescent="0.2">
      <c r="E7937" s="7"/>
      <c r="F7937" s="7"/>
    </row>
    <row r="7938" spans="5:6" ht="15" customHeight="1" x14ac:dyDescent="0.2">
      <c r="E7938" s="7"/>
      <c r="F7938" s="7"/>
    </row>
    <row r="7939" spans="5:6" ht="15" customHeight="1" x14ac:dyDescent="0.2">
      <c r="E7939" s="7"/>
      <c r="F7939" s="7"/>
    </row>
    <row r="7940" spans="5:6" ht="15" customHeight="1" x14ac:dyDescent="0.2">
      <c r="E7940" s="7"/>
      <c r="F7940" s="7"/>
    </row>
    <row r="7941" spans="5:6" ht="15" customHeight="1" x14ac:dyDescent="0.2">
      <c r="E7941" s="7"/>
      <c r="F7941" s="7"/>
    </row>
    <row r="7942" spans="5:6" ht="15" customHeight="1" x14ac:dyDescent="0.2">
      <c r="E7942" s="7"/>
      <c r="F7942" s="7"/>
    </row>
    <row r="7943" spans="5:6" ht="15" customHeight="1" x14ac:dyDescent="0.2">
      <c r="E7943" s="7"/>
      <c r="F7943" s="7"/>
    </row>
    <row r="7944" spans="5:6" ht="15" customHeight="1" x14ac:dyDescent="0.2">
      <c r="E7944" s="7"/>
      <c r="F7944" s="7"/>
    </row>
    <row r="7945" spans="5:6" ht="15" customHeight="1" x14ac:dyDescent="0.2">
      <c r="E7945" s="7"/>
      <c r="F7945" s="7"/>
    </row>
    <row r="7946" spans="5:6" ht="15" customHeight="1" x14ac:dyDescent="0.2">
      <c r="E7946" s="7"/>
      <c r="F7946" s="7"/>
    </row>
    <row r="7947" spans="5:6" ht="15" customHeight="1" x14ac:dyDescent="0.2">
      <c r="E7947" s="7"/>
      <c r="F7947" s="7"/>
    </row>
    <row r="7948" spans="5:6" ht="15" customHeight="1" x14ac:dyDescent="0.2">
      <c r="E7948" s="7"/>
      <c r="F7948" s="7"/>
    </row>
    <row r="7949" spans="5:6" ht="15" customHeight="1" x14ac:dyDescent="0.2">
      <c r="E7949" s="7"/>
      <c r="F7949" s="7"/>
    </row>
    <row r="7950" spans="5:6" ht="15" customHeight="1" x14ac:dyDescent="0.2">
      <c r="E7950" s="7"/>
      <c r="F7950" s="7"/>
    </row>
    <row r="7951" spans="5:6" ht="15" customHeight="1" x14ac:dyDescent="0.2">
      <c r="E7951" s="7"/>
      <c r="F7951" s="7"/>
    </row>
    <row r="7952" spans="5:6" ht="15" customHeight="1" x14ac:dyDescent="0.2">
      <c r="E7952" s="7"/>
      <c r="F7952" s="7"/>
    </row>
    <row r="7953" spans="5:6" ht="15" customHeight="1" x14ac:dyDescent="0.2">
      <c r="E7953" s="7"/>
      <c r="F7953" s="7"/>
    </row>
    <row r="7954" spans="5:6" ht="15" customHeight="1" x14ac:dyDescent="0.2">
      <c r="E7954" s="7"/>
      <c r="F7954" s="7"/>
    </row>
    <row r="7955" spans="5:6" ht="15" customHeight="1" x14ac:dyDescent="0.2">
      <c r="E7955" s="7"/>
      <c r="F7955" s="7"/>
    </row>
    <row r="7956" spans="5:6" ht="15" customHeight="1" x14ac:dyDescent="0.2">
      <c r="E7956" s="7"/>
      <c r="F7956" s="7"/>
    </row>
    <row r="7957" spans="5:6" ht="15" customHeight="1" x14ac:dyDescent="0.2">
      <c r="E7957" s="7"/>
      <c r="F7957" s="7"/>
    </row>
    <row r="7958" spans="5:6" ht="15" customHeight="1" x14ac:dyDescent="0.2">
      <c r="E7958" s="7"/>
      <c r="F7958" s="7"/>
    </row>
    <row r="7959" spans="5:6" ht="15" customHeight="1" x14ac:dyDescent="0.2">
      <c r="E7959" s="7"/>
      <c r="F7959" s="7"/>
    </row>
    <row r="7960" spans="5:6" ht="15" customHeight="1" x14ac:dyDescent="0.2">
      <c r="E7960" s="7"/>
      <c r="F7960" s="7"/>
    </row>
    <row r="7961" spans="5:6" ht="15" customHeight="1" x14ac:dyDescent="0.2">
      <c r="E7961" s="7"/>
      <c r="F7961" s="7"/>
    </row>
    <row r="7962" spans="5:6" ht="15" customHeight="1" x14ac:dyDescent="0.2">
      <c r="E7962" s="7"/>
      <c r="F7962" s="7"/>
    </row>
    <row r="7963" spans="5:6" ht="15" customHeight="1" x14ac:dyDescent="0.2">
      <c r="E7963" s="7"/>
      <c r="F7963" s="7"/>
    </row>
    <row r="7964" spans="5:6" ht="15" customHeight="1" x14ac:dyDescent="0.2">
      <c r="E7964" s="7"/>
      <c r="F7964" s="7"/>
    </row>
    <row r="7965" spans="5:6" ht="15" customHeight="1" x14ac:dyDescent="0.2">
      <c r="E7965" s="7"/>
      <c r="F7965" s="7"/>
    </row>
    <row r="7966" spans="5:6" ht="15" customHeight="1" x14ac:dyDescent="0.2">
      <c r="E7966" s="7"/>
      <c r="F7966" s="7"/>
    </row>
    <row r="7967" spans="5:6" ht="15" customHeight="1" x14ac:dyDescent="0.2">
      <c r="E7967" s="7"/>
      <c r="F7967" s="7"/>
    </row>
    <row r="7968" spans="5:6" ht="15" customHeight="1" x14ac:dyDescent="0.2">
      <c r="E7968" s="7"/>
      <c r="F7968" s="7"/>
    </row>
    <row r="7969" spans="5:6" ht="15" customHeight="1" x14ac:dyDescent="0.2">
      <c r="E7969" s="7"/>
      <c r="F7969" s="7"/>
    </row>
    <row r="7970" spans="5:6" ht="15" customHeight="1" x14ac:dyDescent="0.2">
      <c r="E7970" s="7"/>
      <c r="F7970" s="7"/>
    </row>
    <row r="7971" spans="5:6" ht="15" customHeight="1" x14ac:dyDescent="0.2">
      <c r="E7971" s="7"/>
      <c r="F7971" s="7"/>
    </row>
    <row r="7972" spans="5:6" ht="15" customHeight="1" x14ac:dyDescent="0.2">
      <c r="E7972" s="7"/>
      <c r="F7972" s="7"/>
    </row>
    <row r="7973" spans="5:6" ht="15" customHeight="1" x14ac:dyDescent="0.2">
      <c r="E7973" s="7"/>
      <c r="F7973" s="7"/>
    </row>
    <row r="7974" spans="5:6" ht="15" customHeight="1" x14ac:dyDescent="0.2">
      <c r="E7974" s="7"/>
      <c r="F7974" s="7"/>
    </row>
    <row r="7975" spans="5:6" ht="15" customHeight="1" x14ac:dyDescent="0.2">
      <c r="E7975" s="7"/>
      <c r="F7975" s="7"/>
    </row>
    <row r="7976" spans="5:6" ht="15" customHeight="1" x14ac:dyDescent="0.2">
      <c r="E7976" s="7"/>
      <c r="F7976" s="7"/>
    </row>
    <row r="7977" spans="5:6" ht="15" customHeight="1" x14ac:dyDescent="0.2">
      <c r="E7977" s="7"/>
      <c r="F7977" s="7"/>
    </row>
    <row r="7978" spans="5:6" ht="15" customHeight="1" x14ac:dyDescent="0.2">
      <c r="E7978" s="7"/>
      <c r="F7978" s="7"/>
    </row>
    <row r="7979" spans="5:6" ht="15" customHeight="1" x14ac:dyDescent="0.2">
      <c r="E7979" s="7"/>
      <c r="F7979" s="7"/>
    </row>
    <row r="7980" spans="5:6" ht="15" customHeight="1" x14ac:dyDescent="0.2">
      <c r="E7980" s="7"/>
      <c r="F7980" s="7"/>
    </row>
    <row r="7981" spans="5:6" ht="15" customHeight="1" x14ac:dyDescent="0.2">
      <c r="E7981" s="7"/>
      <c r="F7981" s="7"/>
    </row>
    <row r="7982" spans="5:6" ht="15" customHeight="1" x14ac:dyDescent="0.2">
      <c r="E7982" s="7"/>
      <c r="F7982" s="7"/>
    </row>
    <row r="7983" spans="5:6" ht="15" customHeight="1" x14ac:dyDescent="0.2">
      <c r="E7983" s="7"/>
      <c r="F7983" s="7"/>
    </row>
    <row r="7984" spans="5:6" ht="15" customHeight="1" x14ac:dyDescent="0.2">
      <c r="E7984" s="7"/>
      <c r="F7984" s="7"/>
    </row>
    <row r="7985" spans="5:6" ht="15" customHeight="1" x14ac:dyDescent="0.2">
      <c r="E7985" s="7"/>
      <c r="F7985" s="7"/>
    </row>
    <row r="7986" spans="5:6" ht="15" customHeight="1" x14ac:dyDescent="0.2">
      <c r="E7986" s="7"/>
      <c r="F7986" s="7"/>
    </row>
    <row r="7987" spans="5:6" ht="15" customHeight="1" x14ac:dyDescent="0.2">
      <c r="E7987" s="7"/>
      <c r="F7987" s="7"/>
    </row>
    <row r="7988" spans="5:6" ht="15" customHeight="1" x14ac:dyDescent="0.2">
      <c r="E7988" s="7"/>
      <c r="F7988" s="7"/>
    </row>
    <row r="7989" spans="5:6" ht="15" customHeight="1" x14ac:dyDescent="0.2">
      <c r="E7989" s="7"/>
      <c r="F7989" s="7"/>
    </row>
    <row r="7990" spans="5:6" ht="15" customHeight="1" x14ac:dyDescent="0.2">
      <c r="E7990" s="7"/>
      <c r="F7990" s="7"/>
    </row>
    <row r="7991" spans="5:6" ht="15" customHeight="1" x14ac:dyDescent="0.2">
      <c r="E7991" s="7"/>
      <c r="F7991" s="7"/>
    </row>
    <row r="7992" spans="5:6" ht="15" customHeight="1" x14ac:dyDescent="0.2">
      <c r="E7992" s="7"/>
      <c r="F7992" s="7"/>
    </row>
    <row r="7993" spans="5:6" ht="15" customHeight="1" x14ac:dyDescent="0.2">
      <c r="E7993" s="7"/>
      <c r="F7993" s="7"/>
    </row>
    <row r="7994" spans="5:6" ht="15" customHeight="1" x14ac:dyDescent="0.2">
      <c r="E7994" s="7"/>
      <c r="F7994" s="7"/>
    </row>
    <row r="7995" spans="5:6" ht="15" customHeight="1" x14ac:dyDescent="0.2">
      <c r="E7995" s="7"/>
      <c r="F7995" s="7"/>
    </row>
    <row r="7996" spans="5:6" ht="15" customHeight="1" x14ac:dyDescent="0.2">
      <c r="E7996" s="7"/>
      <c r="F7996" s="7"/>
    </row>
    <row r="7997" spans="5:6" ht="15" customHeight="1" x14ac:dyDescent="0.2">
      <c r="E7997" s="7"/>
      <c r="F7997" s="7"/>
    </row>
    <row r="7998" spans="5:6" ht="15" customHeight="1" x14ac:dyDescent="0.2">
      <c r="E7998" s="7"/>
      <c r="F7998" s="7"/>
    </row>
    <row r="7999" spans="5:6" ht="15" customHeight="1" x14ac:dyDescent="0.2">
      <c r="E7999" s="7"/>
      <c r="F7999" s="7"/>
    </row>
    <row r="8000" spans="5:6" ht="15" customHeight="1" x14ac:dyDescent="0.2">
      <c r="E8000" s="7"/>
      <c r="F8000" s="7"/>
    </row>
    <row r="8001" spans="5:6" ht="15" customHeight="1" x14ac:dyDescent="0.2">
      <c r="E8001" s="7"/>
      <c r="F8001" s="7"/>
    </row>
    <row r="8002" spans="5:6" ht="15" customHeight="1" x14ac:dyDescent="0.2">
      <c r="E8002" s="7"/>
      <c r="F8002" s="7"/>
    </row>
    <row r="8003" spans="5:6" ht="15" customHeight="1" x14ac:dyDescent="0.2">
      <c r="E8003" s="7"/>
      <c r="F8003" s="7"/>
    </row>
    <row r="8004" spans="5:6" ht="15" customHeight="1" x14ac:dyDescent="0.2">
      <c r="E8004" s="7"/>
      <c r="F8004" s="7"/>
    </row>
    <row r="8005" spans="5:6" ht="15" customHeight="1" x14ac:dyDescent="0.2">
      <c r="E8005" s="7"/>
      <c r="F8005" s="7"/>
    </row>
    <row r="8006" spans="5:6" ht="15" customHeight="1" x14ac:dyDescent="0.2">
      <c r="E8006" s="7"/>
      <c r="F8006" s="7"/>
    </row>
    <row r="8007" spans="5:6" ht="15" customHeight="1" x14ac:dyDescent="0.2">
      <c r="E8007" s="7"/>
      <c r="F8007" s="7"/>
    </row>
    <row r="8008" spans="5:6" ht="15" customHeight="1" x14ac:dyDescent="0.2">
      <c r="E8008" s="7"/>
      <c r="F8008" s="7"/>
    </row>
    <row r="8009" spans="5:6" ht="15" customHeight="1" x14ac:dyDescent="0.2">
      <c r="E8009" s="7"/>
      <c r="F8009" s="7"/>
    </row>
    <row r="8010" spans="5:6" ht="15" customHeight="1" x14ac:dyDescent="0.2">
      <c r="E8010" s="7"/>
      <c r="F8010" s="7"/>
    </row>
    <row r="8011" spans="5:6" ht="15" customHeight="1" x14ac:dyDescent="0.2">
      <c r="E8011" s="7"/>
      <c r="F8011" s="7"/>
    </row>
    <row r="8012" spans="5:6" ht="15" customHeight="1" x14ac:dyDescent="0.2">
      <c r="E8012" s="7"/>
      <c r="F8012" s="7"/>
    </row>
    <row r="8013" spans="5:6" ht="15" customHeight="1" x14ac:dyDescent="0.2">
      <c r="E8013" s="7"/>
      <c r="F8013" s="7"/>
    </row>
    <row r="8014" spans="5:6" ht="15" customHeight="1" x14ac:dyDescent="0.2">
      <c r="E8014" s="7"/>
      <c r="F8014" s="7"/>
    </row>
    <row r="8015" spans="5:6" ht="15" customHeight="1" x14ac:dyDescent="0.2">
      <c r="E8015" s="7"/>
      <c r="F8015" s="7"/>
    </row>
    <row r="8016" spans="5:6" ht="15" customHeight="1" x14ac:dyDescent="0.2">
      <c r="E8016" s="7"/>
      <c r="F8016" s="7"/>
    </row>
    <row r="8017" spans="5:6" ht="15" customHeight="1" x14ac:dyDescent="0.2">
      <c r="E8017" s="7"/>
      <c r="F8017" s="7"/>
    </row>
    <row r="8018" spans="5:6" ht="15" customHeight="1" x14ac:dyDescent="0.2">
      <c r="E8018" s="7"/>
      <c r="F8018" s="7"/>
    </row>
    <row r="8019" spans="5:6" ht="15" customHeight="1" x14ac:dyDescent="0.2">
      <c r="E8019" s="7"/>
      <c r="F8019" s="7"/>
    </row>
    <row r="8020" spans="5:6" ht="15" customHeight="1" x14ac:dyDescent="0.2">
      <c r="E8020" s="7"/>
      <c r="F8020" s="7"/>
    </row>
    <row r="8021" spans="5:6" ht="15" customHeight="1" x14ac:dyDescent="0.2">
      <c r="E8021" s="7"/>
      <c r="F8021" s="7"/>
    </row>
    <row r="8022" spans="5:6" ht="15" customHeight="1" x14ac:dyDescent="0.2">
      <c r="E8022" s="7"/>
      <c r="F8022" s="7"/>
    </row>
    <row r="8023" spans="5:6" ht="15" customHeight="1" x14ac:dyDescent="0.2">
      <c r="E8023" s="7"/>
      <c r="F8023" s="7"/>
    </row>
    <row r="8024" spans="5:6" ht="15" customHeight="1" x14ac:dyDescent="0.2">
      <c r="E8024" s="7"/>
      <c r="F8024" s="7"/>
    </row>
    <row r="8025" spans="5:6" ht="15" customHeight="1" x14ac:dyDescent="0.2">
      <c r="E8025" s="7"/>
      <c r="F8025" s="7"/>
    </row>
    <row r="8026" spans="5:6" ht="15" customHeight="1" x14ac:dyDescent="0.2">
      <c r="E8026" s="7"/>
      <c r="F8026" s="7"/>
    </row>
    <row r="8027" spans="5:6" ht="15" customHeight="1" x14ac:dyDescent="0.2">
      <c r="E8027" s="7"/>
      <c r="F8027" s="7"/>
    </row>
    <row r="8028" spans="5:6" ht="15" customHeight="1" x14ac:dyDescent="0.2">
      <c r="E8028" s="7"/>
      <c r="F8028" s="7"/>
    </row>
    <row r="8029" spans="5:6" ht="15" customHeight="1" x14ac:dyDescent="0.2">
      <c r="E8029" s="7"/>
      <c r="F8029" s="7"/>
    </row>
    <row r="8030" spans="5:6" ht="15" customHeight="1" x14ac:dyDescent="0.2">
      <c r="E8030" s="7"/>
      <c r="F8030" s="7"/>
    </row>
    <row r="8031" spans="5:6" ht="15" customHeight="1" x14ac:dyDescent="0.2">
      <c r="E8031" s="7"/>
      <c r="F8031" s="7"/>
    </row>
    <row r="8032" spans="5:6" ht="15" customHeight="1" x14ac:dyDescent="0.2">
      <c r="E8032" s="7"/>
      <c r="F8032" s="7"/>
    </row>
    <row r="8033" spans="5:6" ht="15" customHeight="1" x14ac:dyDescent="0.2">
      <c r="E8033" s="7"/>
      <c r="F8033" s="7"/>
    </row>
    <row r="8034" spans="5:6" ht="15" customHeight="1" x14ac:dyDescent="0.2">
      <c r="E8034" s="7"/>
      <c r="F8034" s="7"/>
    </row>
    <row r="8035" spans="5:6" ht="15" customHeight="1" x14ac:dyDescent="0.2">
      <c r="E8035" s="7"/>
      <c r="F8035" s="7"/>
    </row>
    <row r="8036" spans="5:6" ht="15" customHeight="1" x14ac:dyDescent="0.2">
      <c r="E8036" s="7"/>
      <c r="F8036" s="7"/>
    </row>
    <row r="8037" spans="5:6" ht="15" customHeight="1" x14ac:dyDescent="0.2">
      <c r="E8037" s="7"/>
      <c r="F8037" s="7"/>
    </row>
    <row r="8038" spans="5:6" ht="15" customHeight="1" x14ac:dyDescent="0.2">
      <c r="E8038" s="7"/>
      <c r="F8038" s="7"/>
    </row>
    <row r="8039" spans="5:6" ht="15" customHeight="1" x14ac:dyDescent="0.2">
      <c r="E8039" s="7"/>
      <c r="F8039" s="7"/>
    </row>
    <row r="8040" spans="5:6" ht="15" customHeight="1" x14ac:dyDescent="0.2">
      <c r="E8040" s="7"/>
      <c r="F8040" s="7"/>
    </row>
    <row r="8041" spans="5:6" ht="15" customHeight="1" x14ac:dyDescent="0.2">
      <c r="E8041" s="7"/>
      <c r="F8041" s="7"/>
    </row>
    <row r="8042" spans="5:6" ht="15" customHeight="1" x14ac:dyDescent="0.2">
      <c r="E8042" s="7"/>
      <c r="F8042" s="7"/>
    </row>
    <row r="8043" spans="5:6" ht="15" customHeight="1" x14ac:dyDescent="0.2">
      <c r="E8043" s="7"/>
      <c r="F8043" s="7"/>
    </row>
    <row r="8044" spans="5:6" ht="15" customHeight="1" x14ac:dyDescent="0.2">
      <c r="E8044" s="7"/>
      <c r="F8044" s="7"/>
    </row>
    <row r="8045" spans="5:6" ht="15" customHeight="1" x14ac:dyDescent="0.2">
      <c r="E8045" s="7"/>
      <c r="F8045" s="7"/>
    </row>
    <row r="8046" spans="5:6" ht="15" customHeight="1" x14ac:dyDescent="0.2">
      <c r="E8046" s="7"/>
      <c r="F8046" s="7"/>
    </row>
    <row r="8047" spans="5:6" ht="15" customHeight="1" x14ac:dyDescent="0.2">
      <c r="E8047" s="7"/>
      <c r="F8047" s="7"/>
    </row>
    <row r="8048" spans="5:6" ht="15" customHeight="1" x14ac:dyDescent="0.2">
      <c r="E8048" s="7"/>
      <c r="F8048" s="7"/>
    </row>
    <row r="8049" spans="5:6" ht="15" customHeight="1" x14ac:dyDescent="0.2">
      <c r="E8049" s="7"/>
      <c r="F8049" s="7"/>
    </row>
    <row r="8050" spans="5:6" ht="15" customHeight="1" x14ac:dyDescent="0.2">
      <c r="E8050" s="7"/>
      <c r="F8050" s="7"/>
    </row>
    <row r="8051" spans="5:6" ht="15" customHeight="1" x14ac:dyDescent="0.2">
      <c r="E8051" s="7"/>
      <c r="F8051" s="7"/>
    </row>
    <row r="8052" spans="5:6" ht="15" customHeight="1" x14ac:dyDescent="0.2">
      <c r="E8052" s="7"/>
      <c r="F8052" s="7"/>
    </row>
    <row r="8053" spans="5:6" ht="15" customHeight="1" x14ac:dyDescent="0.2">
      <c r="E8053" s="7"/>
      <c r="F8053" s="7"/>
    </row>
    <row r="8054" spans="5:6" ht="15" customHeight="1" x14ac:dyDescent="0.2">
      <c r="E8054" s="7"/>
      <c r="F8054" s="7"/>
    </row>
    <row r="8055" spans="5:6" ht="15" customHeight="1" x14ac:dyDescent="0.2">
      <c r="E8055" s="7"/>
      <c r="F8055" s="7"/>
    </row>
    <row r="8056" spans="5:6" ht="15" customHeight="1" x14ac:dyDescent="0.2">
      <c r="E8056" s="7"/>
      <c r="F8056" s="7"/>
    </row>
    <row r="8057" spans="5:6" ht="15" customHeight="1" x14ac:dyDescent="0.2">
      <c r="E8057" s="7"/>
      <c r="F8057" s="7"/>
    </row>
    <row r="8058" spans="5:6" ht="15" customHeight="1" x14ac:dyDescent="0.2">
      <c r="E8058" s="7"/>
      <c r="F8058" s="7"/>
    </row>
    <row r="8059" spans="5:6" ht="15" customHeight="1" x14ac:dyDescent="0.2">
      <c r="E8059" s="7"/>
      <c r="F8059" s="7"/>
    </row>
    <row r="8060" spans="5:6" ht="15" customHeight="1" x14ac:dyDescent="0.2">
      <c r="E8060" s="7"/>
      <c r="F8060" s="7"/>
    </row>
    <row r="8061" spans="5:6" ht="15" customHeight="1" x14ac:dyDescent="0.2">
      <c r="E8061" s="7"/>
      <c r="F8061" s="7"/>
    </row>
    <row r="8062" spans="5:6" ht="15" customHeight="1" x14ac:dyDescent="0.2">
      <c r="E8062" s="7"/>
      <c r="F8062" s="7"/>
    </row>
    <row r="8063" spans="5:6" ht="15" customHeight="1" x14ac:dyDescent="0.2">
      <c r="E8063" s="7"/>
      <c r="F8063" s="7"/>
    </row>
    <row r="8064" spans="5:6" ht="15" customHeight="1" x14ac:dyDescent="0.2">
      <c r="E8064" s="7"/>
      <c r="F8064" s="7"/>
    </row>
    <row r="8065" spans="5:6" ht="15" customHeight="1" x14ac:dyDescent="0.2">
      <c r="E8065" s="7"/>
      <c r="F8065" s="7"/>
    </row>
    <row r="8066" spans="5:6" ht="15" customHeight="1" x14ac:dyDescent="0.2">
      <c r="E8066" s="7"/>
      <c r="F8066" s="7"/>
    </row>
    <row r="8067" spans="5:6" ht="15" customHeight="1" x14ac:dyDescent="0.2">
      <c r="E8067" s="7"/>
      <c r="F8067" s="7"/>
    </row>
    <row r="8068" spans="5:6" ht="15" customHeight="1" x14ac:dyDescent="0.2">
      <c r="E8068" s="7"/>
      <c r="F8068" s="7"/>
    </row>
    <row r="8069" spans="5:6" ht="15" customHeight="1" x14ac:dyDescent="0.2">
      <c r="E8069" s="7"/>
      <c r="F8069" s="7"/>
    </row>
    <row r="8070" spans="5:6" ht="15" customHeight="1" x14ac:dyDescent="0.2">
      <c r="E8070" s="7"/>
      <c r="F8070" s="7"/>
    </row>
    <row r="8071" spans="5:6" ht="15" customHeight="1" x14ac:dyDescent="0.2">
      <c r="E8071" s="7"/>
      <c r="F8071" s="7"/>
    </row>
    <row r="8072" spans="5:6" ht="15" customHeight="1" x14ac:dyDescent="0.2">
      <c r="E8072" s="7"/>
      <c r="F8072" s="7"/>
    </row>
    <row r="8073" spans="5:6" ht="15" customHeight="1" x14ac:dyDescent="0.2">
      <c r="E8073" s="7"/>
      <c r="F8073" s="7"/>
    </row>
    <row r="8074" spans="5:6" ht="15" customHeight="1" x14ac:dyDescent="0.2">
      <c r="E8074" s="7"/>
      <c r="F8074" s="7"/>
    </row>
    <row r="8075" spans="5:6" ht="15" customHeight="1" x14ac:dyDescent="0.2">
      <c r="E8075" s="7"/>
      <c r="F8075" s="7"/>
    </row>
    <row r="8076" spans="5:6" ht="15" customHeight="1" x14ac:dyDescent="0.2">
      <c r="E8076" s="7"/>
      <c r="F8076" s="7"/>
    </row>
    <row r="8077" spans="5:6" ht="15" customHeight="1" x14ac:dyDescent="0.2">
      <c r="E8077" s="7"/>
      <c r="F8077" s="7"/>
    </row>
    <row r="8078" spans="5:6" ht="15" customHeight="1" x14ac:dyDescent="0.2">
      <c r="E8078" s="7"/>
      <c r="F8078" s="7"/>
    </row>
    <row r="8079" spans="5:6" ht="15" customHeight="1" x14ac:dyDescent="0.2">
      <c r="E8079" s="7"/>
      <c r="F8079" s="7"/>
    </row>
    <row r="8080" spans="5:6" ht="15" customHeight="1" x14ac:dyDescent="0.2">
      <c r="E8080" s="7"/>
      <c r="F8080" s="7"/>
    </row>
    <row r="8081" spans="5:6" ht="15" customHeight="1" x14ac:dyDescent="0.2">
      <c r="E8081" s="7"/>
      <c r="F8081" s="7"/>
    </row>
    <row r="8082" spans="5:6" ht="15" customHeight="1" x14ac:dyDescent="0.2">
      <c r="E8082" s="7"/>
      <c r="F8082" s="7"/>
    </row>
    <row r="8083" spans="5:6" ht="15" customHeight="1" x14ac:dyDescent="0.2">
      <c r="E8083" s="7"/>
      <c r="F8083" s="7"/>
    </row>
    <row r="8084" spans="5:6" ht="15" customHeight="1" x14ac:dyDescent="0.2">
      <c r="E8084" s="7"/>
      <c r="F8084" s="7"/>
    </row>
    <row r="8085" spans="5:6" ht="15" customHeight="1" x14ac:dyDescent="0.2">
      <c r="E8085" s="7"/>
      <c r="F8085" s="7"/>
    </row>
    <row r="8086" spans="5:6" ht="15" customHeight="1" x14ac:dyDescent="0.2">
      <c r="E8086" s="7"/>
      <c r="F8086" s="7"/>
    </row>
    <row r="8087" spans="5:6" ht="15" customHeight="1" x14ac:dyDescent="0.2">
      <c r="E8087" s="7"/>
      <c r="F8087" s="7"/>
    </row>
    <row r="8088" spans="5:6" ht="15" customHeight="1" x14ac:dyDescent="0.2">
      <c r="E8088" s="7"/>
      <c r="F8088" s="7"/>
    </row>
    <row r="8089" spans="5:6" ht="15" customHeight="1" x14ac:dyDescent="0.2">
      <c r="E8089" s="7"/>
      <c r="F8089" s="7"/>
    </row>
    <row r="8090" spans="5:6" ht="15" customHeight="1" x14ac:dyDescent="0.2">
      <c r="E8090" s="7"/>
      <c r="F8090" s="7"/>
    </row>
    <row r="8091" spans="5:6" ht="15" customHeight="1" x14ac:dyDescent="0.2">
      <c r="E8091" s="7"/>
      <c r="F8091" s="7"/>
    </row>
    <row r="8092" spans="5:6" ht="15" customHeight="1" x14ac:dyDescent="0.2">
      <c r="E8092" s="7"/>
      <c r="F8092" s="7"/>
    </row>
    <row r="8093" spans="5:6" ht="15" customHeight="1" x14ac:dyDescent="0.2">
      <c r="E8093" s="7"/>
      <c r="F8093" s="7"/>
    </row>
    <row r="8094" spans="5:6" ht="15" customHeight="1" x14ac:dyDescent="0.2">
      <c r="E8094" s="7"/>
      <c r="F8094" s="7"/>
    </row>
    <row r="8095" spans="5:6" ht="15" customHeight="1" x14ac:dyDescent="0.2">
      <c r="E8095" s="7"/>
      <c r="F8095" s="7"/>
    </row>
    <row r="8096" spans="5:6" ht="15" customHeight="1" x14ac:dyDescent="0.2">
      <c r="E8096" s="7"/>
      <c r="F8096" s="7"/>
    </row>
    <row r="8097" spans="5:6" ht="15" customHeight="1" x14ac:dyDescent="0.2">
      <c r="E8097" s="7"/>
      <c r="F8097" s="7"/>
    </row>
    <row r="8098" spans="5:6" ht="15" customHeight="1" x14ac:dyDescent="0.2">
      <c r="E8098" s="7"/>
      <c r="F8098" s="7"/>
    </row>
    <row r="8099" spans="5:6" ht="15" customHeight="1" x14ac:dyDescent="0.2">
      <c r="E8099" s="7"/>
      <c r="F8099" s="7"/>
    </row>
    <row r="8100" spans="5:6" ht="15" customHeight="1" x14ac:dyDescent="0.2">
      <c r="E8100" s="7"/>
      <c r="F8100" s="7"/>
    </row>
    <row r="8101" spans="5:6" ht="15" customHeight="1" x14ac:dyDescent="0.2">
      <c r="E8101" s="7"/>
      <c r="F8101" s="7"/>
    </row>
    <row r="8102" spans="5:6" ht="15" customHeight="1" x14ac:dyDescent="0.2">
      <c r="E8102" s="7"/>
      <c r="F8102" s="7"/>
    </row>
    <row r="8103" spans="5:6" ht="15" customHeight="1" x14ac:dyDescent="0.2">
      <c r="E8103" s="7"/>
      <c r="F8103" s="7"/>
    </row>
    <row r="8104" spans="5:6" ht="15" customHeight="1" x14ac:dyDescent="0.2">
      <c r="E8104" s="7"/>
      <c r="F8104" s="7"/>
    </row>
    <row r="8105" spans="5:6" ht="15" customHeight="1" x14ac:dyDescent="0.2">
      <c r="E8105" s="7"/>
      <c r="F8105" s="7"/>
    </row>
    <row r="8106" spans="5:6" ht="15" customHeight="1" x14ac:dyDescent="0.2">
      <c r="E8106" s="7"/>
      <c r="F8106" s="7"/>
    </row>
    <row r="8107" spans="5:6" ht="15" customHeight="1" x14ac:dyDescent="0.2">
      <c r="E8107" s="7"/>
      <c r="F8107" s="7"/>
    </row>
    <row r="8108" spans="5:6" ht="15" customHeight="1" x14ac:dyDescent="0.2">
      <c r="E8108" s="7"/>
      <c r="F8108" s="7"/>
    </row>
    <row r="8109" spans="5:6" ht="15" customHeight="1" x14ac:dyDescent="0.2">
      <c r="E8109" s="7"/>
      <c r="F8109" s="7"/>
    </row>
    <row r="8110" spans="5:6" ht="15" customHeight="1" x14ac:dyDescent="0.2">
      <c r="E8110" s="7"/>
      <c r="F8110" s="7"/>
    </row>
    <row r="8111" spans="5:6" ht="15" customHeight="1" x14ac:dyDescent="0.2">
      <c r="E8111" s="7"/>
      <c r="F8111" s="7"/>
    </row>
    <row r="8112" spans="5:6" ht="15" customHeight="1" x14ac:dyDescent="0.2">
      <c r="E8112" s="7"/>
      <c r="F8112" s="7"/>
    </row>
    <row r="8113" spans="5:6" ht="15" customHeight="1" x14ac:dyDescent="0.2">
      <c r="E8113" s="7"/>
      <c r="F8113" s="7"/>
    </row>
    <row r="8114" spans="5:6" ht="15" customHeight="1" x14ac:dyDescent="0.2">
      <c r="E8114" s="7"/>
      <c r="F8114" s="7"/>
    </row>
    <row r="8115" spans="5:6" ht="15" customHeight="1" x14ac:dyDescent="0.2">
      <c r="E8115" s="7"/>
      <c r="F8115" s="7"/>
    </row>
    <row r="8116" spans="5:6" ht="15" customHeight="1" x14ac:dyDescent="0.2">
      <c r="E8116" s="7"/>
      <c r="F8116" s="7"/>
    </row>
    <row r="8117" spans="5:6" ht="15" customHeight="1" x14ac:dyDescent="0.2">
      <c r="E8117" s="7"/>
      <c r="F8117" s="7"/>
    </row>
    <row r="8118" spans="5:6" ht="15" customHeight="1" x14ac:dyDescent="0.2">
      <c r="E8118" s="7"/>
      <c r="F8118" s="7"/>
    </row>
    <row r="8119" spans="5:6" ht="15" customHeight="1" x14ac:dyDescent="0.2">
      <c r="E8119" s="7"/>
      <c r="F8119" s="7"/>
    </row>
    <row r="8120" spans="5:6" ht="15" customHeight="1" x14ac:dyDescent="0.2">
      <c r="E8120" s="7"/>
      <c r="F8120" s="7"/>
    </row>
    <row r="8121" spans="5:6" ht="15" customHeight="1" x14ac:dyDescent="0.2">
      <c r="E8121" s="7"/>
      <c r="F8121" s="7"/>
    </row>
    <row r="8122" spans="5:6" ht="15" customHeight="1" x14ac:dyDescent="0.2">
      <c r="E8122" s="7"/>
      <c r="F8122" s="7"/>
    </row>
    <row r="8123" spans="5:6" ht="15" customHeight="1" x14ac:dyDescent="0.2">
      <c r="E8123" s="7"/>
      <c r="F8123" s="7"/>
    </row>
    <row r="8124" spans="5:6" ht="15" customHeight="1" x14ac:dyDescent="0.2">
      <c r="E8124" s="7"/>
      <c r="F8124" s="7"/>
    </row>
    <row r="8125" spans="5:6" ht="15" customHeight="1" x14ac:dyDescent="0.2">
      <c r="E8125" s="7"/>
      <c r="F8125" s="7"/>
    </row>
    <row r="8126" spans="5:6" ht="15" customHeight="1" x14ac:dyDescent="0.2">
      <c r="E8126" s="7"/>
      <c r="F8126" s="7"/>
    </row>
    <row r="8127" spans="5:6" ht="15" customHeight="1" x14ac:dyDescent="0.2">
      <c r="E8127" s="7"/>
      <c r="F8127" s="7"/>
    </row>
    <row r="8128" spans="5:6" ht="15" customHeight="1" x14ac:dyDescent="0.2">
      <c r="E8128" s="7"/>
      <c r="F8128" s="7"/>
    </row>
    <row r="8129" spans="5:6" ht="15" customHeight="1" x14ac:dyDescent="0.2">
      <c r="E8129" s="7"/>
      <c r="F8129" s="7"/>
    </row>
    <row r="8130" spans="5:6" ht="15" customHeight="1" x14ac:dyDescent="0.2">
      <c r="E8130" s="7"/>
      <c r="F8130" s="7"/>
    </row>
    <row r="8131" spans="5:6" ht="15" customHeight="1" x14ac:dyDescent="0.2">
      <c r="E8131" s="7"/>
      <c r="F8131" s="7"/>
    </row>
    <row r="8132" spans="5:6" ht="15" customHeight="1" x14ac:dyDescent="0.2">
      <c r="E8132" s="7"/>
      <c r="F8132" s="7"/>
    </row>
    <row r="8133" spans="5:6" ht="15" customHeight="1" x14ac:dyDescent="0.2">
      <c r="E8133" s="7"/>
      <c r="F8133" s="7"/>
    </row>
    <row r="8134" spans="5:6" ht="15" customHeight="1" x14ac:dyDescent="0.2">
      <c r="E8134" s="7"/>
      <c r="F8134" s="7"/>
    </row>
    <row r="8135" spans="5:6" ht="15" customHeight="1" x14ac:dyDescent="0.2">
      <c r="E8135" s="7"/>
      <c r="F8135" s="7"/>
    </row>
    <row r="8136" spans="5:6" ht="15" customHeight="1" x14ac:dyDescent="0.2">
      <c r="E8136" s="7"/>
      <c r="F8136" s="7"/>
    </row>
    <row r="8137" spans="5:6" ht="15" customHeight="1" x14ac:dyDescent="0.2">
      <c r="E8137" s="7"/>
      <c r="F8137" s="7"/>
    </row>
    <row r="8138" spans="5:6" ht="15" customHeight="1" x14ac:dyDescent="0.2">
      <c r="E8138" s="7"/>
      <c r="F8138" s="7"/>
    </row>
    <row r="8139" spans="5:6" ht="15" customHeight="1" x14ac:dyDescent="0.2">
      <c r="E8139" s="7"/>
      <c r="F8139" s="7"/>
    </row>
    <row r="8140" spans="5:6" ht="15" customHeight="1" x14ac:dyDescent="0.2">
      <c r="E8140" s="7"/>
      <c r="F8140" s="7"/>
    </row>
    <row r="8141" spans="5:6" ht="15" customHeight="1" x14ac:dyDescent="0.2">
      <c r="E8141" s="7"/>
      <c r="F8141" s="7"/>
    </row>
    <row r="8142" spans="5:6" ht="15" customHeight="1" x14ac:dyDescent="0.2">
      <c r="E8142" s="7"/>
      <c r="F8142" s="7"/>
    </row>
    <row r="8143" spans="5:6" ht="15" customHeight="1" x14ac:dyDescent="0.2">
      <c r="E8143" s="7"/>
      <c r="F8143" s="7"/>
    </row>
    <row r="8144" spans="5:6" ht="15" customHeight="1" x14ac:dyDescent="0.2">
      <c r="E8144" s="7"/>
      <c r="F8144" s="7"/>
    </row>
    <row r="8145" spans="5:6" ht="15" customHeight="1" x14ac:dyDescent="0.2">
      <c r="E8145" s="7"/>
      <c r="F8145" s="7"/>
    </row>
    <row r="8146" spans="5:6" ht="15" customHeight="1" x14ac:dyDescent="0.2">
      <c r="E8146" s="7"/>
      <c r="F8146" s="7"/>
    </row>
    <row r="8147" spans="5:6" ht="15" customHeight="1" x14ac:dyDescent="0.2">
      <c r="E8147" s="7"/>
      <c r="F8147" s="7"/>
    </row>
    <row r="8148" spans="5:6" ht="15" customHeight="1" x14ac:dyDescent="0.2">
      <c r="E8148" s="7"/>
      <c r="F8148" s="7"/>
    </row>
    <row r="8149" spans="5:6" ht="15" customHeight="1" x14ac:dyDescent="0.2">
      <c r="E8149" s="7"/>
      <c r="F8149" s="7"/>
    </row>
    <row r="8150" spans="5:6" ht="15" customHeight="1" x14ac:dyDescent="0.2">
      <c r="E8150" s="7"/>
      <c r="F8150" s="7"/>
    </row>
    <row r="8151" spans="5:6" ht="15" customHeight="1" x14ac:dyDescent="0.2">
      <c r="E8151" s="7"/>
      <c r="F8151" s="7"/>
    </row>
    <row r="8152" spans="5:6" ht="15" customHeight="1" x14ac:dyDescent="0.2">
      <c r="E8152" s="7"/>
      <c r="F8152" s="7"/>
    </row>
    <row r="8153" spans="5:6" ht="15" customHeight="1" x14ac:dyDescent="0.2">
      <c r="E8153" s="7"/>
      <c r="F8153" s="7"/>
    </row>
    <row r="8154" spans="5:6" ht="15" customHeight="1" x14ac:dyDescent="0.2">
      <c r="E8154" s="7"/>
      <c r="F8154" s="7"/>
    </row>
    <row r="8155" spans="5:6" ht="15" customHeight="1" x14ac:dyDescent="0.2">
      <c r="E8155" s="7"/>
      <c r="F8155" s="7"/>
    </row>
    <row r="8156" spans="5:6" ht="15" customHeight="1" x14ac:dyDescent="0.2">
      <c r="E8156" s="7"/>
      <c r="F8156" s="7"/>
    </row>
    <row r="8157" spans="5:6" ht="15" customHeight="1" x14ac:dyDescent="0.2">
      <c r="E8157" s="7"/>
      <c r="F8157" s="7"/>
    </row>
    <row r="8158" spans="5:6" ht="15" customHeight="1" x14ac:dyDescent="0.2">
      <c r="E8158" s="7"/>
      <c r="F8158" s="7"/>
    </row>
    <row r="8159" spans="5:6" ht="15" customHeight="1" x14ac:dyDescent="0.2">
      <c r="E8159" s="7"/>
      <c r="F8159" s="7"/>
    </row>
    <row r="8160" spans="5:6" ht="15" customHeight="1" x14ac:dyDescent="0.2">
      <c r="E8160" s="7"/>
      <c r="F8160" s="7"/>
    </row>
    <row r="8161" spans="5:6" ht="15" customHeight="1" x14ac:dyDescent="0.2">
      <c r="E8161" s="7"/>
      <c r="F8161" s="7"/>
    </row>
    <row r="8162" spans="5:6" ht="15" customHeight="1" x14ac:dyDescent="0.2">
      <c r="E8162" s="7"/>
      <c r="F8162" s="7"/>
    </row>
    <row r="8163" spans="5:6" ht="15" customHeight="1" x14ac:dyDescent="0.2">
      <c r="E8163" s="7"/>
      <c r="F8163" s="7"/>
    </row>
    <row r="8164" spans="5:6" ht="15" customHeight="1" x14ac:dyDescent="0.2">
      <c r="E8164" s="7"/>
      <c r="F8164" s="7"/>
    </row>
    <row r="8165" spans="5:6" ht="15" customHeight="1" x14ac:dyDescent="0.2">
      <c r="E8165" s="7"/>
      <c r="F8165" s="7"/>
    </row>
    <row r="8166" spans="5:6" ht="15" customHeight="1" x14ac:dyDescent="0.2">
      <c r="E8166" s="7"/>
      <c r="F8166" s="7"/>
    </row>
    <row r="8167" spans="5:6" ht="15" customHeight="1" x14ac:dyDescent="0.2">
      <c r="E8167" s="7"/>
      <c r="F8167" s="7"/>
    </row>
    <row r="8168" spans="5:6" ht="15" customHeight="1" x14ac:dyDescent="0.2">
      <c r="E8168" s="7"/>
      <c r="F8168" s="7"/>
    </row>
    <row r="8169" spans="5:6" ht="15" customHeight="1" x14ac:dyDescent="0.2">
      <c r="E8169" s="7"/>
      <c r="F8169" s="7"/>
    </row>
    <row r="8170" spans="5:6" ht="15" customHeight="1" x14ac:dyDescent="0.2">
      <c r="E8170" s="7"/>
      <c r="F8170" s="7"/>
    </row>
    <row r="8171" spans="5:6" ht="15" customHeight="1" x14ac:dyDescent="0.2">
      <c r="E8171" s="7"/>
      <c r="F8171" s="7"/>
    </row>
    <row r="8172" spans="5:6" ht="15" customHeight="1" x14ac:dyDescent="0.2">
      <c r="E8172" s="7"/>
      <c r="F8172" s="7"/>
    </row>
    <row r="8173" spans="5:6" ht="15" customHeight="1" x14ac:dyDescent="0.2">
      <c r="E8173" s="7"/>
      <c r="F8173" s="7"/>
    </row>
    <row r="8174" spans="5:6" ht="15" customHeight="1" x14ac:dyDescent="0.2">
      <c r="E8174" s="7"/>
      <c r="F8174" s="7"/>
    </row>
    <row r="8175" spans="5:6" ht="15" customHeight="1" x14ac:dyDescent="0.2">
      <c r="E8175" s="7"/>
      <c r="F8175" s="7"/>
    </row>
    <row r="8176" spans="5:6" ht="15" customHeight="1" x14ac:dyDescent="0.2">
      <c r="E8176" s="7"/>
      <c r="F8176" s="7"/>
    </row>
    <row r="8177" spans="5:6" ht="15" customHeight="1" x14ac:dyDescent="0.2">
      <c r="E8177" s="7"/>
      <c r="F8177" s="7"/>
    </row>
    <row r="8178" spans="5:6" ht="15" customHeight="1" x14ac:dyDescent="0.2">
      <c r="E8178" s="7"/>
      <c r="F8178" s="7"/>
    </row>
    <row r="8179" spans="5:6" ht="15" customHeight="1" x14ac:dyDescent="0.2">
      <c r="E8179" s="7"/>
      <c r="F8179" s="7"/>
    </row>
    <row r="8180" spans="5:6" ht="15" customHeight="1" x14ac:dyDescent="0.2">
      <c r="E8180" s="7"/>
      <c r="F8180" s="7"/>
    </row>
    <row r="8181" spans="5:6" ht="15" customHeight="1" x14ac:dyDescent="0.2">
      <c r="E8181" s="7"/>
      <c r="F8181" s="7"/>
    </row>
    <row r="8182" spans="5:6" ht="15" customHeight="1" x14ac:dyDescent="0.2">
      <c r="E8182" s="7"/>
      <c r="F8182" s="7"/>
    </row>
    <row r="8183" spans="5:6" ht="15" customHeight="1" x14ac:dyDescent="0.2">
      <c r="E8183" s="7"/>
      <c r="F8183" s="7"/>
    </row>
    <row r="8184" spans="5:6" ht="15" customHeight="1" x14ac:dyDescent="0.2">
      <c r="E8184" s="7"/>
      <c r="F8184" s="7"/>
    </row>
    <row r="8185" spans="5:6" ht="15" customHeight="1" x14ac:dyDescent="0.2">
      <c r="E8185" s="7"/>
      <c r="F8185" s="7"/>
    </row>
    <row r="8186" spans="5:6" ht="15" customHeight="1" x14ac:dyDescent="0.2">
      <c r="E8186" s="7"/>
      <c r="F8186" s="7"/>
    </row>
    <row r="8187" spans="5:6" ht="15" customHeight="1" x14ac:dyDescent="0.2">
      <c r="E8187" s="7"/>
      <c r="F8187" s="7"/>
    </row>
    <row r="8188" spans="5:6" ht="15" customHeight="1" x14ac:dyDescent="0.2">
      <c r="E8188" s="7"/>
      <c r="F8188" s="7"/>
    </row>
    <row r="8189" spans="5:6" ht="15" customHeight="1" x14ac:dyDescent="0.2">
      <c r="E8189" s="7"/>
      <c r="F8189" s="7"/>
    </row>
    <row r="8190" spans="5:6" ht="15" customHeight="1" x14ac:dyDescent="0.2">
      <c r="E8190" s="7"/>
      <c r="F8190" s="7"/>
    </row>
    <row r="8191" spans="5:6" ht="15" customHeight="1" x14ac:dyDescent="0.2">
      <c r="E8191" s="7"/>
      <c r="F8191" s="7"/>
    </row>
    <row r="8192" spans="5:6" ht="15" customHeight="1" x14ac:dyDescent="0.2">
      <c r="E8192" s="7"/>
      <c r="F8192" s="7"/>
    </row>
    <row r="8193" spans="5:6" ht="15" customHeight="1" x14ac:dyDescent="0.2">
      <c r="E8193" s="7"/>
      <c r="F8193" s="7"/>
    </row>
    <row r="8194" spans="5:6" ht="15" customHeight="1" x14ac:dyDescent="0.2">
      <c r="E8194" s="7"/>
      <c r="F8194" s="7"/>
    </row>
    <row r="8195" spans="5:6" ht="15" customHeight="1" x14ac:dyDescent="0.2">
      <c r="E8195" s="7"/>
      <c r="F8195" s="7"/>
    </row>
    <row r="8196" spans="5:6" ht="15" customHeight="1" x14ac:dyDescent="0.2">
      <c r="E8196" s="7"/>
      <c r="F8196" s="7"/>
    </row>
    <row r="8197" spans="5:6" ht="15" customHeight="1" x14ac:dyDescent="0.2">
      <c r="E8197" s="7"/>
      <c r="F8197" s="7"/>
    </row>
    <row r="8198" spans="5:6" ht="15" customHeight="1" x14ac:dyDescent="0.2">
      <c r="E8198" s="7"/>
      <c r="F8198" s="7"/>
    </row>
    <row r="8199" spans="5:6" ht="15" customHeight="1" x14ac:dyDescent="0.2">
      <c r="E8199" s="7"/>
      <c r="F8199" s="7"/>
    </row>
    <row r="8200" spans="5:6" ht="15" customHeight="1" x14ac:dyDescent="0.2">
      <c r="E8200" s="7"/>
      <c r="F8200" s="7"/>
    </row>
    <row r="8201" spans="5:6" ht="15" customHeight="1" x14ac:dyDescent="0.2">
      <c r="E8201" s="7"/>
      <c r="F8201" s="7"/>
    </row>
    <row r="8202" spans="5:6" ht="15" customHeight="1" x14ac:dyDescent="0.2">
      <c r="E8202" s="7"/>
      <c r="F8202" s="7"/>
    </row>
    <row r="8203" spans="5:6" ht="15" customHeight="1" x14ac:dyDescent="0.2">
      <c r="E8203" s="7"/>
      <c r="F8203" s="7"/>
    </row>
    <row r="8204" spans="5:6" ht="15" customHeight="1" x14ac:dyDescent="0.2">
      <c r="E8204" s="7"/>
      <c r="F8204" s="7"/>
    </row>
    <row r="8205" spans="5:6" ht="15" customHeight="1" x14ac:dyDescent="0.2">
      <c r="E8205" s="7"/>
      <c r="F8205" s="7"/>
    </row>
    <row r="8206" spans="5:6" ht="15" customHeight="1" x14ac:dyDescent="0.2">
      <c r="E8206" s="7"/>
      <c r="F8206" s="7"/>
    </row>
    <row r="8207" spans="5:6" ht="15" customHeight="1" x14ac:dyDescent="0.2">
      <c r="E8207" s="7"/>
      <c r="F8207" s="7"/>
    </row>
    <row r="8208" spans="5:6" ht="15" customHeight="1" x14ac:dyDescent="0.2">
      <c r="E8208" s="7"/>
      <c r="F8208" s="7"/>
    </row>
    <row r="8209" spans="5:6" ht="15" customHeight="1" x14ac:dyDescent="0.2">
      <c r="E8209" s="7"/>
      <c r="F8209" s="7"/>
    </row>
    <row r="8210" spans="5:6" ht="15" customHeight="1" x14ac:dyDescent="0.2">
      <c r="E8210" s="7"/>
      <c r="F8210" s="7"/>
    </row>
    <row r="8211" spans="5:6" ht="15" customHeight="1" x14ac:dyDescent="0.2">
      <c r="E8211" s="7"/>
      <c r="F8211" s="7"/>
    </row>
    <row r="8212" spans="5:6" ht="15" customHeight="1" x14ac:dyDescent="0.2">
      <c r="E8212" s="7"/>
      <c r="F8212" s="7"/>
    </row>
    <row r="8213" spans="5:6" ht="15" customHeight="1" x14ac:dyDescent="0.2">
      <c r="E8213" s="7"/>
      <c r="F8213" s="7"/>
    </row>
    <row r="8214" spans="5:6" ht="15" customHeight="1" x14ac:dyDescent="0.2">
      <c r="E8214" s="7"/>
      <c r="F8214" s="7"/>
    </row>
    <row r="8215" spans="5:6" ht="15" customHeight="1" x14ac:dyDescent="0.2">
      <c r="E8215" s="7"/>
      <c r="F8215" s="7"/>
    </row>
    <row r="8216" spans="5:6" ht="15" customHeight="1" x14ac:dyDescent="0.2">
      <c r="E8216" s="7"/>
      <c r="F8216" s="7"/>
    </row>
    <row r="8217" spans="5:6" ht="15" customHeight="1" x14ac:dyDescent="0.2">
      <c r="E8217" s="7"/>
      <c r="F8217" s="7"/>
    </row>
    <row r="8218" spans="5:6" ht="15" customHeight="1" x14ac:dyDescent="0.2">
      <c r="E8218" s="7"/>
      <c r="F8218" s="7"/>
    </row>
    <row r="8219" spans="5:6" ht="15" customHeight="1" x14ac:dyDescent="0.2">
      <c r="E8219" s="7"/>
      <c r="F8219" s="7"/>
    </row>
    <row r="8220" spans="5:6" ht="15" customHeight="1" x14ac:dyDescent="0.2">
      <c r="E8220" s="7"/>
      <c r="F8220" s="7"/>
    </row>
    <row r="8221" spans="5:6" ht="15" customHeight="1" x14ac:dyDescent="0.2">
      <c r="E8221" s="7"/>
      <c r="F8221" s="7"/>
    </row>
    <row r="8222" spans="5:6" ht="15" customHeight="1" x14ac:dyDescent="0.2">
      <c r="E8222" s="7"/>
      <c r="F8222" s="7"/>
    </row>
    <row r="8223" spans="5:6" ht="15" customHeight="1" x14ac:dyDescent="0.2">
      <c r="E8223" s="7"/>
      <c r="F8223" s="7"/>
    </row>
    <row r="8224" spans="5:6" ht="15" customHeight="1" x14ac:dyDescent="0.2">
      <c r="E8224" s="7"/>
      <c r="F8224" s="7"/>
    </row>
    <row r="8225" spans="5:6" ht="15" customHeight="1" x14ac:dyDescent="0.2">
      <c r="E8225" s="7"/>
      <c r="F8225" s="7"/>
    </row>
    <row r="8226" spans="5:6" ht="15" customHeight="1" x14ac:dyDescent="0.2">
      <c r="E8226" s="7"/>
      <c r="F8226" s="7"/>
    </row>
    <row r="8227" spans="5:6" ht="15" customHeight="1" x14ac:dyDescent="0.2">
      <c r="E8227" s="7"/>
      <c r="F8227" s="7"/>
    </row>
    <row r="8228" spans="5:6" ht="15" customHeight="1" x14ac:dyDescent="0.2">
      <c r="E8228" s="7"/>
      <c r="F8228" s="7"/>
    </row>
    <row r="8229" spans="5:6" ht="15" customHeight="1" x14ac:dyDescent="0.2">
      <c r="E8229" s="7"/>
      <c r="F8229" s="7"/>
    </row>
    <row r="8230" spans="5:6" ht="15" customHeight="1" x14ac:dyDescent="0.2">
      <c r="E8230" s="7"/>
      <c r="F8230" s="7"/>
    </row>
    <row r="8231" spans="5:6" ht="15" customHeight="1" x14ac:dyDescent="0.2">
      <c r="E8231" s="7"/>
      <c r="F8231" s="7"/>
    </row>
    <row r="8232" spans="5:6" ht="15" customHeight="1" x14ac:dyDescent="0.2">
      <c r="E8232" s="7"/>
      <c r="F8232" s="7"/>
    </row>
    <row r="8233" spans="5:6" ht="15" customHeight="1" x14ac:dyDescent="0.2">
      <c r="E8233" s="7"/>
      <c r="F8233" s="7"/>
    </row>
    <row r="8234" spans="5:6" ht="15" customHeight="1" x14ac:dyDescent="0.2">
      <c r="E8234" s="7"/>
      <c r="F8234" s="7"/>
    </row>
    <row r="8235" spans="5:6" ht="15" customHeight="1" x14ac:dyDescent="0.2">
      <c r="E8235" s="7"/>
      <c r="F8235" s="7"/>
    </row>
    <row r="8236" spans="5:6" ht="15" customHeight="1" x14ac:dyDescent="0.2">
      <c r="E8236" s="7"/>
      <c r="F8236" s="7"/>
    </row>
    <row r="8237" spans="5:6" ht="15" customHeight="1" x14ac:dyDescent="0.2">
      <c r="E8237" s="7"/>
      <c r="F8237" s="7"/>
    </row>
    <row r="8238" spans="5:6" ht="15" customHeight="1" x14ac:dyDescent="0.2">
      <c r="E8238" s="7"/>
      <c r="F8238" s="7"/>
    </row>
    <row r="8239" spans="5:6" ht="15" customHeight="1" x14ac:dyDescent="0.2">
      <c r="E8239" s="7"/>
      <c r="F8239" s="7"/>
    </row>
    <row r="8240" spans="5:6" ht="15" customHeight="1" x14ac:dyDescent="0.2">
      <c r="E8240" s="7"/>
      <c r="F8240" s="7"/>
    </row>
    <row r="8241" spans="5:6" ht="15" customHeight="1" x14ac:dyDescent="0.2">
      <c r="E8241" s="7"/>
      <c r="F8241" s="7"/>
    </row>
    <row r="8242" spans="5:6" ht="15" customHeight="1" x14ac:dyDescent="0.2">
      <c r="E8242" s="7"/>
      <c r="F8242" s="7"/>
    </row>
    <row r="8243" spans="5:6" ht="15" customHeight="1" x14ac:dyDescent="0.2">
      <c r="E8243" s="7"/>
      <c r="F8243" s="7"/>
    </row>
    <row r="8244" spans="5:6" ht="15" customHeight="1" x14ac:dyDescent="0.2">
      <c r="E8244" s="7"/>
      <c r="F8244" s="7"/>
    </row>
    <row r="8245" spans="5:6" ht="15" customHeight="1" x14ac:dyDescent="0.2">
      <c r="E8245" s="7"/>
      <c r="F8245" s="7"/>
    </row>
    <row r="8246" spans="5:6" ht="15" customHeight="1" x14ac:dyDescent="0.2">
      <c r="E8246" s="7"/>
      <c r="F8246" s="7"/>
    </row>
    <row r="8247" spans="5:6" ht="15" customHeight="1" x14ac:dyDescent="0.2">
      <c r="E8247" s="7"/>
      <c r="F8247" s="7"/>
    </row>
    <row r="8248" spans="5:6" ht="15" customHeight="1" x14ac:dyDescent="0.2">
      <c r="E8248" s="7"/>
      <c r="F8248" s="7"/>
    </row>
    <row r="8249" spans="5:6" ht="15" customHeight="1" x14ac:dyDescent="0.2">
      <c r="E8249" s="7"/>
      <c r="F8249" s="7"/>
    </row>
    <row r="8250" spans="5:6" ht="15" customHeight="1" x14ac:dyDescent="0.2">
      <c r="E8250" s="7"/>
      <c r="F8250" s="7"/>
    </row>
    <row r="8251" spans="5:6" ht="15" customHeight="1" x14ac:dyDescent="0.2">
      <c r="E8251" s="7"/>
      <c r="F8251" s="7"/>
    </row>
    <row r="8252" spans="5:6" ht="15" customHeight="1" x14ac:dyDescent="0.2">
      <c r="E8252" s="7"/>
      <c r="F8252" s="7"/>
    </row>
    <row r="8253" spans="5:6" ht="15" customHeight="1" x14ac:dyDescent="0.2">
      <c r="E8253" s="7"/>
      <c r="F8253" s="7"/>
    </row>
    <row r="8254" spans="5:6" ht="15" customHeight="1" x14ac:dyDescent="0.2">
      <c r="E8254" s="7"/>
      <c r="F8254" s="7"/>
    </row>
    <row r="8255" spans="5:6" ht="15" customHeight="1" x14ac:dyDescent="0.2">
      <c r="E8255" s="7"/>
      <c r="F8255" s="7"/>
    </row>
    <row r="8256" spans="5:6" ht="15" customHeight="1" x14ac:dyDescent="0.2">
      <c r="E8256" s="7"/>
      <c r="F8256" s="7"/>
    </row>
    <row r="8257" spans="5:6" ht="15" customHeight="1" x14ac:dyDescent="0.2">
      <c r="E8257" s="7"/>
      <c r="F8257" s="7"/>
    </row>
    <row r="8258" spans="5:6" ht="15" customHeight="1" x14ac:dyDescent="0.2">
      <c r="E8258" s="7"/>
      <c r="F8258" s="7"/>
    </row>
    <row r="8259" spans="5:6" ht="15" customHeight="1" x14ac:dyDescent="0.2">
      <c r="E8259" s="7"/>
      <c r="F8259" s="7"/>
    </row>
    <row r="8260" spans="5:6" ht="15" customHeight="1" x14ac:dyDescent="0.2">
      <c r="E8260" s="7"/>
      <c r="F8260" s="7"/>
    </row>
    <row r="8261" spans="5:6" ht="15" customHeight="1" x14ac:dyDescent="0.2">
      <c r="E8261" s="7"/>
      <c r="F8261" s="7"/>
    </row>
    <row r="8262" spans="5:6" ht="15" customHeight="1" x14ac:dyDescent="0.2">
      <c r="E8262" s="7"/>
      <c r="F8262" s="7"/>
    </row>
    <row r="8263" spans="5:6" ht="15" customHeight="1" x14ac:dyDescent="0.2">
      <c r="E8263" s="7"/>
      <c r="F8263" s="7"/>
    </row>
    <row r="8264" spans="5:6" ht="15" customHeight="1" x14ac:dyDescent="0.2">
      <c r="E8264" s="7"/>
      <c r="F8264" s="7"/>
    </row>
    <row r="8265" spans="5:6" ht="15" customHeight="1" x14ac:dyDescent="0.2">
      <c r="E8265" s="7"/>
      <c r="F8265" s="7"/>
    </row>
    <row r="8266" spans="5:6" ht="15" customHeight="1" x14ac:dyDescent="0.2">
      <c r="E8266" s="7"/>
      <c r="F8266" s="7"/>
    </row>
    <row r="8267" spans="5:6" ht="15" customHeight="1" x14ac:dyDescent="0.2">
      <c r="E8267" s="7"/>
      <c r="F8267" s="7"/>
    </row>
    <row r="8268" spans="5:6" ht="15" customHeight="1" x14ac:dyDescent="0.2">
      <c r="E8268" s="7"/>
      <c r="F8268" s="7"/>
    </row>
    <row r="8269" spans="5:6" ht="15" customHeight="1" x14ac:dyDescent="0.2">
      <c r="E8269" s="7"/>
      <c r="F8269" s="7"/>
    </row>
    <row r="8270" spans="5:6" ht="15" customHeight="1" x14ac:dyDescent="0.2">
      <c r="E8270" s="7"/>
      <c r="F8270" s="7"/>
    </row>
    <row r="8271" spans="5:6" ht="15" customHeight="1" x14ac:dyDescent="0.2">
      <c r="E8271" s="7"/>
      <c r="F8271" s="7"/>
    </row>
    <row r="8272" spans="5:6" ht="15" customHeight="1" x14ac:dyDescent="0.2">
      <c r="E8272" s="7"/>
      <c r="F8272" s="7"/>
    </row>
    <row r="8273" spans="5:6" ht="15" customHeight="1" x14ac:dyDescent="0.2">
      <c r="E8273" s="7"/>
      <c r="F8273" s="7"/>
    </row>
    <row r="8274" spans="5:6" ht="15" customHeight="1" x14ac:dyDescent="0.2">
      <c r="E8274" s="7"/>
      <c r="F8274" s="7"/>
    </row>
    <row r="8275" spans="5:6" ht="15" customHeight="1" x14ac:dyDescent="0.2">
      <c r="E8275" s="7"/>
      <c r="F8275" s="7"/>
    </row>
    <row r="8276" spans="5:6" ht="15" customHeight="1" x14ac:dyDescent="0.2">
      <c r="E8276" s="7"/>
      <c r="F8276" s="7"/>
    </row>
    <row r="8277" spans="5:6" ht="15" customHeight="1" x14ac:dyDescent="0.2">
      <c r="E8277" s="7"/>
      <c r="F8277" s="7"/>
    </row>
    <row r="8278" spans="5:6" ht="15" customHeight="1" x14ac:dyDescent="0.2">
      <c r="E8278" s="7"/>
      <c r="F8278" s="7"/>
    </row>
    <row r="8279" spans="5:6" ht="15" customHeight="1" x14ac:dyDescent="0.2">
      <c r="E8279" s="7"/>
      <c r="F8279" s="7"/>
    </row>
    <row r="8280" spans="5:6" ht="15" customHeight="1" x14ac:dyDescent="0.2">
      <c r="E8280" s="7"/>
      <c r="F8280" s="7"/>
    </row>
    <row r="8281" spans="5:6" ht="15" customHeight="1" x14ac:dyDescent="0.2">
      <c r="E8281" s="7"/>
      <c r="F8281" s="7"/>
    </row>
    <row r="8282" spans="5:6" ht="15" customHeight="1" x14ac:dyDescent="0.2">
      <c r="E8282" s="7"/>
      <c r="F8282" s="7"/>
    </row>
    <row r="8283" spans="5:6" ht="15" customHeight="1" x14ac:dyDescent="0.2">
      <c r="E8283" s="7"/>
      <c r="F8283" s="7"/>
    </row>
    <row r="8284" spans="5:6" ht="15" customHeight="1" x14ac:dyDescent="0.2">
      <c r="E8284" s="7"/>
      <c r="F8284" s="7"/>
    </row>
    <row r="8285" spans="5:6" ht="15" customHeight="1" x14ac:dyDescent="0.2">
      <c r="E8285" s="7"/>
      <c r="F8285" s="7"/>
    </row>
    <row r="8286" spans="5:6" ht="15" customHeight="1" x14ac:dyDescent="0.2">
      <c r="E8286" s="7"/>
      <c r="F8286" s="7"/>
    </row>
    <row r="8287" spans="5:6" ht="15" customHeight="1" x14ac:dyDescent="0.2">
      <c r="E8287" s="7"/>
      <c r="F8287" s="7"/>
    </row>
    <row r="8288" spans="5:6" ht="15" customHeight="1" x14ac:dyDescent="0.2">
      <c r="E8288" s="7"/>
      <c r="F8288" s="7"/>
    </row>
    <row r="8289" spans="5:6" ht="15" customHeight="1" x14ac:dyDescent="0.2">
      <c r="E8289" s="7"/>
      <c r="F8289" s="7"/>
    </row>
    <row r="8290" spans="5:6" ht="15" customHeight="1" x14ac:dyDescent="0.2">
      <c r="E8290" s="7"/>
      <c r="F8290" s="7"/>
    </row>
    <row r="8291" spans="5:6" ht="15" customHeight="1" x14ac:dyDescent="0.2">
      <c r="E8291" s="7"/>
      <c r="F8291" s="7"/>
    </row>
    <row r="8292" spans="5:6" ht="15" customHeight="1" x14ac:dyDescent="0.2">
      <c r="E8292" s="7"/>
      <c r="F8292" s="7"/>
    </row>
    <row r="8293" spans="5:6" ht="15" customHeight="1" x14ac:dyDescent="0.2">
      <c r="E8293" s="7"/>
      <c r="F8293" s="7"/>
    </row>
    <row r="8294" spans="5:6" ht="15" customHeight="1" x14ac:dyDescent="0.2">
      <c r="E8294" s="7"/>
      <c r="F8294" s="7"/>
    </row>
    <row r="8295" spans="5:6" ht="15" customHeight="1" x14ac:dyDescent="0.2">
      <c r="E8295" s="7"/>
      <c r="F8295" s="7"/>
    </row>
    <row r="8296" spans="5:6" ht="15" customHeight="1" x14ac:dyDescent="0.2">
      <c r="E8296" s="7"/>
      <c r="F8296" s="7"/>
    </row>
    <row r="8297" spans="5:6" ht="15" customHeight="1" x14ac:dyDescent="0.2">
      <c r="E8297" s="7"/>
      <c r="F8297" s="7"/>
    </row>
    <row r="8298" spans="5:6" ht="15" customHeight="1" x14ac:dyDescent="0.2">
      <c r="E8298" s="7"/>
      <c r="F8298" s="7"/>
    </row>
    <row r="8299" spans="5:6" ht="15" customHeight="1" x14ac:dyDescent="0.2">
      <c r="E8299" s="7"/>
      <c r="F8299" s="7"/>
    </row>
    <row r="8300" spans="5:6" ht="15" customHeight="1" x14ac:dyDescent="0.2">
      <c r="E8300" s="7"/>
      <c r="F8300" s="7"/>
    </row>
    <row r="8301" spans="5:6" ht="15" customHeight="1" x14ac:dyDescent="0.2">
      <c r="E8301" s="7"/>
      <c r="F8301" s="7"/>
    </row>
    <row r="8302" spans="5:6" ht="15" customHeight="1" x14ac:dyDescent="0.2">
      <c r="E8302" s="7"/>
      <c r="F8302" s="7"/>
    </row>
    <row r="8303" spans="5:6" ht="15" customHeight="1" x14ac:dyDescent="0.2">
      <c r="E8303" s="7"/>
      <c r="F8303" s="7"/>
    </row>
    <row r="8304" spans="5:6" ht="15" customHeight="1" x14ac:dyDescent="0.2">
      <c r="E8304" s="7"/>
      <c r="F8304" s="7"/>
    </row>
    <row r="8305" spans="5:6" ht="15" customHeight="1" x14ac:dyDescent="0.2">
      <c r="E8305" s="7"/>
      <c r="F8305" s="7"/>
    </row>
    <row r="8306" spans="5:6" ht="15" customHeight="1" x14ac:dyDescent="0.2">
      <c r="E8306" s="7"/>
      <c r="F8306" s="7"/>
    </row>
    <row r="8307" spans="5:6" ht="15" customHeight="1" x14ac:dyDescent="0.2">
      <c r="E8307" s="7"/>
      <c r="F8307" s="7"/>
    </row>
    <row r="8308" spans="5:6" ht="15" customHeight="1" x14ac:dyDescent="0.2">
      <c r="E8308" s="7"/>
      <c r="F8308" s="7"/>
    </row>
    <row r="8309" spans="5:6" ht="15" customHeight="1" x14ac:dyDescent="0.2">
      <c r="E8309" s="7"/>
      <c r="F8309" s="7"/>
    </row>
    <row r="8310" spans="5:6" ht="15" customHeight="1" x14ac:dyDescent="0.2">
      <c r="E8310" s="7"/>
      <c r="F8310" s="7"/>
    </row>
    <row r="8311" spans="5:6" ht="15" customHeight="1" x14ac:dyDescent="0.2">
      <c r="E8311" s="7"/>
      <c r="F8311" s="7"/>
    </row>
    <row r="8312" spans="5:6" ht="15" customHeight="1" x14ac:dyDescent="0.2">
      <c r="E8312" s="7"/>
      <c r="F8312" s="7"/>
    </row>
    <row r="8313" spans="5:6" ht="15" customHeight="1" x14ac:dyDescent="0.2">
      <c r="E8313" s="7"/>
      <c r="F8313" s="7"/>
    </row>
    <row r="8314" spans="5:6" ht="15" customHeight="1" x14ac:dyDescent="0.2">
      <c r="E8314" s="7"/>
      <c r="F8314" s="7"/>
    </row>
    <row r="8315" spans="5:6" ht="15" customHeight="1" x14ac:dyDescent="0.2">
      <c r="E8315" s="7"/>
      <c r="F8315" s="7"/>
    </row>
    <row r="8316" spans="5:6" ht="15" customHeight="1" x14ac:dyDescent="0.2">
      <c r="E8316" s="7"/>
      <c r="F8316" s="7"/>
    </row>
    <row r="8317" spans="5:6" ht="15" customHeight="1" x14ac:dyDescent="0.2">
      <c r="E8317" s="7"/>
      <c r="F8317" s="7"/>
    </row>
    <row r="8318" spans="5:6" ht="15" customHeight="1" x14ac:dyDescent="0.2">
      <c r="E8318" s="7"/>
      <c r="F8318" s="7"/>
    </row>
    <row r="8319" spans="5:6" ht="15" customHeight="1" x14ac:dyDescent="0.2">
      <c r="E8319" s="7"/>
      <c r="F8319" s="7"/>
    </row>
    <row r="8320" spans="5:6" ht="15" customHeight="1" x14ac:dyDescent="0.2">
      <c r="E8320" s="7"/>
      <c r="F8320" s="7"/>
    </row>
    <row r="8321" spans="5:6" ht="15" customHeight="1" x14ac:dyDescent="0.2">
      <c r="E8321" s="7"/>
      <c r="F8321" s="7"/>
    </row>
    <row r="8322" spans="5:6" ht="15" customHeight="1" x14ac:dyDescent="0.2">
      <c r="E8322" s="7"/>
      <c r="F8322" s="7"/>
    </row>
    <row r="8323" spans="5:6" ht="15" customHeight="1" x14ac:dyDescent="0.2">
      <c r="E8323" s="7"/>
      <c r="F8323" s="7"/>
    </row>
    <row r="8324" spans="5:6" ht="15" customHeight="1" x14ac:dyDescent="0.2">
      <c r="E8324" s="7"/>
      <c r="F8324" s="7"/>
    </row>
    <row r="8325" spans="5:6" ht="15" customHeight="1" x14ac:dyDescent="0.2">
      <c r="E8325" s="7"/>
      <c r="F8325" s="7"/>
    </row>
    <row r="8326" spans="5:6" ht="15" customHeight="1" x14ac:dyDescent="0.2">
      <c r="E8326" s="7"/>
      <c r="F8326" s="7"/>
    </row>
    <row r="8327" spans="5:6" ht="15" customHeight="1" x14ac:dyDescent="0.2">
      <c r="E8327" s="7"/>
      <c r="F8327" s="7"/>
    </row>
    <row r="8328" spans="5:6" ht="15" customHeight="1" x14ac:dyDescent="0.2">
      <c r="E8328" s="7"/>
      <c r="F8328" s="7"/>
    </row>
    <row r="8329" spans="5:6" ht="15" customHeight="1" x14ac:dyDescent="0.2">
      <c r="E8329" s="7"/>
      <c r="F8329" s="7"/>
    </row>
    <row r="8330" spans="5:6" ht="15" customHeight="1" x14ac:dyDescent="0.2">
      <c r="E8330" s="7"/>
      <c r="F8330" s="7"/>
    </row>
    <row r="8331" spans="5:6" ht="15" customHeight="1" x14ac:dyDescent="0.2">
      <c r="E8331" s="7"/>
      <c r="F8331" s="7"/>
    </row>
    <row r="8332" spans="5:6" ht="15" customHeight="1" x14ac:dyDescent="0.2">
      <c r="E8332" s="7"/>
      <c r="F8332" s="7"/>
    </row>
    <row r="8333" spans="5:6" ht="15" customHeight="1" x14ac:dyDescent="0.2">
      <c r="E8333" s="7"/>
      <c r="F8333" s="7"/>
    </row>
    <row r="8334" spans="5:6" ht="15" customHeight="1" x14ac:dyDescent="0.2">
      <c r="E8334" s="7"/>
      <c r="F8334" s="7"/>
    </row>
    <row r="8335" spans="5:6" ht="15" customHeight="1" x14ac:dyDescent="0.2">
      <c r="E8335" s="7"/>
      <c r="F8335" s="7"/>
    </row>
    <row r="8336" spans="5:6" ht="15" customHeight="1" x14ac:dyDescent="0.2">
      <c r="E8336" s="7"/>
      <c r="F8336" s="7"/>
    </row>
    <row r="8337" spans="5:6" ht="15" customHeight="1" x14ac:dyDescent="0.2">
      <c r="E8337" s="7"/>
      <c r="F8337" s="7"/>
    </row>
    <row r="8338" spans="5:6" ht="15" customHeight="1" x14ac:dyDescent="0.2">
      <c r="E8338" s="7"/>
      <c r="F8338" s="7"/>
    </row>
    <row r="8339" spans="5:6" ht="15" customHeight="1" x14ac:dyDescent="0.2">
      <c r="E8339" s="7"/>
      <c r="F8339" s="7"/>
    </row>
    <row r="8340" spans="5:6" ht="15" customHeight="1" x14ac:dyDescent="0.2">
      <c r="E8340" s="7"/>
      <c r="F8340" s="7"/>
    </row>
    <row r="8341" spans="5:6" ht="15" customHeight="1" x14ac:dyDescent="0.2">
      <c r="E8341" s="7"/>
      <c r="F8341" s="7"/>
    </row>
    <row r="8342" spans="5:6" ht="15" customHeight="1" x14ac:dyDescent="0.2">
      <c r="E8342" s="7"/>
      <c r="F8342" s="7"/>
    </row>
    <row r="8343" spans="5:6" ht="15" customHeight="1" x14ac:dyDescent="0.2">
      <c r="E8343" s="7"/>
      <c r="F8343" s="7"/>
    </row>
    <row r="8344" spans="5:6" ht="15" customHeight="1" x14ac:dyDescent="0.2">
      <c r="E8344" s="7"/>
      <c r="F8344" s="7"/>
    </row>
    <row r="8345" spans="5:6" ht="15" customHeight="1" x14ac:dyDescent="0.2">
      <c r="E8345" s="7"/>
      <c r="F8345" s="7"/>
    </row>
    <row r="8346" spans="5:6" ht="15" customHeight="1" x14ac:dyDescent="0.2">
      <c r="E8346" s="7"/>
      <c r="F8346" s="7"/>
    </row>
    <row r="8347" spans="5:6" ht="15" customHeight="1" x14ac:dyDescent="0.2">
      <c r="E8347" s="7"/>
      <c r="F8347" s="7"/>
    </row>
    <row r="8348" spans="5:6" ht="15" customHeight="1" x14ac:dyDescent="0.2">
      <c r="E8348" s="7"/>
      <c r="F8348" s="7"/>
    </row>
    <row r="8349" spans="5:6" ht="15" customHeight="1" x14ac:dyDescent="0.2">
      <c r="E8349" s="7"/>
      <c r="F8349" s="7"/>
    </row>
    <row r="8350" spans="5:6" ht="15" customHeight="1" x14ac:dyDescent="0.2">
      <c r="E8350" s="7"/>
      <c r="F8350" s="7"/>
    </row>
    <row r="8351" spans="5:6" ht="15" customHeight="1" x14ac:dyDescent="0.2">
      <c r="E8351" s="7"/>
      <c r="F8351" s="7"/>
    </row>
    <row r="8352" spans="5:6" ht="15" customHeight="1" x14ac:dyDescent="0.2">
      <c r="E8352" s="7"/>
      <c r="F8352" s="7"/>
    </row>
    <row r="8353" spans="5:6" ht="15" customHeight="1" x14ac:dyDescent="0.2">
      <c r="E8353" s="7"/>
      <c r="F8353" s="7"/>
    </row>
    <row r="8354" spans="5:6" ht="15" customHeight="1" x14ac:dyDescent="0.2">
      <c r="E8354" s="7"/>
      <c r="F8354" s="7"/>
    </row>
    <row r="8355" spans="5:6" ht="15" customHeight="1" x14ac:dyDescent="0.2">
      <c r="E8355" s="7"/>
      <c r="F8355" s="7"/>
    </row>
    <row r="8356" spans="5:6" ht="15" customHeight="1" x14ac:dyDescent="0.2">
      <c r="E8356" s="7"/>
      <c r="F8356" s="7"/>
    </row>
    <row r="8357" spans="5:6" ht="15" customHeight="1" x14ac:dyDescent="0.2">
      <c r="E8357" s="7"/>
      <c r="F8357" s="7"/>
    </row>
    <row r="8358" spans="5:6" ht="15" customHeight="1" x14ac:dyDescent="0.2">
      <c r="E8358" s="7"/>
      <c r="F8358" s="7"/>
    </row>
    <row r="8359" spans="5:6" ht="15" customHeight="1" x14ac:dyDescent="0.2">
      <c r="E8359" s="7"/>
      <c r="F8359" s="7"/>
    </row>
    <row r="8360" spans="5:6" ht="15" customHeight="1" x14ac:dyDescent="0.2">
      <c r="E8360" s="7"/>
      <c r="F8360" s="7"/>
    </row>
    <row r="8361" spans="5:6" ht="15" customHeight="1" x14ac:dyDescent="0.2">
      <c r="E8361" s="7"/>
      <c r="F8361" s="7"/>
    </row>
    <row r="8362" spans="5:6" ht="15" customHeight="1" x14ac:dyDescent="0.2">
      <c r="E8362" s="7"/>
      <c r="F8362" s="7"/>
    </row>
    <row r="8363" spans="5:6" ht="15" customHeight="1" x14ac:dyDescent="0.2">
      <c r="E8363" s="7"/>
      <c r="F8363" s="7"/>
    </row>
    <row r="8364" spans="5:6" ht="15" customHeight="1" x14ac:dyDescent="0.2">
      <c r="E8364" s="7"/>
      <c r="F8364" s="7"/>
    </row>
    <row r="8365" spans="5:6" ht="15" customHeight="1" x14ac:dyDescent="0.2">
      <c r="E8365" s="7"/>
      <c r="F8365" s="7"/>
    </row>
    <row r="8366" spans="5:6" ht="15" customHeight="1" x14ac:dyDescent="0.2">
      <c r="E8366" s="7"/>
      <c r="F8366" s="7"/>
    </row>
    <row r="8367" spans="5:6" ht="15" customHeight="1" x14ac:dyDescent="0.2">
      <c r="E8367" s="7"/>
      <c r="F8367" s="7"/>
    </row>
    <row r="8368" spans="5:6" ht="15" customHeight="1" x14ac:dyDescent="0.2">
      <c r="E8368" s="7"/>
      <c r="F8368" s="7"/>
    </row>
    <row r="8369" spans="5:6" ht="15" customHeight="1" x14ac:dyDescent="0.2">
      <c r="E8369" s="7"/>
      <c r="F8369" s="7"/>
    </row>
    <row r="8370" spans="5:6" ht="15" customHeight="1" x14ac:dyDescent="0.2">
      <c r="E8370" s="7"/>
      <c r="F8370" s="7"/>
    </row>
    <row r="8371" spans="5:6" ht="15" customHeight="1" x14ac:dyDescent="0.2">
      <c r="E8371" s="7"/>
      <c r="F8371" s="7"/>
    </row>
    <row r="8372" spans="5:6" ht="15" customHeight="1" x14ac:dyDescent="0.2">
      <c r="E8372" s="7"/>
      <c r="F8372" s="7"/>
    </row>
    <row r="8373" spans="5:6" ht="15" customHeight="1" x14ac:dyDescent="0.2">
      <c r="E8373" s="7"/>
      <c r="F8373" s="7"/>
    </row>
    <row r="8374" spans="5:6" ht="15" customHeight="1" x14ac:dyDescent="0.2">
      <c r="E8374" s="7"/>
      <c r="F8374" s="7"/>
    </row>
    <row r="8375" spans="5:6" ht="15" customHeight="1" x14ac:dyDescent="0.2">
      <c r="E8375" s="7"/>
      <c r="F8375" s="7"/>
    </row>
    <row r="8376" spans="5:6" ht="15" customHeight="1" x14ac:dyDescent="0.2">
      <c r="E8376" s="7"/>
      <c r="F8376" s="7"/>
    </row>
    <row r="8377" spans="5:6" ht="15" customHeight="1" x14ac:dyDescent="0.2">
      <c r="E8377" s="7"/>
      <c r="F8377" s="7"/>
    </row>
    <row r="8378" spans="5:6" ht="15" customHeight="1" x14ac:dyDescent="0.2">
      <c r="E8378" s="7"/>
      <c r="F8378" s="7"/>
    </row>
    <row r="8379" spans="5:6" ht="15" customHeight="1" x14ac:dyDescent="0.2">
      <c r="E8379" s="7"/>
      <c r="F8379" s="7"/>
    </row>
    <row r="8380" spans="5:6" ht="15" customHeight="1" x14ac:dyDescent="0.2">
      <c r="E8380" s="7"/>
      <c r="F8380" s="7"/>
    </row>
    <row r="8381" spans="5:6" ht="15" customHeight="1" x14ac:dyDescent="0.2">
      <c r="E8381" s="7"/>
      <c r="F8381" s="7"/>
    </row>
    <row r="8382" spans="5:6" ht="15" customHeight="1" x14ac:dyDescent="0.2">
      <c r="E8382" s="7"/>
      <c r="F8382" s="7"/>
    </row>
    <row r="8383" spans="5:6" ht="15" customHeight="1" x14ac:dyDescent="0.2">
      <c r="E8383" s="7"/>
      <c r="F8383" s="7"/>
    </row>
    <row r="8384" spans="5:6" ht="15" customHeight="1" x14ac:dyDescent="0.2">
      <c r="E8384" s="7"/>
      <c r="F8384" s="7"/>
    </row>
    <row r="8385" spans="5:6" ht="15" customHeight="1" x14ac:dyDescent="0.2">
      <c r="E8385" s="7"/>
      <c r="F8385" s="7"/>
    </row>
    <row r="8386" spans="5:6" ht="15" customHeight="1" x14ac:dyDescent="0.2">
      <c r="E8386" s="7"/>
      <c r="F8386" s="7"/>
    </row>
    <row r="8387" spans="5:6" ht="15" customHeight="1" x14ac:dyDescent="0.2">
      <c r="E8387" s="7"/>
      <c r="F8387" s="7"/>
    </row>
    <row r="8388" spans="5:6" ht="15" customHeight="1" x14ac:dyDescent="0.2">
      <c r="E8388" s="7"/>
      <c r="F8388" s="7"/>
    </row>
    <row r="8389" spans="5:6" ht="15" customHeight="1" x14ac:dyDescent="0.2">
      <c r="E8389" s="7"/>
      <c r="F8389" s="7"/>
    </row>
    <row r="8390" spans="5:6" ht="15" customHeight="1" x14ac:dyDescent="0.2">
      <c r="E8390" s="7"/>
      <c r="F8390" s="7"/>
    </row>
    <row r="8391" spans="5:6" ht="15" customHeight="1" x14ac:dyDescent="0.2">
      <c r="E8391" s="7"/>
      <c r="F8391" s="7"/>
    </row>
    <row r="8392" spans="5:6" ht="15" customHeight="1" x14ac:dyDescent="0.2">
      <c r="E8392" s="7"/>
      <c r="F8392" s="7"/>
    </row>
    <row r="8393" spans="5:6" ht="15" customHeight="1" x14ac:dyDescent="0.2">
      <c r="E8393" s="7"/>
      <c r="F8393" s="7"/>
    </row>
    <row r="8394" spans="5:6" ht="15" customHeight="1" x14ac:dyDescent="0.2">
      <c r="E8394" s="7"/>
      <c r="F8394" s="7"/>
    </row>
    <row r="8395" spans="5:6" ht="15" customHeight="1" x14ac:dyDescent="0.2">
      <c r="E8395" s="7"/>
      <c r="F8395" s="7"/>
    </row>
    <row r="8396" spans="5:6" ht="15" customHeight="1" x14ac:dyDescent="0.2">
      <c r="E8396" s="7"/>
      <c r="F8396" s="7"/>
    </row>
    <row r="8397" spans="5:6" ht="15" customHeight="1" x14ac:dyDescent="0.2">
      <c r="E8397" s="7"/>
      <c r="F8397" s="7"/>
    </row>
    <row r="8398" spans="5:6" ht="15" customHeight="1" x14ac:dyDescent="0.2">
      <c r="E8398" s="7"/>
      <c r="F8398" s="7"/>
    </row>
    <row r="8399" spans="5:6" ht="15" customHeight="1" x14ac:dyDescent="0.2">
      <c r="E8399" s="7"/>
      <c r="F8399" s="7"/>
    </row>
    <row r="8400" spans="5:6" ht="15" customHeight="1" x14ac:dyDescent="0.2">
      <c r="E8400" s="7"/>
      <c r="F8400" s="7"/>
    </row>
    <row r="8401" spans="5:6" ht="15" customHeight="1" x14ac:dyDescent="0.2">
      <c r="E8401" s="7"/>
      <c r="F8401" s="7"/>
    </row>
    <row r="8402" spans="5:6" ht="15" customHeight="1" x14ac:dyDescent="0.2">
      <c r="E8402" s="7"/>
      <c r="F8402" s="7"/>
    </row>
    <row r="8403" spans="5:6" ht="15" customHeight="1" x14ac:dyDescent="0.2">
      <c r="E8403" s="7"/>
      <c r="F8403" s="7"/>
    </row>
    <row r="8404" spans="5:6" ht="15" customHeight="1" x14ac:dyDescent="0.2">
      <c r="E8404" s="7"/>
      <c r="F8404" s="7"/>
    </row>
    <row r="8405" spans="5:6" ht="15" customHeight="1" x14ac:dyDescent="0.2">
      <c r="E8405" s="7"/>
      <c r="F8405" s="7"/>
    </row>
    <row r="8406" spans="5:6" ht="15" customHeight="1" x14ac:dyDescent="0.2">
      <c r="E8406" s="7"/>
      <c r="F8406" s="7"/>
    </row>
    <row r="8407" spans="5:6" ht="15" customHeight="1" x14ac:dyDescent="0.2">
      <c r="E8407" s="7"/>
      <c r="F8407" s="7"/>
    </row>
    <row r="8408" spans="5:6" ht="15" customHeight="1" x14ac:dyDescent="0.2">
      <c r="E8408" s="7"/>
      <c r="F8408" s="7"/>
    </row>
    <row r="8409" spans="5:6" ht="15" customHeight="1" x14ac:dyDescent="0.2">
      <c r="E8409" s="7"/>
      <c r="F8409" s="7"/>
    </row>
    <row r="8410" spans="5:6" ht="15" customHeight="1" x14ac:dyDescent="0.2">
      <c r="E8410" s="7"/>
      <c r="F8410" s="7"/>
    </row>
    <row r="8411" spans="5:6" ht="15" customHeight="1" x14ac:dyDescent="0.2">
      <c r="E8411" s="7"/>
      <c r="F8411" s="7"/>
    </row>
    <row r="8412" spans="5:6" ht="15" customHeight="1" x14ac:dyDescent="0.2">
      <c r="E8412" s="7"/>
      <c r="F8412" s="7"/>
    </row>
    <row r="8413" spans="5:6" ht="15" customHeight="1" x14ac:dyDescent="0.2">
      <c r="E8413" s="7"/>
      <c r="F8413" s="7"/>
    </row>
    <row r="8414" spans="5:6" ht="15" customHeight="1" x14ac:dyDescent="0.2">
      <c r="E8414" s="7"/>
      <c r="F8414" s="7"/>
    </row>
    <row r="8415" spans="5:6" ht="15" customHeight="1" x14ac:dyDescent="0.2">
      <c r="E8415" s="7"/>
      <c r="F8415" s="7"/>
    </row>
    <row r="8416" spans="5:6" ht="15" customHeight="1" x14ac:dyDescent="0.2">
      <c r="E8416" s="7"/>
      <c r="F8416" s="7"/>
    </row>
    <row r="8417" spans="5:6" ht="15" customHeight="1" x14ac:dyDescent="0.2">
      <c r="E8417" s="7"/>
      <c r="F8417" s="7"/>
    </row>
    <row r="8418" spans="5:6" ht="15" customHeight="1" x14ac:dyDescent="0.2">
      <c r="E8418" s="7"/>
      <c r="F8418" s="7"/>
    </row>
    <row r="8419" spans="5:6" ht="15" customHeight="1" x14ac:dyDescent="0.2">
      <c r="E8419" s="7"/>
      <c r="F8419" s="7"/>
    </row>
    <row r="8420" spans="5:6" ht="15" customHeight="1" x14ac:dyDescent="0.2">
      <c r="E8420" s="7"/>
      <c r="F8420" s="7"/>
    </row>
    <row r="8421" spans="5:6" ht="15" customHeight="1" x14ac:dyDescent="0.2">
      <c r="E8421" s="7"/>
      <c r="F8421" s="7"/>
    </row>
    <row r="8422" spans="5:6" ht="15" customHeight="1" x14ac:dyDescent="0.2">
      <c r="E8422" s="7"/>
      <c r="F8422" s="7"/>
    </row>
    <row r="8423" spans="5:6" ht="15" customHeight="1" x14ac:dyDescent="0.2">
      <c r="E8423" s="7"/>
      <c r="F8423" s="7"/>
    </row>
    <row r="8424" spans="5:6" ht="15" customHeight="1" x14ac:dyDescent="0.2">
      <c r="E8424" s="7"/>
      <c r="F8424" s="7"/>
    </row>
    <row r="8425" spans="5:6" ht="15" customHeight="1" x14ac:dyDescent="0.2">
      <c r="E8425" s="7"/>
      <c r="F8425" s="7"/>
    </row>
    <row r="8426" spans="5:6" ht="15" customHeight="1" x14ac:dyDescent="0.2">
      <c r="E8426" s="7"/>
      <c r="F8426" s="7"/>
    </row>
    <row r="8427" spans="5:6" ht="15" customHeight="1" x14ac:dyDescent="0.2">
      <c r="E8427" s="7"/>
      <c r="F8427" s="7"/>
    </row>
    <row r="8428" spans="5:6" ht="15" customHeight="1" x14ac:dyDescent="0.2">
      <c r="E8428" s="7"/>
      <c r="F8428" s="7"/>
    </row>
    <row r="8429" spans="5:6" ht="15" customHeight="1" x14ac:dyDescent="0.2">
      <c r="E8429" s="7"/>
      <c r="F8429" s="7"/>
    </row>
    <row r="8430" spans="5:6" ht="15" customHeight="1" x14ac:dyDescent="0.2">
      <c r="E8430" s="7"/>
      <c r="F8430" s="7"/>
    </row>
    <row r="8431" spans="5:6" ht="15" customHeight="1" x14ac:dyDescent="0.2">
      <c r="E8431" s="7"/>
      <c r="F8431" s="7"/>
    </row>
    <row r="8432" spans="5:6" ht="15" customHeight="1" x14ac:dyDescent="0.2">
      <c r="E8432" s="7"/>
      <c r="F8432" s="7"/>
    </row>
    <row r="8433" spans="5:6" ht="15" customHeight="1" x14ac:dyDescent="0.2">
      <c r="E8433" s="7"/>
      <c r="F8433" s="7"/>
    </row>
    <row r="8434" spans="5:6" ht="15" customHeight="1" x14ac:dyDescent="0.2">
      <c r="E8434" s="7"/>
      <c r="F8434" s="7"/>
    </row>
    <row r="8435" spans="5:6" ht="15" customHeight="1" x14ac:dyDescent="0.2">
      <c r="E8435" s="7"/>
      <c r="F8435" s="7"/>
    </row>
    <row r="8436" spans="5:6" ht="15" customHeight="1" x14ac:dyDescent="0.2">
      <c r="E8436" s="7"/>
      <c r="F8436" s="7"/>
    </row>
    <row r="8437" spans="5:6" ht="15" customHeight="1" x14ac:dyDescent="0.2">
      <c r="E8437" s="7"/>
      <c r="F8437" s="7"/>
    </row>
    <row r="8438" spans="5:6" ht="15" customHeight="1" x14ac:dyDescent="0.2">
      <c r="E8438" s="7"/>
      <c r="F8438" s="7"/>
    </row>
    <row r="8439" spans="5:6" ht="15" customHeight="1" x14ac:dyDescent="0.2">
      <c r="E8439" s="7"/>
      <c r="F8439" s="7"/>
    </row>
    <row r="8440" spans="5:6" ht="15" customHeight="1" x14ac:dyDescent="0.2">
      <c r="E8440" s="7"/>
      <c r="F8440" s="7"/>
    </row>
    <row r="8441" spans="5:6" ht="15" customHeight="1" x14ac:dyDescent="0.2">
      <c r="E8441" s="7"/>
      <c r="F8441" s="7"/>
    </row>
    <row r="8442" spans="5:6" ht="15" customHeight="1" x14ac:dyDescent="0.2">
      <c r="E8442" s="7"/>
      <c r="F8442" s="7"/>
    </row>
    <row r="8443" spans="5:6" ht="15" customHeight="1" x14ac:dyDescent="0.2">
      <c r="E8443" s="7"/>
      <c r="F8443" s="7"/>
    </row>
    <row r="8444" spans="5:6" ht="15" customHeight="1" x14ac:dyDescent="0.2">
      <c r="E8444" s="7"/>
      <c r="F8444" s="7"/>
    </row>
    <row r="8445" spans="5:6" ht="15" customHeight="1" x14ac:dyDescent="0.2">
      <c r="E8445" s="7"/>
      <c r="F8445" s="7"/>
    </row>
    <row r="8446" spans="5:6" ht="15" customHeight="1" x14ac:dyDescent="0.2">
      <c r="E8446" s="7"/>
      <c r="F8446" s="7"/>
    </row>
    <row r="8447" spans="5:6" ht="15" customHeight="1" x14ac:dyDescent="0.2">
      <c r="E8447" s="7"/>
      <c r="F8447" s="7"/>
    </row>
    <row r="8448" spans="5:6" ht="15" customHeight="1" x14ac:dyDescent="0.2">
      <c r="E8448" s="7"/>
      <c r="F8448" s="7"/>
    </row>
    <row r="8449" spans="5:6" ht="15" customHeight="1" x14ac:dyDescent="0.2">
      <c r="E8449" s="7"/>
      <c r="F8449" s="7"/>
    </row>
    <row r="8450" spans="5:6" ht="15" customHeight="1" x14ac:dyDescent="0.2">
      <c r="E8450" s="7"/>
      <c r="F8450" s="7"/>
    </row>
    <row r="8451" spans="5:6" ht="15" customHeight="1" x14ac:dyDescent="0.2">
      <c r="E8451" s="7"/>
      <c r="F8451" s="7"/>
    </row>
    <row r="8452" spans="5:6" ht="15" customHeight="1" x14ac:dyDescent="0.2">
      <c r="E8452" s="7"/>
      <c r="F8452" s="7"/>
    </row>
    <row r="8453" spans="5:6" ht="15" customHeight="1" x14ac:dyDescent="0.2">
      <c r="E8453" s="7"/>
      <c r="F8453" s="7"/>
    </row>
    <row r="8454" spans="5:6" ht="15" customHeight="1" x14ac:dyDescent="0.2">
      <c r="E8454" s="7"/>
      <c r="F8454" s="7"/>
    </row>
    <row r="8455" spans="5:6" ht="15" customHeight="1" x14ac:dyDescent="0.2">
      <c r="E8455" s="7"/>
      <c r="F8455" s="7"/>
    </row>
    <row r="8456" spans="5:6" ht="15" customHeight="1" x14ac:dyDescent="0.2">
      <c r="E8456" s="7"/>
      <c r="F8456" s="7"/>
    </row>
    <row r="8457" spans="5:6" ht="15" customHeight="1" x14ac:dyDescent="0.2">
      <c r="E8457" s="7"/>
      <c r="F8457" s="7"/>
    </row>
    <row r="8458" spans="5:6" ht="15" customHeight="1" x14ac:dyDescent="0.2">
      <c r="E8458" s="7"/>
      <c r="F8458" s="7"/>
    </row>
    <row r="8459" spans="5:6" ht="15" customHeight="1" x14ac:dyDescent="0.2">
      <c r="E8459" s="7"/>
      <c r="F8459" s="7"/>
    </row>
    <row r="8460" spans="5:6" ht="15" customHeight="1" x14ac:dyDescent="0.2">
      <c r="E8460" s="7"/>
      <c r="F8460" s="7"/>
    </row>
    <row r="8461" spans="5:6" ht="15" customHeight="1" x14ac:dyDescent="0.2">
      <c r="E8461" s="7"/>
      <c r="F8461" s="7"/>
    </row>
    <row r="8462" spans="5:6" ht="15" customHeight="1" x14ac:dyDescent="0.2">
      <c r="E8462" s="7"/>
      <c r="F8462" s="7"/>
    </row>
    <row r="8463" spans="5:6" ht="15" customHeight="1" x14ac:dyDescent="0.2">
      <c r="E8463" s="7"/>
      <c r="F8463" s="7"/>
    </row>
    <row r="8464" spans="5:6" ht="15" customHeight="1" x14ac:dyDescent="0.2">
      <c r="E8464" s="7"/>
      <c r="F8464" s="7"/>
    </row>
    <row r="8465" spans="5:6" ht="15" customHeight="1" x14ac:dyDescent="0.2">
      <c r="E8465" s="7"/>
      <c r="F8465" s="7"/>
    </row>
    <row r="8466" spans="5:6" ht="15" customHeight="1" x14ac:dyDescent="0.2">
      <c r="E8466" s="7"/>
      <c r="F8466" s="7"/>
    </row>
    <row r="8467" spans="5:6" ht="15" customHeight="1" x14ac:dyDescent="0.2">
      <c r="E8467" s="7"/>
      <c r="F8467" s="7"/>
    </row>
    <row r="8468" spans="5:6" ht="15" customHeight="1" x14ac:dyDescent="0.2">
      <c r="E8468" s="7"/>
      <c r="F8468" s="7"/>
    </row>
    <row r="8469" spans="5:6" ht="15" customHeight="1" x14ac:dyDescent="0.2">
      <c r="E8469" s="7"/>
      <c r="F8469" s="7"/>
    </row>
    <row r="8470" spans="5:6" ht="15" customHeight="1" x14ac:dyDescent="0.2">
      <c r="E8470" s="7"/>
      <c r="F8470" s="7"/>
    </row>
    <row r="8471" spans="5:6" ht="15" customHeight="1" x14ac:dyDescent="0.2">
      <c r="E8471" s="7"/>
      <c r="F8471" s="7"/>
    </row>
    <row r="8472" spans="5:6" ht="15" customHeight="1" x14ac:dyDescent="0.2">
      <c r="E8472" s="7"/>
      <c r="F8472" s="7"/>
    </row>
    <row r="8473" spans="5:6" ht="15" customHeight="1" x14ac:dyDescent="0.2">
      <c r="E8473" s="7"/>
      <c r="F8473" s="7"/>
    </row>
    <row r="8474" spans="5:6" ht="15" customHeight="1" x14ac:dyDescent="0.2">
      <c r="E8474" s="7"/>
      <c r="F8474" s="7"/>
    </row>
    <row r="8475" spans="5:6" ht="15" customHeight="1" x14ac:dyDescent="0.2">
      <c r="E8475" s="7"/>
      <c r="F8475" s="7"/>
    </row>
    <row r="8476" spans="5:6" ht="15" customHeight="1" x14ac:dyDescent="0.2">
      <c r="E8476" s="7"/>
      <c r="F8476" s="7"/>
    </row>
    <row r="8477" spans="5:6" ht="15" customHeight="1" x14ac:dyDescent="0.2">
      <c r="E8477" s="7"/>
      <c r="F8477" s="7"/>
    </row>
    <row r="8478" spans="5:6" ht="15" customHeight="1" x14ac:dyDescent="0.2">
      <c r="E8478" s="7"/>
      <c r="F8478" s="7"/>
    </row>
    <row r="8479" spans="5:6" ht="15" customHeight="1" x14ac:dyDescent="0.2">
      <c r="E8479" s="7"/>
      <c r="F8479" s="7"/>
    </row>
    <row r="8480" spans="5:6" ht="15" customHeight="1" x14ac:dyDescent="0.2">
      <c r="E8480" s="7"/>
      <c r="F8480" s="7"/>
    </row>
    <row r="8481" spans="5:6" ht="15" customHeight="1" x14ac:dyDescent="0.2">
      <c r="E8481" s="7"/>
      <c r="F8481" s="7"/>
    </row>
    <row r="8482" spans="5:6" ht="15" customHeight="1" x14ac:dyDescent="0.2">
      <c r="E8482" s="7"/>
      <c r="F8482" s="7"/>
    </row>
    <row r="8483" spans="5:6" ht="15" customHeight="1" x14ac:dyDescent="0.2">
      <c r="E8483" s="7"/>
      <c r="F8483" s="7"/>
    </row>
    <row r="8484" spans="5:6" ht="15" customHeight="1" x14ac:dyDescent="0.2">
      <c r="E8484" s="7"/>
      <c r="F8484" s="7"/>
    </row>
    <row r="8485" spans="5:6" ht="15" customHeight="1" x14ac:dyDescent="0.2">
      <c r="E8485" s="7"/>
      <c r="F8485" s="7"/>
    </row>
    <row r="8486" spans="5:6" ht="15" customHeight="1" x14ac:dyDescent="0.2">
      <c r="E8486" s="7"/>
      <c r="F8486" s="7"/>
    </row>
    <row r="8487" spans="5:6" ht="15" customHeight="1" x14ac:dyDescent="0.2">
      <c r="E8487" s="7"/>
      <c r="F8487" s="7"/>
    </row>
    <row r="8488" spans="5:6" ht="15" customHeight="1" x14ac:dyDescent="0.2">
      <c r="E8488" s="7"/>
      <c r="F8488" s="7"/>
    </row>
    <row r="8489" spans="5:6" ht="15" customHeight="1" x14ac:dyDescent="0.2">
      <c r="E8489" s="7"/>
      <c r="F8489" s="7"/>
    </row>
    <row r="8490" spans="5:6" ht="15" customHeight="1" x14ac:dyDescent="0.2">
      <c r="E8490" s="7"/>
      <c r="F8490" s="7"/>
    </row>
    <row r="8491" spans="5:6" ht="15" customHeight="1" x14ac:dyDescent="0.2">
      <c r="E8491" s="7"/>
      <c r="F8491" s="7"/>
    </row>
    <row r="8492" spans="5:6" ht="15" customHeight="1" x14ac:dyDescent="0.2">
      <c r="E8492" s="7"/>
      <c r="F8492" s="7"/>
    </row>
    <row r="8493" spans="5:6" ht="15" customHeight="1" x14ac:dyDescent="0.2">
      <c r="E8493" s="7"/>
      <c r="F8493" s="7"/>
    </row>
    <row r="8494" spans="5:6" ht="15" customHeight="1" x14ac:dyDescent="0.2">
      <c r="E8494" s="7"/>
      <c r="F8494" s="7"/>
    </row>
    <row r="8495" spans="5:6" ht="15" customHeight="1" x14ac:dyDescent="0.2">
      <c r="E8495" s="7"/>
      <c r="F8495" s="7"/>
    </row>
    <row r="8496" spans="5:6" ht="15" customHeight="1" x14ac:dyDescent="0.2">
      <c r="E8496" s="7"/>
      <c r="F8496" s="7"/>
    </row>
    <row r="8497" spans="5:6" ht="15" customHeight="1" x14ac:dyDescent="0.2">
      <c r="E8497" s="7"/>
      <c r="F8497" s="7"/>
    </row>
    <row r="8498" spans="5:6" ht="15" customHeight="1" x14ac:dyDescent="0.2">
      <c r="E8498" s="7"/>
      <c r="F8498" s="7"/>
    </row>
    <row r="8499" spans="5:6" ht="15" customHeight="1" x14ac:dyDescent="0.2">
      <c r="E8499" s="7"/>
      <c r="F8499" s="7"/>
    </row>
    <row r="8500" spans="5:6" ht="15" customHeight="1" x14ac:dyDescent="0.2">
      <c r="E8500" s="7"/>
      <c r="F8500" s="7"/>
    </row>
    <row r="8501" spans="5:6" ht="15" customHeight="1" x14ac:dyDescent="0.2">
      <c r="E8501" s="7"/>
      <c r="F8501" s="7"/>
    </row>
    <row r="8502" spans="5:6" ht="15" customHeight="1" x14ac:dyDescent="0.2">
      <c r="E8502" s="7"/>
      <c r="F8502" s="7"/>
    </row>
    <row r="8503" spans="5:6" ht="15" customHeight="1" x14ac:dyDescent="0.2">
      <c r="E8503" s="7"/>
      <c r="F8503" s="7"/>
    </row>
    <row r="8504" spans="5:6" ht="15" customHeight="1" x14ac:dyDescent="0.2">
      <c r="E8504" s="7"/>
      <c r="F8504" s="7"/>
    </row>
    <row r="8505" spans="5:6" ht="15" customHeight="1" x14ac:dyDescent="0.2">
      <c r="E8505" s="7"/>
      <c r="F8505" s="7"/>
    </row>
    <row r="8506" spans="5:6" ht="15" customHeight="1" x14ac:dyDescent="0.2">
      <c r="E8506" s="7"/>
      <c r="F8506" s="7"/>
    </row>
    <row r="8507" spans="5:6" ht="15" customHeight="1" x14ac:dyDescent="0.2">
      <c r="E8507" s="7"/>
      <c r="F8507" s="7"/>
    </row>
    <row r="8508" spans="5:6" ht="15" customHeight="1" x14ac:dyDescent="0.2">
      <c r="E8508" s="7"/>
      <c r="F8508" s="7"/>
    </row>
    <row r="8509" spans="5:6" ht="15" customHeight="1" x14ac:dyDescent="0.2">
      <c r="E8509" s="7"/>
      <c r="F8509" s="7"/>
    </row>
    <row r="8510" spans="5:6" ht="15" customHeight="1" x14ac:dyDescent="0.2">
      <c r="E8510" s="7"/>
      <c r="F8510" s="7"/>
    </row>
    <row r="8511" spans="5:6" ht="15" customHeight="1" x14ac:dyDescent="0.2">
      <c r="E8511" s="7"/>
      <c r="F8511" s="7"/>
    </row>
    <row r="8512" spans="5:6" ht="15" customHeight="1" x14ac:dyDescent="0.2">
      <c r="E8512" s="7"/>
      <c r="F8512" s="7"/>
    </row>
    <row r="8513" spans="5:6" ht="15" customHeight="1" x14ac:dyDescent="0.2">
      <c r="E8513" s="7"/>
      <c r="F8513" s="7"/>
    </row>
    <row r="8514" spans="5:6" ht="15" customHeight="1" x14ac:dyDescent="0.2">
      <c r="E8514" s="7"/>
      <c r="F8514" s="7"/>
    </row>
    <row r="8515" spans="5:6" ht="15" customHeight="1" x14ac:dyDescent="0.2">
      <c r="E8515" s="7"/>
      <c r="F8515" s="7"/>
    </row>
    <row r="8516" spans="5:6" ht="15" customHeight="1" x14ac:dyDescent="0.2">
      <c r="E8516" s="7"/>
      <c r="F8516" s="7"/>
    </row>
    <row r="8517" spans="5:6" ht="15" customHeight="1" x14ac:dyDescent="0.2">
      <c r="E8517" s="7"/>
      <c r="F8517" s="7"/>
    </row>
    <row r="8518" spans="5:6" ht="15" customHeight="1" x14ac:dyDescent="0.2">
      <c r="E8518" s="7"/>
      <c r="F8518" s="7"/>
    </row>
    <row r="8519" spans="5:6" ht="15" customHeight="1" x14ac:dyDescent="0.2">
      <c r="E8519" s="7"/>
      <c r="F8519" s="7"/>
    </row>
    <row r="8520" spans="5:6" ht="15" customHeight="1" x14ac:dyDescent="0.2">
      <c r="E8520" s="7"/>
      <c r="F8520" s="7"/>
    </row>
    <row r="8521" spans="5:6" ht="15" customHeight="1" x14ac:dyDescent="0.2">
      <c r="E8521" s="7"/>
      <c r="F8521" s="7"/>
    </row>
    <row r="8522" spans="5:6" ht="15" customHeight="1" x14ac:dyDescent="0.2">
      <c r="E8522" s="7"/>
      <c r="F8522" s="7"/>
    </row>
    <row r="8523" spans="5:6" ht="15" customHeight="1" x14ac:dyDescent="0.2">
      <c r="E8523" s="7"/>
      <c r="F8523" s="7"/>
    </row>
    <row r="8524" spans="5:6" ht="15" customHeight="1" x14ac:dyDescent="0.2">
      <c r="E8524" s="7"/>
      <c r="F8524" s="7"/>
    </row>
    <row r="8525" spans="5:6" ht="15" customHeight="1" x14ac:dyDescent="0.2">
      <c r="E8525" s="7"/>
      <c r="F8525" s="7"/>
    </row>
    <row r="8526" spans="5:6" ht="15" customHeight="1" x14ac:dyDescent="0.2">
      <c r="E8526" s="7"/>
      <c r="F8526" s="7"/>
    </row>
    <row r="8527" spans="5:6" ht="15" customHeight="1" x14ac:dyDescent="0.2">
      <c r="E8527" s="7"/>
      <c r="F8527" s="7"/>
    </row>
    <row r="8528" spans="5:6" ht="15" customHeight="1" x14ac:dyDescent="0.2">
      <c r="E8528" s="7"/>
      <c r="F8528" s="7"/>
    </row>
    <row r="8529" spans="5:6" ht="15" customHeight="1" x14ac:dyDescent="0.2">
      <c r="E8529" s="7"/>
      <c r="F8529" s="7"/>
    </row>
    <row r="8530" spans="5:6" ht="15" customHeight="1" x14ac:dyDescent="0.2">
      <c r="E8530" s="7"/>
      <c r="F8530" s="7"/>
    </row>
    <row r="8531" spans="5:6" ht="15" customHeight="1" x14ac:dyDescent="0.2">
      <c r="E8531" s="7"/>
      <c r="F8531" s="7"/>
    </row>
    <row r="8532" spans="5:6" ht="15" customHeight="1" x14ac:dyDescent="0.2">
      <c r="E8532" s="7"/>
      <c r="F8532" s="7"/>
    </row>
    <row r="8533" spans="5:6" ht="15" customHeight="1" x14ac:dyDescent="0.2">
      <c r="E8533" s="7"/>
      <c r="F8533" s="7"/>
    </row>
    <row r="8534" spans="5:6" ht="15" customHeight="1" x14ac:dyDescent="0.2">
      <c r="E8534" s="7"/>
      <c r="F8534" s="7"/>
    </row>
    <row r="8535" spans="5:6" ht="15" customHeight="1" x14ac:dyDescent="0.2">
      <c r="E8535" s="7"/>
      <c r="F8535" s="7"/>
    </row>
    <row r="8536" spans="5:6" ht="15" customHeight="1" x14ac:dyDescent="0.2">
      <c r="E8536" s="7"/>
      <c r="F8536" s="7"/>
    </row>
    <row r="8537" spans="5:6" ht="15" customHeight="1" x14ac:dyDescent="0.2">
      <c r="E8537" s="7"/>
      <c r="F8537" s="7"/>
    </row>
    <row r="8538" spans="5:6" ht="15" customHeight="1" x14ac:dyDescent="0.2">
      <c r="E8538" s="7"/>
      <c r="F8538" s="7"/>
    </row>
    <row r="8539" spans="5:6" ht="15" customHeight="1" x14ac:dyDescent="0.2">
      <c r="E8539" s="7"/>
      <c r="F8539" s="7"/>
    </row>
    <row r="8540" spans="5:6" ht="15" customHeight="1" x14ac:dyDescent="0.2">
      <c r="E8540" s="7"/>
      <c r="F8540" s="7"/>
    </row>
    <row r="8541" spans="5:6" ht="15" customHeight="1" x14ac:dyDescent="0.2">
      <c r="E8541" s="7"/>
      <c r="F8541" s="7"/>
    </row>
    <row r="8542" spans="5:6" ht="15" customHeight="1" x14ac:dyDescent="0.2">
      <c r="E8542" s="7"/>
      <c r="F8542" s="7"/>
    </row>
    <row r="8543" spans="5:6" ht="15" customHeight="1" x14ac:dyDescent="0.2">
      <c r="E8543" s="7"/>
      <c r="F8543" s="7"/>
    </row>
    <row r="8544" spans="5:6" ht="15" customHeight="1" x14ac:dyDescent="0.2">
      <c r="E8544" s="7"/>
      <c r="F8544" s="7"/>
    </row>
    <row r="8545" spans="5:6" ht="15" customHeight="1" x14ac:dyDescent="0.2">
      <c r="E8545" s="7"/>
      <c r="F8545" s="7"/>
    </row>
    <row r="8546" spans="5:6" ht="15" customHeight="1" x14ac:dyDescent="0.2">
      <c r="E8546" s="7"/>
      <c r="F8546" s="7"/>
    </row>
    <row r="8547" spans="5:6" ht="15" customHeight="1" x14ac:dyDescent="0.2">
      <c r="E8547" s="7"/>
      <c r="F8547" s="7"/>
    </row>
    <row r="8548" spans="5:6" ht="15" customHeight="1" x14ac:dyDescent="0.2">
      <c r="E8548" s="7"/>
      <c r="F8548" s="7"/>
    </row>
    <row r="8549" spans="5:6" ht="15" customHeight="1" x14ac:dyDescent="0.2">
      <c r="E8549" s="7"/>
      <c r="F8549" s="7"/>
    </row>
    <row r="8550" spans="5:6" ht="15" customHeight="1" x14ac:dyDescent="0.2">
      <c r="E8550" s="7"/>
      <c r="F8550" s="7"/>
    </row>
    <row r="8551" spans="5:6" ht="15" customHeight="1" x14ac:dyDescent="0.2">
      <c r="E8551" s="7"/>
      <c r="F8551" s="7"/>
    </row>
    <row r="8552" spans="5:6" ht="15" customHeight="1" x14ac:dyDescent="0.2">
      <c r="E8552" s="7"/>
      <c r="F8552" s="7"/>
    </row>
    <row r="8553" spans="5:6" ht="15" customHeight="1" x14ac:dyDescent="0.2">
      <c r="E8553" s="7"/>
      <c r="F8553" s="7"/>
    </row>
    <row r="8554" spans="5:6" ht="15" customHeight="1" x14ac:dyDescent="0.2">
      <c r="E8554" s="7"/>
      <c r="F8554" s="7"/>
    </row>
    <row r="8555" spans="5:6" ht="15" customHeight="1" x14ac:dyDescent="0.2">
      <c r="E8555" s="7"/>
      <c r="F8555" s="7"/>
    </row>
    <row r="8556" spans="5:6" ht="15" customHeight="1" x14ac:dyDescent="0.2">
      <c r="E8556" s="7"/>
      <c r="F8556" s="7"/>
    </row>
    <row r="8557" spans="5:6" ht="15" customHeight="1" x14ac:dyDescent="0.2">
      <c r="E8557" s="7"/>
      <c r="F8557" s="7"/>
    </row>
    <row r="8558" spans="5:6" ht="15" customHeight="1" x14ac:dyDescent="0.2">
      <c r="E8558" s="7"/>
      <c r="F8558" s="7"/>
    </row>
    <row r="8559" spans="5:6" ht="15" customHeight="1" x14ac:dyDescent="0.2">
      <c r="E8559" s="7"/>
      <c r="F8559" s="7"/>
    </row>
    <row r="8560" spans="5:6" ht="15" customHeight="1" x14ac:dyDescent="0.2">
      <c r="E8560" s="7"/>
      <c r="F8560" s="7"/>
    </row>
    <row r="8561" spans="5:6" ht="15" customHeight="1" x14ac:dyDescent="0.2">
      <c r="E8561" s="7"/>
      <c r="F8561" s="7"/>
    </row>
    <row r="8562" spans="5:6" ht="15" customHeight="1" x14ac:dyDescent="0.2">
      <c r="E8562" s="7"/>
      <c r="F8562" s="7"/>
    </row>
    <row r="8563" spans="5:6" ht="15" customHeight="1" x14ac:dyDescent="0.2">
      <c r="E8563" s="7"/>
      <c r="F8563" s="7"/>
    </row>
    <row r="8564" spans="5:6" ht="15" customHeight="1" x14ac:dyDescent="0.2">
      <c r="E8564" s="7"/>
      <c r="F8564" s="7"/>
    </row>
    <row r="8565" spans="5:6" ht="15" customHeight="1" x14ac:dyDescent="0.2">
      <c r="E8565" s="7"/>
      <c r="F8565" s="7"/>
    </row>
    <row r="8566" spans="5:6" ht="15" customHeight="1" x14ac:dyDescent="0.2">
      <c r="E8566" s="7"/>
      <c r="F8566" s="7"/>
    </row>
    <row r="8567" spans="5:6" ht="15" customHeight="1" x14ac:dyDescent="0.2">
      <c r="E8567" s="7"/>
      <c r="F8567" s="7"/>
    </row>
    <row r="8568" spans="5:6" ht="15" customHeight="1" x14ac:dyDescent="0.2">
      <c r="E8568" s="7"/>
      <c r="F8568" s="7"/>
    </row>
    <row r="8569" spans="5:6" ht="15" customHeight="1" x14ac:dyDescent="0.2">
      <c r="E8569" s="7"/>
      <c r="F8569" s="7"/>
    </row>
    <row r="8570" spans="5:6" ht="15" customHeight="1" x14ac:dyDescent="0.2">
      <c r="E8570" s="7"/>
      <c r="F8570" s="7"/>
    </row>
    <row r="8571" spans="5:6" ht="15" customHeight="1" x14ac:dyDescent="0.2">
      <c r="E8571" s="7"/>
      <c r="F8571" s="7"/>
    </row>
    <row r="8572" spans="5:6" ht="15" customHeight="1" x14ac:dyDescent="0.2">
      <c r="E8572" s="7"/>
      <c r="F8572" s="7"/>
    </row>
    <row r="8573" spans="5:6" ht="15" customHeight="1" x14ac:dyDescent="0.2">
      <c r="E8573" s="7"/>
      <c r="F8573" s="7"/>
    </row>
    <row r="8574" spans="5:6" ht="15" customHeight="1" x14ac:dyDescent="0.2">
      <c r="E8574" s="7"/>
      <c r="F8574" s="7"/>
    </row>
    <row r="8575" spans="5:6" ht="15" customHeight="1" x14ac:dyDescent="0.2">
      <c r="E8575" s="7"/>
      <c r="F8575" s="7"/>
    </row>
    <row r="8576" spans="5:6" ht="15" customHeight="1" x14ac:dyDescent="0.2">
      <c r="E8576" s="7"/>
      <c r="F8576" s="7"/>
    </row>
    <row r="8577" spans="5:6" ht="15" customHeight="1" x14ac:dyDescent="0.2">
      <c r="E8577" s="7"/>
      <c r="F8577" s="7"/>
    </row>
    <row r="8578" spans="5:6" ht="15" customHeight="1" x14ac:dyDescent="0.2">
      <c r="E8578" s="7"/>
      <c r="F8578" s="7"/>
    </row>
    <row r="8579" spans="5:6" ht="15" customHeight="1" x14ac:dyDescent="0.2">
      <c r="E8579" s="7"/>
      <c r="F8579" s="7"/>
    </row>
    <row r="8580" spans="5:6" ht="15" customHeight="1" x14ac:dyDescent="0.2">
      <c r="E8580" s="7"/>
      <c r="F8580" s="7"/>
    </row>
    <row r="8581" spans="5:6" ht="15" customHeight="1" x14ac:dyDescent="0.2">
      <c r="E8581" s="7"/>
      <c r="F8581" s="7"/>
    </row>
    <row r="8582" spans="5:6" ht="15" customHeight="1" x14ac:dyDescent="0.2">
      <c r="E8582" s="7"/>
      <c r="F8582" s="7"/>
    </row>
    <row r="8583" spans="5:6" ht="15" customHeight="1" x14ac:dyDescent="0.2">
      <c r="E8583" s="7"/>
      <c r="F8583" s="7"/>
    </row>
    <row r="8584" spans="5:6" ht="15" customHeight="1" x14ac:dyDescent="0.2">
      <c r="E8584" s="7"/>
      <c r="F8584" s="7"/>
    </row>
    <row r="8585" spans="5:6" ht="15" customHeight="1" x14ac:dyDescent="0.2">
      <c r="E8585" s="7"/>
      <c r="F8585" s="7"/>
    </row>
    <row r="8586" spans="5:6" ht="15" customHeight="1" x14ac:dyDescent="0.2">
      <c r="E8586" s="7"/>
      <c r="F8586" s="7"/>
    </row>
    <row r="8587" spans="5:6" ht="15" customHeight="1" x14ac:dyDescent="0.2">
      <c r="E8587" s="7"/>
      <c r="F8587" s="7"/>
    </row>
    <row r="8588" spans="5:6" ht="15" customHeight="1" x14ac:dyDescent="0.2">
      <c r="E8588" s="7"/>
      <c r="F8588" s="7"/>
    </row>
    <row r="8589" spans="5:6" ht="15" customHeight="1" x14ac:dyDescent="0.2">
      <c r="E8589" s="7"/>
      <c r="F8589" s="7"/>
    </row>
    <row r="8590" spans="5:6" ht="15" customHeight="1" x14ac:dyDescent="0.2">
      <c r="E8590" s="7"/>
      <c r="F8590" s="7"/>
    </row>
    <row r="8591" spans="5:6" ht="15" customHeight="1" x14ac:dyDescent="0.2">
      <c r="E8591" s="7"/>
      <c r="F8591" s="7"/>
    </row>
    <row r="8592" spans="5:6" ht="15" customHeight="1" x14ac:dyDescent="0.2">
      <c r="E8592" s="7"/>
      <c r="F8592" s="7"/>
    </row>
    <row r="8593" spans="5:6" ht="15" customHeight="1" x14ac:dyDescent="0.2">
      <c r="E8593" s="7"/>
      <c r="F8593" s="7"/>
    </row>
    <row r="8594" spans="5:6" ht="15" customHeight="1" x14ac:dyDescent="0.2">
      <c r="E8594" s="7"/>
      <c r="F8594" s="7"/>
    </row>
    <row r="8595" spans="5:6" ht="15" customHeight="1" x14ac:dyDescent="0.2">
      <c r="E8595" s="7"/>
      <c r="F8595" s="7"/>
    </row>
    <row r="8596" spans="5:6" ht="15" customHeight="1" x14ac:dyDescent="0.2">
      <c r="E8596" s="7"/>
      <c r="F8596" s="7"/>
    </row>
    <row r="8597" spans="5:6" ht="15" customHeight="1" x14ac:dyDescent="0.2">
      <c r="E8597" s="7"/>
      <c r="F8597" s="7"/>
    </row>
    <row r="8598" spans="5:6" ht="15" customHeight="1" x14ac:dyDescent="0.2">
      <c r="E8598" s="7"/>
      <c r="F8598" s="7"/>
    </row>
    <row r="8599" spans="5:6" ht="15" customHeight="1" x14ac:dyDescent="0.2">
      <c r="E8599" s="7"/>
      <c r="F8599" s="7"/>
    </row>
    <row r="8600" spans="5:6" ht="15" customHeight="1" x14ac:dyDescent="0.2">
      <c r="E8600" s="7"/>
      <c r="F8600" s="7"/>
    </row>
    <row r="8601" spans="5:6" ht="15" customHeight="1" x14ac:dyDescent="0.2">
      <c r="E8601" s="7"/>
      <c r="F8601" s="7"/>
    </row>
    <row r="8602" spans="5:6" ht="15" customHeight="1" x14ac:dyDescent="0.2">
      <c r="E8602" s="7"/>
      <c r="F8602" s="7"/>
    </row>
    <row r="8603" spans="5:6" ht="15" customHeight="1" x14ac:dyDescent="0.2">
      <c r="E8603" s="7"/>
      <c r="F8603" s="7"/>
    </row>
    <row r="8604" spans="5:6" ht="15" customHeight="1" x14ac:dyDescent="0.2">
      <c r="E8604" s="7"/>
      <c r="F8604" s="7"/>
    </row>
    <row r="8605" spans="5:6" ht="15" customHeight="1" x14ac:dyDescent="0.2">
      <c r="E8605" s="7"/>
      <c r="F8605" s="7"/>
    </row>
    <row r="8606" spans="5:6" ht="15" customHeight="1" x14ac:dyDescent="0.2">
      <c r="E8606" s="7"/>
      <c r="F8606" s="7"/>
    </row>
    <row r="8607" spans="5:6" ht="15" customHeight="1" x14ac:dyDescent="0.2">
      <c r="E8607" s="7"/>
      <c r="F8607" s="7"/>
    </row>
    <row r="8608" spans="5:6" ht="15" customHeight="1" x14ac:dyDescent="0.2">
      <c r="E8608" s="7"/>
      <c r="F8608" s="7"/>
    </row>
    <row r="8609" spans="5:6" ht="15" customHeight="1" x14ac:dyDescent="0.2">
      <c r="E8609" s="7"/>
      <c r="F8609" s="7"/>
    </row>
    <row r="8610" spans="5:6" ht="15" customHeight="1" x14ac:dyDescent="0.2">
      <c r="E8610" s="7"/>
      <c r="F8610" s="7"/>
    </row>
    <row r="8611" spans="5:6" ht="15" customHeight="1" x14ac:dyDescent="0.2">
      <c r="E8611" s="7"/>
      <c r="F8611" s="7"/>
    </row>
    <row r="8612" spans="5:6" ht="15" customHeight="1" x14ac:dyDescent="0.2">
      <c r="E8612" s="7"/>
      <c r="F8612" s="7"/>
    </row>
    <row r="8613" spans="5:6" ht="15" customHeight="1" x14ac:dyDescent="0.2">
      <c r="E8613" s="7"/>
      <c r="F8613" s="7"/>
    </row>
    <row r="8614" spans="5:6" ht="15" customHeight="1" x14ac:dyDescent="0.2">
      <c r="E8614" s="7"/>
      <c r="F8614" s="7"/>
    </row>
    <row r="8615" spans="5:6" ht="15" customHeight="1" x14ac:dyDescent="0.2">
      <c r="E8615" s="7"/>
      <c r="F8615" s="7"/>
    </row>
    <row r="8616" spans="5:6" ht="15" customHeight="1" x14ac:dyDescent="0.2">
      <c r="E8616" s="7"/>
      <c r="F8616" s="7"/>
    </row>
    <row r="8617" spans="5:6" ht="15" customHeight="1" x14ac:dyDescent="0.2">
      <c r="E8617" s="7"/>
      <c r="F8617" s="7"/>
    </row>
    <row r="8618" spans="5:6" ht="15" customHeight="1" x14ac:dyDescent="0.2">
      <c r="E8618" s="7"/>
      <c r="F8618" s="7"/>
    </row>
    <row r="8619" spans="5:6" ht="15" customHeight="1" x14ac:dyDescent="0.2">
      <c r="E8619" s="7"/>
      <c r="F8619" s="7"/>
    </row>
    <row r="8620" spans="5:6" ht="15" customHeight="1" x14ac:dyDescent="0.2">
      <c r="E8620" s="7"/>
      <c r="F8620" s="7"/>
    </row>
    <row r="8621" spans="5:6" ht="15" customHeight="1" x14ac:dyDescent="0.2">
      <c r="E8621" s="7"/>
      <c r="F8621" s="7"/>
    </row>
    <row r="8622" spans="5:6" ht="15" customHeight="1" x14ac:dyDescent="0.2">
      <c r="E8622" s="7"/>
      <c r="F8622" s="7"/>
    </row>
    <row r="8623" spans="5:6" ht="15" customHeight="1" x14ac:dyDescent="0.2">
      <c r="E8623" s="7"/>
      <c r="F8623" s="7"/>
    </row>
    <row r="8624" spans="5:6" ht="15" customHeight="1" x14ac:dyDescent="0.2">
      <c r="E8624" s="7"/>
      <c r="F8624" s="7"/>
    </row>
    <row r="8625" spans="5:6" ht="15" customHeight="1" x14ac:dyDescent="0.2">
      <c r="E8625" s="7"/>
      <c r="F8625" s="7"/>
    </row>
    <row r="8626" spans="5:6" ht="15" customHeight="1" x14ac:dyDescent="0.2">
      <c r="E8626" s="7"/>
      <c r="F8626" s="7"/>
    </row>
    <row r="8627" spans="5:6" ht="15" customHeight="1" x14ac:dyDescent="0.2">
      <c r="E8627" s="7"/>
      <c r="F8627" s="7"/>
    </row>
    <row r="8628" spans="5:6" ht="15" customHeight="1" x14ac:dyDescent="0.2">
      <c r="E8628" s="7"/>
      <c r="F8628" s="7"/>
    </row>
    <row r="8629" spans="5:6" ht="15" customHeight="1" x14ac:dyDescent="0.2">
      <c r="E8629" s="7"/>
      <c r="F8629" s="7"/>
    </row>
    <row r="8630" spans="5:6" ht="15" customHeight="1" x14ac:dyDescent="0.2">
      <c r="E8630" s="7"/>
      <c r="F8630" s="7"/>
    </row>
    <row r="8631" spans="5:6" ht="15" customHeight="1" x14ac:dyDescent="0.2">
      <c r="E8631" s="7"/>
      <c r="F8631" s="7"/>
    </row>
    <row r="8632" spans="5:6" ht="15" customHeight="1" x14ac:dyDescent="0.2">
      <c r="E8632" s="7"/>
      <c r="F8632" s="7"/>
    </row>
    <row r="8633" spans="5:6" ht="15" customHeight="1" x14ac:dyDescent="0.2">
      <c r="E8633" s="7"/>
      <c r="F8633" s="7"/>
    </row>
    <row r="8634" spans="5:6" ht="15" customHeight="1" x14ac:dyDescent="0.2">
      <c r="E8634" s="7"/>
      <c r="F8634" s="7"/>
    </row>
    <row r="8635" spans="5:6" ht="15" customHeight="1" x14ac:dyDescent="0.2">
      <c r="E8635" s="7"/>
      <c r="F8635" s="7"/>
    </row>
    <row r="8636" spans="5:6" ht="15" customHeight="1" x14ac:dyDescent="0.2">
      <c r="E8636" s="7"/>
      <c r="F8636" s="7"/>
    </row>
    <row r="8637" spans="5:6" ht="15" customHeight="1" x14ac:dyDescent="0.2">
      <c r="E8637" s="7"/>
      <c r="F8637" s="7"/>
    </row>
    <row r="8638" spans="5:6" ht="15" customHeight="1" x14ac:dyDescent="0.2">
      <c r="E8638" s="7"/>
      <c r="F8638" s="7"/>
    </row>
    <row r="8639" spans="5:6" ht="15" customHeight="1" x14ac:dyDescent="0.2">
      <c r="E8639" s="7"/>
      <c r="F8639" s="7"/>
    </row>
    <row r="8640" spans="5:6" ht="15" customHeight="1" x14ac:dyDescent="0.2">
      <c r="E8640" s="7"/>
      <c r="F8640" s="7"/>
    </row>
    <row r="8641" spans="5:6" ht="15" customHeight="1" x14ac:dyDescent="0.2">
      <c r="E8641" s="7"/>
      <c r="F8641" s="7"/>
    </row>
    <row r="8642" spans="5:6" ht="15" customHeight="1" x14ac:dyDescent="0.2">
      <c r="E8642" s="7"/>
      <c r="F8642" s="7"/>
    </row>
    <row r="8643" spans="5:6" ht="15" customHeight="1" x14ac:dyDescent="0.2">
      <c r="E8643" s="7"/>
      <c r="F8643" s="7"/>
    </row>
    <row r="8644" spans="5:6" ht="15" customHeight="1" x14ac:dyDescent="0.2">
      <c r="E8644" s="7"/>
      <c r="F8644" s="7"/>
    </row>
    <row r="8645" spans="5:6" ht="15" customHeight="1" x14ac:dyDescent="0.2">
      <c r="E8645" s="7"/>
      <c r="F8645" s="7"/>
    </row>
    <row r="8646" spans="5:6" ht="15" customHeight="1" x14ac:dyDescent="0.2">
      <c r="E8646" s="7"/>
      <c r="F8646" s="7"/>
    </row>
    <row r="8647" spans="5:6" ht="15" customHeight="1" x14ac:dyDescent="0.2">
      <c r="E8647" s="7"/>
      <c r="F8647" s="7"/>
    </row>
    <row r="8648" spans="5:6" ht="15" customHeight="1" x14ac:dyDescent="0.2">
      <c r="E8648" s="7"/>
      <c r="F8648" s="7"/>
    </row>
    <row r="8649" spans="5:6" ht="15" customHeight="1" x14ac:dyDescent="0.2">
      <c r="E8649" s="7"/>
      <c r="F8649" s="7"/>
    </row>
    <row r="8650" spans="5:6" ht="15" customHeight="1" x14ac:dyDescent="0.2">
      <c r="E8650" s="7"/>
      <c r="F8650" s="7"/>
    </row>
    <row r="8651" spans="5:6" ht="15" customHeight="1" x14ac:dyDescent="0.2">
      <c r="E8651" s="7"/>
      <c r="F8651" s="7"/>
    </row>
    <row r="8652" spans="5:6" ht="15" customHeight="1" x14ac:dyDescent="0.2">
      <c r="E8652" s="7"/>
      <c r="F8652" s="7"/>
    </row>
    <row r="8653" spans="5:6" ht="15" customHeight="1" x14ac:dyDescent="0.2">
      <c r="E8653" s="7"/>
      <c r="F8653" s="7"/>
    </row>
    <row r="8654" spans="5:6" ht="15" customHeight="1" x14ac:dyDescent="0.2">
      <c r="E8654" s="7"/>
      <c r="F8654" s="7"/>
    </row>
    <row r="8655" spans="5:6" ht="15" customHeight="1" x14ac:dyDescent="0.2">
      <c r="E8655" s="7"/>
      <c r="F8655" s="7"/>
    </row>
    <row r="8656" spans="5:6" ht="15" customHeight="1" x14ac:dyDescent="0.2">
      <c r="E8656" s="7"/>
      <c r="F8656" s="7"/>
    </row>
    <row r="8657" spans="5:6" ht="15" customHeight="1" x14ac:dyDescent="0.2">
      <c r="E8657" s="7"/>
      <c r="F8657" s="7"/>
    </row>
    <row r="8658" spans="5:6" ht="15" customHeight="1" x14ac:dyDescent="0.2">
      <c r="E8658" s="7"/>
      <c r="F8658" s="7"/>
    </row>
    <row r="8659" spans="5:6" ht="15" customHeight="1" x14ac:dyDescent="0.2">
      <c r="E8659" s="7"/>
      <c r="F8659" s="7"/>
    </row>
    <row r="8660" spans="5:6" ht="15" customHeight="1" x14ac:dyDescent="0.2">
      <c r="E8660" s="7"/>
      <c r="F8660" s="7"/>
    </row>
    <row r="8661" spans="5:6" ht="15" customHeight="1" x14ac:dyDescent="0.2">
      <c r="E8661" s="7"/>
      <c r="F8661" s="7"/>
    </row>
    <row r="8662" spans="5:6" ht="15" customHeight="1" x14ac:dyDescent="0.2">
      <c r="E8662" s="7"/>
      <c r="F8662" s="7"/>
    </row>
    <row r="8663" spans="5:6" ht="15" customHeight="1" x14ac:dyDescent="0.2">
      <c r="E8663" s="7"/>
      <c r="F8663" s="7"/>
    </row>
    <row r="8664" spans="5:6" ht="15" customHeight="1" x14ac:dyDescent="0.2">
      <c r="E8664" s="7"/>
      <c r="F8664" s="7"/>
    </row>
    <row r="8665" spans="5:6" ht="15" customHeight="1" x14ac:dyDescent="0.2">
      <c r="E8665" s="7"/>
      <c r="F8665" s="7"/>
    </row>
    <row r="8666" spans="5:6" ht="15" customHeight="1" x14ac:dyDescent="0.2">
      <c r="E8666" s="7"/>
      <c r="F8666" s="7"/>
    </row>
    <row r="8667" spans="5:6" ht="15" customHeight="1" x14ac:dyDescent="0.2">
      <c r="E8667" s="7"/>
      <c r="F8667" s="7"/>
    </row>
    <row r="8668" spans="5:6" ht="15" customHeight="1" x14ac:dyDescent="0.2">
      <c r="E8668" s="7"/>
      <c r="F8668" s="7"/>
    </row>
    <row r="8669" spans="5:6" ht="15" customHeight="1" x14ac:dyDescent="0.2">
      <c r="E8669" s="7"/>
      <c r="F8669" s="7"/>
    </row>
    <row r="8670" spans="5:6" ht="15" customHeight="1" x14ac:dyDescent="0.2">
      <c r="E8670" s="7"/>
      <c r="F8670" s="7"/>
    </row>
    <row r="8671" spans="5:6" ht="15" customHeight="1" x14ac:dyDescent="0.2">
      <c r="E8671" s="7"/>
      <c r="F8671" s="7"/>
    </row>
    <row r="8672" spans="5:6" ht="15" customHeight="1" x14ac:dyDescent="0.2">
      <c r="E8672" s="7"/>
      <c r="F8672" s="7"/>
    </row>
    <row r="8673" spans="5:6" ht="15" customHeight="1" x14ac:dyDescent="0.2">
      <c r="E8673" s="7"/>
      <c r="F8673" s="7"/>
    </row>
    <row r="8674" spans="5:6" ht="15" customHeight="1" x14ac:dyDescent="0.2">
      <c r="E8674" s="7"/>
      <c r="F8674" s="7"/>
    </row>
    <row r="8675" spans="5:6" ht="15" customHeight="1" x14ac:dyDescent="0.2">
      <c r="E8675" s="7"/>
      <c r="F8675" s="7"/>
    </row>
    <row r="8676" spans="5:6" ht="15" customHeight="1" x14ac:dyDescent="0.2">
      <c r="E8676" s="7"/>
      <c r="F8676" s="7"/>
    </row>
    <row r="8677" spans="5:6" ht="15" customHeight="1" x14ac:dyDescent="0.2">
      <c r="E8677" s="7"/>
      <c r="F8677" s="7"/>
    </row>
    <row r="8678" spans="5:6" ht="15" customHeight="1" x14ac:dyDescent="0.2">
      <c r="E8678" s="7"/>
      <c r="F8678" s="7"/>
    </row>
    <row r="8679" spans="5:6" ht="15" customHeight="1" x14ac:dyDescent="0.2">
      <c r="E8679" s="7"/>
      <c r="F8679" s="7"/>
    </row>
    <row r="8680" spans="5:6" ht="15" customHeight="1" x14ac:dyDescent="0.2">
      <c r="E8680" s="7"/>
      <c r="F8680" s="7"/>
    </row>
    <row r="8681" spans="5:6" ht="15" customHeight="1" x14ac:dyDescent="0.2">
      <c r="E8681" s="7"/>
      <c r="F8681" s="7"/>
    </row>
    <row r="8682" spans="5:6" ht="15" customHeight="1" x14ac:dyDescent="0.2">
      <c r="E8682" s="7"/>
      <c r="F8682" s="7"/>
    </row>
    <row r="8683" spans="5:6" ht="15" customHeight="1" x14ac:dyDescent="0.2">
      <c r="E8683" s="7"/>
      <c r="F8683" s="7"/>
    </row>
    <row r="8684" spans="5:6" ht="15" customHeight="1" x14ac:dyDescent="0.2">
      <c r="E8684" s="7"/>
      <c r="F8684" s="7"/>
    </row>
    <row r="8685" spans="5:6" ht="15" customHeight="1" x14ac:dyDescent="0.2">
      <c r="E8685" s="7"/>
      <c r="F8685" s="7"/>
    </row>
    <row r="8686" spans="5:6" ht="15" customHeight="1" x14ac:dyDescent="0.2">
      <c r="E8686" s="7"/>
      <c r="F8686" s="7"/>
    </row>
    <row r="8687" spans="5:6" ht="15" customHeight="1" x14ac:dyDescent="0.2">
      <c r="E8687" s="7"/>
      <c r="F8687" s="7"/>
    </row>
    <row r="8688" spans="5:6" ht="15" customHeight="1" x14ac:dyDescent="0.2">
      <c r="E8688" s="7"/>
      <c r="F8688" s="7"/>
    </row>
    <row r="8689" spans="5:6" ht="15" customHeight="1" x14ac:dyDescent="0.2">
      <c r="E8689" s="7"/>
      <c r="F8689" s="7"/>
    </row>
    <row r="8690" spans="5:6" ht="15" customHeight="1" x14ac:dyDescent="0.2">
      <c r="E8690" s="7"/>
      <c r="F8690" s="7"/>
    </row>
    <row r="8691" spans="5:6" ht="15" customHeight="1" x14ac:dyDescent="0.2">
      <c r="E8691" s="7"/>
      <c r="F8691" s="7"/>
    </row>
    <row r="8692" spans="5:6" ht="15" customHeight="1" x14ac:dyDescent="0.2">
      <c r="E8692" s="7"/>
      <c r="F8692" s="7"/>
    </row>
    <row r="8693" spans="5:6" ht="15" customHeight="1" x14ac:dyDescent="0.2">
      <c r="E8693" s="7"/>
      <c r="F8693" s="7"/>
    </row>
    <row r="8694" spans="5:6" ht="15" customHeight="1" x14ac:dyDescent="0.2">
      <c r="E8694" s="7"/>
      <c r="F8694" s="7"/>
    </row>
    <row r="8695" spans="5:6" ht="15" customHeight="1" x14ac:dyDescent="0.2">
      <c r="E8695" s="7"/>
      <c r="F8695" s="7"/>
    </row>
    <row r="8696" spans="5:6" ht="15" customHeight="1" x14ac:dyDescent="0.2">
      <c r="E8696" s="7"/>
      <c r="F8696" s="7"/>
    </row>
    <row r="8697" spans="5:6" ht="15" customHeight="1" x14ac:dyDescent="0.2">
      <c r="E8697" s="7"/>
      <c r="F8697" s="7"/>
    </row>
    <row r="8698" spans="5:6" ht="15" customHeight="1" x14ac:dyDescent="0.2">
      <c r="E8698" s="7"/>
      <c r="F8698" s="7"/>
    </row>
    <row r="8699" spans="5:6" ht="15" customHeight="1" x14ac:dyDescent="0.2">
      <c r="E8699" s="7"/>
      <c r="F8699" s="7"/>
    </row>
    <row r="8700" spans="5:6" ht="15" customHeight="1" x14ac:dyDescent="0.2">
      <c r="E8700" s="7"/>
      <c r="F8700" s="7"/>
    </row>
    <row r="8701" spans="5:6" ht="15" customHeight="1" x14ac:dyDescent="0.2">
      <c r="E8701" s="7"/>
      <c r="F8701" s="7"/>
    </row>
    <row r="8702" spans="5:6" ht="15" customHeight="1" x14ac:dyDescent="0.2">
      <c r="E8702" s="7"/>
      <c r="F8702" s="7"/>
    </row>
    <row r="8703" spans="5:6" ht="15" customHeight="1" x14ac:dyDescent="0.2">
      <c r="E8703" s="7"/>
      <c r="F8703" s="7"/>
    </row>
    <row r="8704" spans="5:6" ht="15" customHeight="1" x14ac:dyDescent="0.2">
      <c r="E8704" s="7"/>
      <c r="F8704" s="7"/>
    </row>
    <row r="8705" spans="5:6" ht="15" customHeight="1" x14ac:dyDescent="0.2">
      <c r="E8705" s="7"/>
      <c r="F8705" s="7"/>
    </row>
    <row r="8706" spans="5:6" ht="15" customHeight="1" x14ac:dyDescent="0.2">
      <c r="E8706" s="7"/>
      <c r="F8706" s="7"/>
    </row>
    <row r="8707" spans="5:6" ht="15" customHeight="1" x14ac:dyDescent="0.2">
      <c r="E8707" s="7"/>
      <c r="F8707" s="7"/>
    </row>
    <row r="8708" spans="5:6" ht="15" customHeight="1" x14ac:dyDescent="0.2">
      <c r="E8708" s="7"/>
      <c r="F8708" s="7"/>
    </row>
    <row r="8709" spans="5:6" ht="15" customHeight="1" x14ac:dyDescent="0.2">
      <c r="E8709" s="7"/>
      <c r="F8709" s="7"/>
    </row>
    <row r="8710" spans="5:6" ht="15" customHeight="1" x14ac:dyDescent="0.2">
      <c r="E8710" s="7"/>
      <c r="F8710" s="7"/>
    </row>
    <row r="8711" spans="5:6" ht="15" customHeight="1" x14ac:dyDescent="0.2">
      <c r="E8711" s="7"/>
      <c r="F8711" s="7"/>
    </row>
    <row r="8712" spans="5:6" ht="15" customHeight="1" x14ac:dyDescent="0.2">
      <c r="E8712" s="7"/>
      <c r="F8712" s="7"/>
    </row>
    <row r="8713" spans="5:6" ht="15" customHeight="1" x14ac:dyDescent="0.2">
      <c r="E8713" s="7"/>
      <c r="F8713" s="7"/>
    </row>
    <row r="8714" spans="5:6" ht="15" customHeight="1" x14ac:dyDescent="0.2">
      <c r="E8714" s="7"/>
      <c r="F8714" s="7"/>
    </row>
    <row r="8715" spans="5:6" ht="15" customHeight="1" x14ac:dyDescent="0.2">
      <c r="E8715" s="7"/>
      <c r="F8715" s="7"/>
    </row>
    <row r="8716" spans="5:6" ht="15" customHeight="1" x14ac:dyDescent="0.2">
      <c r="E8716" s="7"/>
      <c r="F8716" s="7"/>
    </row>
    <row r="8717" spans="5:6" ht="15" customHeight="1" x14ac:dyDescent="0.2">
      <c r="E8717" s="7"/>
      <c r="F8717" s="7"/>
    </row>
    <row r="8718" spans="5:6" ht="15" customHeight="1" x14ac:dyDescent="0.2">
      <c r="E8718" s="7"/>
      <c r="F8718" s="7"/>
    </row>
    <row r="8719" spans="5:6" ht="15" customHeight="1" x14ac:dyDescent="0.2">
      <c r="E8719" s="7"/>
      <c r="F8719" s="7"/>
    </row>
    <row r="8720" spans="5:6" ht="15" customHeight="1" x14ac:dyDescent="0.2">
      <c r="E8720" s="7"/>
      <c r="F8720" s="7"/>
    </row>
    <row r="8721" spans="5:6" ht="15" customHeight="1" x14ac:dyDescent="0.2">
      <c r="E8721" s="7"/>
      <c r="F8721" s="7"/>
    </row>
    <row r="8722" spans="5:6" ht="15" customHeight="1" x14ac:dyDescent="0.2">
      <c r="E8722" s="7"/>
      <c r="F8722" s="7"/>
    </row>
    <row r="8723" spans="5:6" ht="15" customHeight="1" x14ac:dyDescent="0.2">
      <c r="E8723" s="7"/>
      <c r="F8723" s="7"/>
    </row>
    <row r="8724" spans="5:6" ht="15" customHeight="1" x14ac:dyDescent="0.2">
      <c r="E8724" s="7"/>
      <c r="F8724" s="7"/>
    </row>
    <row r="8725" spans="5:6" ht="15" customHeight="1" x14ac:dyDescent="0.2">
      <c r="E8725" s="7"/>
      <c r="F8725" s="7"/>
    </row>
    <row r="8726" spans="5:6" ht="15" customHeight="1" x14ac:dyDescent="0.2">
      <c r="E8726" s="7"/>
      <c r="F8726" s="7"/>
    </row>
    <row r="8727" spans="5:6" ht="15" customHeight="1" x14ac:dyDescent="0.2">
      <c r="E8727" s="7"/>
      <c r="F8727" s="7"/>
    </row>
    <row r="8728" spans="5:6" ht="15" customHeight="1" x14ac:dyDescent="0.2">
      <c r="E8728" s="7"/>
      <c r="F8728" s="7"/>
    </row>
    <row r="8729" spans="5:6" ht="15" customHeight="1" x14ac:dyDescent="0.2">
      <c r="E8729" s="7"/>
      <c r="F8729" s="7"/>
    </row>
    <row r="8730" spans="5:6" ht="15" customHeight="1" x14ac:dyDescent="0.2">
      <c r="E8730" s="7"/>
      <c r="F8730" s="7"/>
    </row>
    <row r="8731" spans="5:6" ht="15" customHeight="1" x14ac:dyDescent="0.2">
      <c r="E8731" s="7"/>
      <c r="F8731" s="7"/>
    </row>
    <row r="8732" spans="5:6" ht="15" customHeight="1" x14ac:dyDescent="0.2">
      <c r="E8732" s="7"/>
      <c r="F8732" s="7"/>
    </row>
    <row r="8733" spans="5:6" ht="15" customHeight="1" x14ac:dyDescent="0.2">
      <c r="E8733" s="7"/>
      <c r="F8733" s="7"/>
    </row>
    <row r="8734" spans="5:6" ht="15" customHeight="1" x14ac:dyDescent="0.2">
      <c r="E8734" s="7"/>
      <c r="F8734" s="7"/>
    </row>
    <row r="8735" spans="5:6" ht="15" customHeight="1" x14ac:dyDescent="0.2">
      <c r="E8735" s="7"/>
      <c r="F8735" s="7"/>
    </row>
    <row r="8736" spans="5:6" ht="15" customHeight="1" x14ac:dyDescent="0.2">
      <c r="E8736" s="7"/>
      <c r="F8736" s="7"/>
    </row>
    <row r="8737" spans="5:6" ht="15" customHeight="1" x14ac:dyDescent="0.2">
      <c r="E8737" s="7"/>
      <c r="F8737" s="7"/>
    </row>
    <row r="8738" spans="5:6" ht="15" customHeight="1" x14ac:dyDescent="0.2">
      <c r="E8738" s="7"/>
      <c r="F8738" s="7"/>
    </row>
    <row r="8739" spans="5:6" ht="15" customHeight="1" x14ac:dyDescent="0.2">
      <c r="E8739" s="7"/>
      <c r="F8739" s="7"/>
    </row>
    <row r="8740" spans="5:6" ht="15" customHeight="1" x14ac:dyDescent="0.2">
      <c r="E8740" s="7"/>
      <c r="F8740" s="7"/>
    </row>
    <row r="8741" spans="5:6" ht="15" customHeight="1" x14ac:dyDescent="0.2">
      <c r="E8741" s="7"/>
      <c r="F8741" s="7"/>
    </row>
    <row r="8742" spans="5:6" ht="15" customHeight="1" x14ac:dyDescent="0.2">
      <c r="E8742" s="7"/>
      <c r="F8742" s="7"/>
    </row>
    <row r="8743" spans="5:6" ht="15" customHeight="1" x14ac:dyDescent="0.2">
      <c r="E8743" s="7"/>
      <c r="F8743" s="7"/>
    </row>
    <row r="8744" spans="5:6" ht="15" customHeight="1" x14ac:dyDescent="0.2">
      <c r="E8744" s="7"/>
      <c r="F8744" s="7"/>
    </row>
    <row r="8745" spans="5:6" ht="15" customHeight="1" x14ac:dyDescent="0.2">
      <c r="E8745" s="7"/>
      <c r="F8745" s="7"/>
    </row>
    <row r="8746" spans="5:6" ht="15" customHeight="1" x14ac:dyDescent="0.2">
      <c r="E8746" s="7"/>
      <c r="F8746" s="7"/>
    </row>
    <row r="8747" spans="5:6" ht="15" customHeight="1" x14ac:dyDescent="0.2">
      <c r="E8747" s="7"/>
      <c r="F8747" s="7"/>
    </row>
    <row r="8748" spans="5:6" ht="15" customHeight="1" x14ac:dyDescent="0.2">
      <c r="E8748" s="7"/>
      <c r="F8748" s="7"/>
    </row>
    <row r="8749" spans="5:6" ht="15" customHeight="1" x14ac:dyDescent="0.2">
      <c r="E8749" s="7"/>
      <c r="F8749" s="7"/>
    </row>
    <row r="8750" spans="5:6" ht="15" customHeight="1" x14ac:dyDescent="0.2">
      <c r="E8750" s="7"/>
      <c r="F8750" s="7"/>
    </row>
    <row r="8751" spans="5:6" ht="15" customHeight="1" x14ac:dyDescent="0.2">
      <c r="E8751" s="7"/>
      <c r="F8751" s="7"/>
    </row>
    <row r="8752" spans="5:6" ht="15" customHeight="1" x14ac:dyDescent="0.2">
      <c r="E8752" s="7"/>
      <c r="F8752" s="7"/>
    </row>
    <row r="8753" spans="5:6" ht="15" customHeight="1" x14ac:dyDescent="0.2">
      <c r="E8753" s="7"/>
      <c r="F8753" s="7"/>
    </row>
    <row r="8754" spans="5:6" ht="15" customHeight="1" x14ac:dyDescent="0.2">
      <c r="E8754" s="7"/>
      <c r="F8754" s="7"/>
    </row>
    <row r="8755" spans="5:6" ht="15" customHeight="1" x14ac:dyDescent="0.2">
      <c r="E8755" s="7"/>
      <c r="F8755" s="7"/>
    </row>
    <row r="8756" spans="5:6" ht="15" customHeight="1" x14ac:dyDescent="0.2">
      <c r="E8756" s="7"/>
      <c r="F8756" s="7"/>
    </row>
    <row r="8757" spans="5:6" ht="15" customHeight="1" x14ac:dyDescent="0.2">
      <c r="E8757" s="7"/>
      <c r="F8757" s="7"/>
    </row>
    <row r="8758" spans="5:6" ht="15" customHeight="1" x14ac:dyDescent="0.2">
      <c r="E8758" s="7"/>
      <c r="F8758" s="7"/>
    </row>
    <row r="8759" spans="5:6" ht="15" customHeight="1" x14ac:dyDescent="0.2">
      <c r="E8759" s="7"/>
      <c r="F8759" s="7"/>
    </row>
    <row r="8760" spans="5:6" ht="15" customHeight="1" x14ac:dyDescent="0.2">
      <c r="E8760" s="7"/>
      <c r="F8760" s="7"/>
    </row>
    <row r="8761" spans="5:6" ht="15" customHeight="1" x14ac:dyDescent="0.2">
      <c r="E8761" s="7"/>
      <c r="F8761" s="7"/>
    </row>
    <row r="8762" spans="5:6" ht="15" customHeight="1" x14ac:dyDescent="0.2">
      <c r="E8762" s="7"/>
      <c r="F8762" s="7"/>
    </row>
    <row r="8763" spans="5:6" ht="15" customHeight="1" x14ac:dyDescent="0.2">
      <c r="E8763" s="7"/>
      <c r="F8763" s="7"/>
    </row>
    <row r="8764" spans="5:6" ht="15" customHeight="1" x14ac:dyDescent="0.2">
      <c r="E8764" s="7"/>
      <c r="F8764" s="7"/>
    </row>
    <row r="8765" spans="5:6" ht="15" customHeight="1" x14ac:dyDescent="0.2">
      <c r="E8765" s="7"/>
      <c r="F8765" s="7"/>
    </row>
    <row r="8766" spans="5:6" ht="15" customHeight="1" x14ac:dyDescent="0.2">
      <c r="E8766" s="7"/>
      <c r="F8766" s="7"/>
    </row>
    <row r="8767" spans="5:6" ht="15" customHeight="1" x14ac:dyDescent="0.2">
      <c r="E8767" s="7"/>
      <c r="F8767" s="7"/>
    </row>
    <row r="8768" spans="5:6" ht="15" customHeight="1" x14ac:dyDescent="0.2">
      <c r="E8768" s="7"/>
      <c r="F8768" s="7"/>
    </row>
    <row r="8769" spans="5:6" ht="15" customHeight="1" x14ac:dyDescent="0.2">
      <c r="E8769" s="7"/>
      <c r="F8769" s="7"/>
    </row>
    <row r="8770" spans="5:6" ht="15" customHeight="1" x14ac:dyDescent="0.2">
      <c r="E8770" s="7"/>
      <c r="F8770" s="7"/>
    </row>
    <row r="8771" spans="5:6" ht="15" customHeight="1" x14ac:dyDescent="0.2">
      <c r="E8771" s="7"/>
      <c r="F8771" s="7"/>
    </row>
    <row r="8772" spans="5:6" ht="15" customHeight="1" x14ac:dyDescent="0.2">
      <c r="E8772" s="7"/>
      <c r="F8772" s="7"/>
    </row>
    <row r="8773" spans="5:6" ht="15" customHeight="1" x14ac:dyDescent="0.2">
      <c r="E8773" s="7"/>
      <c r="F8773" s="7"/>
    </row>
    <row r="8774" spans="5:6" ht="15" customHeight="1" x14ac:dyDescent="0.2">
      <c r="E8774" s="7"/>
      <c r="F8774" s="7"/>
    </row>
    <row r="8775" spans="5:6" ht="15" customHeight="1" x14ac:dyDescent="0.2">
      <c r="E8775" s="7"/>
      <c r="F8775" s="7"/>
    </row>
    <row r="8776" spans="5:6" ht="15" customHeight="1" x14ac:dyDescent="0.2">
      <c r="E8776" s="7"/>
      <c r="F8776" s="7"/>
    </row>
    <row r="8777" spans="5:6" ht="15" customHeight="1" x14ac:dyDescent="0.2">
      <c r="E8777" s="7"/>
      <c r="F8777" s="7"/>
    </row>
    <row r="8778" spans="5:6" ht="15" customHeight="1" x14ac:dyDescent="0.2">
      <c r="E8778" s="7"/>
      <c r="F8778" s="7"/>
    </row>
    <row r="8779" spans="5:6" ht="15" customHeight="1" x14ac:dyDescent="0.2">
      <c r="E8779" s="7"/>
      <c r="F8779" s="7"/>
    </row>
    <row r="8780" spans="5:6" ht="15" customHeight="1" x14ac:dyDescent="0.2">
      <c r="E8780" s="7"/>
      <c r="F8780" s="7"/>
    </row>
    <row r="8781" spans="5:6" ht="15" customHeight="1" x14ac:dyDescent="0.2">
      <c r="E8781" s="7"/>
      <c r="F8781" s="7"/>
    </row>
    <row r="8782" spans="5:6" ht="15" customHeight="1" x14ac:dyDescent="0.2">
      <c r="E8782" s="7"/>
      <c r="F8782" s="7"/>
    </row>
    <row r="8783" spans="5:6" ht="15" customHeight="1" x14ac:dyDescent="0.2">
      <c r="E8783" s="7"/>
      <c r="F8783" s="7"/>
    </row>
    <row r="8784" spans="5:6" ht="15" customHeight="1" x14ac:dyDescent="0.2">
      <c r="E8784" s="7"/>
      <c r="F8784" s="7"/>
    </row>
    <row r="8785" spans="5:6" ht="15" customHeight="1" x14ac:dyDescent="0.2">
      <c r="E8785" s="7"/>
      <c r="F8785" s="7"/>
    </row>
    <row r="8786" spans="5:6" ht="15" customHeight="1" x14ac:dyDescent="0.2">
      <c r="E8786" s="7"/>
      <c r="F8786" s="7"/>
    </row>
    <row r="8787" spans="5:6" ht="15" customHeight="1" x14ac:dyDescent="0.2">
      <c r="E8787" s="7"/>
      <c r="F8787" s="7"/>
    </row>
    <row r="8788" spans="5:6" ht="15" customHeight="1" x14ac:dyDescent="0.2">
      <c r="E8788" s="7"/>
      <c r="F8788" s="7"/>
    </row>
    <row r="8789" spans="5:6" ht="15" customHeight="1" x14ac:dyDescent="0.2">
      <c r="E8789" s="7"/>
      <c r="F8789" s="7"/>
    </row>
    <row r="8790" spans="5:6" ht="15" customHeight="1" x14ac:dyDescent="0.2">
      <c r="E8790" s="7"/>
      <c r="F8790" s="7"/>
    </row>
    <row r="8791" spans="5:6" ht="15" customHeight="1" x14ac:dyDescent="0.2">
      <c r="E8791" s="7"/>
      <c r="F8791" s="7"/>
    </row>
    <row r="8792" spans="5:6" ht="15" customHeight="1" x14ac:dyDescent="0.2">
      <c r="E8792" s="7"/>
      <c r="F8792" s="7"/>
    </row>
    <row r="8793" spans="5:6" ht="15" customHeight="1" x14ac:dyDescent="0.2">
      <c r="E8793" s="7"/>
      <c r="F8793" s="7"/>
    </row>
    <row r="8794" spans="5:6" ht="15" customHeight="1" x14ac:dyDescent="0.2">
      <c r="E8794" s="7"/>
      <c r="F8794" s="7"/>
    </row>
    <row r="8795" spans="5:6" ht="15" customHeight="1" x14ac:dyDescent="0.2">
      <c r="E8795" s="7"/>
      <c r="F8795" s="7"/>
    </row>
    <row r="8796" spans="5:6" ht="15" customHeight="1" x14ac:dyDescent="0.2">
      <c r="E8796" s="7"/>
      <c r="F8796" s="7"/>
    </row>
    <row r="8797" spans="5:6" ht="15" customHeight="1" x14ac:dyDescent="0.2">
      <c r="E8797" s="7"/>
      <c r="F8797" s="7"/>
    </row>
    <row r="8798" spans="5:6" ht="15" customHeight="1" x14ac:dyDescent="0.2">
      <c r="E8798" s="7"/>
      <c r="F8798" s="7"/>
    </row>
    <row r="8799" spans="5:6" ht="15" customHeight="1" x14ac:dyDescent="0.2">
      <c r="E8799" s="7"/>
      <c r="F8799" s="7"/>
    </row>
    <row r="8800" spans="5:6" ht="15" customHeight="1" x14ac:dyDescent="0.2">
      <c r="E8800" s="7"/>
      <c r="F8800" s="7"/>
    </row>
    <row r="8801" spans="5:6" ht="15" customHeight="1" x14ac:dyDescent="0.2">
      <c r="E8801" s="7"/>
      <c r="F8801" s="7"/>
    </row>
    <row r="8802" spans="5:6" ht="15" customHeight="1" x14ac:dyDescent="0.2">
      <c r="E8802" s="7"/>
      <c r="F8802" s="7"/>
    </row>
    <row r="8803" spans="5:6" ht="15" customHeight="1" x14ac:dyDescent="0.2">
      <c r="E8803" s="7"/>
      <c r="F8803" s="7"/>
    </row>
    <row r="8804" spans="5:6" ht="15" customHeight="1" x14ac:dyDescent="0.2">
      <c r="E8804" s="7"/>
      <c r="F8804" s="7"/>
    </row>
    <row r="8805" spans="5:6" ht="15" customHeight="1" x14ac:dyDescent="0.2">
      <c r="E8805" s="7"/>
      <c r="F8805" s="7"/>
    </row>
    <row r="8806" spans="5:6" ht="15" customHeight="1" x14ac:dyDescent="0.2">
      <c r="E8806" s="7"/>
      <c r="F8806" s="7"/>
    </row>
    <row r="8807" spans="5:6" ht="15" customHeight="1" x14ac:dyDescent="0.2">
      <c r="E8807" s="7"/>
      <c r="F8807" s="7"/>
    </row>
    <row r="8808" spans="5:6" ht="15" customHeight="1" x14ac:dyDescent="0.2">
      <c r="E8808" s="7"/>
      <c r="F8808" s="7"/>
    </row>
    <row r="8809" spans="5:6" ht="15" customHeight="1" x14ac:dyDescent="0.2">
      <c r="E8809" s="7"/>
      <c r="F8809" s="7"/>
    </row>
    <row r="8810" spans="5:6" ht="15" customHeight="1" x14ac:dyDescent="0.2">
      <c r="E8810" s="7"/>
      <c r="F8810" s="7"/>
    </row>
    <row r="8811" spans="5:6" ht="15" customHeight="1" x14ac:dyDescent="0.2">
      <c r="E8811" s="7"/>
      <c r="F8811" s="7"/>
    </row>
    <row r="8812" spans="5:6" ht="15" customHeight="1" x14ac:dyDescent="0.2">
      <c r="E8812" s="7"/>
      <c r="F8812" s="7"/>
    </row>
    <row r="8813" spans="5:6" ht="15" customHeight="1" x14ac:dyDescent="0.2">
      <c r="E8813" s="7"/>
      <c r="F8813" s="7"/>
    </row>
    <row r="8814" spans="5:6" ht="15" customHeight="1" x14ac:dyDescent="0.2">
      <c r="E8814" s="7"/>
      <c r="F8814" s="7"/>
    </row>
    <row r="8815" spans="5:6" ht="15" customHeight="1" x14ac:dyDescent="0.2">
      <c r="E8815" s="7"/>
      <c r="F8815" s="7"/>
    </row>
    <row r="8816" spans="5:6" ht="15" customHeight="1" x14ac:dyDescent="0.2">
      <c r="E8816" s="7"/>
      <c r="F8816" s="7"/>
    </row>
    <row r="8817" spans="5:6" ht="15" customHeight="1" x14ac:dyDescent="0.2">
      <c r="E8817" s="7"/>
      <c r="F8817" s="7"/>
    </row>
    <row r="8818" spans="5:6" ht="15" customHeight="1" x14ac:dyDescent="0.2">
      <c r="E8818" s="7"/>
      <c r="F8818" s="7"/>
    </row>
    <row r="8819" spans="5:6" ht="15" customHeight="1" x14ac:dyDescent="0.2">
      <c r="E8819" s="7"/>
      <c r="F8819" s="7"/>
    </row>
    <row r="8820" spans="5:6" ht="15" customHeight="1" x14ac:dyDescent="0.2">
      <c r="E8820" s="7"/>
      <c r="F8820" s="7"/>
    </row>
    <row r="8821" spans="5:6" ht="15" customHeight="1" x14ac:dyDescent="0.2">
      <c r="E8821" s="7"/>
      <c r="F8821" s="7"/>
    </row>
    <row r="8822" spans="5:6" ht="15" customHeight="1" x14ac:dyDescent="0.2">
      <c r="E8822" s="7"/>
      <c r="F8822" s="7"/>
    </row>
    <row r="8823" spans="5:6" ht="15" customHeight="1" x14ac:dyDescent="0.2">
      <c r="E8823" s="7"/>
      <c r="F8823" s="7"/>
    </row>
    <row r="8824" spans="5:6" ht="15" customHeight="1" x14ac:dyDescent="0.2">
      <c r="E8824" s="7"/>
      <c r="F8824" s="7"/>
    </row>
    <row r="8825" spans="5:6" ht="15" customHeight="1" x14ac:dyDescent="0.2">
      <c r="E8825" s="7"/>
      <c r="F8825" s="7"/>
    </row>
    <row r="8826" spans="5:6" ht="15" customHeight="1" x14ac:dyDescent="0.2">
      <c r="E8826" s="7"/>
      <c r="F8826" s="7"/>
    </row>
    <row r="8827" spans="5:6" ht="15" customHeight="1" x14ac:dyDescent="0.2">
      <c r="E8827" s="7"/>
      <c r="F8827" s="7"/>
    </row>
    <row r="8828" spans="5:6" ht="15" customHeight="1" x14ac:dyDescent="0.2">
      <c r="E8828" s="7"/>
      <c r="F8828" s="7"/>
    </row>
    <row r="8829" spans="5:6" ht="15" customHeight="1" x14ac:dyDescent="0.2">
      <c r="E8829" s="7"/>
      <c r="F8829" s="7"/>
    </row>
    <row r="8830" spans="5:6" ht="15" customHeight="1" x14ac:dyDescent="0.2">
      <c r="E8830" s="7"/>
      <c r="F8830" s="7"/>
    </row>
    <row r="8831" spans="5:6" ht="15" customHeight="1" x14ac:dyDescent="0.2">
      <c r="E8831" s="7"/>
      <c r="F8831" s="7"/>
    </row>
    <row r="8832" spans="5:6" ht="15" customHeight="1" x14ac:dyDescent="0.2">
      <c r="E8832" s="7"/>
      <c r="F8832" s="7"/>
    </row>
    <row r="8833" spans="5:6" ht="15" customHeight="1" x14ac:dyDescent="0.2">
      <c r="E8833" s="7"/>
      <c r="F8833" s="7"/>
    </row>
    <row r="8834" spans="5:6" ht="15" customHeight="1" x14ac:dyDescent="0.2">
      <c r="E8834" s="7"/>
      <c r="F8834" s="7"/>
    </row>
    <row r="8835" spans="5:6" ht="15" customHeight="1" x14ac:dyDescent="0.2">
      <c r="E8835" s="7"/>
      <c r="F8835" s="7"/>
    </row>
    <row r="8836" spans="5:6" ht="15" customHeight="1" x14ac:dyDescent="0.2">
      <c r="E8836" s="7"/>
      <c r="F8836" s="7"/>
    </row>
    <row r="8837" spans="5:6" ht="15" customHeight="1" x14ac:dyDescent="0.2">
      <c r="E8837" s="7"/>
      <c r="F8837" s="7"/>
    </row>
    <row r="8838" spans="5:6" ht="15" customHeight="1" x14ac:dyDescent="0.2">
      <c r="E8838" s="7"/>
      <c r="F8838" s="7"/>
    </row>
    <row r="8839" spans="5:6" ht="15" customHeight="1" x14ac:dyDescent="0.2">
      <c r="E8839" s="7"/>
      <c r="F8839" s="7"/>
    </row>
    <row r="8840" spans="5:6" ht="15" customHeight="1" x14ac:dyDescent="0.2">
      <c r="E8840" s="7"/>
      <c r="F8840" s="7"/>
    </row>
    <row r="8841" spans="5:6" ht="15" customHeight="1" x14ac:dyDescent="0.2">
      <c r="E8841" s="7"/>
      <c r="F8841" s="7"/>
    </row>
    <row r="8842" spans="5:6" ht="15" customHeight="1" x14ac:dyDescent="0.2">
      <c r="E8842" s="7"/>
      <c r="F8842" s="7"/>
    </row>
    <row r="8843" spans="5:6" ht="15" customHeight="1" x14ac:dyDescent="0.2">
      <c r="E8843" s="7"/>
      <c r="F8843" s="7"/>
    </row>
    <row r="8844" spans="5:6" ht="15" customHeight="1" x14ac:dyDescent="0.2">
      <c r="E8844" s="7"/>
      <c r="F8844" s="7"/>
    </row>
    <row r="8845" spans="5:6" ht="15" customHeight="1" x14ac:dyDescent="0.2">
      <c r="E8845" s="7"/>
      <c r="F8845" s="7"/>
    </row>
    <row r="8846" spans="5:6" ht="15" customHeight="1" x14ac:dyDescent="0.2">
      <c r="E8846" s="7"/>
      <c r="F8846" s="7"/>
    </row>
    <row r="8847" spans="5:6" ht="15" customHeight="1" x14ac:dyDescent="0.2">
      <c r="E8847" s="7"/>
      <c r="F8847" s="7"/>
    </row>
    <row r="8848" spans="5:6" ht="15" customHeight="1" x14ac:dyDescent="0.2">
      <c r="E8848" s="7"/>
      <c r="F8848" s="7"/>
    </row>
    <row r="8849" spans="5:6" ht="15" customHeight="1" x14ac:dyDescent="0.2">
      <c r="E8849" s="7"/>
      <c r="F8849" s="7"/>
    </row>
    <row r="8850" spans="5:6" ht="15" customHeight="1" x14ac:dyDescent="0.2">
      <c r="E8850" s="7"/>
      <c r="F8850" s="7"/>
    </row>
    <row r="8851" spans="5:6" ht="15" customHeight="1" x14ac:dyDescent="0.2">
      <c r="E8851" s="7"/>
      <c r="F8851" s="7"/>
    </row>
    <row r="8852" spans="5:6" ht="15" customHeight="1" x14ac:dyDescent="0.2">
      <c r="E8852" s="7"/>
      <c r="F8852" s="7"/>
    </row>
    <row r="8853" spans="5:6" ht="15" customHeight="1" x14ac:dyDescent="0.2">
      <c r="E8853" s="7"/>
      <c r="F8853" s="7"/>
    </row>
    <row r="8854" spans="5:6" ht="15" customHeight="1" x14ac:dyDescent="0.2">
      <c r="E8854" s="7"/>
      <c r="F8854" s="7"/>
    </row>
    <row r="8855" spans="5:6" ht="15" customHeight="1" x14ac:dyDescent="0.2">
      <c r="E8855" s="7"/>
      <c r="F8855" s="7"/>
    </row>
    <row r="8856" spans="5:6" ht="15" customHeight="1" x14ac:dyDescent="0.2">
      <c r="E8856" s="7"/>
      <c r="F8856" s="7"/>
    </row>
    <row r="8857" spans="5:6" ht="15" customHeight="1" x14ac:dyDescent="0.2">
      <c r="E8857" s="7"/>
      <c r="F8857" s="7"/>
    </row>
    <row r="8858" spans="5:6" ht="15" customHeight="1" x14ac:dyDescent="0.2">
      <c r="E8858" s="7"/>
      <c r="F8858" s="7"/>
    </row>
    <row r="8859" spans="5:6" ht="15" customHeight="1" x14ac:dyDescent="0.2">
      <c r="E8859" s="7"/>
      <c r="F8859" s="7"/>
    </row>
    <row r="8860" spans="5:6" ht="15" customHeight="1" x14ac:dyDescent="0.2">
      <c r="E8860" s="7"/>
      <c r="F8860" s="7"/>
    </row>
    <row r="8861" spans="5:6" ht="15" customHeight="1" x14ac:dyDescent="0.2">
      <c r="E8861" s="7"/>
      <c r="F8861" s="7"/>
    </row>
    <row r="8862" spans="5:6" ht="15" customHeight="1" x14ac:dyDescent="0.2">
      <c r="E8862" s="7"/>
      <c r="F8862" s="7"/>
    </row>
    <row r="8863" spans="5:6" ht="15" customHeight="1" x14ac:dyDescent="0.2">
      <c r="E8863" s="7"/>
      <c r="F8863" s="7"/>
    </row>
    <row r="8864" spans="5:6" ht="15" customHeight="1" x14ac:dyDescent="0.2">
      <c r="E8864" s="7"/>
      <c r="F8864" s="7"/>
    </row>
    <row r="8865" spans="5:6" ht="15" customHeight="1" x14ac:dyDescent="0.2">
      <c r="E8865" s="7"/>
      <c r="F8865" s="7"/>
    </row>
    <row r="8866" spans="5:6" ht="15" customHeight="1" x14ac:dyDescent="0.2">
      <c r="E8866" s="7"/>
      <c r="F8866" s="7"/>
    </row>
    <row r="8867" spans="5:6" ht="15" customHeight="1" x14ac:dyDescent="0.2">
      <c r="E8867" s="7"/>
      <c r="F8867" s="7"/>
    </row>
    <row r="8868" spans="5:6" ht="15" customHeight="1" x14ac:dyDescent="0.2">
      <c r="E8868" s="7"/>
      <c r="F8868" s="7"/>
    </row>
    <row r="8869" spans="5:6" ht="15" customHeight="1" x14ac:dyDescent="0.2">
      <c r="E8869" s="7"/>
      <c r="F8869" s="7"/>
    </row>
    <row r="8870" spans="5:6" ht="15" customHeight="1" x14ac:dyDescent="0.2">
      <c r="E8870" s="7"/>
      <c r="F8870" s="7"/>
    </row>
    <row r="8871" spans="5:6" ht="15" customHeight="1" x14ac:dyDescent="0.2">
      <c r="E8871" s="7"/>
      <c r="F8871" s="7"/>
    </row>
    <row r="8872" spans="5:6" ht="15" customHeight="1" x14ac:dyDescent="0.2">
      <c r="E8872" s="7"/>
      <c r="F8872" s="7"/>
    </row>
    <row r="8873" spans="5:6" ht="15" customHeight="1" x14ac:dyDescent="0.2">
      <c r="E8873" s="7"/>
      <c r="F8873" s="7"/>
    </row>
    <row r="8874" spans="5:6" ht="15" customHeight="1" x14ac:dyDescent="0.2">
      <c r="E8874" s="7"/>
      <c r="F8874" s="7"/>
    </row>
    <row r="8875" spans="5:6" ht="15" customHeight="1" x14ac:dyDescent="0.2">
      <c r="E8875" s="7"/>
      <c r="F8875" s="7"/>
    </row>
    <row r="8876" spans="5:6" ht="15" customHeight="1" x14ac:dyDescent="0.2">
      <c r="E8876" s="7"/>
      <c r="F8876" s="7"/>
    </row>
    <row r="8877" spans="5:6" ht="15" customHeight="1" x14ac:dyDescent="0.2">
      <c r="E8877" s="7"/>
      <c r="F8877" s="7"/>
    </row>
    <row r="8878" spans="5:6" ht="15" customHeight="1" x14ac:dyDescent="0.2">
      <c r="E8878" s="7"/>
      <c r="F8878" s="7"/>
    </row>
    <row r="8879" spans="5:6" ht="15" customHeight="1" x14ac:dyDescent="0.2">
      <c r="E8879" s="7"/>
      <c r="F8879" s="7"/>
    </row>
    <row r="8880" spans="5:6" ht="15" customHeight="1" x14ac:dyDescent="0.2">
      <c r="E8880" s="7"/>
      <c r="F8880" s="7"/>
    </row>
    <row r="8881" spans="5:6" ht="15" customHeight="1" x14ac:dyDescent="0.2">
      <c r="E8881" s="7"/>
      <c r="F8881" s="7"/>
    </row>
    <row r="8882" spans="5:6" ht="15" customHeight="1" x14ac:dyDescent="0.2">
      <c r="E8882" s="7"/>
      <c r="F8882" s="7"/>
    </row>
    <row r="8883" spans="5:6" ht="15" customHeight="1" x14ac:dyDescent="0.2">
      <c r="E8883" s="7"/>
      <c r="F8883" s="7"/>
    </row>
    <row r="8884" spans="5:6" ht="15" customHeight="1" x14ac:dyDescent="0.2">
      <c r="E8884" s="7"/>
      <c r="F8884" s="7"/>
    </row>
    <row r="8885" spans="5:6" ht="15" customHeight="1" x14ac:dyDescent="0.2">
      <c r="E8885" s="7"/>
      <c r="F8885" s="7"/>
    </row>
    <row r="8886" spans="5:6" ht="15" customHeight="1" x14ac:dyDescent="0.2">
      <c r="E8886" s="7"/>
      <c r="F8886" s="7"/>
    </row>
    <row r="8887" spans="5:6" ht="15" customHeight="1" x14ac:dyDescent="0.2">
      <c r="E8887" s="7"/>
      <c r="F8887" s="7"/>
    </row>
    <row r="8888" spans="5:6" ht="15" customHeight="1" x14ac:dyDescent="0.2">
      <c r="E8888" s="7"/>
      <c r="F8888" s="7"/>
    </row>
    <row r="8889" spans="5:6" ht="15" customHeight="1" x14ac:dyDescent="0.2">
      <c r="E8889" s="7"/>
      <c r="F8889" s="7"/>
    </row>
    <row r="8890" spans="5:6" ht="15" customHeight="1" x14ac:dyDescent="0.2">
      <c r="E8890" s="7"/>
      <c r="F8890" s="7"/>
    </row>
    <row r="8891" spans="5:6" ht="15" customHeight="1" x14ac:dyDescent="0.2">
      <c r="E8891" s="7"/>
      <c r="F8891" s="7"/>
    </row>
    <row r="8892" spans="5:6" ht="15" customHeight="1" x14ac:dyDescent="0.2">
      <c r="E8892" s="7"/>
      <c r="F8892" s="7"/>
    </row>
    <row r="8893" spans="5:6" ht="15" customHeight="1" x14ac:dyDescent="0.2">
      <c r="E8893" s="7"/>
      <c r="F8893" s="7"/>
    </row>
    <row r="8894" spans="5:6" ht="15" customHeight="1" x14ac:dyDescent="0.2">
      <c r="E8894" s="7"/>
      <c r="F8894" s="7"/>
    </row>
    <row r="8895" spans="5:6" ht="15" customHeight="1" x14ac:dyDescent="0.2">
      <c r="E8895" s="7"/>
      <c r="F8895" s="7"/>
    </row>
    <row r="8896" spans="5:6" ht="15" customHeight="1" x14ac:dyDescent="0.2">
      <c r="E8896" s="7"/>
      <c r="F8896" s="7"/>
    </row>
    <row r="8897" spans="5:6" ht="15" customHeight="1" x14ac:dyDescent="0.2">
      <c r="E8897" s="7"/>
      <c r="F8897" s="7"/>
    </row>
    <row r="8898" spans="5:6" ht="15" customHeight="1" x14ac:dyDescent="0.2">
      <c r="E8898" s="7"/>
      <c r="F8898" s="7"/>
    </row>
    <row r="8899" spans="5:6" ht="15" customHeight="1" x14ac:dyDescent="0.2">
      <c r="E8899" s="7"/>
      <c r="F8899" s="7"/>
    </row>
    <row r="8900" spans="5:6" ht="15" customHeight="1" x14ac:dyDescent="0.2">
      <c r="E8900" s="7"/>
      <c r="F8900" s="7"/>
    </row>
    <row r="8901" spans="5:6" ht="15" customHeight="1" x14ac:dyDescent="0.2">
      <c r="E8901" s="7"/>
      <c r="F8901" s="7"/>
    </row>
    <row r="8902" spans="5:6" ht="15" customHeight="1" x14ac:dyDescent="0.2">
      <c r="E8902" s="7"/>
      <c r="F8902" s="7"/>
    </row>
    <row r="8903" spans="5:6" ht="15" customHeight="1" x14ac:dyDescent="0.2">
      <c r="E8903" s="7"/>
      <c r="F8903" s="7"/>
    </row>
    <row r="8904" spans="5:6" ht="15" customHeight="1" x14ac:dyDescent="0.2">
      <c r="E8904" s="7"/>
      <c r="F8904" s="7"/>
    </row>
    <row r="8905" spans="5:6" ht="15" customHeight="1" x14ac:dyDescent="0.2">
      <c r="E8905" s="7"/>
      <c r="F8905" s="7"/>
    </row>
    <row r="8906" spans="5:6" ht="15" customHeight="1" x14ac:dyDescent="0.2">
      <c r="E8906" s="7"/>
      <c r="F8906" s="7"/>
    </row>
    <row r="8907" spans="5:6" ht="15" customHeight="1" x14ac:dyDescent="0.2">
      <c r="E8907" s="7"/>
      <c r="F8907" s="7"/>
    </row>
    <row r="8908" spans="5:6" ht="15" customHeight="1" x14ac:dyDescent="0.2">
      <c r="E8908" s="7"/>
      <c r="F8908" s="7"/>
    </row>
    <row r="8909" spans="5:6" ht="15" customHeight="1" x14ac:dyDescent="0.2">
      <c r="E8909" s="7"/>
      <c r="F8909" s="7"/>
    </row>
    <row r="8910" spans="5:6" ht="15" customHeight="1" x14ac:dyDescent="0.2">
      <c r="E8910" s="7"/>
      <c r="F8910" s="7"/>
    </row>
    <row r="8911" spans="5:6" ht="15" customHeight="1" x14ac:dyDescent="0.2">
      <c r="E8911" s="7"/>
      <c r="F8911" s="7"/>
    </row>
    <row r="8912" spans="5:6" ht="15" customHeight="1" x14ac:dyDescent="0.2">
      <c r="E8912" s="7"/>
      <c r="F8912" s="7"/>
    </row>
    <row r="8913" spans="5:6" ht="15" customHeight="1" x14ac:dyDescent="0.2">
      <c r="E8913" s="7"/>
      <c r="F8913" s="7"/>
    </row>
    <row r="8914" spans="5:6" ht="15" customHeight="1" x14ac:dyDescent="0.2">
      <c r="E8914" s="7"/>
      <c r="F8914" s="7"/>
    </row>
    <row r="8915" spans="5:6" ht="15" customHeight="1" x14ac:dyDescent="0.2">
      <c r="E8915" s="7"/>
      <c r="F8915" s="7"/>
    </row>
    <row r="8916" spans="5:6" ht="15" customHeight="1" x14ac:dyDescent="0.2">
      <c r="E8916" s="7"/>
      <c r="F8916" s="7"/>
    </row>
    <row r="8917" spans="5:6" ht="15" customHeight="1" x14ac:dyDescent="0.2">
      <c r="E8917" s="7"/>
      <c r="F8917" s="7"/>
    </row>
    <row r="8918" spans="5:6" ht="15" customHeight="1" x14ac:dyDescent="0.2">
      <c r="E8918" s="7"/>
      <c r="F8918" s="7"/>
    </row>
    <row r="8919" spans="5:6" ht="15" customHeight="1" x14ac:dyDescent="0.2">
      <c r="E8919" s="7"/>
      <c r="F8919" s="7"/>
    </row>
    <row r="8920" spans="5:6" ht="15" customHeight="1" x14ac:dyDescent="0.2">
      <c r="E8920" s="7"/>
      <c r="F8920" s="7"/>
    </row>
    <row r="8921" spans="5:6" ht="15" customHeight="1" x14ac:dyDescent="0.2">
      <c r="E8921" s="7"/>
      <c r="F8921" s="7"/>
    </row>
    <row r="8922" spans="5:6" ht="15" customHeight="1" x14ac:dyDescent="0.2">
      <c r="E8922" s="7"/>
      <c r="F8922" s="7"/>
    </row>
    <row r="8923" spans="5:6" ht="15" customHeight="1" x14ac:dyDescent="0.2">
      <c r="E8923" s="7"/>
      <c r="F8923" s="7"/>
    </row>
    <row r="8924" spans="5:6" ht="15" customHeight="1" x14ac:dyDescent="0.2">
      <c r="E8924" s="7"/>
      <c r="F8924" s="7"/>
    </row>
    <row r="8925" spans="5:6" ht="15" customHeight="1" x14ac:dyDescent="0.2">
      <c r="E8925" s="7"/>
      <c r="F8925" s="7"/>
    </row>
    <row r="8926" spans="5:6" ht="15" customHeight="1" x14ac:dyDescent="0.2">
      <c r="E8926" s="7"/>
      <c r="F8926" s="7"/>
    </row>
    <row r="8927" spans="5:6" ht="15" customHeight="1" x14ac:dyDescent="0.2">
      <c r="E8927" s="7"/>
      <c r="F8927" s="7"/>
    </row>
    <row r="8928" spans="5:6" ht="15" customHeight="1" x14ac:dyDescent="0.2">
      <c r="E8928" s="7"/>
      <c r="F8928" s="7"/>
    </row>
    <row r="8929" spans="5:6" ht="15" customHeight="1" x14ac:dyDescent="0.2">
      <c r="E8929" s="7"/>
      <c r="F8929" s="7"/>
    </row>
    <row r="8930" spans="5:6" ht="15" customHeight="1" x14ac:dyDescent="0.2">
      <c r="E8930" s="7"/>
      <c r="F8930" s="7"/>
    </row>
    <row r="8931" spans="5:6" ht="15" customHeight="1" x14ac:dyDescent="0.2">
      <c r="E8931" s="7"/>
      <c r="F8931" s="7"/>
    </row>
    <row r="8932" spans="5:6" ht="15" customHeight="1" x14ac:dyDescent="0.2">
      <c r="E8932" s="7"/>
      <c r="F8932" s="7"/>
    </row>
    <row r="8933" spans="5:6" ht="15" customHeight="1" x14ac:dyDescent="0.2">
      <c r="E8933" s="7"/>
      <c r="F8933" s="7"/>
    </row>
    <row r="8934" spans="5:6" ht="15" customHeight="1" x14ac:dyDescent="0.2">
      <c r="E8934" s="7"/>
      <c r="F8934" s="7"/>
    </row>
    <row r="8935" spans="5:6" ht="15" customHeight="1" x14ac:dyDescent="0.2">
      <c r="E8935" s="7"/>
      <c r="F8935" s="7"/>
    </row>
    <row r="8936" spans="5:6" ht="15" customHeight="1" x14ac:dyDescent="0.2">
      <c r="E8936" s="7"/>
      <c r="F8936" s="7"/>
    </row>
    <row r="8937" spans="5:6" ht="15" customHeight="1" x14ac:dyDescent="0.2">
      <c r="E8937" s="7"/>
      <c r="F8937" s="7"/>
    </row>
    <row r="8938" spans="5:6" ht="15" customHeight="1" x14ac:dyDescent="0.2">
      <c r="E8938" s="7"/>
      <c r="F8938" s="7"/>
    </row>
    <row r="8939" spans="5:6" ht="15" customHeight="1" x14ac:dyDescent="0.2">
      <c r="E8939" s="7"/>
      <c r="F8939" s="7"/>
    </row>
    <row r="8940" spans="5:6" ht="15" customHeight="1" x14ac:dyDescent="0.2">
      <c r="E8940" s="7"/>
      <c r="F8940" s="7"/>
    </row>
    <row r="8941" spans="5:6" ht="15" customHeight="1" x14ac:dyDescent="0.2">
      <c r="E8941" s="7"/>
      <c r="F8941" s="7"/>
    </row>
    <row r="8942" spans="5:6" ht="15" customHeight="1" x14ac:dyDescent="0.2">
      <c r="E8942" s="7"/>
      <c r="F8942" s="7"/>
    </row>
    <row r="8943" spans="5:6" ht="15" customHeight="1" x14ac:dyDescent="0.2">
      <c r="E8943" s="7"/>
      <c r="F8943" s="7"/>
    </row>
    <row r="8944" spans="5:6" ht="15" customHeight="1" x14ac:dyDescent="0.2">
      <c r="E8944" s="7"/>
      <c r="F8944" s="7"/>
    </row>
    <row r="8945" spans="5:6" ht="15" customHeight="1" x14ac:dyDescent="0.2">
      <c r="E8945" s="7"/>
      <c r="F8945" s="7"/>
    </row>
    <row r="8946" spans="5:6" ht="15" customHeight="1" x14ac:dyDescent="0.2">
      <c r="E8946" s="7"/>
      <c r="F8946" s="7"/>
    </row>
    <row r="8947" spans="5:6" ht="15" customHeight="1" x14ac:dyDescent="0.2">
      <c r="E8947" s="7"/>
      <c r="F8947" s="7"/>
    </row>
    <row r="8948" spans="5:6" ht="15" customHeight="1" x14ac:dyDescent="0.2">
      <c r="E8948" s="7"/>
      <c r="F8948" s="7"/>
    </row>
    <row r="8949" spans="5:6" ht="15" customHeight="1" x14ac:dyDescent="0.2">
      <c r="E8949" s="7"/>
      <c r="F8949" s="7"/>
    </row>
    <row r="8950" spans="5:6" ht="15" customHeight="1" x14ac:dyDescent="0.2">
      <c r="E8950" s="7"/>
      <c r="F8950" s="7"/>
    </row>
    <row r="8951" spans="5:6" ht="15" customHeight="1" x14ac:dyDescent="0.2">
      <c r="E8951" s="7"/>
      <c r="F8951" s="7"/>
    </row>
    <row r="8952" spans="5:6" ht="15" customHeight="1" x14ac:dyDescent="0.2">
      <c r="E8952" s="7"/>
      <c r="F8952" s="7"/>
    </row>
    <row r="8953" spans="5:6" ht="15" customHeight="1" x14ac:dyDescent="0.2">
      <c r="E8953" s="7"/>
      <c r="F8953" s="7"/>
    </row>
    <row r="8954" spans="5:6" ht="15" customHeight="1" x14ac:dyDescent="0.2">
      <c r="E8954" s="7"/>
      <c r="F8954" s="7"/>
    </row>
    <row r="8955" spans="5:6" ht="15" customHeight="1" x14ac:dyDescent="0.2">
      <c r="E8955" s="7"/>
      <c r="F8955" s="7"/>
    </row>
    <row r="8956" spans="5:6" ht="15" customHeight="1" x14ac:dyDescent="0.2">
      <c r="E8956" s="7"/>
      <c r="F8956" s="7"/>
    </row>
    <row r="8957" spans="5:6" ht="15" customHeight="1" x14ac:dyDescent="0.2">
      <c r="E8957" s="7"/>
      <c r="F8957" s="7"/>
    </row>
    <row r="8958" spans="5:6" ht="15" customHeight="1" x14ac:dyDescent="0.2">
      <c r="E8958" s="7"/>
      <c r="F8958" s="7"/>
    </row>
    <row r="8959" spans="5:6" ht="15" customHeight="1" x14ac:dyDescent="0.2">
      <c r="E8959" s="7"/>
      <c r="F8959" s="7"/>
    </row>
    <row r="8960" spans="5:6" ht="15" customHeight="1" x14ac:dyDescent="0.2">
      <c r="E8960" s="7"/>
      <c r="F8960" s="7"/>
    </row>
    <row r="8961" spans="5:6" ht="15" customHeight="1" x14ac:dyDescent="0.2">
      <c r="E8961" s="7"/>
      <c r="F8961" s="7"/>
    </row>
    <row r="8962" spans="5:6" ht="15" customHeight="1" x14ac:dyDescent="0.2">
      <c r="E8962" s="7"/>
      <c r="F8962" s="7"/>
    </row>
    <row r="8963" spans="5:6" ht="15" customHeight="1" x14ac:dyDescent="0.2">
      <c r="E8963" s="7"/>
      <c r="F8963" s="7"/>
    </row>
    <row r="8964" spans="5:6" ht="15" customHeight="1" x14ac:dyDescent="0.2">
      <c r="E8964" s="7"/>
      <c r="F8964" s="7"/>
    </row>
    <row r="8965" spans="5:6" ht="15" customHeight="1" x14ac:dyDescent="0.2">
      <c r="E8965" s="7"/>
      <c r="F8965" s="7"/>
    </row>
    <row r="8966" spans="5:6" ht="15" customHeight="1" x14ac:dyDescent="0.2">
      <c r="E8966" s="7"/>
      <c r="F8966" s="7"/>
    </row>
    <row r="8967" spans="5:6" ht="15" customHeight="1" x14ac:dyDescent="0.2">
      <c r="E8967" s="7"/>
      <c r="F8967" s="7"/>
    </row>
    <row r="8968" spans="5:6" ht="15" customHeight="1" x14ac:dyDescent="0.2">
      <c r="E8968" s="7"/>
      <c r="F8968" s="7"/>
    </row>
    <row r="8969" spans="5:6" ht="15" customHeight="1" x14ac:dyDescent="0.2">
      <c r="E8969" s="7"/>
      <c r="F8969" s="7"/>
    </row>
    <row r="8970" spans="5:6" ht="15" customHeight="1" x14ac:dyDescent="0.2">
      <c r="E8970" s="7"/>
      <c r="F8970" s="7"/>
    </row>
    <row r="8971" spans="5:6" ht="15" customHeight="1" x14ac:dyDescent="0.2">
      <c r="E8971" s="7"/>
      <c r="F8971" s="7"/>
    </row>
    <row r="8972" spans="5:6" ht="15" customHeight="1" x14ac:dyDescent="0.2">
      <c r="E8972" s="7"/>
      <c r="F8972" s="7"/>
    </row>
    <row r="8973" spans="5:6" ht="15" customHeight="1" x14ac:dyDescent="0.2">
      <c r="E8973" s="7"/>
      <c r="F8973" s="7"/>
    </row>
    <row r="8974" spans="5:6" ht="15" customHeight="1" x14ac:dyDescent="0.2">
      <c r="E8974" s="7"/>
      <c r="F8974" s="7"/>
    </row>
    <row r="8975" spans="5:6" ht="15" customHeight="1" x14ac:dyDescent="0.2">
      <c r="E8975" s="7"/>
      <c r="F8975" s="7"/>
    </row>
    <row r="8976" spans="5:6" ht="15" customHeight="1" x14ac:dyDescent="0.2">
      <c r="E8976" s="7"/>
      <c r="F8976" s="7"/>
    </row>
    <row r="8977" spans="5:6" ht="15" customHeight="1" x14ac:dyDescent="0.2">
      <c r="E8977" s="7"/>
      <c r="F8977" s="7"/>
    </row>
    <row r="8978" spans="5:6" ht="15" customHeight="1" x14ac:dyDescent="0.2">
      <c r="E8978" s="7"/>
      <c r="F8978" s="7"/>
    </row>
    <row r="8979" spans="5:6" ht="15" customHeight="1" x14ac:dyDescent="0.2">
      <c r="E8979" s="7"/>
      <c r="F8979" s="7"/>
    </row>
    <row r="8980" spans="5:6" ht="15" customHeight="1" x14ac:dyDescent="0.2">
      <c r="E8980" s="7"/>
      <c r="F8980" s="7"/>
    </row>
    <row r="8981" spans="5:6" ht="15" customHeight="1" x14ac:dyDescent="0.2">
      <c r="E8981" s="7"/>
      <c r="F8981" s="7"/>
    </row>
    <row r="8982" spans="5:6" ht="15" customHeight="1" x14ac:dyDescent="0.2">
      <c r="E8982" s="7"/>
      <c r="F8982" s="7"/>
    </row>
    <row r="8983" spans="5:6" ht="15" customHeight="1" x14ac:dyDescent="0.2">
      <c r="E8983" s="7"/>
      <c r="F8983" s="7"/>
    </row>
    <row r="8984" spans="5:6" ht="15" customHeight="1" x14ac:dyDescent="0.2">
      <c r="E8984" s="7"/>
      <c r="F8984" s="7"/>
    </row>
    <row r="8985" spans="5:6" ht="15" customHeight="1" x14ac:dyDescent="0.2">
      <c r="E8985" s="7"/>
      <c r="F8985" s="7"/>
    </row>
    <row r="8986" spans="5:6" ht="15" customHeight="1" x14ac:dyDescent="0.2">
      <c r="E8986" s="7"/>
      <c r="F8986" s="7"/>
    </row>
    <row r="8987" spans="5:6" ht="15" customHeight="1" x14ac:dyDescent="0.2">
      <c r="E8987" s="7"/>
      <c r="F8987" s="7"/>
    </row>
    <row r="8988" spans="5:6" ht="15" customHeight="1" x14ac:dyDescent="0.2">
      <c r="E8988" s="7"/>
      <c r="F8988" s="7"/>
    </row>
    <row r="8989" spans="5:6" ht="15" customHeight="1" x14ac:dyDescent="0.2">
      <c r="E8989" s="7"/>
      <c r="F8989" s="7"/>
    </row>
    <row r="8990" spans="5:6" ht="15" customHeight="1" x14ac:dyDescent="0.2">
      <c r="E8990" s="7"/>
      <c r="F8990" s="7"/>
    </row>
    <row r="8991" spans="5:6" ht="15" customHeight="1" x14ac:dyDescent="0.2">
      <c r="E8991" s="7"/>
      <c r="F8991" s="7"/>
    </row>
    <row r="8992" spans="5:6" ht="15" customHeight="1" x14ac:dyDescent="0.2">
      <c r="E8992" s="7"/>
      <c r="F8992" s="7"/>
    </row>
    <row r="8993" spans="5:6" ht="15" customHeight="1" x14ac:dyDescent="0.2">
      <c r="E8993" s="7"/>
      <c r="F8993" s="7"/>
    </row>
    <row r="8994" spans="5:6" ht="15" customHeight="1" x14ac:dyDescent="0.2">
      <c r="E8994" s="7"/>
      <c r="F8994" s="7"/>
    </row>
    <row r="8995" spans="5:6" ht="15" customHeight="1" x14ac:dyDescent="0.2">
      <c r="E8995" s="7"/>
      <c r="F8995" s="7"/>
    </row>
    <row r="8996" spans="5:6" ht="15" customHeight="1" x14ac:dyDescent="0.2">
      <c r="E8996" s="7"/>
      <c r="F8996" s="7"/>
    </row>
    <row r="8997" spans="5:6" ht="15" customHeight="1" x14ac:dyDescent="0.2">
      <c r="E8997" s="7"/>
      <c r="F8997" s="7"/>
    </row>
    <row r="8998" spans="5:6" ht="15" customHeight="1" x14ac:dyDescent="0.2">
      <c r="E8998" s="7"/>
      <c r="F8998" s="7"/>
    </row>
    <row r="8999" spans="5:6" ht="15" customHeight="1" x14ac:dyDescent="0.2">
      <c r="E8999" s="7"/>
      <c r="F8999" s="7"/>
    </row>
    <row r="9000" spans="5:6" ht="15" customHeight="1" x14ac:dyDescent="0.2">
      <c r="E9000" s="7"/>
      <c r="F9000" s="7"/>
    </row>
    <row r="9001" spans="5:6" ht="15" customHeight="1" x14ac:dyDescent="0.2">
      <c r="E9001" s="7"/>
      <c r="F9001" s="7"/>
    </row>
    <row r="9002" spans="5:6" ht="15" customHeight="1" x14ac:dyDescent="0.2">
      <c r="E9002" s="7"/>
      <c r="F9002" s="7"/>
    </row>
    <row r="9003" spans="5:6" ht="15" customHeight="1" x14ac:dyDescent="0.2">
      <c r="E9003" s="7"/>
      <c r="F9003" s="7"/>
    </row>
    <row r="9004" spans="5:6" ht="15" customHeight="1" x14ac:dyDescent="0.2">
      <c r="E9004" s="7"/>
      <c r="F9004" s="7"/>
    </row>
    <row r="9005" spans="5:6" ht="15" customHeight="1" x14ac:dyDescent="0.2">
      <c r="E9005" s="7"/>
      <c r="F9005" s="7"/>
    </row>
    <row r="9006" spans="5:6" ht="15" customHeight="1" x14ac:dyDescent="0.2">
      <c r="E9006" s="7"/>
      <c r="F9006" s="7"/>
    </row>
    <row r="9007" spans="5:6" ht="15" customHeight="1" x14ac:dyDescent="0.2">
      <c r="E9007" s="7"/>
      <c r="F9007" s="7"/>
    </row>
    <row r="9008" spans="5:6" ht="15" customHeight="1" x14ac:dyDescent="0.2">
      <c r="E9008" s="7"/>
      <c r="F9008" s="7"/>
    </row>
    <row r="9009" spans="5:6" ht="15" customHeight="1" x14ac:dyDescent="0.2">
      <c r="E9009" s="7"/>
      <c r="F9009" s="7"/>
    </row>
    <row r="9010" spans="5:6" ht="15" customHeight="1" x14ac:dyDescent="0.2">
      <c r="E9010" s="7"/>
      <c r="F9010" s="7"/>
    </row>
    <row r="9011" spans="5:6" ht="15" customHeight="1" x14ac:dyDescent="0.2">
      <c r="E9011" s="7"/>
      <c r="F9011" s="7"/>
    </row>
    <row r="9012" spans="5:6" ht="15" customHeight="1" x14ac:dyDescent="0.2">
      <c r="E9012" s="7"/>
      <c r="F9012" s="7"/>
    </row>
    <row r="9013" spans="5:6" ht="15" customHeight="1" x14ac:dyDescent="0.2">
      <c r="E9013" s="7"/>
      <c r="F9013" s="7"/>
    </row>
    <row r="9014" spans="5:6" ht="15" customHeight="1" x14ac:dyDescent="0.2">
      <c r="E9014" s="7"/>
      <c r="F9014" s="7"/>
    </row>
    <row r="9015" spans="5:6" ht="15" customHeight="1" x14ac:dyDescent="0.2">
      <c r="E9015" s="7"/>
      <c r="F9015" s="7"/>
    </row>
    <row r="9016" spans="5:6" ht="15" customHeight="1" x14ac:dyDescent="0.2">
      <c r="E9016" s="7"/>
      <c r="F9016" s="7"/>
    </row>
    <row r="9017" spans="5:6" ht="15" customHeight="1" x14ac:dyDescent="0.2">
      <c r="E9017" s="7"/>
      <c r="F9017" s="7"/>
    </row>
    <row r="9018" spans="5:6" ht="15" customHeight="1" x14ac:dyDescent="0.2">
      <c r="E9018" s="7"/>
      <c r="F9018" s="7"/>
    </row>
    <row r="9019" spans="5:6" ht="15" customHeight="1" x14ac:dyDescent="0.2">
      <c r="E9019" s="7"/>
      <c r="F9019" s="7"/>
    </row>
    <row r="9020" spans="5:6" ht="15" customHeight="1" x14ac:dyDescent="0.2">
      <c r="E9020" s="7"/>
      <c r="F9020" s="7"/>
    </row>
    <row r="9021" spans="5:6" ht="15" customHeight="1" x14ac:dyDescent="0.2">
      <c r="E9021" s="7"/>
      <c r="F9021" s="7"/>
    </row>
    <row r="9022" spans="5:6" ht="15" customHeight="1" x14ac:dyDescent="0.2">
      <c r="E9022" s="7"/>
      <c r="F9022" s="7"/>
    </row>
    <row r="9023" spans="5:6" ht="15" customHeight="1" x14ac:dyDescent="0.2">
      <c r="E9023" s="7"/>
      <c r="F9023" s="7"/>
    </row>
    <row r="9024" spans="5:6" ht="15" customHeight="1" x14ac:dyDescent="0.2">
      <c r="E9024" s="7"/>
      <c r="F9024" s="7"/>
    </row>
    <row r="9025" spans="5:6" ht="15" customHeight="1" x14ac:dyDescent="0.2">
      <c r="E9025" s="7"/>
      <c r="F9025" s="7"/>
    </row>
    <row r="9026" spans="5:6" ht="15" customHeight="1" x14ac:dyDescent="0.2">
      <c r="E9026" s="7"/>
      <c r="F9026" s="7"/>
    </row>
    <row r="9027" spans="5:6" ht="15" customHeight="1" x14ac:dyDescent="0.2">
      <c r="E9027" s="7"/>
      <c r="F9027" s="7"/>
    </row>
    <row r="9028" spans="5:6" ht="15" customHeight="1" x14ac:dyDescent="0.2">
      <c r="E9028" s="7"/>
      <c r="F9028" s="7"/>
    </row>
    <row r="9029" spans="5:6" ht="15" customHeight="1" x14ac:dyDescent="0.2">
      <c r="E9029" s="7"/>
      <c r="F9029" s="7"/>
    </row>
    <row r="9030" spans="5:6" ht="15" customHeight="1" x14ac:dyDescent="0.2">
      <c r="E9030" s="7"/>
      <c r="F9030" s="7"/>
    </row>
    <row r="9031" spans="5:6" ht="15" customHeight="1" x14ac:dyDescent="0.2">
      <c r="E9031" s="7"/>
      <c r="F9031" s="7"/>
    </row>
    <row r="9032" spans="5:6" ht="15" customHeight="1" x14ac:dyDescent="0.2">
      <c r="E9032" s="7"/>
      <c r="F9032" s="7"/>
    </row>
    <row r="9033" spans="5:6" ht="15" customHeight="1" x14ac:dyDescent="0.2">
      <c r="E9033" s="7"/>
      <c r="F9033" s="7"/>
    </row>
    <row r="9034" spans="5:6" ht="15" customHeight="1" x14ac:dyDescent="0.2">
      <c r="E9034" s="7"/>
      <c r="F9034" s="7"/>
    </row>
    <row r="9035" spans="5:6" ht="15" customHeight="1" x14ac:dyDescent="0.2">
      <c r="E9035" s="7"/>
      <c r="F9035" s="7"/>
    </row>
    <row r="9036" spans="5:6" ht="15" customHeight="1" x14ac:dyDescent="0.2">
      <c r="E9036" s="7"/>
      <c r="F9036" s="7"/>
    </row>
    <row r="9037" spans="5:6" ht="15" customHeight="1" x14ac:dyDescent="0.2">
      <c r="E9037" s="7"/>
      <c r="F9037" s="7"/>
    </row>
    <row r="9038" spans="5:6" ht="15" customHeight="1" x14ac:dyDescent="0.2">
      <c r="E9038" s="7"/>
      <c r="F9038" s="7"/>
    </row>
    <row r="9039" spans="5:6" ht="15" customHeight="1" x14ac:dyDescent="0.2">
      <c r="E9039" s="7"/>
      <c r="F9039" s="7"/>
    </row>
    <row r="9040" spans="5:6" ht="15" customHeight="1" x14ac:dyDescent="0.2">
      <c r="E9040" s="7"/>
      <c r="F9040" s="7"/>
    </row>
    <row r="9041" spans="5:6" ht="15" customHeight="1" x14ac:dyDescent="0.2">
      <c r="E9041" s="7"/>
      <c r="F9041" s="7"/>
    </row>
    <row r="9042" spans="5:6" ht="15" customHeight="1" x14ac:dyDescent="0.2">
      <c r="E9042" s="7"/>
      <c r="F9042" s="7"/>
    </row>
    <row r="9043" spans="5:6" ht="15" customHeight="1" x14ac:dyDescent="0.2">
      <c r="E9043" s="7"/>
      <c r="F9043" s="7"/>
    </row>
    <row r="9044" spans="5:6" ht="15" customHeight="1" x14ac:dyDescent="0.2">
      <c r="E9044" s="7"/>
      <c r="F9044" s="7"/>
    </row>
    <row r="9045" spans="5:6" ht="15" customHeight="1" x14ac:dyDescent="0.2">
      <c r="E9045" s="7"/>
      <c r="F9045" s="7"/>
    </row>
    <row r="9046" spans="5:6" ht="15" customHeight="1" x14ac:dyDescent="0.2">
      <c r="E9046" s="7"/>
      <c r="F9046" s="7"/>
    </row>
    <row r="9047" spans="5:6" ht="15" customHeight="1" x14ac:dyDescent="0.2">
      <c r="E9047" s="7"/>
      <c r="F9047" s="7"/>
    </row>
    <row r="9048" spans="5:6" ht="15" customHeight="1" x14ac:dyDescent="0.2">
      <c r="E9048" s="7"/>
      <c r="F9048" s="7"/>
    </row>
    <row r="9049" spans="5:6" ht="15" customHeight="1" x14ac:dyDescent="0.2">
      <c r="E9049" s="7"/>
      <c r="F9049" s="7"/>
    </row>
    <row r="9050" spans="5:6" ht="15" customHeight="1" x14ac:dyDescent="0.2">
      <c r="E9050" s="7"/>
      <c r="F9050" s="7"/>
    </row>
    <row r="9051" spans="5:6" ht="15" customHeight="1" x14ac:dyDescent="0.2">
      <c r="E9051" s="7"/>
      <c r="F9051" s="7"/>
    </row>
    <row r="9052" spans="5:6" ht="15" customHeight="1" x14ac:dyDescent="0.2">
      <c r="E9052" s="7"/>
      <c r="F9052" s="7"/>
    </row>
    <row r="9053" spans="5:6" ht="15" customHeight="1" x14ac:dyDescent="0.2">
      <c r="E9053" s="7"/>
      <c r="F9053" s="7"/>
    </row>
    <row r="9054" spans="5:6" ht="15" customHeight="1" x14ac:dyDescent="0.2">
      <c r="E9054" s="7"/>
      <c r="F9054" s="7"/>
    </row>
    <row r="9055" spans="5:6" ht="15" customHeight="1" x14ac:dyDescent="0.2">
      <c r="E9055" s="7"/>
      <c r="F9055" s="7"/>
    </row>
    <row r="9056" spans="5:6" ht="15" customHeight="1" x14ac:dyDescent="0.2">
      <c r="E9056" s="7"/>
      <c r="F9056" s="7"/>
    </row>
    <row r="9057" spans="5:6" ht="15" customHeight="1" x14ac:dyDescent="0.2">
      <c r="E9057" s="7"/>
      <c r="F9057" s="7"/>
    </row>
    <row r="9058" spans="5:6" ht="15" customHeight="1" x14ac:dyDescent="0.2">
      <c r="E9058" s="7"/>
      <c r="F9058" s="7"/>
    </row>
    <row r="9059" spans="5:6" ht="15" customHeight="1" x14ac:dyDescent="0.2">
      <c r="E9059" s="7"/>
      <c r="F9059" s="7"/>
    </row>
    <row r="9060" spans="5:6" ht="15" customHeight="1" x14ac:dyDescent="0.2">
      <c r="E9060" s="7"/>
      <c r="F9060" s="7"/>
    </row>
    <row r="9061" spans="5:6" ht="15" customHeight="1" x14ac:dyDescent="0.2">
      <c r="E9061" s="7"/>
      <c r="F9061" s="7"/>
    </row>
    <row r="9062" spans="5:6" ht="15" customHeight="1" x14ac:dyDescent="0.2">
      <c r="E9062" s="7"/>
      <c r="F9062" s="7"/>
    </row>
    <row r="9063" spans="5:6" ht="15" customHeight="1" x14ac:dyDescent="0.2">
      <c r="E9063" s="7"/>
      <c r="F9063" s="7"/>
    </row>
    <row r="9064" spans="5:6" ht="15" customHeight="1" x14ac:dyDescent="0.2">
      <c r="E9064" s="7"/>
      <c r="F9064" s="7"/>
    </row>
    <row r="9065" spans="5:6" ht="15" customHeight="1" x14ac:dyDescent="0.2">
      <c r="E9065" s="7"/>
      <c r="F9065" s="7"/>
    </row>
    <row r="9066" spans="5:6" ht="15" customHeight="1" x14ac:dyDescent="0.2">
      <c r="E9066" s="7"/>
      <c r="F9066" s="7"/>
    </row>
    <row r="9067" spans="5:6" ht="15" customHeight="1" x14ac:dyDescent="0.2">
      <c r="E9067" s="7"/>
      <c r="F9067" s="7"/>
    </row>
    <row r="9068" spans="5:6" ht="15" customHeight="1" x14ac:dyDescent="0.2">
      <c r="E9068" s="7"/>
      <c r="F9068" s="7"/>
    </row>
    <row r="9069" spans="5:6" ht="15" customHeight="1" x14ac:dyDescent="0.2">
      <c r="E9069" s="7"/>
      <c r="F9069" s="7"/>
    </row>
    <row r="9070" spans="5:6" ht="15" customHeight="1" x14ac:dyDescent="0.2">
      <c r="E9070" s="7"/>
      <c r="F9070" s="7"/>
    </row>
    <row r="9071" spans="5:6" ht="15" customHeight="1" x14ac:dyDescent="0.2">
      <c r="E9071" s="7"/>
      <c r="F9071" s="7"/>
    </row>
    <row r="9072" spans="5:6" ht="15" customHeight="1" x14ac:dyDescent="0.2">
      <c r="E9072" s="7"/>
      <c r="F9072" s="7"/>
    </row>
    <row r="9073" spans="5:6" ht="15" customHeight="1" x14ac:dyDescent="0.2">
      <c r="E9073" s="7"/>
      <c r="F9073" s="7"/>
    </row>
    <row r="9074" spans="5:6" ht="15" customHeight="1" x14ac:dyDescent="0.2">
      <c r="E9074" s="7"/>
      <c r="F9074" s="7"/>
    </row>
    <row r="9075" spans="5:6" ht="15" customHeight="1" x14ac:dyDescent="0.2">
      <c r="E9075" s="7"/>
      <c r="F9075" s="7"/>
    </row>
    <row r="9076" spans="5:6" ht="15" customHeight="1" x14ac:dyDescent="0.2">
      <c r="E9076" s="7"/>
      <c r="F9076" s="7"/>
    </row>
    <row r="9077" spans="5:6" ht="15" customHeight="1" x14ac:dyDescent="0.2">
      <c r="E9077" s="7"/>
      <c r="F9077" s="7"/>
    </row>
    <row r="9078" spans="5:6" ht="15" customHeight="1" x14ac:dyDescent="0.2">
      <c r="E9078" s="7"/>
      <c r="F9078" s="7"/>
    </row>
    <row r="9079" spans="5:6" ht="15" customHeight="1" x14ac:dyDescent="0.2">
      <c r="E9079" s="7"/>
      <c r="F9079" s="7"/>
    </row>
    <row r="9080" spans="5:6" ht="15" customHeight="1" x14ac:dyDescent="0.2">
      <c r="E9080" s="7"/>
      <c r="F9080" s="7"/>
    </row>
    <row r="9081" spans="5:6" ht="15" customHeight="1" x14ac:dyDescent="0.2">
      <c r="E9081" s="7"/>
      <c r="F9081" s="7"/>
    </row>
    <row r="9082" spans="5:6" ht="15" customHeight="1" x14ac:dyDescent="0.2">
      <c r="E9082" s="7"/>
      <c r="F9082" s="7"/>
    </row>
    <row r="9083" spans="5:6" ht="15" customHeight="1" x14ac:dyDescent="0.2">
      <c r="E9083" s="7"/>
      <c r="F9083" s="7"/>
    </row>
    <row r="9084" spans="5:6" ht="15" customHeight="1" x14ac:dyDescent="0.2">
      <c r="E9084" s="7"/>
      <c r="F9084" s="7"/>
    </row>
    <row r="9085" spans="5:6" ht="15" customHeight="1" x14ac:dyDescent="0.2">
      <c r="E9085" s="7"/>
      <c r="F9085" s="7"/>
    </row>
    <row r="9086" spans="5:6" ht="15" customHeight="1" x14ac:dyDescent="0.2">
      <c r="E9086" s="7"/>
      <c r="F9086" s="7"/>
    </row>
    <row r="9087" spans="5:6" ht="15" customHeight="1" x14ac:dyDescent="0.2">
      <c r="E9087" s="7"/>
      <c r="F9087" s="7"/>
    </row>
    <row r="9088" spans="5:6" ht="15" customHeight="1" x14ac:dyDescent="0.2">
      <c r="E9088" s="7"/>
      <c r="F9088" s="7"/>
    </row>
    <row r="9089" spans="5:6" ht="15" customHeight="1" x14ac:dyDescent="0.2">
      <c r="E9089" s="7"/>
      <c r="F9089" s="7"/>
    </row>
    <row r="9090" spans="5:6" ht="15" customHeight="1" x14ac:dyDescent="0.2">
      <c r="E9090" s="7"/>
      <c r="F9090" s="7"/>
    </row>
    <row r="9091" spans="5:6" ht="15" customHeight="1" x14ac:dyDescent="0.2">
      <c r="E9091" s="7"/>
      <c r="F9091" s="7"/>
    </row>
    <row r="9092" spans="5:6" ht="15" customHeight="1" x14ac:dyDescent="0.2">
      <c r="E9092" s="7"/>
      <c r="F9092" s="7"/>
    </row>
    <row r="9093" spans="5:6" ht="15" customHeight="1" x14ac:dyDescent="0.2">
      <c r="E9093" s="7"/>
      <c r="F9093" s="7"/>
    </row>
    <row r="9094" spans="5:6" ht="15" customHeight="1" x14ac:dyDescent="0.2">
      <c r="E9094" s="7"/>
      <c r="F9094" s="7"/>
    </row>
    <row r="9095" spans="5:6" ht="15" customHeight="1" x14ac:dyDescent="0.2">
      <c r="E9095" s="7"/>
      <c r="F9095" s="7"/>
    </row>
    <row r="9096" spans="5:6" ht="15" customHeight="1" x14ac:dyDescent="0.2">
      <c r="E9096" s="7"/>
      <c r="F9096" s="7"/>
    </row>
    <row r="9097" spans="5:6" ht="15" customHeight="1" x14ac:dyDescent="0.2">
      <c r="E9097" s="7"/>
      <c r="F9097" s="7"/>
    </row>
    <row r="9098" spans="5:6" ht="15" customHeight="1" x14ac:dyDescent="0.2">
      <c r="E9098" s="7"/>
      <c r="F9098" s="7"/>
    </row>
    <row r="9099" spans="5:6" ht="15" customHeight="1" x14ac:dyDescent="0.2">
      <c r="E9099" s="7"/>
      <c r="F9099" s="7"/>
    </row>
    <row r="9100" spans="5:6" ht="15" customHeight="1" x14ac:dyDescent="0.2">
      <c r="E9100" s="7"/>
      <c r="F9100" s="7"/>
    </row>
    <row r="9101" spans="5:6" ht="15" customHeight="1" x14ac:dyDescent="0.2">
      <c r="E9101" s="7"/>
      <c r="F9101" s="7"/>
    </row>
    <row r="9102" spans="5:6" ht="15" customHeight="1" x14ac:dyDescent="0.2">
      <c r="E9102" s="7"/>
      <c r="F9102" s="7"/>
    </row>
    <row r="9103" spans="5:6" ht="15" customHeight="1" x14ac:dyDescent="0.2">
      <c r="E9103" s="7"/>
      <c r="F9103" s="7"/>
    </row>
    <row r="9104" spans="5:6" ht="15" customHeight="1" x14ac:dyDescent="0.2">
      <c r="E9104" s="7"/>
      <c r="F9104" s="7"/>
    </row>
    <row r="9105" spans="5:6" ht="15" customHeight="1" x14ac:dyDescent="0.2">
      <c r="E9105" s="7"/>
      <c r="F9105" s="7"/>
    </row>
    <row r="9106" spans="5:6" ht="15" customHeight="1" x14ac:dyDescent="0.2">
      <c r="E9106" s="7"/>
      <c r="F9106" s="7"/>
    </row>
    <row r="9107" spans="5:6" ht="15" customHeight="1" x14ac:dyDescent="0.2">
      <c r="E9107" s="7"/>
      <c r="F9107" s="7"/>
    </row>
    <row r="9108" spans="5:6" ht="15" customHeight="1" x14ac:dyDescent="0.2">
      <c r="E9108" s="7"/>
      <c r="F9108" s="7"/>
    </row>
    <row r="9109" spans="5:6" ht="15" customHeight="1" x14ac:dyDescent="0.2">
      <c r="E9109" s="7"/>
      <c r="F9109" s="7"/>
    </row>
    <row r="9110" spans="5:6" ht="15" customHeight="1" x14ac:dyDescent="0.2">
      <c r="E9110" s="7"/>
      <c r="F9110" s="7"/>
    </row>
    <row r="9111" spans="5:6" ht="15" customHeight="1" x14ac:dyDescent="0.2">
      <c r="E9111" s="7"/>
      <c r="F9111" s="7"/>
    </row>
    <row r="9112" spans="5:6" ht="15" customHeight="1" x14ac:dyDescent="0.2">
      <c r="E9112" s="7"/>
      <c r="F9112" s="7"/>
    </row>
    <row r="9113" spans="5:6" ht="15" customHeight="1" x14ac:dyDescent="0.2">
      <c r="E9113" s="7"/>
      <c r="F9113" s="7"/>
    </row>
    <row r="9114" spans="5:6" ht="15" customHeight="1" x14ac:dyDescent="0.2">
      <c r="E9114" s="7"/>
      <c r="F9114" s="7"/>
    </row>
    <row r="9115" spans="5:6" ht="15" customHeight="1" x14ac:dyDescent="0.2">
      <c r="E9115" s="7"/>
      <c r="F9115" s="7"/>
    </row>
    <row r="9116" spans="5:6" ht="15" customHeight="1" x14ac:dyDescent="0.2">
      <c r="E9116" s="7"/>
      <c r="F9116" s="7"/>
    </row>
    <row r="9117" spans="5:6" ht="15" customHeight="1" x14ac:dyDescent="0.2">
      <c r="E9117" s="7"/>
      <c r="F9117" s="7"/>
    </row>
    <row r="9118" spans="5:6" ht="15" customHeight="1" x14ac:dyDescent="0.2">
      <c r="E9118" s="7"/>
      <c r="F9118" s="7"/>
    </row>
    <row r="9119" spans="5:6" ht="15" customHeight="1" x14ac:dyDescent="0.2">
      <c r="E9119" s="7"/>
      <c r="F9119" s="7"/>
    </row>
    <row r="9120" spans="5:6" ht="15" customHeight="1" x14ac:dyDescent="0.2">
      <c r="E9120" s="7"/>
      <c r="F9120" s="7"/>
    </row>
    <row r="9121" spans="5:6" ht="15" customHeight="1" x14ac:dyDescent="0.2">
      <c r="E9121" s="7"/>
      <c r="F9121" s="7"/>
    </row>
    <row r="9122" spans="5:6" ht="15" customHeight="1" x14ac:dyDescent="0.2">
      <c r="E9122" s="7"/>
      <c r="F9122" s="7"/>
    </row>
    <row r="9123" spans="5:6" ht="15" customHeight="1" x14ac:dyDescent="0.2">
      <c r="E9123" s="7"/>
      <c r="F9123" s="7"/>
    </row>
    <row r="9124" spans="5:6" ht="15" customHeight="1" x14ac:dyDescent="0.2">
      <c r="E9124" s="7"/>
      <c r="F9124" s="7"/>
    </row>
    <row r="9125" spans="5:6" ht="15" customHeight="1" x14ac:dyDescent="0.2">
      <c r="E9125" s="7"/>
      <c r="F9125" s="7"/>
    </row>
    <row r="9126" spans="5:6" ht="15" customHeight="1" x14ac:dyDescent="0.2">
      <c r="E9126" s="7"/>
      <c r="F9126" s="7"/>
    </row>
    <row r="9127" spans="5:6" ht="15" customHeight="1" x14ac:dyDescent="0.2">
      <c r="E9127" s="7"/>
      <c r="F9127" s="7"/>
    </row>
    <row r="9128" spans="5:6" ht="15" customHeight="1" x14ac:dyDescent="0.2">
      <c r="E9128" s="7"/>
      <c r="F9128" s="7"/>
    </row>
    <row r="9129" spans="5:6" ht="15" customHeight="1" x14ac:dyDescent="0.2">
      <c r="E9129" s="7"/>
      <c r="F9129" s="7"/>
    </row>
    <row r="9130" spans="5:6" ht="15" customHeight="1" x14ac:dyDescent="0.2">
      <c r="E9130" s="7"/>
      <c r="F9130" s="7"/>
    </row>
    <row r="9131" spans="5:6" ht="15" customHeight="1" x14ac:dyDescent="0.2">
      <c r="E9131" s="7"/>
      <c r="F9131" s="7"/>
    </row>
    <row r="9132" spans="5:6" ht="15" customHeight="1" x14ac:dyDescent="0.2">
      <c r="E9132" s="7"/>
      <c r="F9132" s="7"/>
    </row>
    <row r="9133" spans="5:6" ht="15" customHeight="1" x14ac:dyDescent="0.2">
      <c r="E9133" s="7"/>
      <c r="F9133" s="7"/>
    </row>
    <row r="9134" spans="5:6" ht="15" customHeight="1" x14ac:dyDescent="0.2">
      <c r="E9134" s="7"/>
      <c r="F9134" s="7"/>
    </row>
    <row r="9135" spans="5:6" ht="15" customHeight="1" x14ac:dyDescent="0.2">
      <c r="E9135" s="7"/>
      <c r="F9135" s="7"/>
    </row>
    <row r="9136" spans="5:6" ht="15" customHeight="1" x14ac:dyDescent="0.2">
      <c r="E9136" s="7"/>
      <c r="F9136" s="7"/>
    </row>
    <row r="9137" spans="5:6" ht="15" customHeight="1" x14ac:dyDescent="0.2">
      <c r="E9137" s="7"/>
      <c r="F9137" s="7"/>
    </row>
    <row r="9138" spans="5:6" ht="15" customHeight="1" x14ac:dyDescent="0.2">
      <c r="E9138" s="7"/>
      <c r="F9138" s="7"/>
    </row>
    <row r="9139" spans="5:6" ht="15" customHeight="1" x14ac:dyDescent="0.2">
      <c r="E9139" s="7"/>
      <c r="F9139" s="7"/>
    </row>
    <row r="9140" spans="5:6" ht="15" customHeight="1" x14ac:dyDescent="0.2">
      <c r="E9140" s="7"/>
      <c r="F9140" s="7"/>
    </row>
    <row r="9141" spans="5:6" ht="15" customHeight="1" x14ac:dyDescent="0.2">
      <c r="E9141" s="7"/>
      <c r="F9141" s="7"/>
    </row>
    <row r="9142" spans="5:6" ht="15" customHeight="1" x14ac:dyDescent="0.2">
      <c r="E9142" s="7"/>
      <c r="F9142" s="7"/>
    </row>
    <row r="9143" spans="5:6" ht="15" customHeight="1" x14ac:dyDescent="0.2">
      <c r="E9143" s="7"/>
      <c r="F9143" s="7"/>
    </row>
    <row r="9144" spans="5:6" ht="15" customHeight="1" x14ac:dyDescent="0.2">
      <c r="E9144" s="7"/>
      <c r="F9144" s="7"/>
    </row>
    <row r="9145" spans="5:6" ht="15" customHeight="1" x14ac:dyDescent="0.2">
      <c r="E9145" s="7"/>
      <c r="F9145" s="7"/>
    </row>
    <row r="9146" spans="5:6" ht="15" customHeight="1" x14ac:dyDescent="0.2">
      <c r="E9146" s="7"/>
      <c r="F9146" s="7"/>
    </row>
    <row r="9147" spans="5:6" ht="15" customHeight="1" x14ac:dyDescent="0.2">
      <c r="E9147" s="7"/>
      <c r="F9147" s="7"/>
    </row>
    <row r="9148" spans="5:6" ht="15" customHeight="1" x14ac:dyDescent="0.2">
      <c r="E9148" s="7"/>
      <c r="F9148" s="7"/>
    </row>
    <row r="9149" spans="5:6" ht="15" customHeight="1" x14ac:dyDescent="0.2">
      <c r="E9149" s="7"/>
      <c r="F9149" s="7"/>
    </row>
    <row r="9150" spans="5:6" ht="15" customHeight="1" x14ac:dyDescent="0.2">
      <c r="E9150" s="7"/>
      <c r="F9150" s="7"/>
    </row>
    <row r="9151" spans="5:6" ht="15" customHeight="1" x14ac:dyDescent="0.2">
      <c r="E9151" s="7"/>
      <c r="F9151" s="7"/>
    </row>
    <row r="9152" spans="5:6" ht="15" customHeight="1" x14ac:dyDescent="0.2">
      <c r="E9152" s="7"/>
      <c r="F9152" s="7"/>
    </row>
    <row r="9153" spans="5:6" ht="15" customHeight="1" x14ac:dyDescent="0.2">
      <c r="E9153" s="7"/>
      <c r="F9153" s="7"/>
    </row>
    <row r="9154" spans="5:6" ht="15" customHeight="1" x14ac:dyDescent="0.2">
      <c r="E9154" s="7"/>
      <c r="F9154" s="7"/>
    </row>
    <row r="9155" spans="5:6" ht="15" customHeight="1" x14ac:dyDescent="0.2">
      <c r="E9155" s="7"/>
      <c r="F9155" s="7"/>
    </row>
    <row r="9156" spans="5:6" ht="15" customHeight="1" x14ac:dyDescent="0.2">
      <c r="E9156" s="7"/>
      <c r="F9156" s="7"/>
    </row>
    <row r="9157" spans="5:6" ht="15" customHeight="1" x14ac:dyDescent="0.2">
      <c r="E9157" s="7"/>
      <c r="F9157" s="7"/>
    </row>
    <row r="9158" spans="5:6" ht="15" customHeight="1" x14ac:dyDescent="0.2">
      <c r="E9158" s="7"/>
      <c r="F9158" s="7"/>
    </row>
    <row r="9159" spans="5:6" ht="15" customHeight="1" x14ac:dyDescent="0.2">
      <c r="E9159" s="7"/>
      <c r="F9159" s="7"/>
    </row>
    <row r="9160" spans="5:6" ht="15" customHeight="1" x14ac:dyDescent="0.2">
      <c r="E9160" s="7"/>
      <c r="F9160" s="7"/>
    </row>
    <row r="9161" spans="5:6" ht="15" customHeight="1" x14ac:dyDescent="0.2">
      <c r="E9161" s="7"/>
      <c r="F9161" s="7"/>
    </row>
    <row r="9162" spans="5:6" ht="15" customHeight="1" x14ac:dyDescent="0.2">
      <c r="E9162" s="7"/>
      <c r="F9162" s="7"/>
    </row>
    <row r="9163" spans="5:6" ht="15" customHeight="1" x14ac:dyDescent="0.2">
      <c r="E9163" s="7"/>
      <c r="F9163" s="7"/>
    </row>
    <row r="9164" spans="5:6" ht="15" customHeight="1" x14ac:dyDescent="0.2">
      <c r="E9164" s="7"/>
      <c r="F9164" s="7"/>
    </row>
    <row r="9165" spans="5:6" ht="15" customHeight="1" x14ac:dyDescent="0.2">
      <c r="E9165" s="7"/>
      <c r="F9165" s="7"/>
    </row>
    <row r="9166" spans="5:6" ht="15" customHeight="1" x14ac:dyDescent="0.2">
      <c r="E9166" s="7"/>
      <c r="F9166" s="7"/>
    </row>
    <row r="9167" spans="5:6" ht="15" customHeight="1" x14ac:dyDescent="0.2">
      <c r="E9167" s="7"/>
      <c r="F9167" s="7"/>
    </row>
    <row r="9168" spans="5:6" ht="15" customHeight="1" x14ac:dyDescent="0.2">
      <c r="E9168" s="7"/>
      <c r="F9168" s="7"/>
    </row>
    <row r="9169" spans="5:6" ht="15" customHeight="1" x14ac:dyDescent="0.2">
      <c r="E9169" s="7"/>
      <c r="F9169" s="7"/>
    </row>
    <row r="9170" spans="5:6" ht="15" customHeight="1" x14ac:dyDescent="0.2">
      <c r="E9170" s="7"/>
      <c r="F9170" s="7"/>
    </row>
    <row r="9171" spans="5:6" ht="15" customHeight="1" x14ac:dyDescent="0.2">
      <c r="E9171" s="7"/>
      <c r="F9171" s="7"/>
    </row>
    <row r="9172" spans="5:6" ht="15" customHeight="1" x14ac:dyDescent="0.2">
      <c r="E9172" s="7"/>
      <c r="F9172" s="7"/>
    </row>
    <row r="9173" spans="5:6" ht="15" customHeight="1" x14ac:dyDescent="0.2">
      <c r="E9173" s="7"/>
      <c r="F9173" s="7"/>
    </row>
    <row r="9174" spans="5:6" ht="15" customHeight="1" x14ac:dyDescent="0.2">
      <c r="E9174" s="7"/>
      <c r="F9174" s="7"/>
    </row>
    <row r="9175" spans="5:6" ht="15" customHeight="1" x14ac:dyDescent="0.2">
      <c r="E9175" s="7"/>
      <c r="F9175" s="7"/>
    </row>
    <row r="9176" spans="5:6" ht="15" customHeight="1" x14ac:dyDescent="0.2">
      <c r="E9176" s="7"/>
      <c r="F9176" s="7"/>
    </row>
    <row r="9177" spans="5:6" ht="15" customHeight="1" x14ac:dyDescent="0.2">
      <c r="E9177" s="7"/>
      <c r="F9177" s="7"/>
    </row>
    <row r="9178" spans="5:6" ht="15" customHeight="1" x14ac:dyDescent="0.2">
      <c r="E9178" s="7"/>
      <c r="F9178" s="7"/>
    </row>
    <row r="9179" spans="5:6" ht="15" customHeight="1" x14ac:dyDescent="0.2">
      <c r="E9179" s="7"/>
      <c r="F9179" s="7"/>
    </row>
    <row r="9180" spans="5:6" ht="15" customHeight="1" x14ac:dyDescent="0.2">
      <c r="E9180" s="7"/>
      <c r="F9180" s="7"/>
    </row>
    <row r="9181" spans="5:6" ht="15" customHeight="1" x14ac:dyDescent="0.2">
      <c r="E9181" s="7"/>
      <c r="F9181" s="7"/>
    </row>
    <row r="9182" spans="5:6" ht="15" customHeight="1" x14ac:dyDescent="0.2">
      <c r="E9182" s="7"/>
      <c r="F9182" s="7"/>
    </row>
    <row r="9183" spans="5:6" ht="15" customHeight="1" x14ac:dyDescent="0.2">
      <c r="E9183" s="7"/>
      <c r="F9183" s="7"/>
    </row>
    <row r="9184" spans="5:6" ht="15" customHeight="1" x14ac:dyDescent="0.2">
      <c r="E9184" s="7"/>
      <c r="F9184" s="7"/>
    </row>
    <row r="9185" spans="5:6" ht="15" customHeight="1" x14ac:dyDescent="0.2">
      <c r="E9185" s="7"/>
      <c r="F9185" s="7"/>
    </row>
    <row r="9186" spans="5:6" ht="15" customHeight="1" x14ac:dyDescent="0.2">
      <c r="E9186" s="7"/>
      <c r="F9186" s="7"/>
    </row>
    <row r="9187" spans="5:6" ht="15" customHeight="1" x14ac:dyDescent="0.2">
      <c r="E9187" s="7"/>
      <c r="F9187" s="7"/>
    </row>
    <row r="9188" spans="5:6" ht="15" customHeight="1" x14ac:dyDescent="0.2">
      <c r="E9188" s="7"/>
      <c r="F9188" s="7"/>
    </row>
    <row r="9189" spans="5:6" ht="15" customHeight="1" x14ac:dyDescent="0.2">
      <c r="E9189" s="7"/>
      <c r="F9189" s="7"/>
    </row>
    <row r="9190" spans="5:6" ht="15" customHeight="1" x14ac:dyDescent="0.2">
      <c r="E9190" s="7"/>
      <c r="F9190" s="7"/>
    </row>
    <row r="9191" spans="5:6" ht="15" customHeight="1" x14ac:dyDescent="0.2">
      <c r="E9191" s="7"/>
      <c r="F9191" s="7"/>
    </row>
    <row r="9192" spans="5:6" ht="15" customHeight="1" x14ac:dyDescent="0.2">
      <c r="E9192" s="7"/>
      <c r="F9192" s="7"/>
    </row>
    <row r="9193" spans="5:6" ht="15" customHeight="1" x14ac:dyDescent="0.2">
      <c r="E9193" s="7"/>
      <c r="F9193" s="7"/>
    </row>
    <row r="9194" spans="5:6" ht="15" customHeight="1" x14ac:dyDescent="0.2">
      <c r="E9194" s="7"/>
      <c r="F9194" s="7"/>
    </row>
    <row r="9195" spans="5:6" ht="15" customHeight="1" x14ac:dyDescent="0.2">
      <c r="E9195" s="7"/>
      <c r="F9195" s="7"/>
    </row>
    <row r="9196" spans="5:6" ht="15" customHeight="1" x14ac:dyDescent="0.2">
      <c r="E9196" s="7"/>
      <c r="F9196" s="7"/>
    </row>
    <row r="9197" spans="5:6" ht="15" customHeight="1" x14ac:dyDescent="0.2">
      <c r="E9197" s="7"/>
      <c r="F9197" s="7"/>
    </row>
    <row r="9198" spans="5:6" ht="15" customHeight="1" x14ac:dyDescent="0.2">
      <c r="E9198" s="7"/>
      <c r="F9198" s="7"/>
    </row>
    <row r="9199" spans="5:6" ht="15" customHeight="1" x14ac:dyDescent="0.2">
      <c r="E9199" s="7"/>
      <c r="F9199" s="7"/>
    </row>
    <row r="9200" spans="5:6" ht="15" customHeight="1" x14ac:dyDescent="0.2">
      <c r="E9200" s="7"/>
      <c r="F9200" s="7"/>
    </row>
    <row r="9201" spans="5:6" ht="15" customHeight="1" x14ac:dyDescent="0.2">
      <c r="E9201" s="7"/>
      <c r="F9201" s="7"/>
    </row>
    <row r="9202" spans="5:6" ht="15" customHeight="1" x14ac:dyDescent="0.2">
      <c r="E9202" s="7"/>
      <c r="F9202" s="7"/>
    </row>
    <row r="9203" spans="5:6" ht="15" customHeight="1" x14ac:dyDescent="0.2">
      <c r="E9203" s="7"/>
      <c r="F9203" s="7"/>
    </row>
    <row r="9204" spans="5:6" ht="15" customHeight="1" x14ac:dyDescent="0.2">
      <c r="E9204" s="7"/>
      <c r="F9204" s="7"/>
    </row>
    <row r="9205" spans="5:6" ht="15" customHeight="1" x14ac:dyDescent="0.2">
      <c r="E9205" s="7"/>
      <c r="F9205" s="7"/>
    </row>
    <row r="9206" spans="5:6" ht="15" customHeight="1" x14ac:dyDescent="0.2">
      <c r="E9206" s="7"/>
      <c r="F9206" s="7"/>
    </row>
    <row r="9207" spans="5:6" ht="15" customHeight="1" x14ac:dyDescent="0.2">
      <c r="E9207" s="7"/>
      <c r="F9207" s="7"/>
    </row>
    <row r="9208" spans="5:6" ht="15" customHeight="1" x14ac:dyDescent="0.2">
      <c r="E9208" s="7"/>
      <c r="F9208" s="7"/>
    </row>
    <row r="9209" spans="5:6" ht="15" customHeight="1" x14ac:dyDescent="0.2">
      <c r="E9209" s="7"/>
      <c r="F9209" s="7"/>
    </row>
    <row r="9210" spans="5:6" ht="15" customHeight="1" x14ac:dyDescent="0.2">
      <c r="E9210" s="7"/>
      <c r="F9210" s="7"/>
    </row>
    <row r="9211" spans="5:6" ht="15" customHeight="1" x14ac:dyDescent="0.2">
      <c r="E9211" s="7"/>
      <c r="F9211" s="7"/>
    </row>
    <row r="9212" spans="5:6" ht="15" customHeight="1" x14ac:dyDescent="0.2">
      <c r="E9212" s="7"/>
      <c r="F9212" s="7"/>
    </row>
    <row r="9213" spans="5:6" ht="15" customHeight="1" x14ac:dyDescent="0.2">
      <c r="E9213" s="7"/>
      <c r="F9213" s="7"/>
    </row>
    <row r="9214" spans="5:6" ht="15" customHeight="1" x14ac:dyDescent="0.2">
      <c r="E9214" s="7"/>
      <c r="F9214" s="7"/>
    </row>
    <row r="9215" spans="5:6" ht="15" customHeight="1" x14ac:dyDescent="0.2">
      <c r="E9215" s="7"/>
      <c r="F9215" s="7"/>
    </row>
    <row r="9216" spans="5:6" ht="15" customHeight="1" x14ac:dyDescent="0.2">
      <c r="E9216" s="7"/>
      <c r="F9216" s="7"/>
    </row>
    <row r="9217" spans="5:6" ht="15" customHeight="1" x14ac:dyDescent="0.2">
      <c r="E9217" s="7"/>
      <c r="F9217" s="7"/>
    </row>
    <row r="9218" spans="5:6" ht="15" customHeight="1" x14ac:dyDescent="0.2">
      <c r="E9218" s="7"/>
      <c r="F9218" s="7"/>
    </row>
    <row r="9219" spans="5:6" ht="15" customHeight="1" x14ac:dyDescent="0.2">
      <c r="E9219" s="7"/>
      <c r="F9219" s="7"/>
    </row>
    <row r="9220" spans="5:6" ht="15" customHeight="1" x14ac:dyDescent="0.2">
      <c r="E9220" s="7"/>
      <c r="F9220" s="7"/>
    </row>
    <row r="9221" spans="5:6" ht="15" customHeight="1" x14ac:dyDescent="0.2">
      <c r="E9221" s="7"/>
      <c r="F9221" s="7"/>
    </row>
    <row r="9222" spans="5:6" ht="15" customHeight="1" x14ac:dyDescent="0.2">
      <c r="E9222" s="7"/>
      <c r="F9222" s="7"/>
    </row>
    <row r="9223" spans="5:6" ht="15" customHeight="1" x14ac:dyDescent="0.2">
      <c r="E9223" s="7"/>
      <c r="F9223" s="7"/>
    </row>
    <row r="9224" spans="5:6" ht="15" customHeight="1" x14ac:dyDescent="0.2">
      <c r="E9224" s="7"/>
      <c r="F9224" s="7"/>
    </row>
    <row r="9225" spans="5:6" ht="15" customHeight="1" x14ac:dyDescent="0.2">
      <c r="E9225" s="7"/>
      <c r="F9225" s="7"/>
    </row>
    <row r="9226" spans="5:6" ht="15" customHeight="1" x14ac:dyDescent="0.2">
      <c r="E9226" s="7"/>
      <c r="F9226" s="7"/>
    </row>
    <row r="9227" spans="5:6" ht="15" customHeight="1" x14ac:dyDescent="0.2">
      <c r="E9227" s="7"/>
      <c r="F9227" s="7"/>
    </row>
    <row r="9228" spans="5:6" ht="15" customHeight="1" x14ac:dyDescent="0.2">
      <c r="E9228" s="7"/>
      <c r="F9228" s="7"/>
    </row>
    <row r="9229" spans="5:6" ht="15" customHeight="1" x14ac:dyDescent="0.2">
      <c r="E9229" s="7"/>
      <c r="F9229" s="7"/>
    </row>
    <row r="9230" spans="5:6" ht="15" customHeight="1" x14ac:dyDescent="0.2">
      <c r="E9230" s="7"/>
      <c r="F9230" s="7"/>
    </row>
    <row r="9231" spans="5:6" ht="15" customHeight="1" x14ac:dyDescent="0.2">
      <c r="E9231" s="7"/>
      <c r="F9231" s="7"/>
    </row>
    <row r="9232" spans="5:6" ht="15" customHeight="1" x14ac:dyDescent="0.2">
      <c r="E9232" s="7"/>
      <c r="F9232" s="7"/>
    </row>
    <row r="9233" spans="5:6" ht="15" customHeight="1" x14ac:dyDescent="0.2">
      <c r="E9233" s="7"/>
      <c r="F9233" s="7"/>
    </row>
    <row r="9234" spans="5:6" ht="15" customHeight="1" x14ac:dyDescent="0.2">
      <c r="E9234" s="7"/>
      <c r="F9234" s="7"/>
    </row>
    <row r="9235" spans="5:6" ht="15" customHeight="1" x14ac:dyDescent="0.2">
      <c r="E9235" s="7"/>
      <c r="F9235" s="7"/>
    </row>
    <row r="9236" spans="5:6" ht="15" customHeight="1" x14ac:dyDescent="0.2">
      <c r="E9236" s="7"/>
      <c r="F9236" s="7"/>
    </row>
    <row r="9237" spans="5:6" ht="15" customHeight="1" x14ac:dyDescent="0.2">
      <c r="E9237" s="7"/>
      <c r="F9237" s="7"/>
    </row>
    <row r="9238" spans="5:6" ht="15" customHeight="1" x14ac:dyDescent="0.2">
      <c r="E9238" s="7"/>
      <c r="F9238" s="7"/>
    </row>
    <row r="9239" spans="5:6" ht="15" customHeight="1" x14ac:dyDescent="0.2">
      <c r="E9239" s="7"/>
      <c r="F9239" s="7"/>
    </row>
    <row r="9240" spans="5:6" ht="15" customHeight="1" x14ac:dyDescent="0.2">
      <c r="E9240" s="7"/>
      <c r="F9240" s="7"/>
    </row>
    <row r="9241" spans="5:6" ht="15" customHeight="1" x14ac:dyDescent="0.2">
      <c r="E9241" s="7"/>
      <c r="F9241" s="7"/>
    </row>
    <row r="9242" spans="5:6" ht="15" customHeight="1" x14ac:dyDescent="0.2">
      <c r="E9242" s="7"/>
      <c r="F9242" s="7"/>
    </row>
    <row r="9243" spans="5:6" ht="15" customHeight="1" x14ac:dyDescent="0.2">
      <c r="E9243" s="7"/>
      <c r="F9243" s="7"/>
    </row>
    <row r="9244" spans="5:6" ht="15" customHeight="1" x14ac:dyDescent="0.2">
      <c r="E9244" s="7"/>
      <c r="F9244" s="7"/>
    </row>
    <row r="9245" spans="5:6" ht="15" customHeight="1" x14ac:dyDescent="0.2">
      <c r="E9245" s="7"/>
      <c r="F9245" s="7"/>
    </row>
    <row r="9246" spans="5:6" ht="15" customHeight="1" x14ac:dyDescent="0.2">
      <c r="E9246" s="7"/>
      <c r="F9246" s="7"/>
    </row>
    <row r="9247" spans="5:6" ht="15" customHeight="1" x14ac:dyDescent="0.2">
      <c r="E9247" s="7"/>
      <c r="F9247" s="7"/>
    </row>
    <row r="9248" spans="5:6" ht="15" customHeight="1" x14ac:dyDescent="0.2">
      <c r="E9248" s="7"/>
      <c r="F9248" s="7"/>
    </row>
    <row r="9249" spans="5:6" ht="15" customHeight="1" x14ac:dyDescent="0.2">
      <c r="E9249" s="7"/>
      <c r="F9249" s="7"/>
    </row>
    <row r="9250" spans="5:6" ht="15" customHeight="1" x14ac:dyDescent="0.2">
      <c r="E9250" s="7"/>
      <c r="F9250" s="7"/>
    </row>
    <row r="9251" spans="5:6" ht="15" customHeight="1" x14ac:dyDescent="0.2">
      <c r="E9251" s="7"/>
      <c r="F9251" s="7"/>
    </row>
    <row r="9252" spans="5:6" ht="15" customHeight="1" x14ac:dyDescent="0.2">
      <c r="E9252" s="7"/>
      <c r="F9252" s="7"/>
    </row>
    <row r="9253" spans="5:6" ht="15" customHeight="1" x14ac:dyDescent="0.2">
      <c r="E9253" s="7"/>
      <c r="F9253" s="7"/>
    </row>
    <row r="9254" spans="5:6" ht="15" customHeight="1" x14ac:dyDescent="0.2">
      <c r="E9254" s="7"/>
      <c r="F9254" s="7"/>
    </row>
    <row r="9255" spans="5:6" ht="15" customHeight="1" x14ac:dyDescent="0.2">
      <c r="E9255" s="7"/>
      <c r="F9255" s="7"/>
    </row>
    <row r="9256" spans="5:6" ht="15" customHeight="1" x14ac:dyDescent="0.2">
      <c r="E9256" s="7"/>
      <c r="F9256" s="7"/>
    </row>
    <row r="9257" spans="5:6" ht="15" customHeight="1" x14ac:dyDescent="0.2">
      <c r="E9257" s="7"/>
      <c r="F9257" s="7"/>
    </row>
    <row r="9258" spans="5:6" ht="15" customHeight="1" x14ac:dyDescent="0.2">
      <c r="E9258" s="7"/>
      <c r="F9258" s="7"/>
    </row>
    <row r="9259" spans="5:6" ht="15" customHeight="1" x14ac:dyDescent="0.2">
      <c r="E9259" s="7"/>
      <c r="F9259" s="7"/>
    </row>
    <row r="9260" spans="5:6" ht="15" customHeight="1" x14ac:dyDescent="0.2">
      <c r="E9260" s="7"/>
      <c r="F9260" s="7"/>
    </row>
    <row r="9261" spans="5:6" ht="15" customHeight="1" x14ac:dyDescent="0.2">
      <c r="E9261" s="7"/>
      <c r="F9261" s="7"/>
    </row>
    <row r="9262" spans="5:6" ht="15" customHeight="1" x14ac:dyDescent="0.2">
      <c r="E9262" s="7"/>
      <c r="F9262" s="7"/>
    </row>
    <row r="9263" spans="5:6" ht="15" customHeight="1" x14ac:dyDescent="0.2">
      <c r="E9263" s="7"/>
      <c r="F9263" s="7"/>
    </row>
    <row r="9264" spans="5:6" ht="15" customHeight="1" x14ac:dyDescent="0.2">
      <c r="E9264" s="7"/>
      <c r="F9264" s="7"/>
    </row>
    <row r="9265" spans="5:6" ht="15" customHeight="1" x14ac:dyDescent="0.2">
      <c r="E9265" s="7"/>
      <c r="F9265" s="7"/>
    </row>
    <row r="9266" spans="5:6" ht="15" customHeight="1" x14ac:dyDescent="0.2">
      <c r="E9266" s="7"/>
      <c r="F9266" s="7"/>
    </row>
    <row r="9267" spans="5:6" ht="15" customHeight="1" x14ac:dyDescent="0.2">
      <c r="E9267" s="7"/>
      <c r="F9267" s="7"/>
    </row>
    <row r="9268" spans="5:6" ht="15" customHeight="1" x14ac:dyDescent="0.2">
      <c r="E9268" s="7"/>
      <c r="F9268" s="7"/>
    </row>
    <row r="9269" spans="5:6" ht="15" customHeight="1" x14ac:dyDescent="0.2">
      <c r="E9269" s="7"/>
      <c r="F9269" s="7"/>
    </row>
    <row r="9270" spans="5:6" ht="15" customHeight="1" x14ac:dyDescent="0.2">
      <c r="E9270" s="7"/>
      <c r="F9270" s="7"/>
    </row>
    <row r="9271" spans="5:6" ht="15" customHeight="1" x14ac:dyDescent="0.2">
      <c r="E9271" s="7"/>
      <c r="F9271" s="7"/>
    </row>
    <row r="9272" spans="5:6" ht="15" customHeight="1" x14ac:dyDescent="0.2">
      <c r="E9272" s="7"/>
      <c r="F9272" s="7"/>
    </row>
    <row r="9273" spans="5:6" ht="15" customHeight="1" x14ac:dyDescent="0.2">
      <c r="E9273" s="7"/>
      <c r="F9273" s="7"/>
    </row>
    <row r="9274" spans="5:6" ht="15" customHeight="1" x14ac:dyDescent="0.2">
      <c r="E9274" s="7"/>
      <c r="F9274" s="7"/>
    </row>
    <row r="9275" spans="5:6" ht="15" customHeight="1" x14ac:dyDescent="0.2">
      <c r="E9275" s="7"/>
      <c r="F9275" s="7"/>
    </row>
    <row r="9276" spans="5:6" ht="15" customHeight="1" x14ac:dyDescent="0.2">
      <c r="E9276" s="7"/>
      <c r="F9276" s="7"/>
    </row>
    <row r="9277" spans="5:6" ht="15" customHeight="1" x14ac:dyDescent="0.2">
      <c r="E9277" s="7"/>
      <c r="F9277" s="7"/>
    </row>
    <row r="9278" spans="5:6" ht="15" customHeight="1" x14ac:dyDescent="0.2">
      <c r="E9278" s="7"/>
      <c r="F9278" s="7"/>
    </row>
    <row r="9279" spans="5:6" ht="15" customHeight="1" x14ac:dyDescent="0.2">
      <c r="E9279" s="7"/>
      <c r="F9279" s="7"/>
    </row>
    <row r="9280" spans="5:6" ht="15" customHeight="1" x14ac:dyDescent="0.2">
      <c r="E9280" s="7"/>
      <c r="F9280" s="7"/>
    </row>
    <row r="9281" spans="5:6" ht="15" customHeight="1" x14ac:dyDescent="0.2">
      <c r="E9281" s="7"/>
      <c r="F9281" s="7"/>
    </row>
    <row r="9282" spans="5:6" ht="15" customHeight="1" x14ac:dyDescent="0.2">
      <c r="E9282" s="7"/>
      <c r="F9282" s="7"/>
    </row>
    <row r="9283" spans="5:6" ht="15" customHeight="1" x14ac:dyDescent="0.2">
      <c r="E9283" s="7"/>
      <c r="F9283" s="7"/>
    </row>
    <row r="9284" spans="5:6" ht="15" customHeight="1" x14ac:dyDescent="0.2">
      <c r="E9284" s="7"/>
      <c r="F9284" s="7"/>
    </row>
    <row r="9285" spans="5:6" ht="15" customHeight="1" x14ac:dyDescent="0.2">
      <c r="E9285" s="7"/>
      <c r="F9285" s="7"/>
    </row>
    <row r="9286" spans="5:6" ht="15" customHeight="1" x14ac:dyDescent="0.2">
      <c r="E9286" s="7"/>
      <c r="F9286" s="7"/>
    </row>
    <row r="9287" spans="5:6" ht="15" customHeight="1" x14ac:dyDescent="0.2">
      <c r="E9287" s="7"/>
      <c r="F9287" s="7"/>
    </row>
    <row r="9288" spans="5:6" ht="15" customHeight="1" x14ac:dyDescent="0.2">
      <c r="E9288" s="7"/>
      <c r="F9288" s="7"/>
    </row>
    <row r="9289" spans="5:6" ht="15" customHeight="1" x14ac:dyDescent="0.2">
      <c r="E9289" s="7"/>
      <c r="F9289" s="7"/>
    </row>
    <row r="9290" spans="5:6" ht="15" customHeight="1" x14ac:dyDescent="0.2">
      <c r="E9290" s="7"/>
      <c r="F9290" s="7"/>
    </row>
    <row r="9291" spans="5:6" ht="15" customHeight="1" x14ac:dyDescent="0.2">
      <c r="E9291" s="7"/>
      <c r="F9291" s="7"/>
    </row>
    <row r="9292" spans="5:6" ht="15" customHeight="1" x14ac:dyDescent="0.2">
      <c r="E9292" s="7"/>
      <c r="F9292" s="7"/>
    </row>
    <row r="9293" spans="5:6" ht="15" customHeight="1" x14ac:dyDescent="0.2">
      <c r="E9293" s="7"/>
      <c r="F9293" s="7"/>
    </row>
    <row r="9294" spans="5:6" ht="15" customHeight="1" x14ac:dyDescent="0.2">
      <c r="E9294" s="7"/>
      <c r="F9294" s="7"/>
    </row>
    <row r="9295" spans="5:6" ht="15" customHeight="1" x14ac:dyDescent="0.2">
      <c r="E9295" s="7"/>
      <c r="F9295" s="7"/>
    </row>
    <row r="9296" spans="5:6" ht="15" customHeight="1" x14ac:dyDescent="0.2">
      <c r="E9296" s="7"/>
      <c r="F9296" s="7"/>
    </row>
    <row r="9297" spans="5:6" ht="15" customHeight="1" x14ac:dyDescent="0.2">
      <c r="E9297" s="7"/>
      <c r="F9297" s="7"/>
    </row>
    <row r="9298" spans="5:6" ht="15" customHeight="1" x14ac:dyDescent="0.2">
      <c r="E9298" s="7"/>
      <c r="F9298" s="7"/>
    </row>
    <row r="9299" spans="5:6" ht="15" customHeight="1" x14ac:dyDescent="0.2">
      <c r="E9299" s="7"/>
      <c r="F9299" s="7"/>
    </row>
    <row r="9300" spans="5:6" ht="15" customHeight="1" x14ac:dyDescent="0.2">
      <c r="E9300" s="7"/>
      <c r="F9300" s="7"/>
    </row>
    <row r="9301" spans="5:6" ht="15" customHeight="1" x14ac:dyDescent="0.2">
      <c r="E9301" s="7"/>
      <c r="F9301" s="7"/>
    </row>
    <row r="9302" spans="5:6" ht="15" customHeight="1" x14ac:dyDescent="0.2">
      <c r="E9302" s="7"/>
      <c r="F9302" s="7"/>
    </row>
    <row r="9303" spans="5:6" ht="15" customHeight="1" x14ac:dyDescent="0.2">
      <c r="E9303" s="7"/>
      <c r="F9303" s="7"/>
    </row>
    <row r="9304" spans="5:6" ht="15" customHeight="1" x14ac:dyDescent="0.2">
      <c r="E9304" s="7"/>
      <c r="F9304" s="7"/>
    </row>
    <row r="9305" spans="5:6" ht="15" customHeight="1" x14ac:dyDescent="0.2">
      <c r="E9305" s="7"/>
      <c r="F9305" s="7"/>
    </row>
    <row r="9306" spans="5:6" ht="15" customHeight="1" x14ac:dyDescent="0.2">
      <c r="E9306" s="7"/>
      <c r="F9306" s="7"/>
    </row>
    <row r="9307" spans="5:6" ht="15" customHeight="1" x14ac:dyDescent="0.2">
      <c r="E9307" s="7"/>
      <c r="F9307" s="7"/>
    </row>
    <row r="9308" spans="5:6" ht="15" customHeight="1" x14ac:dyDescent="0.2">
      <c r="E9308" s="7"/>
      <c r="F9308" s="7"/>
    </row>
    <row r="9309" spans="5:6" ht="15" customHeight="1" x14ac:dyDescent="0.2">
      <c r="E9309" s="7"/>
      <c r="F9309" s="7"/>
    </row>
    <row r="9310" spans="5:6" ht="15" customHeight="1" x14ac:dyDescent="0.2">
      <c r="E9310" s="7"/>
      <c r="F9310" s="7"/>
    </row>
    <row r="9311" spans="5:6" ht="15" customHeight="1" x14ac:dyDescent="0.2">
      <c r="E9311" s="7"/>
      <c r="F9311" s="7"/>
    </row>
    <row r="9312" spans="5:6" ht="15" customHeight="1" x14ac:dyDescent="0.2">
      <c r="E9312" s="7"/>
      <c r="F9312" s="7"/>
    </row>
    <row r="9313" spans="5:6" ht="15" customHeight="1" x14ac:dyDescent="0.2">
      <c r="E9313" s="7"/>
      <c r="F9313" s="7"/>
    </row>
    <row r="9314" spans="5:6" ht="15" customHeight="1" x14ac:dyDescent="0.2">
      <c r="E9314" s="7"/>
      <c r="F9314" s="7"/>
    </row>
    <row r="9315" spans="5:6" ht="15" customHeight="1" x14ac:dyDescent="0.2">
      <c r="E9315" s="7"/>
      <c r="F9315" s="7"/>
    </row>
    <row r="9316" spans="5:6" ht="15" customHeight="1" x14ac:dyDescent="0.2">
      <c r="E9316" s="7"/>
      <c r="F9316" s="7"/>
    </row>
    <row r="9317" spans="5:6" ht="15" customHeight="1" x14ac:dyDescent="0.2">
      <c r="E9317" s="7"/>
      <c r="F9317" s="7"/>
    </row>
    <row r="9318" spans="5:6" ht="15" customHeight="1" x14ac:dyDescent="0.2">
      <c r="E9318" s="7"/>
      <c r="F9318" s="7"/>
    </row>
    <row r="9319" spans="5:6" ht="15" customHeight="1" x14ac:dyDescent="0.2">
      <c r="E9319" s="7"/>
      <c r="F9319" s="7"/>
    </row>
    <row r="9320" spans="5:6" ht="15" customHeight="1" x14ac:dyDescent="0.2">
      <c r="E9320" s="7"/>
      <c r="F9320" s="7"/>
    </row>
    <row r="9321" spans="5:6" ht="15" customHeight="1" x14ac:dyDescent="0.2">
      <c r="E9321" s="7"/>
      <c r="F9321" s="7"/>
    </row>
    <row r="9322" spans="5:6" ht="15" customHeight="1" x14ac:dyDescent="0.2">
      <c r="E9322" s="7"/>
      <c r="F9322" s="7"/>
    </row>
    <row r="9323" spans="5:6" ht="15" customHeight="1" x14ac:dyDescent="0.2">
      <c r="E9323" s="7"/>
      <c r="F9323" s="7"/>
    </row>
    <row r="9324" spans="5:6" ht="15" customHeight="1" x14ac:dyDescent="0.2">
      <c r="E9324" s="7"/>
      <c r="F9324" s="7"/>
    </row>
    <row r="9325" spans="5:6" ht="15" customHeight="1" x14ac:dyDescent="0.2">
      <c r="E9325" s="7"/>
      <c r="F9325" s="7"/>
    </row>
    <row r="9326" spans="5:6" ht="15" customHeight="1" x14ac:dyDescent="0.2">
      <c r="E9326" s="7"/>
      <c r="F9326" s="7"/>
    </row>
    <row r="9327" spans="5:6" ht="15" customHeight="1" x14ac:dyDescent="0.2">
      <c r="E9327" s="7"/>
      <c r="F9327" s="7"/>
    </row>
    <row r="9328" spans="5:6" ht="15" customHeight="1" x14ac:dyDescent="0.2">
      <c r="E9328" s="7"/>
      <c r="F9328" s="7"/>
    </row>
    <row r="9329" spans="5:6" ht="15" customHeight="1" x14ac:dyDescent="0.2">
      <c r="E9329" s="7"/>
      <c r="F9329" s="7"/>
    </row>
    <row r="9330" spans="5:6" ht="15" customHeight="1" x14ac:dyDescent="0.2">
      <c r="E9330" s="7"/>
      <c r="F9330" s="7"/>
    </row>
    <row r="9331" spans="5:6" ht="15" customHeight="1" x14ac:dyDescent="0.2">
      <c r="E9331" s="7"/>
      <c r="F9331" s="7"/>
    </row>
    <row r="9332" spans="5:6" ht="15" customHeight="1" x14ac:dyDescent="0.2">
      <c r="E9332" s="7"/>
      <c r="F9332" s="7"/>
    </row>
    <row r="9333" spans="5:6" ht="15" customHeight="1" x14ac:dyDescent="0.2">
      <c r="E9333" s="7"/>
      <c r="F9333" s="7"/>
    </row>
    <row r="9334" spans="5:6" ht="15" customHeight="1" x14ac:dyDescent="0.2">
      <c r="E9334" s="7"/>
      <c r="F9334" s="7"/>
    </row>
    <row r="9335" spans="5:6" ht="15" customHeight="1" x14ac:dyDescent="0.2">
      <c r="E9335" s="7"/>
      <c r="F9335" s="7"/>
    </row>
    <row r="9336" spans="5:6" ht="15" customHeight="1" x14ac:dyDescent="0.2">
      <c r="E9336" s="7"/>
      <c r="F9336" s="7"/>
    </row>
    <row r="9337" spans="5:6" ht="15" customHeight="1" x14ac:dyDescent="0.2">
      <c r="E9337" s="7"/>
      <c r="F9337" s="7"/>
    </row>
    <row r="9338" spans="5:6" ht="15" customHeight="1" x14ac:dyDescent="0.2">
      <c r="E9338" s="7"/>
      <c r="F9338" s="7"/>
    </row>
    <row r="9339" spans="5:6" ht="15" customHeight="1" x14ac:dyDescent="0.2">
      <c r="E9339" s="7"/>
      <c r="F9339" s="7"/>
    </row>
    <row r="9340" spans="5:6" ht="15" customHeight="1" x14ac:dyDescent="0.2">
      <c r="E9340" s="7"/>
      <c r="F9340" s="7"/>
    </row>
    <row r="9341" spans="5:6" ht="15" customHeight="1" x14ac:dyDescent="0.2">
      <c r="E9341" s="7"/>
      <c r="F9341" s="7"/>
    </row>
    <row r="9342" spans="5:6" ht="15" customHeight="1" x14ac:dyDescent="0.2">
      <c r="E9342" s="7"/>
      <c r="F9342" s="7"/>
    </row>
    <row r="9343" spans="5:6" ht="15" customHeight="1" x14ac:dyDescent="0.2">
      <c r="E9343" s="7"/>
      <c r="F9343" s="7"/>
    </row>
    <row r="9344" spans="5:6" ht="15" customHeight="1" x14ac:dyDescent="0.2">
      <c r="E9344" s="7"/>
      <c r="F9344" s="7"/>
    </row>
    <row r="9345" spans="5:6" ht="15" customHeight="1" x14ac:dyDescent="0.2">
      <c r="E9345" s="7"/>
      <c r="F9345" s="7"/>
    </row>
    <row r="9346" spans="5:6" ht="15" customHeight="1" x14ac:dyDescent="0.2">
      <c r="E9346" s="7"/>
      <c r="F9346" s="7"/>
    </row>
    <row r="9347" spans="5:6" ht="15" customHeight="1" x14ac:dyDescent="0.2">
      <c r="E9347" s="7"/>
      <c r="F9347" s="7"/>
    </row>
    <row r="9348" spans="5:6" ht="15" customHeight="1" x14ac:dyDescent="0.2">
      <c r="E9348" s="7"/>
      <c r="F9348" s="7"/>
    </row>
    <row r="9349" spans="5:6" ht="15" customHeight="1" x14ac:dyDescent="0.2">
      <c r="E9349" s="7"/>
      <c r="F9349" s="7"/>
    </row>
    <row r="9350" spans="5:6" ht="15" customHeight="1" x14ac:dyDescent="0.2">
      <c r="E9350" s="7"/>
      <c r="F9350" s="7"/>
    </row>
    <row r="9351" spans="5:6" ht="15" customHeight="1" x14ac:dyDescent="0.2">
      <c r="E9351" s="7"/>
      <c r="F9351" s="7"/>
    </row>
    <row r="9352" spans="5:6" ht="15" customHeight="1" x14ac:dyDescent="0.2">
      <c r="E9352" s="7"/>
      <c r="F9352" s="7"/>
    </row>
    <row r="9353" spans="5:6" ht="15" customHeight="1" x14ac:dyDescent="0.2">
      <c r="E9353" s="7"/>
      <c r="F9353" s="7"/>
    </row>
    <row r="9354" spans="5:6" ht="15" customHeight="1" x14ac:dyDescent="0.2">
      <c r="E9354" s="7"/>
      <c r="F9354" s="7"/>
    </row>
    <row r="9355" spans="5:6" ht="15" customHeight="1" x14ac:dyDescent="0.2">
      <c r="E9355" s="7"/>
      <c r="F9355" s="7"/>
    </row>
    <row r="9356" spans="5:6" ht="15" customHeight="1" x14ac:dyDescent="0.2">
      <c r="E9356" s="7"/>
      <c r="F9356" s="7"/>
    </row>
    <row r="9357" spans="5:6" ht="15" customHeight="1" x14ac:dyDescent="0.2">
      <c r="E9357" s="7"/>
      <c r="F9357" s="7"/>
    </row>
    <row r="9358" spans="5:6" ht="15" customHeight="1" x14ac:dyDescent="0.2">
      <c r="E9358" s="7"/>
      <c r="F9358" s="7"/>
    </row>
    <row r="9359" spans="5:6" ht="15" customHeight="1" x14ac:dyDescent="0.2">
      <c r="E9359" s="7"/>
      <c r="F9359" s="7"/>
    </row>
    <row r="9360" spans="5:6" ht="15" customHeight="1" x14ac:dyDescent="0.2">
      <c r="E9360" s="7"/>
      <c r="F9360" s="7"/>
    </row>
    <row r="9361" spans="5:6" ht="15" customHeight="1" x14ac:dyDescent="0.2">
      <c r="E9361" s="7"/>
      <c r="F9361" s="7"/>
    </row>
    <row r="9362" spans="5:6" ht="15" customHeight="1" x14ac:dyDescent="0.2">
      <c r="E9362" s="7"/>
      <c r="F9362" s="7"/>
    </row>
    <row r="9363" spans="5:6" ht="15" customHeight="1" x14ac:dyDescent="0.2">
      <c r="E9363" s="7"/>
      <c r="F9363" s="7"/>
    </row>
    <row r="9364" spans="5:6" ht="15" customHeight="1" x14ac:dyDescent="0.2">
      <c r="E9364" s="7"/>
      <c r="F9364" s="7"/>
    </row>
    <row r="9365" spans="5:6" ht="15" customHeight="1" x14ac:dyDescent="0.2">
      <c r="E9365" s="7"/>
      <c r="F9365" s="7"/>
    </row>
    <row r="9366" spans="5:6" ht="15" customHeight="1" x14ac:dyDescent="0.2">
      <c r="E9366" s="7"/>
      <c r="F9366" s="7"/>
    </row>
    <row r="9367" spans="5:6" ht="15" customHeight="1" x14ac:dyDescent="0.2">
      <c r="E9367" s="7"/>
      <c r="F9367" s="7"/>
    </row>
    <row r="9368" spans="5:6" ht="15" customHeight="1" x14ac:dyDescent="0.2">
      <c r="E9368" s="7"/>
      <c r="F9368" s="7"/>
    </row>
    <row r="9369" spans="5:6" ht="15" customHeight="1" x14ac:dyDescent="0.2">
      <c r="E9369" s="7"/>
      <c r="F9369" s="7"/>
    </row>
    <row r="9370" spans="5:6" ht="15" customHeight="1" x14ac:dyDescent="0.2">
      <c r="E9370" s="7"/>
      <c r="F9370" s="7"/>
    </row>
    <row r="9371" spans="5:6" ht="15" customHeight="1" x14ac:dyDescent="0.2">
      <c r="E9371" s="7"/>
      <c r="F9371" s="7"/>
    </row>
    <row r="9372" spans="5:6" ht="15" customHeight="1" x14ac:dyDescent="0.2">
      <c r="E9372" s="7"/>
      <c r="F9372" s="7"/>
    </row>
    <row r="9373" spans="5:6" ht="15" customHeight="1" x14ac:dyDescent="0.2">
      <c r="E9373" s="7"/>
      <c r="F9373" s="7"/>
    </row>
    <row r="9374" spans="5:6" ht="15" customHeight="1" x14ac:dyDescent="0.2">
      <c r="E9374" s="7"/>
      <c r="F9374" s="7"/>
    </row>
    <row r="9375" spans="5:6" ht="15" customHeight="1" x14ac:dyDescent="0.2">
      <c r="E9375" s="7"/>
      <c r="F9375" s="7"/>
    </row>
    <row r="9376" spans="5:6" ht="15" customHeight="1" x14ac:dyDescent="0.2">
      <c r="E9376" s="7"/>
      <c r="F9376" s="7"/>
    </row>
    <row r="9377" spans="5:6" ht="15" customHeight="1" x14ac:dyDescent="0.2">
      <c r="E9377" s="7"/>
      <c r="F9377" s="7"/>
    </row>
    <row r="9378" spans="5:6" ht="15" customHeight="1" x14ac:dyDescent="0.2">
      <c r="E9378" s="7"/>
      <c r="F9378" s="7"/>
    </row>
    <row r="9379" spans="5:6" ht="15" customHeight="1" x14ac:dyDescent="0.2">
      <c r="E9379" s="7"/>
      <c r="F9379" s="7"/>
    </row>
    <row r="9380" spans="5:6" ht="15" customHeight="1" x14ac:dyDescent="0.2">
      <c r="E9380" s="7"/>
      <c r="F9380" s="7"/>
    </row>
    <row r="9381" spans="5:6" ht="15" customHeight="1" x14ac:dyDescent="0.2">
      <c r="E9381" s="7"/>
      <c r="F9381" s="7"/>
    </row>
    <row r="9382" spans="5:6" ht="15" customHeight="1" x14ac:dyDescent="0.2">
      <c r="E9382" s="7"/>
      <c r="F9382" s="7"/>
    </row>
    <row r="9383" spans="5:6" ht="15" customHeight="1" x14ac:dyDescent="0.2">
      <c r="E9383" s="7"/>
      <c r="F9383" s="7"/>
    </row>
    <row r="9384" spans="5:6" ht="15" customHeight="1" x14ac:dyDescent="0.2">
      <c r="E9384" s="7"/>
      <c r="F9384" s="7"/>
    </row>
    <row r="9385" spans="5:6" ht="15" customHeight="1" x14ac:dyDescent="0.2">
      <c r="E9385" s="7"/>
      <c r="F9385" s="7"/>
    </row>
    <row r="9386" spans="5:6" ht="15" customHeight="1" x14ac:dyDescent="0.2">
      <c r="E9386" s="7"/>
      <c r="F9386" s="7"/>
    </row>
    <row r="9387" spans="5:6" ht="15" customHeight="1" x14ac:dyDescent="0.2">
      <c r="E9387" s="7"/>
      <c r="F9387" s="7"/>
    </row>
    <row r="9388" spans="5:6" ht="15" customHeight="1" x14ac:dyDescent="0.2">
      <c r="E9388" s="7"/>
      <c r="F9388" s="7"/>
    </row>
    <row r="9389" spans="5:6" ht="15" customHeight="1" x14ac:dyDescent="0.2">
      <c r="E9389" s="7"/>
      <c r="F9389" s="7"/>
    </row>
    <row r="9390" spans="5:6" ht="15" customHeight="1" x14ac:dyDescent="0.2">
      <c r="E9390" s="7"/>
      <c r="F9390" s="7"/>
    </row>
    <row r="9391" spans="5:6" ht="15" customHeight="1" x14ac:dyDescent="0.2">
      <c r="E9391" s="7"/>
      <c r="F9391" s="7"/>
    </row>
    <row r="9392" spans="5:6" ht="15" customHeight="1" x14ac:dyDescent="0.2">
      <c r="E9392" s="7"/>
      <c r="F9392" s="7"/>
    </row>
    <row r="9393" spans="5:6" ht="15" customHeight="1" x14ac:dyDescent="0.2">
      <c r="E9393" s="7"/>
      <c r="F9393" s="7"/>
    </row>
    <row r="9394" spans="5:6" ht="15" customHeight="1" x14ac:dyDescent="0.2">
      <c r="E9394" s="7"/>
      <c r="F9394" s="7"/>
    </row>
    <row r="9395" spans="5:6" ht="15" customHeight="1" x14ac:dyDescent="0.2">
      <c r="E9395" s="7"/>
      <c r="F9395" s="7"/>
    </row>
    <row r="9396" spans="5:6" ht="15" customHeight="1" x14ac:dyDescent="0.2">
      <c r="E9396" s="7"/>
      <c r="F9396" s="7"/>
    </row>
    <row r="9397" spans="5:6" ht="15" customHeight="1" x14ac:dyDescent="0.2">
      <c r="E9397" s="7"/>
      <c r="F9397" s="7"/>
    </row>
    <row r="9398" spans="5:6" ht="15" customHeight="1" x14ac:dyDescent="0.2">
      <c r="E9398" s="7"/>
      <c r="F9398" s="7"/>
    </row>
    <row r="9399" spans="5:6" ht="15" customHeight="1" x14ac:dyDescent="0.2">
      <c r="E9399" s="7"/>
      <c r="F9399" s="7"/>
    </row>
    <row r="9400" spans="5:6" ht="15" customHeight="1" x14ac:dyDescent="0.2">
      <c r="E9400" s="7"/>
      <c r="F9400" s="7"/>
    </row>
    <row r="9401" spans="5:6" ht="15" customHeight="1" x14ac:dyDescent="0.2">
      <c r="E9401" s="7"/>
      <c r="F9401" s="7"/>
    </row>
    <row r="9402" spans="5:6" ht="15" customHeight="1" x14ac:dyDescent="0.2">
      <c r="E9402" s="7"/>
      <c r="F9402" s="7"/>
    </row>
    <row r="9403" spans="5:6" ht="15" customHeight="1" x14ac:dyDescent="0.2">
      <c r="E9403" s="7"/>
      <c r="F9403" s="7"/>
    </row>
    <row r="9404" spans="5:6" ht="15" customHeight="1" x14ac:dyDescent="0.2">
      <c r="E9404" s="7"/>
      <c r="F9404" s="7"/>
    </row>
    <row r="9405" spans="5:6" ht="15" customHeight="1" x14ac:dyDescent="0.2">
      <c r="E9405" s="7"/>
      <c r="F9405" s="7"/>
    </row>
    <row r="9406" spans="5:6" ht="15" customHeight="1" x14ac:dyDescent="0.2">
      <c r="E9406" s="7"/>
      <c r="F9406" s="7"/>
    </row>
    <row r="9407" spans="5:6" ht="15" customHeight="1" x14ac:dyDescent="0.2">
      <c r="E9407" s="7"/>
      <c r="F9407" s="7"/>
    </row>
    <row r="9408" spans="5:6" ht="15" customHeight="1" x14ac:dyDescent="0.2">
      <c r="E9408" s="7"/>
      <c r="F9408" s="7"/>
    </row>
    <row r="9409" spans="5:6" ht="15" customHeight="1" x14ac:dyDescent="0.2">
      <c r="E9409" s="7"/>
      <c r="F9409" s="7"/>
    </row>
    <row r="9410" spans="5:6" ht="15" customHeight="1" x14ac:dyDescent="0.2">
      <c r="E9410" s="7"/>
      <c r="F9410" s="7"/>
    </row>
    <row r="9411" spans="5:6" ht="15" customHeight="1" x14ac:dyDescent="0.2">
      <c r="E9411" s="7"/>
      <c r="F9411" s="7"/>
    </row>
    <row r="9412" spans="5:6" ht="15" customHeight="1" x14ac:dyDescent="0.2">
      <c r="E9412" s="7"/>
      <c r="F9412" s="7"/>
    </row>
    <row r="9413" spans="5:6" ht="15" customHeight="1" x14ac:dyDescent="0.2">
      <c r="E9413" s="7"/>
      <c r="F9413" s="7"/>
    </row>
    <row r="9414" spans="5:6" ht="15" customHeight="1" x14ac:dyDescent="0.2">
      <c r="E9414" s="7"/>
      <c r="F9414" s="7"/>
    </row>
    <row r="9415" spans="5:6" ht="15" customHeight="1" x14ac:dyDescent="0.2">
      <c r="E9415" s="7"/>
      <c r="F9415" s="7"/>
    </row>
    <row r="9416" spans="5:6" ht="15" customHeight="1" x14ac:dyDescent="0.2">
      <c r="E9416" s="7"/>
      <c r="F9416" s="7"/>
    </row>
    <row r="9417" spans="5:6" ht="15" customHeight="1" x14ac:dyDescent="0.2">
      <c r="E9417" s="7"/>
      <c r="F9417" s="7"/>
    </row>
    <row r="9418" spans="5:6" ht="15" customHeight="1" x14ac:dyDescent="0.2">
      <c r="E9418" s="7"/>
      <c r="F9418" s="7"/>
    </row>
    <row r="9419" spans="5:6" ht="15" customHeight="1" x14ac:dyDescent="0.2">
      <c r="E9419" s="7"/>
      <c r="F9419" s="7"/>
    </row>
    <row r="9420" spans="5:6" ht="15" customHeight="1" x14ac:dyDescent="0.2">
      <c r="E9420" s="7"/>
      <c r="F9420" s="7"/>
    </row>
    <row r="9421" spans="5:6" ht="15" customHeight="1" x14ac:dyDescent="0.2">
      <c r="E9421" s="7"/>
      <c r="F9421" s="7"/>
    </row>
    <row r="9422" spans="5:6" ht="15" customHeight="1" x14ac:dyDescent="0.2">
      <c r="E9422" s="7"/>
      <c r="F9422" s="7"/>
    </row>
    <row r="9423" spans="5:6" ht="15" customHeight="1" x14ac:dyDescent="0.2">
      <c r="E9423" s="7"/>
      <c r="F9423" s="7"/>
    </row>
    <row r="9424" spans="5:6" ht="15" customHeight="1" x14ac:dyDescent="0.2">
      <c r="E9424" s="7"/>
      <c r="F9424" s="7"/>
    </row>
    <row r="9425" spans="5:6" ht="15" customHeight="1" x14ac:dyDescent="0.2">
      <c r="E9425" s="7"/>
      <c r="F9425" s="7"/>
    </row>
    <row r="9426" spans="5:6" ht="15" customHeight="1" x14ac:dyDescent="0.2">
      <c r="E9426" s="7"/>
      <c r="F9426" s="7"/>
    </row>
    <row r="9427" spans="5:6" ht="15" customHeight="1" x14ac:dyDescent="0.2">
      <c r="E9427" s="7"/>
      <c r="F9427" s="7"/>
    </row>
    <row r="9428" spans="5:6" ht="15" customHeight="1" x14ac:dyDescent="0.2">
      <c r="E9428" s="7"/>
      <c r="F9428" s="7"/>
    </row>
    <row r="9429" spans="5:6" ht="15" customHeight="1" x14ac:dyDescent="0.2">
      <c r="E9429" s="7"/>
      <c r="F9429" s="7"/>
    </row>
    <row r="9430" spans="5:6" ht="15" customHeight="1" x14ac:dyDescent="0.2">
      <c r="E9430" s="7"/>
      <c r="F9430" s="7"/>
    </row>
    <row r="9431" spans="5:6" ht="15" customHeight="1" x14ac:dyDescent="0.2">
      <c r="E9431" s="7"/>
      <c r="F9431" s="7"/>
    </row>
    <row r="9432" spans="5:6" ht="15" customHeight="1" x14ac:dyDescent="0.2">
      <c r="E9432" s="7"/>
      <c r="F9432" s="7"/>
    </row>
    <row r="9433" spans="5:6" ht="15" customHeight="1" x14ac:dyDescent="0.2">
      <c r="E9433" s="7"/>
      <c r="F9433" s="7"/>
    </row>
    <row r="9434" spans="5:6" ht="15" customHeight="1" x14ac:dyDescent="0.2">
      <c r="E9434" s="7"/>
      <c r="F9434" s="7"/>
    </row>
    <row r="9435" spans="5:6" ht="15" customHeight="1" x14ac:dyDescent="0.2">
      <c r="E9435" s="7"/>
      <c r="F9435" s="7"/>
    </row>
    <row r="9436" spans="5:6" ht="15" customHeight="1" x14ac:dyDescent="0.2">
      <c r="E9436" s="7"/>
      <c r="F9436" s="7"/>
    </row>
    <row r="9437" spans="5:6" ht="15" customHeight="1" x14ac:dyDescent="0.2">
      <c r="E9437" s="7"/>
      <c r="F9437" s="7"/>
    </row>
    <row r="9438" spans="5:6" ht="15" customHeight="1" x14ac:dyDescent="0.2">
      <c r="E9438" s="7"/>
      <c r="F9438" s="7"/>
    </row>
    <row r="9439" spans="5:6" ht="15" customHeight="1" x14ac:dyDescent="0.2">
      <c r="E9439" s="7"/>
      <c r="F9439" s="7"/>
    </row>
    <row r="9440" spans="5:6" ht="15" customHeight="1" x14ac:dyDescent="0.2">
      <c r="E9440" s="7"/>
      <c r="F9440" s="7"/>
    </row>
    <row r="9441" spans="5:6" ht="15" customHeight="1" x14ac:dyDescent="0.2">
      <c r="E9441" s="7"/>
      <c r="F9441" s="7"/>
    </row>
    <row r="9442" spans="5:6" ht="15" customHeight="1" x14ac:dyDescent="0.2">
      <c r="E9442" s="7"/>
      <c r="F9442" s="7"/>
    </row>
    <row r="9443" spans="5:6" ht="15" customHeight="1" x14ac:dyDescent="0.2">
      <c r="E9443" s="7"/>
      <c r="F9443" s="7"/>
    </row>
    <row r="9444" spans="5:6" ht="15" customHeight="1" x14ac:dyDescent="0.2">
      <c r="E9444" s="7"/>
      <c r="F9444" s="7"/>
    </row>
    <row r="9445" spans="5:6" ht="15" customHeight="1" x14ac:dyDescent="0.2">
      <c r="E9445" s="7"/>
      <c r="F9445" s="7"/>
    </row>
    <row r="9446" spans="5:6" ht="15" customHeight="1" x14ac:dyDescent="0.2">
      <c r="E9446" s="7"/>
      <c r="F9446" s="7"/>
    </row>
    <row r="9447" spans="5:6" ht="15" customHeight="1" x14ac:dyDescent="0.2">
      <c r="E9447" s="7"/>
      <c r="F9447" s="7"/>
    </row>
    <row r="9448" spans="5:6" ht="15" customHeight="1" x14ac:dyDescent="0.2">
      <c r="E9448" s="7"/>
      <c r="F9448" s="7"/>
    </row>
    <row r="9449" spans="5:6" ht="15" customHeight="1" x14ac:dyDescent="0.2">
      <c r="E9449" s="7"/>
      <c r="F9449" s="7"/>
    </row>
    <row r="9450" spans="5:6" ht="15" customHeight="1" x14ac:dyDescent="0.2">
      <c r="E9450" s="7"/>
      <c r="F9450" s="7"/>
    </row>
    <row r="9451" spans="5:6" ht="15" customHeight="1" x14ac:dyDescent="0.2">
      <c r="E9451" s="7"/>
      <c r="F9451" s="7"/>
    </row>
    <row r="9452" spans="5:6" ht="15" customHeight="1" x14ac:dyDescent="0.2">
      <c r="E9452" s="7"/>
      <c r="F9452" s="7"/>
    </row>
    <row r="9453" spans="5:6" ht="15" customHeight="1" x14ac:dyDescent="0.2">
      <c r="E9453" s="7"/>
      <c r="F9453" s="7"/>
    </row>
    <row r="9454" spans="5:6" ht="15" customHeight="1" x14ac:dyDescent="0.2">
      <c r="E9454" s="7"/>
      <c r="F9454" s="7"/>
    </row>
    <row r="9455" spans="5:6" ht="15" customHeight="1" x14ac:dyDescent="0.2">
      <c r="E9455" s="7"/>
      <c r="F9455" s="7"/>
    </row>
    <row r="9456" spans="5:6" ht="15" customHeight="1" x14ac:dyDescent="0.2">
      <c r="E9456" s="7"/>
      <c r="F9456" s="7"/>
    </row>
    <row r="9457" spans="5:6" ht="15" customHeight="1" x14ac:dyDescent="0.2">
      <c r="E9457" s="7"/>
      <c r="F9457" s="7"/>
    </row>
    <row r="9458" spans="5:6" ht="15" customHeight="1" x14ac:dyDescent="0.2">
      <c r="E9458" s="7"/>
      <c r="F9458" s="7"/>
    </row>
    <row r="9459" spans="5:6" ht="15" customHeight="1" x14ac:dyDescent="0.2">
      <c r="E9459" s="7"/>
      <c r="F9459" s="7"/>
    </row>
    <row r="9460" spans="5:6" ht="15" customHeight="1" x14ac:dyDescent="0.2">
      <c r="E9460" s="7"/>
      <c r="F9460" s="7"/>
    </row>
    <row r="9461" spans="5:6" ht="15" customHeight="1" x14ac:dyDescent="0.2">
      <c r="E9461" s="7"/>
      <c r="F9461" s="7"/>
    </row>
    <row r="9462" spans="5:6" ht="15" customHeight="1" x14ac:dyDescent="0.2">
      <c r="E9462" s="7"/>
      <c r="F9462" s="7"/>
    </row>
    <row r="9463" spans="5:6" ht="15" customHeight="1" x14ac:dyDescent="0.2">
      <c r="E9463" s="7"/>
      <c r="F9463" s="7"/>
    </row>
    <row r="9464" spans="5:6" ht="15" customHeight="1" x14ac:dyDescent="0.2">
      <c r="E9464" s="7"/>
      <c r="F9464" s="7"/>
    </row>
    <row r="9465" spans="5:6" ht="15" customHeight="1" x14ac:dyDescent="0.2">
      <c r="E9465" s="7"/>
      <c r="F9465" s="7"/>
    </row>
    <row r="9466" spans="5:6" ht="15" customHeight="1" x14ac:dyDescent="0.2">
      <c r="E9466" s="7"/>
      <c r="F9466" s="7"/>
    </row>
    <row r="9467" spans="5:6" ht="15" customHeight="1" x14ac:dyDescent="0.2">
      <c r="E9467" s="7"/>
      <c r="F9467" s="7"/>
    </row>
    <row r="9468" spans="5:6" ht="15" customHeight="1" x14ac:dyDescent="0.2">
      <c r="E9468" s="7"/>
      <c r="F9468" s="7"/>
    </row>
    <row r="9469" spans="5:6" ht="15" customHeight="1" x14ac:dyDescent="0.2">
      <c r="E9469" s="7"/>
      <c r="F9469" s="7"/>
    </row>
    <row r="9470" spans="5:6" ht="15" customHeight="1" x14ac:dyDescent="0.2">
      <c r="E9470" s="7"/>
      <c r="F9470" s="7"/>
    </row>
    <row r="9471" spans="5:6" ht="15" customHeight="1" x14ac:dyDescent="0.2">
      <c r="E9471" s="7"/>
      <c r="F9471" s="7"/>
    </row>
    <row r="9472" spans="5:6" ht="15" customHeight="1" x14ac:dyDescent="0.2">
      <c r="E9472" s="7"/>
      <c r="F9472" s="7"/>
    </row>
    <row r="9473" spans="5:6" ht="15" customHeight="1" x14ac:dyDescent="0.2">
      <c r="E9473" s="7"/>
      <c r="F9473" s="7"/>
    </row>
    <row r="9474" spans="5:6" ht="15" customHeight="1" x14ac:dyDescent="0.2">
      <c r="E9474" s="7"/>
      <c r="F9474" s="7"/>
    </row>
    <row r="9475" spans="5:6" ht="15" customHeight="1" x14ac:dyDescent="0.2">
      <c r="E9475" s="7"/>
      <c r="F9475" s="7"/>
    </row>
    <row r="9476" spans="5:6" ht="15" customHeight="1" x14ac:dyDescent="0.2">
      <c r="E9476" s="7"/>
      <c r="F9476" s="7"/>
    </row>
    <row r="9477" spans="5:6" ht="15" customHeight="1" x14ac:dyDescent="0.2">
      <c r="E9477" s="7"/>
      <c r="F9477" s="7"/>
    </row>
    <row r="9478" spans="5:6" ht="15" customHeight="1" x14ac:dyDescent="0.2">
      <c r="E9478" s="7"/>
      <c r="F9478" s="7"/>
    </row>
    <row r="9479" spans="5:6" ht="15" customHeight="1" x14ac:dyDescent="0.2">
      <c r="E9479" s="7"/>
      <c r="F9479" s="7"/>
    </row>
    <row r="9480" spans="5:6" ht="15" customHeight="1" x14ac:dyDescent="0.2">
      <c r="E9480" s="7"/>
      <c r="F9480" s="7"/>
    </row>
    <row r="9481" spans="5:6" ht="15" customHeight="1" x14ac:dyDescent="0.2">
      <c r="E9481" s="7"/>
      <c r="F9481" s="7"/>
    </row>
    <row r="9482" spans="5:6" ht="15" customHeight="1" x14ac:dyDescent="0.2">
      <c r="E9482" s="7"/>
      <c r="F9482" s="7"/>
    </row>
    <row r="9483" spans="5:6" ht="15" customHeight="1" x14ac:dyDescent="0.2">
      <c r="E9483" s="7"/>
      <c r="F9483" s="7"/>
    </row>
    <row r="9484" spans="5:6" ht="15" customHeight="1" x14ac:dyDescent="0.2">
      <c r="E9484" s="7"/>
      <c r="F9484" s="7"/>
    </row>
    <row r="9485" spans="5:6" ht="15" customHeight="1" x14ac:dyDescent="0.2">
      <c r="E9485" s="7"/>
      <c r="F9485" s="7"/>
    </row>
    <row r="9486" spans="5:6" ht="15" customHeight="1" x14ac:dyDescent="0.2">
      <c r="E9486" s="7"/>
      <c r="F9486" s="7"/>
    </row>
    <row r="9487" spans="5:6" ht="15" customHeight="1" x14ac:dyDescent="0.2">
      <c r="E9487" s="7"/>
      <c r="F9487" s="7"/>
    </row>
    <row r="9488" spans="5:6" ht="15" customHeight="1" x14ac:dyDescent="0.2">
      <c r="E9488" s="7"/>
      <c r="F9488" s="7"/>
    </row>
    <row r="9489" spans="5:6" ht="15" customHeight="1" x14ac:dyDescent="0.2">
      <c r="E9489" s="7"/>
      <c r="F9489" s="7"/>
    </row>
    <row r="9490" spans="5:6" ht="15" customHeight="1" x14ac:dyDescent="0.2">
      <c r="E9490" s="7"/>
      <c r="F9490" s="7"/>
    </row>
    <row r="9491" spans="5:6" ht="15" customHeight="1" x14ac:dyDescent="0.2">
      <c r="E9491" s="7"/>
      <c r="F9491" s="7"/>
    </row>
    <row r="9492" spans="5:6" ht="15" customHeight="1" x14ac:dyDescent="0.2">
      <c r="E9492" s="7"/>
      <c r="F9492" s="7"/>
    </row>
    <row r="9493" spans="5:6" ht="15" customHeight="1" x14ac:dyDescent="0.2">
      <c r="E9493" s="7"/>
      <c r="F9493" s="7"/>
    </row>
    <row r="9494" spans="5:6" ht="15" customHeight="1" x14ac:dyDescent="0.2">
      <c r="E9494" s="7"/>
      <c r="F9494" s="7"/>
    </row>
    <row r="9495" spans="5:6" ht="15" customHeight="1" x14ac:dyDescent="0.2">
      <c r="E9495" s="7"/>
      <c r="F9495" s="7"/>
    </row>
    <row r="9496" spans="5:6" ht="15" customHeight="1" x14ac:dyDescent="0.2">
      <c r="E9496" s="7"/>
      <c r="F9496" s="7"/>
    </row>
    <row r="9497" spans="5:6" ht="15" customHeight="1" x14ac:dyDescent="0.2">
      <c r="E9497" s="7"/>
      <c r="F9497" s="7"/>
    </row>
    <row r="9498" spans="5:6" ht="15" customHeight="1" x14ac:dyDescent="0.2">
      <c r="E9498" s="7"/>
      <c r="F9498" s="7"/>
    </row>
    <row r="9499" spans="5:6" ht="15" customHeight="1" x14ac:dyDescent="0.2">
      <c r="E9499" s="7"/>
      <c r="F9499" s="7"/>
    </row>
    <row r="9500" spans="5:6" ht="15" customHeight="1" x14ac:dyDescent="0.2">
      <c r="E9500" s="7"/>
      <c r="F9500" s="7"/>
    </row>
    <row r="9501" spans="5:6" ht="15" customHeight="1" x14ac:dyDescent="0.2">
      <c r="E9501" s="7"/>
      <c r="F9501" s="7"/>
    </row>
    <row r="9502" spans="5:6" ht="15" customHeight="1" x14ac:dyDescent="0.2">
      <c r="E9502" s="7"/>
      <c r="F9502" s="7"/>
    </row>
    <row r="9503" spans="5:6" ht="15" customHeight="1" x14ac:dyDescent="0.2">
      <c r="E9503" s="7"/>
      <c r="F9503" s="7"/>
    </row>
    <row r="9504" spans="5:6" ht="15" customHeight="1" x14ac:dyDescent="0.2">
      <c r="E9504" s="7"/>
      <c r="F9504" s="7"/>
    </row>
    <row r="9505" spans="5:6" ht="15" customHeight="1" x14ac:dyDescent="0.2">
      <c r="E9505" s="7"/>
      <c r="F9505" s="7"/>
    </row>
    <row r="9506" spans="5:6" ht="15" customHeight="1" x14ac:dyDescent="0.2">
      <c r="E9506" s="7"/>
      <c r="F9506" s="7"/>
    </row>
    <row r="9507" spans="5:6" ht="15" customHeight="1" x14ac:dyDescent="0.2">
      <c r="E9507" s="7"/>
      <c r="F9507" s="7"/>
    </row>
    <row r="9508" spans="5:6" ht="15" customHeight="1" x14ac:dyDescent="0.2">
      <c r="E9508" s="7"/>
      <c r="F9508" s="7"/>
    </row>
    <row r="9509" spans="5:6" ht="15" customHeight="1" x14ac:dyDescent="0.2">
      <c r="E9509" s="7"/>
      <c r="F9509" s="7"/>
    </row>
    <row r="9510" spans="5:6" ht="15" customHeight="1" x14ac:dyDescent="0.2">
      <c r="E9510" s="7"/>
      <c r="F9510" s="7"/>
    </row>
    <row r="9511" spans="5:6" ht="15" customHeight="1" x14ac:dyDescent="0.2">
      <c r="E9511" s="7"/>
      <c r="F9511" s="7"/>
    </row>
    <row r="9512" spans="5:6" ht="15" customHeight="1" x14ac:dyDescent="0.2">
      <c r="E9512" s="7"/>
      <c r="F9512" s="7"/>
    </row>
    <row r="9513" spans="5:6" ht="15" customHeight="1" x14ac:dyDescent="0.2">
      <c r="E9513" s="7"/>
      <c r="F9513" s="7"/>
    </row>
    <row r="9514" spans="5:6" ht="15" customHeight="1" x14ac:dyDescent="0.2">
      <c r="E9514" s="7"/>
      <c r="F9514" s="7"/>
    </row>
    <row r="9515" spans="5:6" ht="15" customHeight="1" x14ac:dyDescent="0.2">
      <c r="E9515" s="7"/>
      <c r="F9515" s="7"/>
    </row>
    <row r="9516" spans="5:6" ht="15" customHeight="1" x14ac:dyDescent="0.2">
      <c r="E9516" s="7"/>
      <c r="F9516" s="7"/>
    </row>
    <row r="9517" spans="5:6" ht="15" customHeight="1" x14ac:dyDescent="0.2">
      <c r="E9517" s="7"/>
      <c r="F9517" s="7"/>
    </row>
    <row r="9518" spans="5:6" ht="15" customHeight="1" x14ac:dyDescent="0.2">
      <c r="E9518" s="7"/>
      <c r="F9518" s="7"/>
    </row>
    <row r="9519" spans="5:6" ht="15" customHeight="1" x14ac:dyDescent="0.2">
      <c r="E9519" s="7"/>
      <c r="F9519" s="7"/>
    </row>
    <row r="9520" spans="5:6" ht="15" customHeight="1" x14ac:dyDescent="0.2">
      <c r="E9520" s="7"/>
      <c r="F9520" s="7"/>
    </row>
    <row r="9521" spans="5:6" ht="15" customHeight="1" x14ac:dyDescent="0.2">
      <c r="E9521" s="7"/>
      <c r="F9521" s="7"/>
    </row>
    <row r="9522" spans="5:6" ht="15" customHeight="1" x14ac:dyDescent="0.2">
      <c r="E9522" s="7"/>
      <c r="F9522" s="7"/>
    </row>
    <row r="9523" spans="5:6" ht="15" customHeight="1" x14ac:dyDescent="0.2">
      <c r="E9523" s="7"/>
      <c r="F9523" s="7"/>
    </row>
    <row r="9524" spans="5:6" ht="15" customHeight="1" x14ac:dyDescent="0.2">
      <c r="E9524" s="7"/>
      <c r="F9524" s="7"/>
    </row>
    <row r="9525" spans="5:6" ht="15" customHeight="1" x14ac:dyDescent="0.2">
      <c r="E9525" s="7"/>
      <c r="F9525" s="7"/>
    </row>
    <row r="9526" spans="5:6" ht="15" customHeight="1" x14ac:dyDescent="0.2">
      <c r="E9526" s="7"/>
      <c r="F9526" s="7"/>
    </row>
    <row r="9527" spans="5:6" ht="15" customHeight="1" x14ac:dyDescent="0.2">
      <c r="E9527" s="7"/>
      <c r="F9527" s="7"/>
    </row>
    <row r="9528" spans="5:6" ht="15" customHeight="1" x14ac:dyDescent="0.2">
      <c r="E9528" s="7"/>
      <c r="F9528" s="7"/>
    </row>
    <row r="9529" spans="5:6" ht="15" customHeight="1" x14ac:dyDescent="0.2">
      <c r="E9529" s="7"/>
      <c r="F9529" s="7"/>
    </row>
    <row r="9530" spans="5:6" ht="15" customHeight="1" x14ac:dyDescent="0.2">
      <c r="E9530" s="7"/>
      <c r="F9530" s="7"/>
    </row>
    <row r="9531" spans="5:6" ht="15" customHeight="1" x14ac:dyDescent="0.2">
      <c r="E9531" s="7"/>
      <c r="F9531" s="7"/>
    </row>
    <row r="9532" spans="5:6" ht="15" customHeight="1" x14ac:dyDescent="0.2">
      <c r="E9532" s="7"/>
      <c r="F9532" s="7"/>
    </row>
    <row r="9533" spans="5:6" ht="15" customHeight="1" x14ac:dyDescent="0.2">
      <c r="E9533" s="7"/>
      <c r="F9533" s="7"/>
    </row>
    <row r="9534" spans="5:6" ht="15" customHeight="1" x14ac:dyDescent="0.2">
      <c r="E9534" s="7"/>
      <c r="F9534" s="7"/>
    </row>
    <row r="9535" spans="5:6" ht="15" customHeight="1" x14ac:dyDescent="0.2">
      <c r="E9535" s="7"/>
      <c r="F9535" s="7"/>
    </row>
    <row r="9536" spans="5:6" ht="15" customHeight="1" x14ac:dyDescent="0.2">
      <c r="E9536" s="7"/>
      <c r="F9536" s="7"/>
    </row>
    <row r="9537" spans="5:6" ht="15" customHeight="1" x14ac:dyDescent="0.2">
      <c r="E9537" s="7"/>
      <c r="F9537" s="7"/>
    </row>
    <row r="9538" spans="5:6" ht="15" customHeight="1" x14ac:dyDescent="0.2">
      <c r="E9538" s="7"/>
      <c r="F9538" s="7"/>
    </row>
    <row r="9539" spans="5:6" ht="15" customHeight="1" x14ac:dyDescent="0.2">
      <c r="E9539" s="7"/>
      <c r="F9539" s="7"/>
    </row>
    <row r="9540" spans="5:6" ht="15" customHeight="1" x14ac:dyDescent="0.2">
      <c r="E9540" s="7"/>
      <c r="F9540" s="7"/>
    </row>
    <row r="9541" spans="5:6" ht="15" customHeight="1" x14ac:dyDescent="0.2">
      <c r="E9541" s="7"/>
      <c r="F9541" s="7"/>
    </row>
    <row r="9542" spans="5:6" ht="15" customHeight="1" x14ac:dyDescent="0.2">
      <c r="E9542" s="7"/>
      <c r="F9542" s="7"/>
    </row>
    <row r="9543" spans="5:6" ht="15" customHeight="1" x14ac:dyDescent="0.2">
      <c r="E9543" s="7"/>
      <c r="F9543" s="7"/>
    </row>
    <row r="9544" spans="5:6" ht="15" customHeight="1" x14ac:dyDescent="0.2">
      <c r="E9544" s="7"/>
      <c r="F9544" s="7"/>
    </row>
    <row r="9545" spans="5:6" ht="15" customHeight="1" x14ac:dyDescent="0.2">
      <c r="E9545" s="7"/>
      <c r="F9545" s="7"/>
    </row>
    <row r="9546" spans="5:6" ht="15" customHeight="1" x14ac:dyDescent="0.2">
      <c r="E9546" s="7"/>
      <c r="F9546" s="7"/>
    </row>
    <row r="9547" spans="5:6" ht="15" customHeight="1" x14ac:dyDescent="0.2">
      <c r="E9547" s="7"/>
      <c r="F9547" s="7"/>
    </row>
    <row r="9548" spans="5:6" ht="15" customHeight="1" x14ac:dyDescent="0.2">
      <c r="E9548" s="7"/>
      <c r="F9548" s="7"/>
    </row>
    <row r="9549" spans="5:6" ht="15" customHeight="1" x14ac:dyDescent="0.2">
      <c r="E9549" s="7"/>
      <c r="F9549" s="7"/>
    </row>
    <row r="9550" spans="5:6" ht="15" customHeight="1" x14ac:dyDescent="0.2">
      <c r="E9550" s="7"/>
      <c r="F9550" s="7"/>
    </row>
    <row r="9551" spans="5:6" ht="15" customHeight="1" x14ac:dyDescent="0.2">
      <c r="E9551" s="7"/>
      <c r="F9551" s="7"/>
    </row>
    <row r="9552" spans="5:6" ht="15" customHeight="1" x14ac:dyDescent="0.2">
      <c r="E9552" s="7"/>
      <c r="F9552" s="7"/>
    </row>
    <row r="9553" spans="5:6" ht="15" customHeight="1" x14ac:dyDescent="0.2">
      <c r="E9553" s="7"/>
      <c r="F9553" s="7"/>
    </row>
    <row r="9554" spans="5:6" ht="15" customHeight="1" x14ac:dyDescent="0.2">
      <c r="E9554" s="7"/>
      <c r="F9554" s="7"/>
    </row>
    <row r="9555" spans="5:6" ht="15" customHeight="1" x14ac:dyDescent="0.2">
      <c r="E9555" s="7"/>
      <c r="F9555" s="7"/>
    </row>
    <row r="9556" spans="5:6" ht="15" customHeight="1" x14ac:dyDescent="0.2">
      <c r="E9556" s="7"/>
      <c r="F9556" s="7"/>
    </row>
    <row r="9557" spans="5:6" ht="15" customHeight="1" x14ac:dyDescent="0.2">
      <c r="E9557" s="7"/>
      <c r="F9557" s="7"/>
    </row>
    <row r="9558" spans="5:6" ht="15" customHeight="1" x14ac:dyDescent="0.2">
      <c r="E9558" s="7"/>
      <c r="F9558" s="7"/>
    </row>
    <row r="9559" spans="5:6" ht="15" customHeight="1" x14ac:dyDescent="0.2">
      <c r="E9559" s="7"/>
      <c r="F9559" s="7"/>
    </row>
    <row r="9560" spans="5:6" ht="15" customHeight="1" x14ac:dyDescent="0.2">
      <c r="E9560" s="7"/>
      <c r="F9560" s="7"/>
    </row>
    <row r="9561" spans="5:6" ht="15" customHeight="1" x14ac:dyDescent="0.2">
      <c r="E9561" s="7"/>
      <c r="F9561" s="7"/>
    </row>
    <row r="9562" spans="5:6" ht="15" customHeight="1" x14ac:dyDescent="0.2">
      <c r="E9562" s="7"/>
      <c r="F9562" s="7"/>
    </row>
    <row r="9563" spans="5:6" ht="15" customHeight="1" x14ac:dyDescent="0.2">
      <c r="E9563" s="7"/>
      <c r="F9563" s="7"/>
    </row>
    <row r="9564" spans="5:6" ht="15" customHeight="1" x14ac:dyDescent="0.2">
      <c r="E9564" s="7"/>
      <c r="F9564" s="7"/>
    </row>
    <row r="9565" spans="5:6" ht="15" customHeight="1" x14ac:dyDescent="0.2">
      <c r="E9565" s="7"/>
      <c r="F9565" s="7"/>
    </row>
    <row r="9566" spans="5:6" ht="15" customHeight="1" x14ac:dyDescent="0.2">
      <c r="E9566" s="7"/>
      <c r="F9566" s="7"/>
    </row>
    <row r="9567" spans="5:6" ht="15" customHeight="1" x14ac:dyDescent="0.2">
      <c r="E9567" s="7"/>
      <c r="F9567" s="7"/>
    </row>
    <row r="9568" spans="5:6" ht="15" customHeight="1" x14ac:dyDescent="0.2">
      <c r="E9568" s="7"/>
      <c r="F9568" s="7"/>
    </row>
    <row r="9569" spans="5:6" ht="15" customHeight="1" x14ac:dyDescent="0.2">
      <c r="E9569" s="7"/>
      <c r="F9569" s="7"/>
    </row>
    <row r="9570" spans="5:6" ht="15" customHeight="1" x14ac:dyDescent="0.2">
      <c r="E9570" s="7"/>
      <c r="F9570" s="7"/>
    </row>
    <row r="9571" spans="5:6" ht="15" customHeight="1" x14ac:dyDescent="0.2">
      <c r="E9571" s="7"/>
      <c r="F9571" s="7"/>
    </row>
    <row r="9572" spans="5:6" ht="15" customHeight="1" x14ac:dyDescent="0.2">
      <c r="E9572" s="7"/>
      <c r="F9572" s="7"/>
    </row>
    <row r="9573" spans="5:6" ht="15" customHeight="1" x14ac:dyDescent="0.2">
      <c r="E9573" s="7"/>
      <c r="F9573" s="7"/>
    </row>
    <row r="9574" spans="5:6" ht="15" customHeight="1" x14ac:dyDescent="0.2">
      <c r="E9574" s="7"/>
      <c r="F9574" s="7"/>
    </row>
    <row r="9575" spans="5:6" ht="15" customHeight="1" x14ac:dyDescent="0.2">
      <c r="E9575" s="7"/>
      <c r="F9575" s="7"/>
    </row>
    <row r="9576" spans="5:6" ht="15" customHeight="1" x14ac:dyDescent="0.2">
      <c r="E9576" s="7"/>
      <c r="F9576" s="7"/>
    </row>
    <row r="9577" spans="5:6" ht="15" customHeight="1" x14ac:dyDescent="0.2">
      <c r="E9577" s="7"/>
      <c r="F9577" s="7"/>
    </row>
    <row r="9578" spans="5:6" ht="15" customHeight="1" x14ac:dyDescent="0.2">
      <c r="E9578" s="7"/>
      <c r="F9578" s="7"/>
    </row>
    <row r="9579" spans="5:6" ht="15" customHeight="1" x14ac:dyDescent="0.2">
      <c r="E9579" s="7"/>
      <c r="F9579" s="7"/>
    </row>
    <row r="9580" spans="5:6" ht="15" customHeight="1" x14ac:dyDescent="0.2">
      <c r="E9580" s="7"/>
      <c r="F9580" s="7"/>
    </row>
    <row r="9581" spans="5:6" ht="15" customHeight="1" x14ac:dyDescent="0.2">
      <c r="E9581" s="7"/>
      <c r="F9581" s="7"/>
    </row>
    <row r="9582" spans="5:6" ht="15" customHeight="1" x14ac:dyDescent="0.2">
      <c r="E9582" s="7"/>
      <c r="F9582" s="7"/>
    </row>
    <row r="9583" spans="5:6" ht="15" customHeight="1" x14ac:dyDescent="0.2">
      <c r="E9583" s="7"/>
      <c r="F9583" s="7"/>
    </row>
    <row r="9584" spans="5:6" ht="15" customHeight="1" x14ac:dyDescent="0.2">
      <c r="E9584" s="7"/>
      <c r="F9584" s="7"/>
    </row>
    <row r="9585" spans="5:6" ht="15" customHeight="1" x14ac:dyDescent="0.2">
      <c r="E9585" s="7"/>
      <c r="F9585" s="7"/>
    </row>
    <row r="9586" spans="5:6" ht="15" customHeight="1" x14ac:dyDescent="0.2">
      <c r="E9586" s="7"/>
      <c r="F9586" s="7"/>
    </row>
    <row r="9587" spans="5:6" ht="15" customHeight="1" x14ac:dyDescent="0.2">
      <c r="E9587" s="7"/>
      <c r="F9587" s="7"/>
    </row>
    <row r="9588" spans="5:6" ht="15" customHeight="1" x14ac:dyDescent="0.2">
      <c r="E9588" s="7"/>
      <c r="F9588" s="7"/>
    </row>
    <row r="9589" spans="5:6" ht="15" customHeight="1" x14ac:dyDescent="0.2">
      <c r="E9589" s="7"/>
      <c r="F9589" s="7"/>
    </row>
    <row r="9590" spans="5:6" ht="15" customHeight="1" x14ac:dyDescent="0.2">
      <c r="E9590" s="7"/>
      <c r="F9590" s="7"/>
    </row>
    <row r="9591" spans="5:6" ht="15" customHeight="1" x14ac:dyDescent="0.2">
      <c r="E9591" s="7"/>
      <c r="F9591" s="7"/>
    </row>
    <row r="9592" spans="5:6" ht="15" customHeight="1" x14ac:dyDescent="0.2">
      <c r="E9592" s="7"/>
      <c r="F9592" s="7"/>
    </row>
    <row r="9593" spans="5:6" ht="15" customHeight="1" x14ac:dyDescent="0.2">
      <c r="E9593" s="7"/>
      <c r="F9593" s="7"/>
    </row>
    <row r="9594" spans="5:6" ht="15" customHeight="1" x14ac:dyDescent="0.2">
      <c r="E9594" s="7"/>
      <c r="F9594" s="7"/>
    </row>
    <row r="9595" spans="5:6" ht="15" customHeight="1" x14ac:dyDescent="0.2">
      <c r="E9595" s="7"/>
      <c r="F9595" s="7"/>
    </row>
    <row r="9596" spans="5:6" ht="15" customHeight="1" x14ac:dyDescent="0.2">
      <c r="E9596" s="7"/>
      <c r="F9596" s="7"/>
    </row>
    <row r="9597" spans="5:6" ht="15" customHeight="1" x14ac:dyDescent="0.2">
      <c r="E9597" s="7"/>
      <c r="F9597" s="7"/>
    </row>
    <row r="9598" spans="5:6" ht="15" customHeight="1" x14ac:dyDescent="0.2">
      <c r="E9598" s="7"/>
      <c r="F9598" s="7"/>
    </row>
    <row r="9599" spans="5:6" ht="15" customHeight="1" x14ac:dyDescent="0.2">
      <c r="E9599" s="7"/>
      <c r="F9599" s="7"/>
    </row>
    <row r="9600" spans="5:6" ht="15" customHeight="1" x14ac:dyDescent="0.2">
      <c r="E9600" s="7"/>
      <c r="F9600" s="7"/>
    </row>
    <row r="9601" spans="5:6" ht="15" customHeight="1" x14ac:dyDescent="0.2">
      <c r="E9601" s="7"/>
      <c r="F9601" s="7"/>
    </row>
    <row r="9602" spans="5:6" ht="15" customHeight="1" x14ac:dyDescent="0.2">
      <c r="E9602" s="7"/>
      <c r="F9602" s="7"/>
    </row>
    <row r="9603" spans="5:6" ht="15" customHeight="1" x14ac:dyDescent="0.2">
      <c r="E9603" s="7"/>
      <c r="F9603" s="7"/>
    </row>
    <row r="9604" spans="5:6" ht="15" customHeight="1" x14ac:dyDescent="0.2">
      <c r="E9604" s="7"/>
      <c r="F9604" s="7"/>
    </row>
    <row r="9605" spans="5:6" ht="15" customHeight="1" x14ac:dyDescent="0.2">
      <c r="E9605" s="7"/>
      <c r="F9605" s="7"/>
    </row>
    <row r="9606" spans="5:6" ht="15" customHeight="1" x14ac:dyDescent="0.2">
      <c r="E9606" s="7"/>
      <c r="F9606" s="7"/>
    </row>
    <row r="9607" spans="5:6" ht="15" customHeight="1" x14ac:dyDescent="0.2">
      <c r="E9607" s="7"/>
      <c r="F9607" s="7"/>
    </row>
    <row r="9608" spans="5:6" ht="15" customHeight="1" x14ac:dyDescent="0.2">
      <c r="E9608" s="7"/>
      <c r="F9608" s="7"/>
    </row>
    <row r="9609" spans="5:6" ht="15" customHeight="1" x14ac:dyDescent="0.2">
      <c r="E9609" s="7"/>
      <c r="F9609" s="7"/>
    </row>
    <row r="9610" spans="5:6" ht="15" customHeight="1" x14ac:dyDescent="0.2">
      <c r="E9610" s="7"/>
      <c r="F9610" s="7"/>
    </row>
    <row r="9611" spans="5:6" ht="15" customHeight="1" x14ac:dyDescent="0.2">
      <c r="E9611" s="7"/>
      <c r="F9611" s="7"/>
    </row>
    <row r="9612" spans="5:6" ht="15" customHeight="1" x14ac:dyDescent="0.2">
      <c r="E9612" s="7"/>
      <c r="F9612" s="7"/>
    </row>
    <row r="9613" spans="5:6" ht="15" customHeight="1" x14ac:dyDescent="0.2">
      <c r="E9613" s="7"/>
      <c r="F9613" s="7"/>
    </row>
    <row r="9614" spans="5:6" ht="15" customHeight="1" x14ac:dyDescent="0.2">
      <c r="E9614" s="7"/>
      <c r="F9614" s="7"/>
    </row>
    <row r="9615" spans="5:6" ht="15" customHeight="1" x14ac:dyDescent="0.2">
      <c r="E9615" s="7"/>
      <c r="F9615" s="7"/>
    </row>
    <row r="9616" spans="5:6" ht="15" customHeight="1" x14ac:dyDescent="0.2">
      <c r="E9616" s="7"/>
      <c r="F9616" s="7"/>
    </row>
    <row r="9617" spans="5:6" ht="15" customHeight="1" x14ac:dyDescent="0.2">
      <c r="E9617" s="7"/>
      <c r="F9617" s="7"/>
    </row>
    <row r="9618" spans="5:6" ht="15" customHeight="1" x14ac:dyDescent="0.2">
      <c r="E9618" s="7"/>
      <c r="F9618" s="7"/>
    </row>
    <row r="9619" spans="5:6" ht="15" customHeight="1" x14ac:dyDescent="0.2">
      <c r="E9619" s="7"/>
      <c r="F9619" s="7"/>
    </row>
    <row r="9620" spans="5:6" ht="15" customHeight="1" x14ac:dyDescent="0.2">
      <c r="E9620" s="7"/>
      <c r="F9620" s="7"/>
    </row>
    <row r="9621" spans="5:6" ht="15" customHeight="1" x14ac:dyDescent="0.2">
      <c r="E9621" s="7"/>
      <c r="F9621" s="7"/>
    </row>
    <row r="9622" spans="5:6" ht="15" customHeight="1" x14ac:dyDescent="0.2">
      <c r="E9622" s="7"/>
      <c r="F9622" s="7"/>
    </row>
    <row r="9623" spans="5:6" ht="15" customHeight="1" x14ac:dyDescent="0.2">
      <c r="E9623" s="7"/>
      <c r="F9623" s="7"/>
    </row>
    <row r="9624" spans="5:6" ht="15" customHeight="1" x14ac:dyDescent="0.2">
      <c r="E9624" s="7"/>
      <c r="F9624" s="7"/>
    </row>
    <row r="9625" spans="5:6" ht="15" customHeight="1" x14ac:dyDescent="0.2">
      <c r="E9625" s="7"/>
      <c r="F9625" s="7"/>
    </row>
    <row r="9626" spans="5:6" ht="15" customHeight="1" x14ac:dyDescent="0.2">
      <c r="E9626" s="7"/>
      <c r="F9626" s="7"/>
    </row>
    <row r="9627" spans="5:6" ht="15" customHeight="1" x14ac:dyDescent="0.2">
      <c r="E9627" s="7"/>
      <c r="F9627" s="7"/>
    </row>
    <row r="9628" spans="5:6" ht="15" customHeight="1" x14ac:dyDescent="0.2">
      <c r="E9628" s="7"/>
      <c r="F9628" s="7"/>
    </row>
    <row r="9629" spans="5:6" ht="15" customHeight="1" x14ac:dyDescent="0.2">
      <c r="E9629" s="7"/>
      <c r="F9629" s="7"/>
    </row>
    <row r="9630" spans="5:6" ht="15" customHeight="1" x14ac:dyDescent="0.2">
      <c r="E9630" s="7"/>
      <c r="F9630" s="7"/>
    </row>
    <row r="9631" spans="5:6" ht="15" customHeight="1" x14ac:dyDescent="0.2">
      <c r="E9631" s="7"/>
      <c r="F9631" s="7"/>
    </row>
    <row r="9632" spans="5:6" ht="15" customHeight="1" x14ac:dyDescent="0.2">
      <c r="E9632" s="7"/>
      <c r="F9632" s="7"/>
    </row>
    <row r="9633" spans="5:6" ht="15" customHeight="1" x14ac:dyDescent="0.2">
      <c r="E9633" s="7"/>
      <c r="F9633" s="7"/>
    </row>
    <row r="9634" spans="5:6" ht="15" customHeight="1" x14ac:dyDescent="0.2">
      <c r="E9634" s="7"/>
      <c r="F9634" s="7"/>
    </row>
    <row r="9635" spans="5:6" ht="15" customHeight="1" x14ac:dyDescent="0.2">
      <c r="E9635" s="7"/>
      <c r="F9635" s="7"/>
    </row>
    <row r="9636" spans="5:6" ht="15" customHeight="1" x14ac:dyDescent="0.2">
      <c r="E9636" s="7"/>
      <c r="F9636" s="7"/>
    </row>
    <row r="9637" spans="5:6" ht="15" customHeight="1" x14ac:dyDescent="0.2">
      <c r="E9637" s="7"/>
      <c r="F9637" s="7"/>
    </row>
    <row r="9638" spans="5:6" ht="15" customHeight="1" x14ac:dyDescent="0.2">
      <c r="E9638" s="7"/>
      <c r="F9638" s="7"/>
    </row>
    <row r="9639" spans="5:6" ht="15" customHeight="1" x14ac:dyDescent="0.2">
      <c r="E9639" s="7"/>
      <c r="F9639" s="7"/>
    </row>
    <row r="9640" spans="5:6" ht="15" customHeight="1" x14ac:dyDescent="0.2">
      <c r="E9640" s="7"/>
      <c r="F9640" s="7"/>
    </row>
    <row r="9641" spans="5:6" ht="15" customHeight="1" x14ac:dyDescent="0.2">
      <c r="E9641" s="7"/>
      <c r="F9641" s="7"/>
    </row>
    <row r="9642" spans="5:6" ht="15" customHeight="1" x14ac:dyDescent="0.2">
      <c r="E9642" s="7"/>
      <c r="F9642" s="7"/>
    </row>
    <row r="9643" spans="5:6" ht="15" customHeight="1" x14ac:dyDescent="0.2">
      <c r="E9643" s="7"/>
      <c r="F9643" s="7"/>
    </row>
    <row r="9644" spans="5:6" ht="15" customHeight="1" x14ac:dyDescent="0.2">
      <c r="E9644" s="7"/>
      <c r="F9644" s="7"/>
    </row>
    <row r="9645" spans="5:6" ht="15" customHeight="1" x14ac:dyDescent="0.2">
      <c r="E9645" s="7"/>
      <c r="F9645" s="7"/>
    </row>
    <row r="9646" spans="5:6" ht="15" customHeight="1" x14ac:dyDescent="0.2">
      <c r="E9646" s="7"/>
      <c r="F9646" s="7"/>
    </row>
    <row r="9647" spans="5:6" ht="15" customHeight="1" x14ac:dyDescent="0.2">
      <c r="E9647" s="7"/>
      <c r="F9647" s="7"/>
    </row>
    <row r="9648" spans="5:6" ht="15" customHeight="1" x14ac:dyDescent="0.2">
      <c r="E9648" s="7"/>
      <c r="F9648" s="7"/>
    </row>
    <row r="9649" spans="5:6" ht="15" customHeight="1" x14ac:dyDescent="0.2">
      <c r="E9649" s="7"/>
      <c r="F9649" s="7"/>
    </row>
    <row r="9650" spans="5:6" ht="15" customHeight="1" x14ac:dyDescent="0.2">
      <c r="E9650" s="7"/>
      <c r="F9650" s="7"/>
    </row>
    <row r="9651" spans="5:6" ht="15" customHeight="1" x14ac:dyDescent="0.2">
      <c r="E9651" s="7"/>
      <c r="F9651" s="7"/>
    </row>
    <row r="9652" spans="5:6" ht="15" customHeight="1" x14ac:dyDescent="0.2">
      <c r="E9652" s="7"/>
      <c r="F9652" s="7"/>
    </row>
    <row r="9653" spans="5:6" ht="15" customHeight="1" x14ac:dyDescent="0.2">
      <c r="E9653" s="7"/>
      <c r="F9653" s="7"/>
    </row>
    <row r="9654" spans="5:6" ht="15" customHeight="1" x14ac:dyDescent="0.2">
      <c r="E9654" s="7"/>
      <c r="F9654" s="7"/>
    </row>
    <row r="9655" spans="5:6" ht="15" customHeight="1" x14ac:dyDescent="0.2">
      <c r="E9655" s="7"/>
      <c r="F9655" s="7"/>
    </row>
    <row r="9656" spans="5:6" ht="15" customHeight="1" x14ac:dyDescent="0.2">
      <c r="E9656" s="7"/>
      <c r="F9656" s="7"/>
    </row>
    <row r="9657" spans="5:6" ht="15" customHeight="1" x14ac:dyDescent="0.2">
      <c r="E9657" s="7"/>
      <c r="F9657" s="7"/>
    </row>
    <row r="9658" spans="5:6" ht="15" customHeight="1" x14ac:dyDescent="0.2">
      <c r="E9658" s="7"/>
      <c r="F9658" s="7"/>
    </row>
    <row r="9659" spans="5:6" ht="15" customHeight="1" x14ac:dyDescent="0.2">
      <c r="E9659" s="7"/>
      <c r="F9659" s="7"/>
    </row>
    <row r="9660" spans="5:6" ht="15" customHeight="1" x14ac:dyDescent="0.2">
      <c r="E9660" s="7"/>
      <c r="F9660" s="7"/>
    </row>
    <row r="9661" spans="5:6" ht="15" customHeight="1" x14ac:dyDescent="0.2">
      <c r="E9661" s="7"/>
      <c r="F9661" s="7"/>
    </row>
    <row r="9662" spans="5:6" ht="15" customHeight="1" x14ac:dyDescent="0.2">
      <c r="E9662" s="7"/>
      <c r="F9662" s="7"/>
    </row>
    <row r="9663" spans="5:6" ht="15" customHeight="1" x14ac:dyDescent="0.2">
      <c r="E9663" s="7"/>
      <c r="F9663" s="7"/>
    </row>
    <row r="9664" spans="5:6" ht="15" customHeight="1" x14ac:dyDescent="0.2">
      <c r="E9664" s="7"/>
      <c r="F9664" s="7"/>
    </row>
    <row r="9665" spans="5:6" ht="15" customHeight="1" x14ac:dyDescent="0.2">
      <c r="E9665" s="7"/>
      <c r="F9665" s="7"/>
    </row>
    <row r="9666" spans="5:6" ht="15" customHeight="1" x14ac:dyDescent="0.2">
      <c r="E9666" s="7"/>
      <c r="F9666" s="7"/>
    </row>
    <row r="9667" spans="5:6" ht="15" customHeight="1" x14ac:dyDescent="0.2">
      <c r="E9667" s="7"/>
      <c r="F9667" s="7"/>
    </row>
    <row r="9668" spans="5:6" ht="15" customHeight="1" x14ac:dyDescent="0.2">
      <c r="E9668" s="7"/>
      <c r="F9668" s="7"/>
    </row>
    <row r="9669" spans="5:6" ht="15" customHeight="1" x14ac:dyDescent="0.2">
      <c r="E9669" s="7"/>
      <c r="F9669" s="7"/>
    </row>
    <row r="9670" spans="5:6" ht="15" customHeight="1" x14ac:dyDescent="0.2">
      <c r="E9670" s="7"/>
      <c r="F9670" s="7"/>
    </row>
    <row r="9671" spans="5:6" ht="15" customHeight="1" x14ac:dyDescent="0.2">
      <c r="E9671" s="7"/>
      <c r="F9671" s="7"/>
    </row>
    <row r="9672" spans="5:6" ht="15" customHeight="1" x14ac:dyDescent="0.2">
      <c r="E9672" s="7"/>
      <c r="F9672" s="7"/>
    </row>
    <row r="9673" spans="5:6" ht="15" customHeight="1" x14ac:dyDescent="0.2">
      <c r="E9673" s="7"/>
      <c r="F9673" s="7"/>
    </row>
    <row r="9674" spans="5:6" ht="15" customHeight="1" x14ac:dyDescent="0.2">
      <c r="E9674" s="7"/>
      <c r="F9674" s="7"/>
    </row>
    <row r="9675" spans="5:6" ht="15" customHeight="1" x14ac:dyDescent="0.2">
      <c r="E9675" s="7"/>
      <c r="F9675" s="7"/>
    </row>
    <row r="9676" spans="5:6" ht="15" customHeight="1" x14ac:dyDescent="0.2">
      <c r="E9676" s="7"/>
      <c r="F9676" s="7"/>
    </row>
    <row r="9677" spans="5:6" ht="15" customHeight="1" x14ac:dyDescent="0.2">
      <c r="E9677" s="7"/>
      <c r="F9677" s="7"/>
    </row>
    <row r="9678" spans="5:6" ht="15" customHeight="1" x14ac:dyDescent="0.2">
      <c r="E9678" s="7"/>
      <c r="F9678" s="7"/>
    </row>
    <row r="9679" spans="5:6" ht="15" customHeight="1" x14ac:dyDescent="0.2">
      <c r="E9679" s="7"/>
      <c r="F9679" s="7"/>
    </row>
    <row r="9680" spans="5:6" ht="15" customHeight="1" x14ac:dyDescent="0.2">
      <c r="E9680" s="7"/>
      <c r="F9680" s="7"/>
    </row>
    <row r="9681" spans="5:6" ht="15" customHeight="1" x14ac:dyDescent="0.2">
      <c r="E9681" s="7"/>
      <c r="F9681" s="7"/>
    </row>
    <row r="9682" spans="5:6" ht="15" customHeight="1" x14ac:dyDescent="0.2">
      <c r="E9682" s="7"/>
      <c r="F9682" s="7"/>
    </row>
    <row r="9683" spans="5:6" ht="15" customHeight="1" x14ac:dyDescent="0.2">
      <c r="E9683" s="7"/>
      <c r="F9683" s="7"/>
    </row>
    <row r="9684" spans="5:6" ht="15" customHeight="1" x14ac:dyDescent="0.2">
      <c r="E9684" s="7"/>
      <c r="F9684" s="7"/>
    </row>
    <row r="9685" spans="5:6" ht="15" customHeight="1" x14ac:dyDescent="0.2">
      <c r="E9685" s="7"/>
      <c r="F9685" s="7"/>
    </row>
    <row r="9686" spans="5:6" ht="15" customHeight="1" x14ac:dyDescent="0.2">
      <c r="E9686" s="7"/>
      <c r="F9686" s="7"/>
    </row>
    <row r="9687" spans="5:6" ht="15" customHeight="1" x14ac:dyDescent="0.2">
      <c r="E9687" s="7"/>
      <c r="F9687" s="7"/>
    </row>
    <row r="9688" spans="5:6" ht="15" customHeight="1" x14ac:dyDescent="0.2">
      <c r="E9688" s="7"/>
      <c r="F9688" s="7"/>
    </row>
    <row r="9689" spans="5:6" ht="15" customHeight="1" x14ac:dyDescent="0.2">
      <c r="E9689" s="7"/>
      <c r="F9689" s="7"/>
    </row>
    <row r="9690" spans="5:6" ht="15" customHeight="1" x14ac:dyDescent="0.2">
      <c r="E9690" s="7"/>
      <c r="F9690" s="7"/>
    </row>
    <row r="9691" spans="5:6" ht="15" customHeight="1" x14ac:dyDescent="0.2">
      <c r="E9691" s="7"/>
      <c r="F9691" s="7"/>
    </row>
    <row r="9692" spans="5:6" ht="15" customHeight="1" x14ac:dyDescent="0.2">
      <c r="E9692" s="7"/>
      <c r="F9692" s="7"/>
    </row>
    <row r="9693" spans="5:6" ht="15" customHeight="1" x14ac:dyDescent="0.2">
      <c r="E9693" s="7"/>
      <c r="F9693" s="7"/>
    </row>
    <row r="9694" spans="5:6" ht="15" customHeight="1" x14ac:dyDescent="0.2">
      <c r="E9694" s="7"/>
      <c r="F9694" s="7"/>
    </row>
    <row r="9695" spans="5:6" ht="15" customHeight="1" x14ac:dyDescent="0.2">
      <c r="E9695" s="7"/>
      <c r="F9695" s="7"/>
    </row>
    <row r="9696" spans="5:6" ht="15" customHeight="1" x14ac:dyDescent="0.2">
      <c r="E9696" s="7"/>
      <c r="F9696" s="7"/>
    </row>
    <row r="9697" spans="5:6" ht="15" customHeight="1" x14ac:dyDescent="0.2">
      <c r="E9697" s="7"/>
      <c r="F9697" s="7"/>
    </row>
    <row r="9698" spans="5:6" ht="15" customHeight="1" x14ac:dyDescent="0.2">
      <c r="E9698" s="7"/>
      <c r="F9698" s="7"/>
    </row>
    <row r="9699" spans="5:6" ht="15" customHeight="1" x14ac:dyDescent="0.2">
      <c r="E9699" s="7"/>
      <c r="F9699" s="7"/>
    </row>
    <row r="9700" spans="5:6" ht="15" customHeight="1" x14ac:dyDescent="0.2">
      <c r="E9700" s="7"/>
      <c r="F9700" s="7"/>
    </row>
    <row r="9701" spans="5:6" ht="15" customHeight="1" x14ac:dyDescent="0.2">
      <c r="E9701" s="7"/>
      <c r="F9701" s="7"/>
    </row>
    <row r="9702" spans="5:6" ht="15" customHeight="1" x14ac:dyDescent="0.2">
      <c r="E9702" s="7"/>
      <c r="F9702" s="7"/>
    </row>
    <row r="9703" spans="5:6" ht="15" customHeight="1" x14ac:dyDescent="0.2">
      <c r="E9703" s="7"/>
      <c r="F9703" s="7"/>
    </row>
    <row r="9704" spans="5:6" ht="15" customHeight="1" x14ac:dyDescent="0.2">
      <c r="E9704" s="7"/>
      <c r="F9704" s="7"/>
    </row>
    <row r="9705" spans="5:6" ht="15" customHeight="1" x14ac:dyDescent="0.2">
      <c r="E9705" s="7"/>
      <c r="F9705" s="7"/>
    </row>
    <row r="9706" spans="5:6" ht="15" customHeight="1" x14ac:dyDescent="0.2">
      <c r="E9706" s="7"/>
      <c r="F9706" s="7"/>
    </row>
    <row r="9707" spans="5:6" ht="15" customHeight="1" x14ac:dyDescent="0.2">
      <c r="E9707" s="7"/>
      <c r="F9707" s="7"/>
    </row>
    <row r="9708" spans="5:6" ht="15" customHeight="1" x14ac:dyDescent="0.2">
      <c r="E9708" s="7"/>
      <c r="F9708" s="7"/>
    </row>
    <row r="9709" spans="5:6" ht="15" customHeight="1" x14ac:dyDescent="0.2">
      <c r="E9709" s="7"/>
      <c r="F9709" s="7"/>
    </row>
    <row r="9710" spans="5:6" ht="15" customHeight="1" x14ac:dyDescent="0.2">
      <c r="E9710" s="7"/>
      <c r="F9710" s="7"/>
    </row>
    <row r="9711" spans="5:6" ht="15" customHeight="1" x14ac:dyDescent="0.2">
      <c r="E9711" s="7"/>
      <c r="F9711" s="7"/>
    </row>
    <row r="9712" spans="5:6" ht="15" customHeight="1" x14ac:dyDescent="0.2">
      <c r="E9712" s="7"/>
      <c r="F9712" s="7"/>
    </row>
    <row r="9713" spans="5:6" ht="15" customHeight="1" x14ac:dyDescent="0.2">
      <c r="E9713" s="7"/>
      <c r="F9713" s="7"/>
    </row>
    <row r="9714" spans="5:6" ht="15" customHeight="1" x14ac:dyDescent="0.2">
      <c r="E9714" s="7"/>
      <c r="F9714" s="7"/>
    </row>
    <row r="9715" spans="5:6" ht="15" customHeight="1" x14ac:dyDescent="0.2">
      <c r="E9715" s="7"/>
      <c r="F9715" s="7"/>
    </row>
    <row r="9716" spans="5:6" ht="15" customHeight="1" x14ac:dyDescent="0.2">
      <c r="E9716" s="7"/>
      <c r="F9716" s="7"/>
    </row>
    <row r="9717" spans="5:6" ht="15" customHeight="1" x14ac:dyDescent="0.2">
      <c r="E9717" s="7"/>
      <c r="F9717" s="7"/>
    </row>
    <row r="9718" spans="5:6" ht="15" customHeight="1" x14ac:dyDescent="0.2">
      <c r="E9718" s="7"/>
      <c r="F9718" s="7"/>
    </row>
    <row r="9719" spans="5:6" ht="15" customHeight="1" x14ac:dyDescent="0.2">
      <c r="E9719" s="7"/>
      <c r="F9719" s="7"/>
    </row>
    <row r="9720" spans="5:6" ht="15" customHeight="1" x14ac:dyDescent="0.2">
      <c r="E9720" s="7"/>
      <c r="F9720" s="7"/>
    </row>
    <row r="9721" spans="5:6" ht="15" customHeight="1" x14ac:dyDescent="0.2">
      <c r="E9721" s="7"/>
      <c r="F9721" s="7"/>
    </row>
    <row r="9722" spans="5:6" ht="15" customHeight="1" x14ac:dyDescent="0.2">
      <c r="E9722" s="7"/>
      <c r="F9722" s="7"/>
    </row>
    <row r="9723" spans="5:6" ht="15" customHeight="1" x14ac:dyDescent="0.2">
      <c r="E9723" s="7"/>
      <c r="F9723" s="7"/>
    </row>
    <row r="9724" spans="5:6" ht="15" customHeight="1" x14ac:dyDescent="0.2">
      <c r="E9724" s="7"/>
      <c r="F9724" s="7"/>
    </row>
    <row r="9725" spans="5:6" ht="15" customHeight="1" x14ac:dyDescent="0.2">
      <c r="E9725" s="7"/>
      <c r="F9725" s="7"/>
    </row>
    <row r="9726" spans="5:6" ht="15" customHeight="1" x14ac:dyDescent="0.2">
      <c r="E9726" s="7"/>
      <c r="F9726" s="7"/>
    </row>
    <row r="9727" spans="5:6" ht="15" customHeight="1" x14ac:dyDescent="0.2">
      <c r="E9727" s="7"/>
      <c r="F9727" s="7"/>
    </row>
    <row r="9728" spans="5:6" ht="15" customHeight="1" x14ac:dyDescent="0.2">
      <c r="E9728" s="7"/>
      <c r="F9728" s="7"/>
    </row>
    <row r="9729" spans="5:6" ht="15" customHeight="1" x14ac:dyDescent="0.2">
      <c r="E9729" s="7"/>
      <c r="F9729" s="7"/>
    </row>
    <row r="9730" spans="5:6" ht="15" customHeight="1" x14ac:dyDescent="0.2">
      <c r="E9730" s="7"/>
      <c r="F9730" s="7"/>
    </row>
    <row r="9731" spans="5:6" ht="15" customHeight="1" x14ac:dyDescent="0.2">
      <c r="E9731" s="7"/>
      <c r="F9731" s="7"/>
    </row>
    <row r="9732" spans="5:6" ht="15" customHeight="1" x14ac:dyDescent="0.2">
      <c r="E9732" s="7"/>
      <c r="F9732" s="7"/>
    </row>
    <row r="9733" spans="5:6" ht="15" customHeight="1" x14ac:dyDescent="0.2">
      <c r="E9733" s="7"/>
      <c r="F9733" s="7"/>
    </row>
    <row r="9734" spans="5:6" ht="15" customHeight="1" x14ac:dyDescent="0.2">
      <c r="E9734" s="7"/>
      <c r="F9734" s="7"/>
    </row>
    <row r="9735" spans="5:6" ht="15" customHeight="1" x14ac:dyDescent="0.2">
      <c r="E9735" s="7"/>
      <c r="F9735" s="7"/>
    </row>
    <row r="9736" spans="5:6" ht="15" customHeight="1" x14ac:dyDescent="0.2">
      <c r="E9736" s="7"/>
      <c r="F9736" s="7"/>
    </row>
    <row r="9737" spans="5:6" ht="15" customHeight="1" x14ac:dyDescent="0.2">
      <c r="E9737" s="7"/>
      <c r="F9737" s="7"/>
    </row>
    <row r="9738" spans="5:6" ht="15" customHeight="1" x14ac:dyDescent="0.2">
      <c r="E9738" s="7"/>
      <c r="F9738" s="7"/>
    </row>
    <row r="9739" spans="5:6" ht="15" customHeight="1" x14ac:dyDescent="0.2">
      <c r="E9739" s="7"/>
      <c r="F9739" s="7"/>
    </row>
    <row r="9740" spans="5:6" ht="15" customHeight="1" x14ac:dyDescent="0.2">
      <c r="E9740" s="7"/>
      <c r="F9740" s="7"/>
    </row>
    <row r="9741" spans="5:6" ht="15" customHeight="1" x14ac:dyDescent="0.2">
      <c r="E9741" s="7"/>
      <c r="F9741" s="7"/>
    </row>
    <row r="9742" spans="5:6" ht="15" customHeight="1" x14ac:dyDescent="0.2">
      <c r="E9742" s="7"/>
      <c r="F9742" s="7"/>
    </row>
    <row r="9743" spans="5:6" ht="15" customHeight="1" x14ac:dyDescent="0.2">
      <c r="E9743" s="7"/>
      <c r="F9743" s="7"/>
    </row>
    <row r="9744" spans="5:6" ht="15" customHeight="1" x14ac:dyDescent="0.2">
      <c r="E9744" s="7"/>
      <c r="F9744" s="7"/>
    </row>
    <row r="9745" spans="5:6" ht="15" customHeight="1" x14ac:dyDescent="0.2">
      <c r="E9745" s="7"/>
      <c r="F9745" s="7"/>
    </row>
    <row r="9746" spans="5:6" ht="15" customHeight="1" x14ac:dyDescent="0.2">
      <c r="E9746" s="7"/>
      <c r="F9746" s="7"/>
    </row>
    <row r="9747" spans="5:6" ht="15" customHeight="1" x14ac:dyDescent="0.2">
      <c r="E9747" s="7"/>
      <c r="F9747" s="7"/>
    </row>
    <row r="9748" spans="5:6" ht="15" customHeight="1" x14ac:dyDescent="0.2">
      <c r="E9748" s="7"/>
      <c r="F9748" s="7"/>
    </row>
    <row r="9749" spans="5:6" ht="15" customHeight="1" x14ac:dyDescent="0.2">
      <c r="E9749" s="7"/>
      <c r="F9749" s="7"/>
    </row>
    <row r="9750" spans="5:6" ht="15" customHeight="1" x14ac:dyDescent="0.2">
      <c r="E9750" s="7"/>
      <c r="F9750" s="7"/>
    </row>
    <row r="9751" spans="5:6" ht="15" customHeight="1" x14ac:dyDescent="0.2">
      <c r="E9751" s="7"/>
      <c r="F9751" s="7"/>
    </row>
    <row r="9752" spans="5:6" ht="15" customHeight="1" x14ac:dyDescent="0.2">
      <c r="E9752" s="7"/>
      <c r="F9752" s="7"/>
    </row>
    <row r="9753" spans="5:6" ht="15" customHeight="1" x14ac:dyDescent="0.2">
      <c r="E9753" s="7"/>
      <c r="F9753" s="7"/>
    </row>
    <row r="9754" spans="5:6" ht="15" customHeight="1" x14ac:dyDescent="0.2">
      <c r="E9754" s="7"/>
      <c r="F9754" s="7"/>
    </row>
    <row r="9755" spans="5:6" ht="15" customHeight="1" x14ac:dyDescent="0.2">
      <c r="E9755" s="7"/>
      <c r="F9755" s="7"/>
    </row>
    <row r="9756" spans="5:6" ht="15" customHeight="1" x14ac:dyDescent="0.2">
      <c r="E9756" s="7"/>
      <c r="F9756" s="7"/>
    </row>
    <row r="9757" spans="5:6" ht="15" customHeight="1" x14ac:dyDescent="0.2">
      <c r="E9757" s="7"/>
      <c r="F9757" s="7"/>
    </row>
    <row r="9758" spans="5:6" ht="15" customHeight="1" x14ac:dyDescent="0.2">
      <c r="E9758" s="7"/>
      <c r="F9758" s="7"/>
    </row>
    <row r="9759" spans="5:6" ht="15" customHeight="1" x14ac:dyDescent="0.2">
      <c r="E9759" s="7"/>
      <c r="F9759" s="7"/>
    </row>
    <row r="9760" spans="5:6" ht="15" customHeight="1" x14ac:dyDescent="0.2">
      <c r="E9760" s="7"/>
      <c r="F9760" s="7"/>
    </row>
    <row r="9761" spans="5:6" ht="15" customHeight="1" x14ac:dyDescent="0.2">
      <c r="E9761" s="7"/>
      <c r="F9761" s="7"/>
    </row>
    <row r="9762" spans="5:6" ht="15" customHeight="1" x14ac:dyDescent="0.2">
      <c r="E9762" s="7"/>
      <c r="F9762" s="7"/>
    </row>
    <row r="9763" spans="5:6" ht="15" customHeight="1" x14ac:dyDescent="0.2">
      <c r="E9763" s="7"/>
      <c r="F9763" s="7"/>
    </row>
    <row r="9764" spans="5:6" ht="15" customHeight="1" x14ac:dyDescent="0.2">
      <c r="E9764" s="7"/>
      <c r="F9764" s="7"/>
    </row>
    <row r="9765" spans="5:6" ht="15" customHeight="1" x14ac:dyDescent="0.2">
      <c r="E9765" s="7"/>
      <c r="F9765" s="7"/>
    </row>
    <row r="9766" spans="5:6" ht="15" customHeight="1" x14ac:dyDescent="0.2">
      <c r="E9766" s="7"/>
      <c r="F9766" s="7"/>
    </row>
    <row r="9767" spans="5:6" ht="15" customHeight="1" x14ac:dyDescent="0.2">
      <c r="E9767" s="7"/>
      <c r="F9767" s="7"/>
    </row>
    <row r="9768" spans="5:6" ht="15" customHeight="1" x14ac:dyDescent="0.2">
      <c r="E9768" s="7"/>
      <c r="F9768" s="7"/>
    </row>
    <row r="9769" spans="5:6" ht="15" customHeight="1" x14ac:dyDescent="0.2">
      <c r="E9769" s="7"/>
      <c r="F9769" s="7"/>
    </row>
    <row r="9770" spans="5:6" ht="15" customHeight="1" x14ac:dyDescent="0.2">
      <c r="E9770" s="7"/>
      <c r="F9770" s="7"/>
    </row>
    <row r="9771" spans="5:6" ht="15" customHeight="1" x14ac:dyDescent="0.2">
      <c r="E9771" s="7"/>
      <c r="F9771" s="7"/>
    </row>
    <row r="9772" spans="5:6" ht="15" customHeight="1" x14ac:dyDescent="0.2">
      <c r="E9772" s="7"/>
      <c r="F9772" s="7"/>
    </row>
    <row r="9773" spans="5:6" ht="15" customHeight="1" x14ac:dyDescent="0.2">
      <c r="E9773" s="7"/>
      <c r="F9773" s="7"/>
    </row>
    <row r="9774" spans="5:6" ht="15" customHeight="1" x14ac:dyDescent="0.2">
      <c r="E9774" s="7"/>
      <c r="F9774" s="7"/>
    </row>
    <row r="9775" spans="5:6" ht="15" customHeight="1" x14ac:dyDescent="0.2">
      <c r="E9775" s="7"/>
      <c r="F9775" s="7"/>
    </row>
    <row r="9776" spans="5:6" ht="15" customHeight="1" x14ac:dyDescent="0.2">
      <c r="E9776" s="7"/>
      <c r="F9776" s="7"/>
    </row>
    <row r="9777" spans="5:6" ht="15" customHeight="1" x14ac:dyDescent="0.2">
      <c r="E9777" s="7"/>
      <c r="F9777" s="7"/>
    </row>
    <row r="9778" spans="5:6" ht="15" customHeight="1" x14ac:dyDescent="0.2">
      <c r="E9778" s="7"/>
      <c r="F9778" s="7"/>
    </row>
    <row r="9779" spans="5:6" ht="15" customHeight="1" x14ac:dyDescent="0.2">
      <c r="E9779" s="7"/>
      <c r="F9779" s="7"/>
    </row>
    <row r="9780" spans="5:6" ht="15" customHeight="1" x14ac:dyDescent="0.2">
      <c r="E9780" s="7"/>
      <c r="F9780" s="7"/>
    </row>
    <row r="9781" spans="5:6" ht="15" customHeight="1" x14ac:dyDescent="0.2">
      <c r="E9781" s="7"/>
      <c r="F9781" s="7"/>
    </row>
    <row r="9782" spans="5:6" ht="15" customHeight="1" x14ac:dyDescent="0.2">
      <c r="E9782" s="7"/>
      <c r="F9782" s="7"/>
    </row>
    <row r="9783" spans="5:6" ht="15" customHeight="1" x14ac:dyDescent="0.2">
      <c r="E9783" s="7"/>
      <c r="F9783" s="7"/>
    </row>
    <row r="9784" spans="5:6" ht="15" customHeight="1" x14ac:dyDescent="0.2">
      <c r="E9784" s="7"/>
      <c r="F9784" s="7"/>
    </row>
    <row r="9785" spans="5:6" ht="15" customHeight="1" x14ac:dyDescent="0.2">
      <c r="E9785" s="7"/>
      <c r="F9785" s="7"/>
    </row>
    <row r="9786" spans="5:6" ht="15" customHeight="1" x14ac:dyDescent="0.2">
      <c r="E9786" s="7"/>
      <c r="F9786" s="7"/>
    </row>
    <row r="9787" spans="5:6" ht="15" customHeight="1" x14ac:dyDescent="0.2">
      <c r="E9787" s="7"/>
      <c r="F9787" s="7"/>
    </row>
    <row r="9788" spans="5:6" ht="15" customHeight="1" x14ac:dyDescent="0.2">
      <c r="E9788" s="7"/>
      <c r="F9788" s="7"/>
    </row>
    <row r="9789" spans="5:6" ht="15" customHeight="1" x14ac:dyDescent="0.2">
      <c r="E9789" s="7"/>
      <c r="F9789" s="7"/>
    </row>
    <row r="9790" spans="5:6" ht="15" customHeight="1" x14ac:dyDescent="0.2">
      <c r="E9790" s="7"/>
      <c r="F9790" s="7"/>
    </row>
    <row r="9791" spans="5:6" ht="15" customHeight="1" x14ac:dyDescent="0.2">
      <c r="E9791" s="7"/>
      <c r="F9791" s="7"/>
    </row>
    <row r="9792" spans="5:6" ht="15" customHeight="1" x14ac:dyDescent="0.2">
      <c r="E9792" s="7"/>
      <c r="F9792" s="7"/>
    </row>
    <row r="9793" spans="5:6" ht="15" customHeight="1" x14ac:dyDescent="0.2">
      <c r="E9793" s="7"/>
      <c r="F9793" s="7"/>
    </row>
    <row r="9794" spans="5:6" ht="15" customHeight="1" x14ac:dyDescent="0.2">
      <c r="E9794" s="7"/>
      <c r="F9794" s="7"/>
    </row>
    <row r="9795" spans="5:6" ht="15" customHeight="1" x14ac:dyDescent="0.2">
      <c r="E9795" s="7"/>
      <c r="F9795" s="7"/>
    </row>
    <row r="9796" spans="5:6" ht="15" customHeight="1" x14ac:dyDescent="0.2">
      <c r="E9796" s="7"/>
      <c r="F9796" s="7"/>
    </row>
    <row r="9797" spans="5:6" ht="15" customHeight="1" x14ac:dyDescent="0.2">
      <c r="E9797" s="7"/>
      <c r="F9797" s="7"/>
    </row>
    <row r="9798" spans="5:6" ht="15" customHeight="1" x14ac:dyDescent="0.2">
      <c r="E9798" s="7"/>
      <c r="F9798" s="7"/>
    </row>
    <row r="9799" spans="5:6" ht="15" customHeight="1" x14ac:dyDescent="0.2">
      <c r="E9799" s="7"/>
      <c r="F9799" s="7"/>
    </row>
    <row r="9800" spans="5:6" ht="15" customHeight="1" x14ac:dyDescent="0.2">
      <c r="E9800" s="7"/>
      <c r="F9800" s="7"/>
    </row>
    <row r="9801" spans="5:6" ht="15" customHeight="1" x14ac:dyDescent="0.2">
      <c r="E9801" s="7"/>
      <c r="F9801" s="7"/>
    </row>
    <row r="9802" spans="5:6" ht="15" customHeight="1" x14ac:dyDescent="0.2">
      <c r="E9802" s="7"/>
      <c r="F9802" s="7"/>
    </row>
    <row r="9803" spans="5:6" ht="15" customHeight="1" x14ac:dyDescent="0.2">
      <c r="E9803" s="7"/>
      <c r="F9803" s="7"/>
    </row>
    <row r="9804" spans="5:6" ht="15" customHeight="1" x14ac:dyDescent="0.2">
      <c r="E9804" s="7"/>
      <c r="F9804" s="7"/>
    </row>
    <row r="9805" spans="5:6" ht="15" customHeight="1" x14ac:dyDescent="0.2">
      <c r="E9805" s="7"/>
      <c r="F9805" s="7"/>
    </row>
    <row r="9806" spans="5:6" ht="15" customHeight="1" x14ac:dyDescent="0.2">
      <c r="E9806" s="7"/>
      <c r="F9806" s="7"/>
    </row>
    <row r="9807" spans="5:6" ht="15" customHeight="1" x14ac:dyDescent="0.2">
      <c r="E9807" s="7"/>
      <c r="F9807" s="7"/>
    </row>
    <row r="9808" spans="5:6" ht="15" customHeight="1" x14ac:dyDescent="0.2">
      <c r="E9808" s="7"/>
      <c r="F9808" s="7"/>
    </row>
    <row r="9809" spans="5:6" ht="15" customHeight="1" x14ac:dyDescent="0.2">
      <c r="E9809" s="7"/>
      <c r="F9809" s="7"/>
    </row>
    <row r="9810" spans="5:6" ht="15" customHeight="1" x14ac:dyDescent="0.2">
      <c r="E9810" s="7"/>
      <c r="F9810" s="7"/>
    </row>
    <row r="9811" spans="5:6" ht="15" customHeight="1" x14ac:dyDescent="0.2">
      <c r="E9811" s="7"/>
      <c r="F9811" s="7"/>
    </row>
    <row r="9812" spans="5:6" ht="15" customHeight="1" x14ac:dyDescent="0.2">
      <c r="E9812" s="7"/>
      <c r="F9812" s="7"/>
    </row>
    <row r="9813" spans="5:6" ht="15" customHeight="1" x14ac:dyDescent="0.2">
      <c r="E9813" s="7"/>
      <c r="F9813" s="7"/>
    </row>
    <row r="9814" spans="5:6" ht="15" customHeight="1" x14ac:dyDescent="0.2">
      <c r="E9814" s="7"/>
      <c r="F9814" s="7"/>
    </row>
    <row r="9815" spans="5:6" ht="15" customHeight="1" x14ac:dyDescent="0.2">
      <c r="E9815" s="7"/>
      <c r="F9815" s="7"/>
    </row>
    <row r="9816" spans="5:6" ht="15" customHeight="1" x14ac:dyDescent="0.2">
      <c r="E9816" s="7"/>
      <c r="F9816" s="7"/>
    </row>
    <row r="9817" spans="5:6" ht="15" customHeight="1" x14ac:dyDescent="0.2">
      <c r="E9817" s="7"/>
      <c r="F9817" s="7"/>
    </row>
    <row r="9818" spans="5:6" ht="15" customHeight="1" x14ac:dyDescent="0.2">
      <c r="E9818" s="7"/>
      <c r="F9818" s="7"/>
    </row>
    <row r="9819" spans="5:6" ht="15" customHeight="1" x14ac:dyDescent="0.2">
      <c r="E9819" s="7"/>
      <c r="F9819" s="7"/>
    </row>
    <row r="9820" spans="5:6" ht="15" customHeight="1" x14ac:dyDescent="0.2">
      <c r="E9820" s="7"/>
      <c r="F9820" s="7"/>
    </row>
    <row r="9821" spans="5:6" ht="15" customHeight="1" x14ac:dyDescent="0.2">
      <c r="E9821" s="7"/>
      <c r="F9821" s="7"/>
    </row>
    <row r="9822" spans="5:6" ht="15" customHeight="1" x14ac:dyDescent="0.2">
      <c r="E9822" s="7"/>
      <c r="F9822" s="7"/>
    </row>
    <row r="9823" spans="5:6" ht="15" customHeight="1" x14ac:dyDescent="0.2">
      <c r="E9823" s="7"/>
      <c r="F9823" s="7"/>
    </row>
    <row r="9824" spans="5:6" ht="15" customHeight="1" x14ac:dyDescent="0.2">
      <c r="E9824" s="7"/>
      <c r="F9824" s="7"/>
    </row>
    <row r="9825" spans="5:6" ht="15" customHeight="1" x14ac:dyDescent="0.2">
      <c r="E9825" s="7"/>
      <c r="F9825" s="7"/>
    </row>
    <row r="9826" spans="5:6" ht="15" customHeight="1" x14ac:dyDescent="0.2">
      <c r="E9826" s="7"/>
      <c r="F9826" s="7"/>
    </row>
    <row r="9827" spans="5:6" ht="15" customHeight="1" x14ac:dyDescent="0.2">
      <c r="E9827" s="7"/>
      <c r="F9827" s="7"/>
    </row>
    <row r="9828" spans="5:6" ht="15" customHeight="1" x14ac:dyDescent="0.2">
      <c r="E9828" s="7"/>
      <c r="F9828" s="7"/>
    </row>
    <row r="9829" spans="5:6" ht="15" customHeight="1" x14ac:dyDescent="0.2">
      <c r="E9829" s="7"/>
      <c r="F9829" s="7"/>
    </row>
    <row r="9830" spans="5:6" ht="15" customHeight="1" x14ac:dyDescent="0.2">
      <c r="E9830" s="7"/>
      <c r="F9830" s="7"/>
    </row>
    <row r="9831" spans="5:6" ht="15" customHeight="1" x14ac:dyDescent="0.2">
      <c r="E9831" s="7"/>
      <c r="F9831" s="7"/>
    </row>
    <row r="9832" spans="5:6" ht="15" customHeight="1" x14ac:dyDescent="0.2">
      <c r="E9832" s="7"/>
      <c r="F9832" s="7"/>
    </row>
    <row r="9833" spans="5:6" ht="15" customHeight="1" x14ac:dyDescent="0.2">
      <c r="E9833" s="7"/>
      <c r="F9833" s="7"/>
    </row>
    <row r="9834" spans="5:6" ht="15" customHeight="1" x14ac:dyDescent="0.2">
      <c r="E9834" s="7"/>
      <c r="F9834" s="7"/>
    </row>
    <row r="9835" spans="5:6" ht="15" customHeight="1" x14ac:dyDescent="0.2">
      <c r="E9835" s="7"/>
      <c r="F9835" s="7"/>
    </row>
    <row r="9836" spans="5:6" ht="15" customHeight="1" x14ac:dyDescent="0.2">
      <c r="E9836" s="7"/>
      <c r="F9836" s="7"/>
    </row>
    <row r="9837" spans="5:6" ht="15" customHeight="1" x14ac:dyDescent="0.2">
      <c r="E9837" s="7"/>
      <c r="F9837" s="7"/>
    </row>
    <row r="9838" spans="5:6" ht="15" customHeight="1" x14ac:dyDescent="0.2">
      <c r="E9838" s="7"/>
      <c r="F9838" s="7"/>
    </row>
    <row r="9839" spans="5:6" ht="15" customHeight="1" x14ac:dyDescent="0.2">
      <c r="E9839" s="7"/>
      <c r="F9839" s="7"/>
    </row>
    <row r="9840" spans="5:6" ht="15" customHeight="1" x14ac:dyDescent="0.2">
      <c r="E9840" s="7"/>
      <c r="F9840" s="7"/>
    </row>
    <row r="9841" spans="5:6" ht="15" customHeight="1" x14ac:dyDescent="0.2">
      <c r="E9841" s="7"/>
      <c r="F9841" s="7"/>
    </row>
    <row r="9842" spans="5:6" ht="15" customHeight="1" x14ac:dyDescent="0.2">
      <c r="E9842" s="7"/>
      <c r="F9842" s="7"/>
    </row>
    <row r="9843" spans="5:6" ht="15" customHeight="1" x14ac:dyDescent="0.2">
      <c r="E9843" s="7"/>
      <c r="F9843" s="7"/>
    </row>
    <row r="9844" spans="5:6" ht="15" customHeight="1" x14ac:dyDescent="0.2">
      <c r="E9844" s="7"/>
      <c r="F9844" s="7"/>
    </row>
    <row r="9845" spans="5:6" ht="15" customHeight="1" x14ac:dyDescent="0.2">
      <c r="E9845" s="7"/>
      <c r="F9845" s="7"/>
    </row>
    <row r="9846" spans="5:6" ht="15" customHeight="1" x14ac:dyDescent="0.2">
      <c r="E9846" s="7"/>
      <c r="F9846" s="7"/>
    </row>
    <row r="9847" spans="5:6" ht="15" customHeight="1" x14ac:dyDescent="0.2">
      <c r="E9847" s="7"/>
      <c r="F9847" s="7"/>
    </row>
    <row r="9848" spans="5:6" ht="15" customHeight="1" x14ac:dyDescent="0.2">
      <c r="E9848" s="7"/>
      <c r="F9848" s="7"/>
    </row>
    <row r="9849" spans="5:6" ht="15" customHeight="1" x14ac:dyDescent="0.2">
      <c r="E9849" s="7"/>
      <c r="F9849" s="7"/>
    </row>
    <row r="9850" spans="5:6" ht="15" customHeight="1" x14ac:dyDescent="0.2">
      <c r="E9850" s="7"/>
      <c r="F9850" s="7"/>
    </row>
    <row r="9851" spans="5:6" ht="15" customHeight="1" x14ac:dyDescent="0.2">
      <c r="E9851" s="7"/>
      <c r="F9851" s="7"/>
    </row>
    <row r="9852" spans="5:6" ht="15" customHeight="1" x14ac:dyDescent="0.2">
      <c r="E9852" s="7"/>
      <c r="F9852" s="7"/>
    </row>
    <row r="9853" spans="5:6" ht="15" customHeight="1" x14ac:dyDescent="0.2">
      <c r="E9853" s="7"/>
      <c r="F9853" s="7"/>
    </row>
    <row r="9854" spans="5:6" ht="15" customHeight="1" x14ac:dyDescent="0.2">
      <c r="E9854" s="7"/>
      <c r="F9854" s="7"/>
    </row>
    <row r="9855" spans="5:6" ht="15" customHeight="1" x14ac:dyDescent="0.2">
      <c r="E9855" s="7"/>
      <c r="F9855" s="7"/>
    </row>
    <row r="9856" spans="5:6" ht="15" customHeight="1" x14ac:dyDescent="0.2">
      <c r="E9856" s="7"/>
      <c r="F9856" s="7"/>
    </row>
    <row r="9857" spans="5:6" ht="15" customHeight="1" x14ac:dyDescent="0.2">
      <c r="E9857" s="7"/>
      <c r="F9857" s="7"/>
    </row>
    <row r="9858" spans="5:6" ht="15" customHeight="1" x14ac:dyDescent="0.2">
      <c r="E9858" s="7"/>
      <c r="F9858" s="7"/>
    </row>
    <row r="9859" spans="5:6" ht="15" customHeight="1" x14ac:dyDescent="0.2">
      <c r="E9859" s="7"/>
      <c r="F9859" s="7"/>
    </row>
    <row r="9860" spans="5:6" ht="15" customHeight="1" x14ac:dyDescent="0.2">
      <c r="E9860" s="7"/>
      <c r="F9860" s="7"/>
    </row>
    <row r="9861" spans="5:6" ht="15" customHeight="1" x14ac:dyDescent="0.2">
      <c r="E9861" s="7"/>
      <c r="F9861" s="7"/>
    </row>
    <row r="9862" spans="5:6" ht="15" customHeight="1" x14ac:dyDescent="0.2">
      <c r="E9862" s="7"/>
      <c r="F9862" s="7"/>
    </row>
    <row r="9863" spans="5:6" ht="15" customHeight="1" x14ac:dyDescent="0.2">
      <c r="E9863" s="7"/>
      <c r="F9863" s="7"/>
    </row>
    <row r="9864" spans="5:6" ht="15" customHeight="1" x14ac:dyDescent="0.2">
      <c r="E9864" s="7"/>
      <c r="F9864" s="7"/>
    </row>
    <row r="9865" spans="5:6" ht="15" customHeight="1" x14ac:dyDescent="0.2">
      <c r="E9865" s="7"/>
      <c r="F9865" s="7"/>
    </row>
    <row r="9866" spans="5:6" ht="15" customHeight="1" x14ac:dyDescent="0.2">
      <c r="E9866" s="7"/>
      <c r="F9866" s="7"/>
    </row>
    <row r="9867" spans="5:6" ht="15" customHeight="1" x14ac:dyDescent="0.2">
      <c r="E9867" s="7"/>
      <c r="F9867" s="7"/>
    </row>
    <row r="9868" spans="5:6" ht="15" customHeight="1" x14ac:dyDescent="0.2">
      <c r="E9868" s="7"/>
      <c r="F9868" s="7"/>
    </row>
    <row r="9869" spans="5:6" ht="15" customHeight="1" x14ac:dyDescent="0.2">
      <c r="E9869" s="7"/>
      <c r="F9869" s="7"/>
    </row>
    <row r="9870" spans="5:6" ht="15" customHeight="1" x14ac:dyDescent="0.2">
      <c r="E9870" s="7"/>
      <c r="F9870" s="7"/>
    </row>
    <row r="9871" spans="5:6" ht="15" customHeight="1" x14ac:dyDescent="0.2">
      <c r="E9871" s="7"/>
      <c r="F9871" s="7"/>
    </row>
    <row r="9872" spans="5:6" ht="15" customHeight="1" x14ac:dyDescent="0.2">
      <c r="E9872" s="7"/>
      <c r="F9872" s="7"/>
    </row>
    <row r="9873" spans="5:6" ht="15" customHeight="1" x14ac:dyDescent="0.2">
      <c r="E9873" s="7"/>
      <c r="F9873" s="7"/>
    </row>
    <row r="9874" spans="5:6" ht="15" customHeight="1" x14ac:dyDescent="0.2">
      <c r="E9874" s="7"/>
      <c r="F9874" s="7"/>
    </row>
    <row r="9875" spans="5:6" ht="15" customHeight="1" x14ac:dyDescent="0.2">
      <c r="E9875" s="7"/>
      <c r="F9875" s="7"/>
    </row>
    <row r="9876" spans="5:6" ht="15" customHeight="1" x14ac:dyDescent="0.2">
      <c r="E9876" s="7"/>
      <c r="F9876" s="7"/>
    </row>
    <row r="9877" spans="5:6" ht="15" customHeight="1" x14ac:dyDescent="0.2">
      <c r="E9877" s="7"/>
      <c r="F9877" s="7"/>
    </row>
    <row r="9878" spans="5:6" ht="15" customHeight="1" x14ac:dyDescent="0.2">
      <c r="E9878" s="7"/>
      <c r="F9878" s="7"/>
    </row>
    <row r="9879" spans="5:6" ht="15" customHeight="1" x14ac:dyDescent="0.2">
      <c r="E9879" s="7"/>
      <c r="F9879" s="7"/>
    </row>
    <row r="9880" spans="5:6" ht="15" customHeight="1" x14ac:dyDescent="0.2">
      <c r="E9880" s="7"/>
      <c r="F9880" s="7"/>
    </row>
    <row r="9881" spans="5:6" ht="15" customHeight="1" x14ac:dyDescent="0.2">
      <c r="E9881" s="7"/>
      <c r="F9881" s="7"/>
    </row>
    <row r="9882" spans="5:6" ht="15" customHeight="1" x14ac:dyDescent="0.2">
      <c r="E9882" s="7"/>
      <c r="F9882" s="7"/>
    </row>
    <row r="9883" spans="5:6" ht="15" customHeight="1" x14ac:dyDescent="0.2">
      <c r="E9883" s="7"/>
      <c r="F9883" s="7"/>
    </row>
    <row r="9884" spans="5:6" ht="15" customHeight="1" x14ac:dyDescent="0.2">
      <c r="E9884" s="7"/>
      <c r="F9884" s="7"/>
    </row>
    <row r="9885" spans="5:6" ht="15" customHeight="1" x14ac:dyDescent="0.2">
      <c r="E9885" s="7"/>
      <c r="F9885" s="7"/>
    </row>
    <row r="9886" spans="5:6" ht="15" customHeight="1" x14ac:dyDescent="0.2">
      <c r="E9886" s="7"/>
      <c r="F9886" s="7"/>
    </row>
    <row r="9887" spans="5:6" ht="15" customHeight="1" x14ac:dyDescent="0.2">
      <c r="E9887" s="7"/>
      <c r="F9887" s="7"/>
    </row>
    <row r="9888" spans="5:6" ht="15" customHeight="1" x14ac:dyDescent="0.2">
      <c r="E9888" s="7"/>
      <c r="F9888" s="7"/>
    </row>
    <row r="9889" spans="5:6" ht="15" customHeight="1" x14ac:dyDescent="0.2">
      <c r="E9889" s="7"/>
      <c r="F9889" s="7"/>
    </row>
    <row r="9890" spans="5:6" ht="15" customHeight="1" x14ac:dyDescent="0.2">
      <c r="E9890" s="7"/>
      <c r="F9890" s="7"/>
    </row>
    <row r="9891" spans="5:6" ht="15" customHeight="1" x14ac:dyDescent="0.2">
      <c r="E9891" s="7"/>
      <c r="F9891" s="7"/>
    </row>
    <row r="9892" spans="5:6" ht="15" customHeight="1" x14ac:dyDescent="0.2">
      <c r="E9892" s="7"/>
      <c r="F9892" s="7"/>
    </row>
    <row r="9893" spans="5:6" ht="15" customHeight="1" x14ac:dyDescent="0.2">
      <c r="E9893" s="7"/>
      <c r="F9893" s="7"/>
    </row>
    <row r="9894" spans="5:6" ht="15" customHeight="1" x14ac:dyDescent="0.2">
      <c r="E9894" s="7"/>
      <c r="F9894" s="7"/>
    </row>
    <row r="9895" spans="5:6" ht="15" customHeight="1" x14ac:dyDescent="0.2">
      <c r="E9895" s="7"/>
      <c r="F9895" s="7"/>
    </row>
    <row r="9896" spans="5:6" ht="15" customHeight="1" x14ac:dyDescent="0.2">
      <c r="E9896" s="7"/>
      <c r="F9896" s="7"/>
    </row>
    <row r="9897" spans="5:6" ht="15" customHeight="1" x14ac:dyDescent="0.2">
      <c r="E9897" s="7"/>
      <c r="F9897" s="7"/>
    </row>
    <row r="9898" spans="5:6" ht="15" customHeight="1" x14ac:dyDescent="0.2">
      <c r="E9898" s="7"/>
      <c r="F9898" s="7"/>
    </row>
    <row r="9899" spans="5:6" ht="15" customHeight="1" x14ac:dyDescent="0.2">
      <c r="E9899" s="7"/>
      <c r="F9899" s="7"/>
    </row>
    <row r="9900" spans="5:6" ht="15" customHeight="1" x14ac:dyDescent="0.2">
      <c r="E9900" s="7"/>
      <c r="F9900" s="7"/>
    </row>
    <row r="9901" spans="5:6" ht="15" customHeight="1" x14ac:dyDescent="0.2">
      <c r="E9901" s="7"/>
      <c r="F9901" s="7"/>
    </row>
    <row r="9902" spans="5:6" ht="15" customHeight="1" x14ac:dyDescent="0.2">
      <c r="E9902" s="7"/>
      <c r="F9902" s="7"/>
    </row>
    <row r="9903" spans="5:6" ht="15" customHeight="1" x14ac:dyDescent="0.2">
      <c r="E9903" s="7"/>
      <c r="F9903" s="7"/>
    </row>
    <row r="9904" spans="5:6" ht="15" customHeight="1" x14ac:dyDescent="0.2">
      <c r="E9904" s="7"/>
      <c r="F9904" s="7"/>
    </row>
    <row r="9905" spans="5:6" ht="15" customHeight="1" x14ac:dyDescent="0.2">
      <c r="E9905" s="7"/>
      <c r="F9905" s="7"/>
    </row>
    <row r="9906" spans="5:6" ht="15" customHeight="1" x14ac:dyDescent="0.2">
      <c r="E9906" s="7"/>
      <c r="F9906" s="7"/>
    </row>
    <row r="9907" spans="5:6" ht="15" customHeight="1" x14ac:dyDescent="0.2">
      <c r="E9907" s="7"/>
      <c r="F9907" s="7"/>
    </row>
    <row r="9908" spans="5:6" ht="15" customHeight="1" x14ac:dyDescent="0.2">
      <c r="E9908" s="7"/>
      <c r="F9908" s="7"/>
    </row>
    <row r="9909" spans="5:6" ht="15" customHeight="1" x14ac:dyDescent="0.2">
      <c r="E9909" s="7"/>
      <c r="F9909" s="7"/>
    </row>
    <row r="9910" spans="5:6" ht="15" customHeight="1" x14ac:dyDescent="0.2">
      <c r="E9910" s="7"/>
      <c r="F9910" s="7"/>
    </row>
    <row r="9911" spans="5:6" ht="15" customHeight="1" x14ac:dyDescent="0.2">
      <c r="E9911" s="7"/>
      <c r="F9911" s="7"/>
    </row>
    <row r="9912" spans="5:6" ht="15" customHeight="1" x14ac:dyDescent="0.2">
      <c r="E9912" s="7"/>
      <c r="F9912" s="7"/>
    </row>
    <row r="9913" spans="5:6" ht="15" customHeight="1" x14ac:dyDescent="0.2">
      <c r="E9913" s="7"/>
      <c r="F9913" s="7"/>
    </row>
    <row r="9914" spans="5:6" ht="15" customHeight="1" x14ac:dyDescent="0.2">
      <c r="E9914" s="7"/>
      <c r="F9914" s="7"/>
    </row>
    <row r="9915" spans="5:6" ht="15" customHeight="1" x14ac:dyDescent="0.2">
      <c r="E9915" s="7"/>
      <c r="F9915" s="7"/>
    </row>
    <row r="9916" spans="5:6" ht="15" customHeight="1" x14ac:dyDescent="0.2">
      <c r="E9916" s="7"/>
      <c r="F9916" s="7"/>
    </row>
    <row r="9917" spans="5:6" ht="15" customHeight="1" x14ac:dyDescent="0.2">
      <c r="E9917" s="7"/>
      <c r="F9917" s="7"/>
    </row>
    <row r="9918" spans="5:6" ht="15" customHeight="1" x14ac:dyDescent="0.2">
      <c r="E9918" s="7"/>
      <c r="F9918" s="7"/>
    </row>
    <row r="9919" spans="5:6" ht="15" customHeight="1" x14ac:dyDescent="0.2">
      <c r="E9919" s="7"/>
      <c r="F9919" s="7"/>
    </row>
    <row r="9920" spans="5:6" ht="15" customHeight="1" x14ac:dyDescent="0.2">
      <c r="E9920" s="7"/>
      <c r="F9920" s="7"/>
    </row>
    <row r="9921" spans="5:6" ht="15" customHeight="1" x14ac:dyDescent="0.2">
      <c r="E9921" s="7"/>
      <c r="F9921" s="7"/>
    </row>
    <row r="9922" spans="5:6" ht="15" customHeight="1" x14ac:dyDescent="0.2">
      <c r="E9922" s="7"/>
      <c r="F9922" s="7"/>
    </row>
    <row r="9923" spans="5:6" ht="15" customHeight="1" x14ac:dyDescent="0.2">
      <c r="E9923" s="7"/>
      <c r="F9923" s="7"/>
    </row>
    <row r="9924" spans="5:6" ht="15" customHeight="1" x14ac:dyDescent="0.2">
      <c r="E9924" s="7"/>
      <c r="F9924" s="7"/>
    </row>
    <row r="9925" spans="5:6" ht="15" customHeight="1" x14ac:dyDescent="0.2">
      <c r="E9925" s="7"/>
      <c r="F9925" s="7"/>
    </row>
    <row r="9926" spans="5:6" ht="15" customHeight="1" x14ac:dyDescent="0.2">
      <c r="E9926" s="7"/>
      <c r="F9926" s="7"/>
    </row>
    <row r="9927" spans="5:6" ht="15" customHeight="1" x14ac:dyDescent="0.2">
      <c r="E9927" s="7"/>
      <c r="F9927" s="7"/>
    </row>
    <row r="9928" spans="5:6" ht="15" customHeight="1" x14ac:dyDescent="0.2">
      <c r="E9928" s="7"/>
      <c r="F9928" s="7"/>
    </row>
    <row r="9929" spans="5:6" ht="15" customHeight="1" x14ac:dyDescent="0.2">
      <c r="E9929" s="7"/>
      <c r="F9929" s="7"/>
    </row>
    <row r="9930" spans="5:6" ht="15" customHeight="1" x14ac:dyDescent="0.2">
      <c r="E9930" s="7"/>
      <c r="F9930" s="7"/>
    </row>
    <row r="9931" spans="5:6" ht="15" customHeight="1" x14ac:dyDescent="0.2">
      <c r="E9931" s="7"/>
      <c r="F9931" s="7"/>
    </row>
    <row r="9932" spans="5:6" ht="15" customHeight="1" x14ac:dyDescent="0.2">
      <c r="E9932" s="7"/>
      <c r="F9932" s="7"/>
    </row>
    <row r="9933" spans="5:6" ht="15" customHeight="1" x14ac:dyDescent="0.2">
      <c r="E9933" s="7"/>
      <c r="F9933" s="7"/>
    </row>
    <row r="9934" spans="5:6" ht="15" customHeight="1" x14ac:dyDescent="0.2">
      <c r="E9934" s="7"/>
      <c r="F9934" s="7"/>
    </row>
    <row r="9935" spans="5:6" ht="15" customHeight="1" x14ac:dyDescent="0.2">
      <c r="E9935" s="7"/>
      <c r="F9935" s="7"/>
    </row>
    <row r="9936" spans="5:6" ht="15" customHeight="1" x14ac:dyDescent="0.2">
      <c r="E9936" s="7"/>
      <c r="F9936" s="7"/>
    </row>
    <row r="9937" spans="5:6" ht="15" customHeight="1" x14ac:dyDescent="0.2">
      <c r="E9937" s="7"/>
      <c r="F9937" s="7"/>
    </row>
    <row r="9938" spans="5:6" ht="15" customHeight="1" x14ac:dyDescent="0.2">
      <c r="E9938" s="7"/>
      <c r="F9938" s="7"/>
    </row>
    <row r="9939" spans="5:6" ht="15" customHeight="1" x14ac:dyDescent="0.2">
      <c r="E9939" s="7"/>
      <c r="F9939" s="7"/>
    </row>
    <row r="9940" spans="5:6" ht="15" customHeight="1" x14ac:dyDescent="0.2">
      <c r="E9940" s="7"/>
      <c r="F9940" s="7"/>
    </row>
    <row r="9941" spans="5:6" ht="15" customHeight="1" x14ac:dyDescent="0.2">
      <c r="E9941" s="7"/>
      <c r="F9941" s="7"/>
    </row>
    <row r="9942" spans="5:6" ht="15" customHeight="1" x14ac:dyDescent="0.2">
      <c r="E9942" s="7"/>
      <c r="F9942" s="7"/>
    </row>
    <row r="9943" spans="5:6" ht="15" customHeight="1" x14ac:dyDescent="0.2">
      <c r="E9943" s="7"/>
      <c r="F9943" s="7"/>
    </row>
    <row r="9944" spans="5:6" ht="15" customHeight="1" x14ac:dyDescent="0.2">
      <c r="E9944" s="7"/>
      <c r="F9944" s="7"/>
    </row>
    <row r="9945" spans="5:6" ht="15" customHeight="1" x14ac:dyDescent="0.2">
      <c r="E9945" s="7"/>
      <c r="F9945" s="7"/>
    </row>
    <row r="9946" spans="5:6" ht="15" customHeight="1" x14ac:dyDescent="0.2">
      <c r="E9946" s="7"/>
      <c r="F9946" s="7"/>
    </row>
    <row r="9947" spans="5:6" ht="15" customHeight="1" x14ac:dyDescent="0.2">
      <c r="E9947" s="7"/>
      <c r="F9947" s="7"/>
    </row>
    <row r="9948" spans="5:6" ht="15" customHeight="1" x14ac:dyDescent="0.2">
      <c r="E9948" s="7"/>
      <c r="F9948" s="7"/>
    </row>
    <row r="9949" spans="5:6" ht="15" customHeight="1" x14ac:dyDescent="0.2">
      <c r="E9949" s="7"/>
      <c r="F9949" s="7"/>
    </row>
    <row r="9950" spans="5:6" ht="15" customHeight="1" x14ac:dyDescent="0.2">
      <c r="E9950" s="7"/>
      <c r="F9950" s="7"/>
    </row>
    <row r="9951" spans="5:6" ht="15" customHeight="1" x14ac:dyDescent="0.2">
      <c r="E9951" s="7"/>
      <c r="F9951" s="7"/>
    </row>
    <row r="9952" spans="5:6" ht="15" customHeight="1" x14ac:dyDescent="0.2">
      <c r="E9952" s="7"/>
      <c r="F9952" s="7"/>
    </row>
    <row r="9953" spans="5:6" ht="15" customHeight="1" x14ac:dyDescent="0.2">
      <c r="E9953" s="7"/>
      <c r="F9953" s="7"/>
    </row>
    <row r="9954" spans="5:6" ht="15" customHeight="1" x14ac:dyDescent="0.2">
      <c r="E9954" s="7"/>
      <c r="F9954" s="7"/>
    </row>
    <row r="9955" spans="5:6" ht="15" customHeight="1" x14ac:dyDescent="0.2">
      <c r="E9955" s="7"/>
      <c r="F9955" s="7"/>
    </row>
    <row r="9956" spans="5:6" ht="15" customHeight="1" x14ac:dyDescent="0.2">
      <c r="E9956" s="7"/>
      <c r="F9956" s="7"/>
    </row>
    <row r="9957" spans="5:6" ht="15" customHeight="1" x14ac:dyDescent="0.2">
      <c r="E9957" s="7"/>
      <c r="F9957" s="7"/>
    </row>
    <row r="9958" spans="5:6" ht="15" customHeight="1" x14ac:dyDescent="0.2">
      <c r="E9958" s="7"/>
      <c r="F9958" s="7"/>
    </row>
    <row r="9959" spans="5:6" ht="15" customHeight="1" x14ac:dyDescent="0.2">
      <c r="E9959" s="7"/>
      <c r="F9959" s="7"/>
    </row>
    <row r="9960" spans="5:6" ht="15" customHeight="1" x14ac:dyDescent="0.2">
      <c r="E9960" s="7"/>
      <c r="F9960" s="7"/>
    </row>
    <row r="9961" spans="5:6" ht="15" customHeight="1" x14ac:dyDescent="0.2">
      <c r="E9961" s="7"/>
      <c r="F9961" s="7"/>
    </row>
    <row r="9962" spans="5:6" ht="15" customHeight="1" x14ac:dyDescent="0.2">
      <c r="E9962" s="7"/>
      <c r="F9962" s="7"/>
    </row>
    <row r="9963" spans="5:6" ht="15" customHeight="1" x14ac:dyDescent="0.2">
      <c r="E9963" s="7"/>
      <c r="F9963" s="7"/>
    </row>
    <row r="9964" spans="5:6" ht="15" customHeight="1" x14ac:dyDescent="0.2">
      <c r="E9964" s="7"/>
      <c r="F9964" s="7"/>
    </row>
    <row r="9965" spans="5:6" ht="15" customHeight="1" x14ac:dyDescent="0.2">
      <c r="E9965" s="7"/>
      <c r="F9965" s="7"/>
    </row>
    <row r="9966" spans="5:6" ht="15" customHeight="1" x14ac:dyDescent="0.2">
      <c r="E9966" s="7"/>
      <c r="F9966" s="7"/>
    </row>
    <row r="9967" spans="5:6" ht="15" customHeight="1" x14ac:dyDescent="0.2">
      <c r="E9967" s="7"/>
      <c r="F9967" s="7"/>
    </row>
    <row r="9968" spans="5:6" ht="15" customHeight="1" x14ac:dyDescent="0.2">
      <c r="E9968" s="7"/>
      <c r="F9968" s="7"/>
    </row>
    <row r="9969" spans="5:6" ht="15" customHeight="1" x14ac:dyDescent="0.2">
      <c r="E9969" s="7"/>
      <c r="F9969" s="7"/>
    </row>
    <row r="9970" spans="5:6" ht="15" customHeight="1" x14ac:dyDescent="0.2">
      <c r="E9970" s="7"/>
      <c r="F9970" s="7"/>
    </row>
    <row r="9971" spans="5:6" ht="15" customHeight="1" x14ac:dyDescent="0.2">
      <c r="E9971" s="7"/>
      <c r="F9971" s="7"/>
    </row>
    <row r="9972" spans="5:6" ht="15" customHeight="1" x14ac:dyDescent="0.2">
      <c r="E9972" s="7"/>
      <c r="F9972" s="7"/>
    </row>
    <row r="9973" spans="5:6" ht="15" customHeight="1" x14ac:dyDescent="0.2">
      <c r="E9973" s="7"/>
      <c r="F9973" s="7"/>
    </row>
    <row r="9974" spans="5:6" ht="15" customHeight="1" x14ac:dyDescent="0.2">
      <c r="E9974" s="7"/>
      <c r="F9974" s="7"/>
    </row>
    <row r="9975" spans="5:6" ht="15" customHeight="1" x14ac:dyDescent="0.2">
      <c r="E9975" s="7"/>
      <c r="F9975" s="7"/>
    </row>
    <row r="9976" spans="5:6" ht="15" customHeight="1" x14ac:dyDescent="0.2">
      <c r="E9976" s="7"/>
      <c r="F9976" s="7"/>
    </row>
    <row r="9977" spans="5:6" ht="15" customHeight="1" x14ac:dyDescent="0.2">
      <c r="E9977" s="7"/>
      <c r="F9977" s="7"/>
    </row>
    <row r="9978" spans="5:6" ht="15" customHeight="1" x14ac:dyDescent="0.2">
      <c r="E9978" s="7"/>
      <c r="F9978" s="7"/>
    </row>
    <row r="9979" spans="5:6" ht="15" customHeight="1" x14ac:dyDescent="0.2">
      <c r="E9979" s="7"/>
      <c r="F9979" s="7"/>
    </row>
    <row r="9980" spans="5:6" ht="15" customHeight="1" x14ac:dyDescent="0.2">
      <c r="E9980" s="7"/>
      <c r="F9980" s="7"/>
    </row>
    <row r="9981" spans="5:6" ht="15" customHeight="1" x14ac:dyDescent="0.2">
      <c r="E9981" s="7"/>
      <c r="F9981" s="7"/>
    </row>
    <row r="9982" spans="5:6" ht="15" customHeight="1" x14ac:dyDescent="0.2">
      <c r="E9982" s="7"/>
      <c r="F9982" s="7"/>
    </row>
    <row r="9983" spans="5:6" ht="15" customHeight="1" x14ac:dyDescent="0.2">
      <c r="E9983" s="7"/>
      <c r="F9983" s="7"/>
    </row>
    <row r="9984" spans="5:6" ht="15" customHeight="1" x14ac:dyDescent="0.2">
      <c r="E9984" s="7"/>
      <c r="F9984" s="7"/>
    </row>
    <row r="9985" spans="5:6" ht="15" customHeight="1" x14ac:dyDescent="0.2">
      <c r="E9985" s="7"/>
      <c r="F9985" s="7"/>
    </row>
    <row r="9986" spans="5:6" ht="15" customHeight="1" x14ac:dyDescent="0.2">
      <c r="E9986" s="7"/>
      <c r="F9986" s="7"/>
    </row>
    <row r="9987" spans="5:6" ht="15" customHeight="1" x14ac:dyDescent="0.2">
      <c r="E9987" s="7"/>
      <c r="F9987" s="7"/>
    </row>
    <row r="9988" spans="5:6" ht="15" customHeight="1" x14ac:dyDescent="0.2">
      <c r="E9988" s="7"/>
      <c r="F9988" s="7"/>
    </row>
    <row r="9989" spans="5:6" ht="15" customHeight="1" x14ac:dyDescent="0.2">
      <c r="E9989" s="7"/>
      <c r="F9989" s="7"/>
    </row>
    <row r="9990" spans="5:6" ht="15" customHeight="1" x14ac:dyDescent="0.2">
      <c r="E9990" s="7"/>
      <c r="F9990" s="7"/>
    </row>
    <row r="9991" spans="5:6" ht="15" customHeight="1" x14ac:dyDescent="0.2">
      <c r="E9991" s="7"/>
      <c r="F9991" s="7"/>
    </row>
    <row r="9992" spans="5:6" ht="15" customHeight="1" x14ac:dyDescent="0.2">
      <c r="E9992" s="7"/>
      <c r="F9992" s="7"/>
    </row>
    <row r="9993" spans="5:6" ht="15" customHeight="1" x14ac:dyDescent="0.2">
      <c r="E9993" s="7"/>
      <c r="F9993" s="7"/>
    </row>
    <row r="9994" spans="5:6" ht="15" customHeight="1" x14ac:dyDescent="0.2">
      <c r="E9994" s="7"/>
      <c r="F9994" s="7"/>
    </row>
    <row r="9995" spans="5:6" ht="15" customHeight="1" x14ac:dyDescent="0.2">
      <c r="E9995" s="7"/>
      <c r="F9995" s="7"/>
    </row>
    <row r="9996" spans="5:6" ht="15" customHeight="1" x14ac:dyDescent="0.2">
      <c r="E9996" s="7"/>
      <c r="F9996" s="7"/>
    </row>
    <row r="9997" spans="5:6" ht="15" customHeight="1" x14ac:dyDescent="0.2">
      <c r="E9997" s="7"/>
      <c r="F9997" s="7"/>
    </row>
    <row r="9998" spans="5:6" ht="15" customHeight="1" x14ac:dyDescent="0.2">
      <c r="E9998" s="7"/>
      <c r="F9998" s="7"/>
    </row>
    <row r="9999" spans="5:6" ht="15" customHeight="1" x14ac:dyDescent="0.2">
      <c r="E9999" s="7"/>
      <c r="F9999" s="7"/>
    </row>
    <row r="10000" spans="5:6" ht="15" customHeight="1" x14ac:dyDescent="0.2">
      <c r="E10000" s="7"/>
      <c r="F10000" s="7"/>
    </row>
    <row r="10001" spans="5:6" ht="15" customHeight="1" x14ac:dyDescent="0.2">
      <c r="E10001" s="7"/>
      <c r="F10001" s="7"/>
    </row>
    <row r="10002" spans="5:6" ht="15" customHeight="1" x14ac:dyDescent="0.2">
      <c r="E10002" s="7"/>
      <c r="F10002" s="7"/>
    </row>
    <row r="10003" spans="5:6" ht="15" customHeight="1" x14ac:dyDescent="0.2">
      <c r="E10003" s="7"/>
      <c r="F10003" s="7"/>
    </row>
    <row r="10004" spans="5:6" ht="15" customHeight="1" x14ac:dyDescent="0.2">
      <c r="E10004" s="7"/>
      <c r="F10004" s="7"/>
    </row>
    <row r="10005" spans="5:6" ht="15" customHeight="1" x14ac:dyDescent="0.2">
      <c r="E10005" s="7"/>
      <c r="F10005" s="7"/>
    </row>
    <row r="10006" spans="5:6" ht="15" customHeight="1" x14ac:dyDescent="0.2">
      <c r="E10006" s="7"/>
      <c r="F10006" s="7"/>
    </row>
    <row r="10007" spans="5:6" ht="15" customHeight="1" x14ac:dyDescent="0.2">
      <c r="E10007" s="7"/>
      <c r="F10007" s="7"/>
    </row>
    <row r="10008" spans="5:6" ht="15" customHeight="1" x14ac:dyDescent="0.2">
      <c r="E10008" s="7"/>
      <c r="F10008" s="7"/>
    </row>
    <row r="10009" spans="5:6" ht="15" customHeight="1" x14ac:dyDescent="0.2">
      <c r="E10009" s="7"/>
      <c r="F10009" s="7"/>
    </row>
    <row r="10010" spans="5:6" ht="15" customHeight="1" x14ac:dyDescent="0.2">
      <c r="E10010" s="7"/>
      <c r="F10010" s="7"/>
    </row>
    <row r="10011" spans="5:6" ht="15" customHeight="1" x14ac:dyDescent="0.2">
      <c r="E10011" s="7"/>
      <c r="F10011" s="7"/>
    </row>
    <row r="10012" spans="5:6" ht="15" customHeight="1" x14ac:dyDescent="0.2">
      <c r="E10012" s="7"/>
      <c r="F10012" s="7"/>
    </row>
    <row r="10013" spans="5:6" ht="15" customHeight="1" x14ac:dyDescent="0.2">
      <c r="E10013" s="7"/>
      <c r="F10013" s="7"/>
    </row>
    <row r="10014" spans="5:6" ht="15" customHeight="1" x14ac:dyDescent="0.2">
      <c r="E10014" s="7"/>
      <c r="F10014" s="7"/>
    </row>
    <row r="10015" spans="5:6" ht="15" customHeight="1" x14ac:dyDescent="0.2">
      <c r="E10015" s="7"/>
      <c r="F10015" s="7"/>
    </row>
    <row r="10016" spans="5:6" ht="15" customHeight="1" x14ac:dyDescent="0.2">
      <c r="E10016" s="7"/>
      <c r="F10016" s="7"/>
    </row>
    <row r="10017" spans="5:6" ht="15" customHeight="1" x14ac:dyDescent="0.2">
      <c r="E10017" s="7"/>
      <c r="F10017" s="7"/>
    </row>
    <row r="10018" spans="5:6" ht="15" customHeight="1" x14ac:dyDescent="0.2">
      <c r="E10018" s="7"/>
      <c r="F10018" s="7"/>
    </row>
    <row r="10019" spans="5:6" ht="15" customHeight="1" x14ac:dyDescent="0.2">
      <c r="E10019" s="7"/>
      <c r="F10019" s="7"/>
    </row>
    <row r="10020" spans="5:6" ht="15" customHeight="1" x14ac:dyDescent="0.2">
      <c r="E10020" s="7"/>
      <c r="F10020" s="7"/>
    </row>
    <row r="10021" spans="5:6" ht="15" customHeight="1" x14ac:dyDescent="0.2">
      <c r="E10021" s="7"/>
      <c r="F10021" s="7"/>
    </row>
    <row r="10022" spans="5:6" ht="15" customHeight="1" x14ac:dyDescent="0.2">
      <c r="E10022" s="7"/>
      <c r="F10022" s="7"/>
    </row>
    <row r="10023" spans="5:6" ht="15" customHeight="1" x14ac:dyDescent="0.2">
      <c r="E10023" s="7"/>
      <c r="F10023" s="7"/>
    </row>
    <row r="10024" spans="5:6" ht="15" customHeight="1" x14ac:dyDescent="0.2">
      <c r="E10024" s="7"/>
      <c r="F10024" s="7"/>
    </row>
    <row r="10025" spans="5:6" ht="15" customHeight="1" x14ac:dyDescent="0.2">
      <c r="E10025" s="7"/>
      <c r="F10025" s="7"/>
    </row>
    <row r="10026" spans="5:6" ht="15" customHeight="1" x14ac:dyDescent="0.2">
      <c r="E10026" s="7"/>
      <c r="F10026" s="7"/>
    </row>
    <row r="10027" spans="5:6" ht="15" customHeight="1" x14ac:dyDescent="0.2">
      <c r="E10027" s="7"/>
      <c r="F10027" s="7"/>
    </row>
    <row r="10028" spans="5:6" ht="15" customHeight="1" x14ac:dyDescent="0.2">
      <c r="E10028" s="7"/>
      <c r="F10028" s="7"/>
    </row>
    <row r="10029" spans="5:6" ht="15" customHeight="1" x14ac:dyDescent="0.2">
      <c r="E10029" s="7"/>
      <c r="F10029" s="7"/>
    </row>
    <row r="10030" spans="5:6" ht="15" customHeight="1" x14ac:dyDescent="0.2">
      <c r="E10030" s="7"/>
      <c r="F10030" s="7"/>
    </row>
    <row r="10031" spans="5:6" ht="15" customHeight="1" x14ac:dyDescent="0.2">
      <c r="E10031" s="7"/>
      <c r="F10031" s="7"/>
    </row>
    <row r="10032" spans="5:6" ht="15" customHeight="1" x14ac:dyDescent="0.2">
      <c r="E10032" s="7"/>
      <c r="F10032" s="7"/>
    </row>
    <row r="10033" spans="5:6" ht="15" customHeight="1" x14ac:dyDescent="0.2">
      <c r="E10033" s="7"/>
      <c r="F10033" s="7"/>
    </row>
    <row r="10034" spans="5:6" ht="15" customHeight="1" x14ac:dyDescent="0.2">
      <c r="E10034" s="7"/>
      <c r="F10034" s="7"/>
    </row>
    <row r="10035" spans="5:6" ht="15" customHeight="1" x14ac:dyDescent="0.2">
      <c r="E10035" s="7"/>
      <c r="F10035" s="7"/>
    </row>
    <row r="10036" spans="5:6" ht="15" customHeight="1" x14ac:dyDescent="0.2">
      <c r="E10036" s="7"/>
      <c r="F10036" s="7"/>
    </row>
    <row r="10037" spans="5:6" ht="15" customHeight="1" x14ac:dyDescent="0.2">
      <c r="E10037" s="7"/>
      <c r="F10037" s="7"/>
    </row>
    <row r="10038" spans="5:6" ht="15" customHeight="1" x14ac:dyDescent="0.2">
      <c r="E10038" s="7"/>
      <c r="F10038" s="7"/>
    </row>
    <row r="10039" spans="5:6" ht="15" customHeight="1" x14ac:dyDescent="0.2">
      <c r="E10039" s="7"/>
      <c r="F10039" s="7"/>
    </row>
    <row r="10040" spans="5:6" ht="15" customHeight="1" x14ac:dyDescent="0.2">
      <c r="E10040" s="7"/>
      <c r="F10040" s="7"/>
    </row>
    <row r="10041" spans="5:6" ht="15" customHeight="1" x14ac:dyDescent="0.2">
      <c r="E10041" s="7"/>
      <c r="F10041" s="7"/>
    </row>
    <row r="10042" spans="5:6" ht="15" customHeight="1" x14ac:dyDescent="0.2">
      <c r="E10042" s="7"/>
      <c r="F10042" s="7"/>
    </row>
    <row r="10043" spans="5:6" ht="15" customHeight="1" x14ac:dyDescent="0.2">
      <c r="E10043" s="7"/>
      <c r="F10043" s="7"/>
    </row>
    <row r="10044" spans="5:6" ht="15" customHeight="1" x14ac:dyDescent="0.2">
      <c r="E10044" s="7"/>
      <c r="F10044" s="7"/>
    </row>
    <row r="10045" spans="5:6" ht="15" customHeight="1" x14ac:dyDescent="0.2">
      <c r="E10045" s="7"/>
      <c r="F10045" s="7"/>
    </row>
    <row r="10046" spans="5:6" ht="15" customHeight="1" x14ac:dyDescent="0.2">
      <c r="E10046" s="7"/>
      <c r="F10046" s="7"/>
    </row>
    <row r="10047" spans="5:6" ht="15" customHeight="1" x14ac:dyDescent="0.2">
      <c r="E10047" s="7"/>
      <c r="F10047" s="7"/>
    </row>
    <row r="10048" spans="5:6" ht="15" customHeight="1" x14ac:dyDescent="0.2">
      <c r="E10048" s="7"/>
      <c r="F10048" s="7"/>
    </row>
    <row r="10049" spans="5:6" ht="15" customHeight="1" x14ac:dyDescent="0.2">
      <c r="E10049" s="7"/>
      <c r="F10049" s="7"/>
    </row>
    <row r="10050" spans="5:6" ht="15" customHeight="1" x14ac:dyDescent="0.2">
      <c r="E10050" s="7"/>
      <c r="F10050" s="7"/>
    </row>
    <row r="10051" spans="5:6" ht="15" customHeight="1" x14ac:dyDescent="0.2">
      <c r="E10051" s="7"/>
      <c r="F10051" s="7"/>
    </row>
    <row r="10052" spans="5:6" ht="15" customHeight="1" x14ac:dyDescent="0.2">
      <c r="E10052" s="7"/>
      <c r="F10052" s="7"/>
    </row>
    <row r="10053" spans="5:6" ht="15" customHeight="1" x14ac:dyDescent="0.2">
      <c r="E10053" s="7"/>
      <c r="F10053" s="7"/>
    </row>
    <row r="10054" spans="5:6" ht="15" customHeight="1" x14ac:dyDescent="0.2">
      <c r="E10054" s="7"/>
      <c r="F10054" s="7"/>
    </row>
    <row r="10055" spans="5:6" ht="15" customHeight="1" x14ac:dyDescent="0.2">
      <c r="E10055" s="7"/>
      <c r="F10055" s="7"/>
    </row>
    <row r="10056" spans="5:6" ht="15" customHeight="1" x14ac:dyDescent="0.2">
      <c r="E10056" s="7"/>
      <c r="F10056" s="7"/>
    </row>
    <row r="10057" spans="5:6" ht="15" customHeight="1" x14ac:dyDescent="0.2">
      <c r="E10057" s="7"/>
      <c r="F10057" s="7"/>
    </row>
    <row r="10058" spans="5:6" ht="15" customHeight="1" x14ac:dyDescent="0.2">
      <c r="E10058" s="7"/>
      <c r="F10058" s="7"/>
    </row>
    <row r="10059" spans="5:6" ht="15" customHeight="1" x14ac:dyDescent="0.2">
      <c r="E10059" s="7"/>
      <c r="F10059" s="7"/>
    </row>
    <row r="10060" spans="5:6" ht="15" customHeight="1" x14ac:dyDescent="0.2">
      <c r="E10060" s="7"/>
      <c r="F10060" s="7"/>
    </row>
    <row r="10061" spans="5:6" ht="15" customHeight="1" x14ac:dyDescent="0.2">
      <c r="E10061" s="7"/>
      <c r="F10061" s="7"/>
    </row>
    <row r="10062" spans="5:6" ht="15" customHeight="1" x14ac:dyDescent="0.2">
      <c r="E10062" s="7"/>
      <c r="F10062" s="7"/>
    </row>
    <row r="10063" spans="5:6" ht="15" customHeight="1" x14ac:dyDescent="0.2">
      <c r="E10063" s="7"/>
      <c r="F10063" s="7"/>
    </row>
    <row r="10064" spans="5:6" ht="15" customHeight="1" x14ac:dyDescent="0.2">
      <c r="E10064" s="7"/>
      <c r="F10064" s="7"/>
    </row>
    <row r="10065" spans="5:6" ht="15" customHeight="1" x14ac:dyDescent="0.2">
      <c r="E10065" s="7"/>
      <c r="F10065" s="7"/>
    </row>
    <row r="10066" spans="5:6" ht="15" customHeight="1" x14ac:dyDescent="0.2">
      <c r="E10066" s="7"/>
      <c r="F10066" s="7"/>
    </row>
    <row r="10067" spans="5:6" ht="15" customHeight="1" x14ac:dyDescent="0.2">
      <c r="E10067" s="7"/>
      <c r="F10067" s="7"/>
    </row>
    <row r="10068" spans="5:6" ht="15" customHeight="1" x14ac:dyDescent="0.2">
      <c r="E10068" s="7"/>
      <c r="F10068" s="7"/>
    </row>
    <row r="10069" spans="5:6" ht="15" customHeight="1" x14ac:dyDescent="0.2">
      <c r="E10069" s="7"/>
      <c r="F10069" s="7"/>
    </row>
    <row r="10070" spans="5:6" ht="15" customHeight="1" x14ac:dyDescent="0.2">
      <c r="E10070" s="7"/>
      <c r="F10070" s="7"/>
    </row>
    <row r="10071" spans="5:6" ht="15" customHeight="1" x14ac:dyDescent="0.2">
      <c r="E10071" s="7"/>
      <c r="F10071" s="7"/>
    </row>
    <row r="10072" spans="5:6" ht="15" customHeight="1" x14ac:dyDescent="0.2">
      <c r="E10072" s="7"/>
      <c r="F10072" s="7"/>
    </row>
    <row r="10073" spans="5:6" ht="15" customHeight="1" x14ac:dyDescent="0.2">
      <c r="E10073" s="7"/>
      <c r="F10073" s="7"/>
    </row>
    <row r="10074" spans="5:6" ht="15" customHeight="1" x14ac:dyDescent="0.2">
      <c r="E10074" s="7"/>
      <c r="F10074" s="7"/>
    </row>
    <row r="10075" spans="5:6" ht="15" customHeight="1" x14ac:dyDescent="0.2">
      <c r="E10075" s="7"/>
      <c r="F10075" s="7"/>
    </row>
    <row r="10076" spans="5:6" ht="15" customHeight="1" x14ac:dyDescent="0.2">
      <c r="E10076" s="7"/>
      <c r="F10076" s="7"/>
    </row>
    <row r="10077" spans="5:6" ht="15" customHeight="1" x14ac:dyDescent="0.2">
      <c r="E10077" s="7"/>
      <c r="F10077" s="7"/>
    </row>
    <row r="10078" spans="5:6" ht="15" customHeight="1" x14ac:dyDescent="0.2">
      <c r="E10078" s="7"/>
      <c r="F10078" s="7"/>
    </row>
    <row r="10079" spans="5:6" ht="15" customHeight="1" x14ac:dyDescent="0.2">
      <c r="E10079" s="7"/>
      <c r="F10079" s="7"/>
    </row>
    <row r="10080" spans="5:6" ht="15" customHeight="1" x14ac:dyDescent="0.2">
      <c r="E10080" s="7"/>
      <c r="F10080" s="7"/>
    </row>
    <row r="10081" spans="5:6" ht="15" customHeight="1" x14ac:dyDescent="0.2">
      <c r="E10081" s="7"/>
      <c r="F10081" s="7"/>
    </row>
    <row r="10082" spans="5:6" ht="15" customHeight="1" x14ac:dyDescent="0.2">
      <c r="E10082" s="7"/>
      <c r="F10082" s="7"/>
    </row>
    <row r="10083" spans="5:6" ht="15" customHeight="1" x14ac:dyDescent="0.2">
      <c r="E10083" s="7"/>
      <c r="F10083" s="7"/>
    </row>
    <row r="10084" spans="5:6" ht="15" customHeight="1" x14ac:dyDescent="0.2">
      <c r="E10084" s="7"/>
      <c r="F10084" s="7"/>
    </row>
    <row r="10085" spans="5:6" ht="15" customHeight="1" x14ac:dyDescent="0.2">
      <c r="E10085" s="7"/>
      <c r="F10085" s="7"/>
    </row>
    <row r="10086" spans="5:6" ht="15" customHeight="1" x14ac:dyDescent="0.2">
      <c r="E10086" s="7"/>
      <c r="F10086" s="7"/>
    </row>
    <row r="10087" spans="5:6" ht="15" customHeight="1" x14ac:dyDescent="0.2">
      <c r="E10087" s="7"/>
      <c r="F10087" s="7"/>
    </row>
    <row r="10088" spans="5:6" ht="15" customHeight="1" x14ac:dyDescent="0.2">
      <c r="E10088" s="7"/>
      <c r="F10088" s="7"/>
    </row>
    <row r="10089" spans="5:6" ht="15" customHeight="1" x14ac:dyDescent="0.2">
      <c r="E10089" s="7"/>
      <c r="F10089" s="7"/>
    </row>
    <row r="10090" spans="5:6" ht="15" customHeight="1" x14ac:dyDescent="0.2">
      <c r="E10090" s="7"/>
      <c r="F10090" s="7"/>
    </row>
    <row r="10091" spans="5:6" ht="15" customHeight="1" x14ac:dyDescent="0.2">
      <c r="E10091" s="7"/>
      <c r="F10091" s="7"/>
    </row>
    <row r="10092" spans="5:6" ht="15" customHeight="1" x14ac:dyDescent="0.2">
      <c r="E10092" s="7"/>
      <c r="F10092" s="7"/>
    </row>
    <row r="10093" spans="5:6" ht="15" customHeight="1" x14ac:dyDescent="0.2">
      <c r="E10093" s="7"/>
      <c r="F10093" s="7"/>
    </row>
    <row r="10094" spans="5:6" ht="15" customHeight="1" x14ac:dyDescent="0.2">
      <c r="E10094" s="7"/>
      <c r="F10094" s="7"/>
    </row>
    <row r="10095" spans="5:6" ht="15" customHeight="1" x14ac:dyDescent="0.2">
      <c r="E10095" s="7"/>
      <c r="F10095" s="7"/>
    </row>
    <row r="10096" spans="5:6" ht="15" customHeight="1" x14ac:dyDescent="0.2">
      <c r="E10096" s="7"/>
      <c r="F10096" s="7"/>
    </row>
    <row r="10097" spans="5:6" ht="15" customHeight="1" x14ac:dyDescent="0.2">
      <c r="E10097" s="7"/>
      <c r="F10097" s="7"/>
    </row>
    <row r="10098" spans="5:6" ht="15" customHeight="1" x14ac:dyDescent="0.2">
      <c r="E10098" s="7"/>
      <c r="F10098" s="7"/>
    </row>
    <row r="10099" spans="5:6" ht="15" customHeight="1" x14ac:dyDescent="0.2">
      <c r="E10099" s="7"/>
      <c r="F10099" s="7"/>
    </row>
    <row r="10100" spans="5:6" ht="15" customHeight="1" x14ac:dyDescent="0.2">
      <c r="E10100" s="7"/>
      <c r="F10100" s="7"/>
    </row>
    <row r="10101" spans="5:6" ht="15" customHeight="1" x14ac:dyDescent="0.2">
      <c r="E10101" s="7"/>
      <c r="F10101" s="7"/>
    </row>
    <row r="10102" spans="5:6" ht="15" customHeight="1" x14ac:dyDescent="0.2">
      <c r="E10102" s="7"/>
      <c r="F10102" s="7"/>
    </row>
    <row r="10103" spans="5:6" ht="15" customHeight="1" x14ac:dyDescent="0.2">
      <c r="E10103" s="7"/>
      <c r="F10103" s="7"/>
    </row>
    <row r="10104" spans="5:6" ht="15" customHeight="1" x14ac:dyDescent="0.2">
      <c r="E10104" s="7"/>
      <c r="F10104" s="7"/>
    </row>
    <row r="10105" spans="5:6" ht="15" customHeight="1" x14ac:dyDescent="0.2">
      <c r="E10105" s="7"/>
      <c r="F10105" s="7"/>
    </row>
    <row r="10106" spans="5:6" ht="15" customHeight="1" x14ac:dyDescent="0.2">
      <c r="E10106" s="7"/>
      <c r="F10106" s="7"/>
    </row>
    <row r="10107" spans="5:6" ht="15" customHeight="1" x14ac:dyDescent="0.2">
      <c r="E10107" s="7"/>
      <c r="F10107" s="7"/>
    </row>
    <row r="10108" spans="5:6" ht="15" customHeight="1" x14ac:dyDescent="0.2">
      <c r="E10108" s="7"/>
      <c r="F10108" s="7"/>
    </row>
    <row r="10109" spans="5:6" ht="15" customHeight="1" x14ac:dyDescent="0.2">
      <c r="E10109" s="7"/>
      <c r="F10109" s="7"/>
    </row>
    <row r="10110" spans="5:6" ht="15" customHeight="1" x14ac:dyDescent="0.2">
      <c r="E10110" s="7"/>
      <c r="F10110" s="7"/>
    </row>
    <row r="10111" spans="5:6" ht="15" customHeight="1" x14ac:dyDescent="0.2">
      <c r="E10111" s="7"/>
      <c r="F10111" s="7"/>
    </row>
    <row r="10112" spans="5:6" ht="15" customHeight="1" x14ac:dyDescent="0.2">
      <c r="E10112" s="7"/>
      <c r="F10112" s="7"/>
    </row>
    <row r="10113" spans="5:6" ht="15" customHeight="1" x14ac:dyDescent="0.2">
      <c r="E10113" s="7"/>
      <c r="F10113" s="7"/>
    </row>
    <row r="10114" spans="5:6" ht="15" customHeight="1" x14ac:dyDescent="0.2">
      <c r="E10114" s="7"/>
      <c r="F10114" s="7"/>
    </row>
    <row r="10115" spans="5:6" ht="15" customHeight="1" x14ac:dyDescent="0.2">
      <c r="E10115" s="7"/>
      <c r="F10115" s="7"/>
    </row>
    <row r="10116" spans="5:6" ht="15" customHeight="1" x14ac:dyDescent="0.2">
      <c r="E10116" s="7"/>
      <c r="F10116" s="7"/>
    </row>
    <row r="10117" spans="5:6" ht="15" customHeight="1" x14ac:dyDescent="0.2">
      <c r="E10117" s="7"/>
      <c r="F10117" s="7"/>
    </row>
    <row r="10118" spans="5:6" ht="15" customHeight="1" x14ac:dyDescent="0.2">
      <c r="E10118" s="7"/>
      <c r="F10118" s="7"/>
    </row>
    <row r="10119" spans="5:6" ht="15" customHeight="1" x14ac:dyDescent="0.2">
      <c r="E10119" s="7"/>
      <c r="F10119" s="7"/>
    </row>
    <row r="10120" spans="5:6" ht="15" customHeight="1" x14ac:dyDescent="0.2">
      <c r="E10120" s="7"/>
      <c r="F10120" s="7"/>
    </row>
    <row r="10121" spans="5:6" ht="15" customHeight="1" x14ac:dyDescent="0.2">
      <c r="E10121" s="7"/>
      <c r="F10121" s="7"/>
    </row>
    <row r="10122" spans="5:6" ht="15" customHeight="1" x14ac:dyDescent="0.2">
      <c r="E10122" s="7"/>
      <c r="F10122" s="7"/>
    </row>
    <row r="10123" spans="5:6" ht="15" customHeight="1" x14ac:dyDescent="0.2">
      <c r="E10123" s="7"/>
      <c r="F10123" s="7"/>
    </row>
    <row r="10124" spans="5:6" ht="15" customHeight="1" x14ac:dyDescent="0.2">
      <c r="E10124" s="7"/>
      <c r="F10124" s="7"/>
    </row>
    <row r="10125" spans="5:6" ht="15" customHeight="1" x14ac:dyDescent="0.2">
      <c r="E10125" s="7"/>
      <c r="F10125" s="7"/>
    </row>
    <row r="10126" spans="5:6" ht="15" customHeight="1" x14ac:dyDescent="0.2">
      <c r="E10126" s="7"/>
      <c r="F10126" s="7"/>
    </row>
    <row r="10127" spans="5:6" ht="15" customHeight="1" x14ac:dyDescent="0.2">
      <c r="E10127" s="7"/>
      <c r="F10127" s="7"/>
    </row>
    <row r="10128" spans="5:6" ht="15" customHeight="1" x14ac:dyDescent="0.2">
      <c r="E10128" s="7"/>
      <c r="F10128" s="7"/>
    </row>
    <row r="10129" spans="5:6" ht="15" customHeight="1" x14ac:dyDescent="0.2">
      <c r="E10129" s="7"/>
      <c r="F10129" s="7"/>
    </row>
    <row r="10130" spans="5:6" ht="15" customHeight="1" x14ac:dyDescent="0.2">
      <c r="E10130" s="7"/>
      <c r="F10130" s="7"/>
    </row>
    <row r="10131" spans="5:6" ht="15" customHeight="1" x14ac:dyDescent="0.2">
      <c r="E10131" s="7"/>
      <c r="F10131" s="7"/>
    </row>
    <row r="10132" spans="5:6" ht="15" customHeight="1" x14ac:dyDescent="0.2">
      <c r="E10132" s="7"/>
      <c r="F10132" s="7"/>
    </row>
    <row r="10133" spans="5:6" ht="15" customHeight="1" x14ac:dyDescent="0.2">
      <c r="E10133" s="7"/>
      <c r="F10133" s="7"/>
    </row>
    <row r="10134" spans="5:6" ht="15" customHeight="1" x14ac:dyDescent="0.2">
      <c r="E10134" s="7"/>
      <c r="F10134" s="7"/>
    </row>
    <row r="10135" spans="5:6" ht="15" customHeight="1" x14ac:dyDescent="0.2">
      <c r="E10135" s="7"/>
      <c r="F10135" s="7"/>
    </row>
    <row r="10136" spans="5:6" ht="15" customHeight="1" x14ac:dyDescent="0.2">
      <c r="E10136" s="7"/>
      <c r="F10136" s="7"/>
    </row>
    <row r="10137" spans="5:6" ht="15" customHeight="1" x14ac:dyDescent="0.2">
      <c r="E10137" s="7"/>
      <c r="F10137" s="7"/>
    </row>
    <row r="10138" spans="5:6" ht="15" customHeight="1" x14ac:dyDescent="0.2">
      <c r="E10138" s="7"/>
      <c r="F10138" s="7"/>
    </row>
    <row r="10139" spans="5:6" ht="15" customHeight="1" x14ac:dyDescent="0.2">
      <c r="E10139" s="7"/>
      <c r="F10139" s="7"/>
    </row>
    <row r="10140" spans="5:6" ht="15" customHeight="1" x14ac:dyDescent="0.2">
      <c r="E10140" s="7"/>
      <c r="F10140" s="7"/>
    </row>
    <row r="10141" spans="5:6" ht="15" customHeight="1" x14ac:dyDescent="0.2">
      <c r="E10141" s="7"/>
      <c r="F10141" s="7"/>
    </row>
    <row r="10142" spans="5:6" ht="15" customHeight="1" x14ac:dyDescent="0.2">
      <c r="E10142" s="7"/>
      <c r="F10142" s="7"/>
    </row>
    <row r="10143" spans="5:6" ht="15" customHeight="1" x14ac:dyDescent="0.2">
      <c r="E10143" s="7"/>
      <c r="F10143" s="7"/>
    </row>
    <row r="10144" spans="5:6" ht="15" customHeight="1" x14ac:dyDescent="0.2">
      <c r="E10144" s="7"/>
      <c r="F10144" s="7"/>
    </row>
    <row r="10145" spans="5:6" ht="15" customHeight="1" x14ac:dyDescent="0.2">
      <c r="E10145" s="7"/>
      <c r="F10145" s="7"/>
    </row>
    <row r="10146" spans="5:6" ht="15" customHeight="1" x14ac:dyDescent="0.2">
      <c r="E10146" s="7"/>
      <c r="F10146" s="7"/>
    </row>
    <row r="10147" spans="5:6" ht="15" customHeight="1" x14ac:dyDescent="0.2">
      <c r="E10147" s="7"/>
      <c r="F10147" s="7"/>
    </row>
    <row r="10148" spans="5:6" ht="15" customHeight="1" x14ac:dyDescent="0.2">
      <c r="E10148" s="7"/>
      <c r="F10148" s="7"/>
    </row>
    <row r="10149" spans="5:6" ht="15" customHeight="1" x14ac:dyDescent="0.2">
      <c r="E10149" s="7"/>
      <c r="F10149" s="7"/>
    </row>
    <row r="10150" spans="5:6" ht="15" customHeight="1" x14ac:dyDescent="0.2">
      <c r="E10150" s="7"/>
      <c r="F10150" s="7"/>
    </row>
    <row r="10151" spans="5:6" ht="15" customHeight="1" x14ac:dyDescent="0.2">
      <c r="E10151" s="7"/>
      <c r="F10151" s="7"/>
    </row>
    <row r="10152" spans="5:6" ht="15" customHeight="1" x14ac:dyDescent="0.2">
      <c r="E10152" s="7"/>
      <c r="F10152" s="7"/>
    </row>
    <row r="10153" spans="5:6" ht="15" customHeight="1" x14ac:dyDescent="0.2">
      <c r="E10153" s="7"/>
      <c r="F10153" s="7"/>
    </row>
    <row r="10154" spans="5:6" ht="15" customHeight="1" x14ac:dyDescent="0.2">
      <c r="E10154" s="7"/>
      <c r="F10154" s="7"/>
    </row>
    <row r="10155" spans="5:6" ht="15" customHeight="1" x14ac:dyDescent="0.2">
      <c r="E10155" s="7"/>
      <c r="F10155" s="7"/>
    </row>
    <row r="10156" spans="5:6" ht="15" customHeight="1" x14ac:dyDescent="0.2">
      <c r="E10156" s="7"/>
      <c r="F10156" s="7"/>
    </row>
    <row r="10157" spans="5:6" ht="15" customHeight="1" x14ac:dyDescent="0.2">
      <c r="E10157" s="7"/>
      <c r="F10157" s="7"/>
    </row>
    <row r="10158" spans="5:6" ht="15" customHeight="1" x14ac:dyDescent="0.2">
      <c r="E10158" s="7"/>
      <c r="F10158" s="7"/>
    </row>
    <row r="10159" spans="5:6" ht="15" customHeight="1" x14ac:dyDescent="0.2">
      <c r="E10159" s="7"/>
      <c r="F10159" s="7"/>
    </row>
    <row r="10160" spans="5:6" ht="15" customHeight="1" x14ac:dyDescent="0.2">
      <c r="E10160" s="7"/>
      <c r="F10160" s="7"/>
    </row>
    <row r="10161" spans="5:6" ht="15" customHeight="1" x14ac:dyDescent="0.2">
      <c r="E10161" s="7"/>
      <c r="F10161" s="7"/>
    </row>
    <row r="10162" spans="5:6" ht="15" customHeight="1" x14ac:dyDescent="0.2">
      <c r="E10162" s="7"/>
      <c r="F10162" s="7"/>
    </row>
    <row r="10163" spans="5:6" ht="15" customHeight="1" x14ac:dyDescent="0.2">
      <c r="E10163" s="7"/>
      <c r="F10163" s="7"/>
    </row>
    <row r="10164" spans="5:6" ht="15" customHeight="1" x14ac:dyDescent="0.2">
      <c r="E10164" s="7"/>
      <c r="F10164" s="7"/>
    </row>
    <row r="10165" spans="5:6" ht="15" customHeight="1" x14ac:dyDescent="0.2">
      <c r="E10165" s="7"/>
      <c r="F10165" s="7"/>
    </row>
    <row r="10166" spans="5:6" ht="15" customHeight="1" x14ac:dyDescent="0.2">
      <c r="E10166" s="7"/>
      <c r="F10166" s="7"/>
    </row>
    <row r="10167" spans="5:6" ht="15" customHeight="1" x14ac:dyDescent="0.2">
      <c r="E10167" s="7"/>
      <c r="F10167" s="7"/>
    </row>
    <row r="10168" spans="5:6" ht="15" customHeight="1" x14ac:dyDescent="0.2">
      <c r="E10168" s="7"/>
      <c r="F10168" s="7"/>
    </row>
    <row r="10169" spans="5:6" ht="15" customHeight="1" x14ac:dyDescent="0.2">
      <c r="E10169" s="7"/>
      <c r="F10169" s="7"/>
    </row>
    <row r="10170" spans="5:6" ht="15" customHeight="1" x14ac:dyDescent="0.2">
      <c r="E10170" s="7"/>
      <c r="F10170" s="7"/>
    </row>
    <row r="10171" spans="5:6" ht="15" customHeight="1" x14ac:dyDescent="0.2">
      <c r="E10171" s="7"/>
      <c r="F10171" s="7"/>
    </row>
    <row r="10172" spans="5:6" ht="15" customHeight="1" x14ac:dyDescent="0.2">
      <c r="E10172" s="7"/>
      <c r="F10172" s="7"/>
    </row>
    <row r="10173" spans="5:6" ht="15" customHeight="1" x14ac:dyDescent="0.2">
      <c r="E10173" s="7"/>
      <c r="F10173" s="7"/>
    </row>
    <row r="10174" spans="5:6" ht="15" customHeight="1" x14ac:dyDescent="0.2">
      <c r="E10174" s="7"/>
      <c r="F10174" s="7"/>
    </row>
    <row r="10175" spans="5:6" ht="15" customHeight="1" x14ac:dyDescent="0.2">
      <c r="E10175" s="7"/>
      <c r="F10175" s="7"/>
    </row>
    <row r="10176" spans="5:6" ht="15" customHeight="1" x14ac:dyDescent="0.2">
      <c r="E10176" s="7"/>
      <c r="F10176" s="7"/>
    </row>
    <row r="10177" spans="5:6" ht="15" customHeight="1" x14ac:dyDescent="0.2">
      <c r="E10177" s="7"/>
      <c r="F10177" s="7"/>
    </row>
    <row r="10178" spans="5:6" ht="15" customHeight="1" x14ac:dyDescent="0.2">
      <c r="E10178" s="7"/>
      <c r="F10178" s="7"/>
    </row>
    <row r="10179" spans="5:6" ht="15" customHeight="1" x14ac:dyDescent="0.2">
      <c r="E10179" s="7"/>
      <c r="F10179" s="7"/>
    </row>
    <row r="10180" spans="5:6" ht="15" customHeight="1" x14ac:dyDescent="0.2">
      <c r="E10180" s="7"/>
      <c r="F10180" s="7"/>
    </row>
    <row r="10181" spans="5:6" ht="15" customHeight="1" x14ac:dyDescent="0.2">
      <c r="E10181" s="7"/>
      <c r="F10181" s="7"/>
    </row>
    <row r="10182" spans="5:6" ht="15" customHeight="1" x14ac:dyDescent="0.2">
      <c r="E10182" s="7"/>
      <c r="F10182" s="7"/>
    </row>
    <row r="10183" spans="5:6" ht="15" customHeight="1" x14ac:dyDescent="0.2">
      <c r="E10183" s="7"/>
      <c r="F10183" s="7"/>
    </row>
    <row r="10184" spans="5:6" ht="15" customHeight="1" x14ac:dyDescent="0.2">
      <c r="E10184" s="7"/>
      <c r="F10184" s="7"/>
    </row>
    <row r="10185" spans="5:6" ht="15" customHeight="1" x14ac:dyDescent="0.2">
      <c r="E10185" s="7"/>
      <c r="F10185" s="7"/>
    </row>
    <row r="10186" spans="5:6" ht="15" customHeight="1" x14ac:dyDescent="0.2">
      <c r="E10186" s="7"/>
      <c r="F10186" s="7"/>
    </row>
    <row r="10187" spans="5:6" ht="15" customHeight="1" x14ac:dyDescent="0.2">
      <c r="E10187" s="7"/>
      <c r="F10187" s="7"/>
    </row>
    <row r="10188" spans="5:6" ht="15" customHeight="1" x14ac:dyDescent="0.2">
      <c r="E10188" s="7"/>
      <c r="F10188" s="7"/>
    </row>
    <row r="10189" spans="5:6" ht="15" customHeight="1" x14ac:dyDescent="0.2">
      <c r="E10189" s="7"/>
      <c r="F10189" s="7"/>
    </row>
    <row r="10190" spans="5:6" ht="15" customHeight="1" x14ac:dyDescent="0.2">
      <c r="E10190" s="7"/>
      <c r="F10190" s="7"/>
    </row>
    <row r="10191" spans="5:6" ht="15" customHeight="1" x14ac:dyDescent="0.2">
      <c r="E10191" s="7"/>
      <c r="F10191" s="7"/>
    </row>
    <row r="10192" spans="5:6" ht="15" customHeight="1" x14ac:dyDescent="0.2">
      <c r="E10192" s="7"/>
      <c r="F10192" s="7"/>
    </row>
    <row r="10193" spans="5:6" ht="15" customHeight="1" x14ac:dyDescent="0.2">
      <c r="E10193" s="7"/>
      <c r="F10193" s="7"/>
    </row>
    <row r="10194" spans="5:6" ht="15" customHeight="1" x14ac:dyDescent="0.2">
      <c r="E10194" s="7"/>
      <c r="F10194" s="7"/>
    </row>
    <row r="10195" spans="5:6" ht="15" customHeight="1" x14ac:dyDescent="0.2">
      <c r="E10195" s="7"/>
      <c r="F10195" s="7"/>
    </row>
    <row r="10196" spans="5:6" ht="15" customHeight="1" x14ac:dyDescent="0.2">
      <c r="E10196" s="7"/>
      <c r="F10196" s="7"/>
    </row>
    <row r="10197" spans="5:6" ht="15" customHeight="1" x14ac:dyDescent="0.2">
      <c r="E10197" s="7"/>
      <c r="F10197" s="7"/>
    </row>
    <row r="10198" spans="5:6" ht="15" customHeight="1" x14ac:dyDescent="0.2">
      <c r="E10198" s="7"/>
      <c r="F10198" s="7"/>
    </row>
    <row r="10199" spans="5:6" ht="15" customHeight="1" x14ac:dyDescent="0.2">
      <c r="E10199" s="7"/>
      <c r="F10199" s="7"/>
    </row>
    <row r="10200" spans="5:6" ht="15" customHeight="1" x14ac:dyDescent="0.2">
      <c r="E10200" s="7"/>
      <c r="F10200" s="7"/>
    </row>
    <row r="10201" spans="5:6" ht="15" customHeight="1" x14ac:dyDescent="0.2">
      <c r="E10201" s="7"/>
      <c r="F10201" s="7"/>
    </row>
    <row r="10202" spans="5:6" ht="15" customHeight="1" x14ac:dyDescent="0.2">
      <c r="E10202" s="7"/>
      <c r="F10202" s="7"/>
    </row>
    <row r="10203" spans="5:6" ht="15" customHeight="1" x14ac:dyDescent="0.2">
      <c r="E10203" s="7"/>
      <c r="F10203" s="7"/>
    </row>
    <row r="10204" spans="5:6" ht="15" customHeight="1" x14ac:dyDescent="0.2">
      <c r="E10204" s="7"/>
      <c r="F10204" s="7"/>
    </row>
    <row r="10205" spans="5:6" ht="15" customHeight="1" x14ac:dyDescent="0.2">
      <c r="E10205" s="7"/>
      <c r="F10205" s="7"/>
    </row>
    <row r="10206" spans="5:6" ht="15" customHeight="1" x14ac:dyDescent="0.2">
      <c r="E10206" s="7"/>
      <c r="F10206" s="7"/>
    </row>
    <row r="10207" spans="5:6" ht="15" customHeight="1" x14ac:dyDescent="0.2">
      <c r="E10207" s="7"/>
      <c r="F10207" s="7"/>
    </row>
    <row r="10208" spans="5:6" ht="15" customHeight="1" x14ac:dyDescent="0.2">
      <c r="E10208" s="7"/>
      <c r="F10208" s="7"/>
    </row>
    <row r="10209" spans="5:6" ht="15" customHeight="1" x14ac:dyDescent="0.2">
      <c r="E10209" s="7"/>
      <c r="F10209" s="7"/>
    </row>
    <row r="10210" spans="5:6" ht="15" customHeight="1" x14ac:dyDescent="0.2">
      <c r="E10210" s="7"/>
      <c r="F10210" s="7"/>
    </row>
    <row r="10211" spans="5:6" ht="15" customHeight="1" x14ac:dyDescent="0.2">
      <c r="E10211" s="7"/>
      <c r="F10211" s="7"/>
    </row>
    <row r="10212" spans="5:6" ht="15" customHeight="1" x14ac:dyDescent="0.2">
      <c r="E10212" s="7"/>
      <c r="F10212" s="7"/>
    </row>
    <row r="10213" spans="5:6" ht="15" customHeight="1" x14ac:dyDescent="0.2">
      <c r="E10213" s="7"/>
      <c r="F10213" s="7"/>
    </row>
    <row r="10214" spans="5:6" ht="15" customHeight="1" x14ac:dyDescent="0.2">
      <c r="E10214" s="7"/>
      <c r="F10214" s="7"/>
    </row>
    <row r="10215" spans="5:6" ht="15" customHeight="1" x14ac:dyDescent="0.2">
      <c r="E10215" s="7"/>
      <c r="F10215" s="7"/>
    </row>
    <row r="10216" spans="5:6" ht="15" customHeight="1" x14ac:dyDescent="0.2">
      <c r="E10216" s="7"/>
      <c r="F10216" s="7"/>
    </row>
    <row r="10217" spans="5:6" ht="15" customHeight="1" x14ac:dyDescent="0.2">
      <c r="E10217" s="7"/>
      <c r="F10217" s="7"/>
    </row>
    <row r="10218" spans="5:6" ht="15" customHeight="1" x14ac:dyDescent="0.2">
      <c r="E10218" s="7"/>
      <c r="F10218" s="7"/>
    </row>
    <row r="10219" spans="5:6" ht="15" customHeight="1" x14ac:dyDescent="0.2">
      <c r="E10219" s="7"/>
      <c r="F10219" s="7"/>
    </row>
    <row r="10220" spans="5:6" ht="15" customHeight="1" x14ac:dyDescent="0.2">
      <c r="E10220" s="7"/>
      <c r="F10220" s="7"/>
    </row>
    <row r="10221" spans="5:6" ht="15" customHeight="1" x14ac:dyDescent="0.2">
      <c r="E10221" s="7"/>
      <c r="F10221" s="7"/>
    </row>
    <row r="10222" spans="5:6" ht="15" customHeight="1" x14ac:dyDescent="0.2">
      <c r="E10222" s="7"/>
      <c r="F10222" s="7"/>
    </row>
    <row r="10223" spans="5:6" ht="15" customHeight="1" x14ac:dyDescent="0.2">
      <c r="E10223" s="7"/>
      <c r="F10223" s="7"/>
    </row>
    <row r="10224" spans="5:6" ht="15" customHeight="1" x14ac:dyDescent="0.2">
      <c r="E10224" s="7"/>
      <c r="F10224" s="7"/>
    </row>
    <row r="10225" spans="5:6" ht="15" customHeight="1" x14ac:dyDescent="0.2">
      <c r="E10225" s="7"/>
      <c r="F10225" s="7"/>
    </row>
    <row r="10226" spans="5:6" ht="15" customHeight="1" x14ac:dyDescent="0.2">
      <c r="E10226" s="7"/>
      <c r="F10226" s="7"/>
    </row>
    <row r="10227" spans="5:6" ht="15" customHeight="1" x14ac:dyDescent="0.2">
      <c r="E10227" s="7"/>
      <c r="F10227" s="7"/>
    </row>
    <row r="10228" spans="5:6" ht="15" customHeight="1" x14ac:dyDescent="0.2">
      <c r="E10228" s="7"/>
      <c r="F10228" s="7"/>
    </row>
    <row r="10229" spans="5:6" ht="15" customHeight="1" x14ac:dyDescent="0.2">
      <c r="E10229" s="7"/>
      <c r="F10229" s="7"/>
    </row>
    <row r="10230" spans="5:6" ht="15" customHeight="1" x14ac:dyDescent="0.2">
      <c r="E10230" s="7"/>
      <c r="F10230" s="7"/>
    </row>
    <row r="10231" spans="5:6" ht="15" customHeight="1" x14ac:dyDescent="0.2">
      <c r="E10231" s="7"/>
      <c r="F10231" s="7"/>
    </row>
    <row r="10232" spans="5:6" ht="15" customHeight="1" x14ac:dyDescent="0.2">
      <c r="E10232" s="7"/>
      <c r="F10232" s="7"/>
    </row>
    <row r="10233" spans="5:6" ht="15" customHeight="1" x14ac:dyDescent="0.2">
      <c r="E10233" s="7"/>
      <c r="F10233" s="7"/>
    </row>
    <row r="10234" spans="5:6" ht="15" customHeight="1" x14ac:dyDescent="0.2">
      <c r="E10234" s="7"/>
      <c r="F10234" s="7"/>
    </row>
    <row r="10235" spans="5:6" ht="15" customHeight="1" x14ac:dyDescent="0.2">
      <c r="E10235" s="7"/>
      <c r="F10235" s="7"/>
    </row>
    <row r="10236" spans="5:6" ht="15" customHeight="1" x14ac:dyDescent="0.2">
      <c r="E10236" s="7"/>
      <c r="F10236" s="7"/>
    </row>
    <row r="10237" spans="5:6" ht="15" customHeight="1" x14ac:dyDescent="0.2">
      <c r="E10237" s="7"/>
      <c r="F10237" s="7"/>
    </row>
    <row r="10238" spans="5:6" ht="15" customHeight="1" x14ac:dyDescent="0.2">
      <c r="E10238" s="7"/>
      <c r="F10238" s="7"/>
    </row>
    <row r="10239" spans="5:6" ht="15" customHeight="1" x14ac:dyDescent="0.2">
      <c r="E10239" s="7"/>
      <c r="F10239" s="7"/>
    </row>
    <row r="10240" spans="5:6" ht="15" customHeight="1" x14ac:dyDescent="0.2">
      <c r="E10240" s="7"/>
      <c r="F10240" s="7"/>
    </row>
    <row r="10241" spans="5:6" ht="15" customHeight="1" x14ac:dyDescent="0.2">
      <c r="E10241" s="7"/>
      <c r="F10241" s="7"/>
    </row>
    <row r="10242" spans="5:6" ht="15" customHeight="1" x14ac:dyDescent="0.2">
      <c r="E10242" s="7"/>
      <c r="F10242" s="7"/>
    </row>
    <row r="10243" spans="5:6" ht="15" customHeight="1" x14ac:dyDescent="0.2">
      <c r="E10243" s="7"/>
      <c r="F10243" s="7"/>
    </row>
    <row r="10244" spans="5:6" ht="15" customHeight="1" x14ac:dyDescent="0.2">
      <c r="E10244" s="7"/>
      <c r="F10244" s="7"/>
    </row>
    <row r="10245" spans="5:6" ht="15" customHeight="1" x14ac:dyDescent="0.2">
      <c r="E10245" s="7"/>
      <c r="F10245" s="7"/>
    </row>
    <row r="10246" spans="5:6" ht="15" customHeight="1" x14ac:dyDescent="0.2">
      <c r="E10246" s="7"/>
      <c r="F10246" s="7"/>
    </row>
    <row r="10247" spans="5:6" ht="15" customHeight="1" x14ac:dyDescent="0.2">
      <c r="E10247" s="7"/>
      <c r="F10247" s="7"/>
    </row>
    <row r="10248" spans="5:6" ht="15" customHeight="1" x14ac:dyDescent="0.2">
      <c r="E10248" s="7"/>
      <c r="F10248" s="7"/>
    </row>
    <row r="10249" spans="5:6" ht="15" customHeight="1" x14ac:dyDescent="0.2">
      <c r="E10249" s="7"/>
      <c r="F10249" s="7"/>
    </row>
    <row r="10250" spans="5:6" ht="15" customHeight="1" x14ac:dyDescent="0.2">
      <c r="E10250" s="7"/>
      <c r="F10250" s="7"/>
    </row>
    <row r="10251" spans="5:6" ht="15" customHeight="1" x14ac:dyDescent="0.2">
      <c r="E10251" s="7"/>
      <c r="F10251" s="7"/>
    </row>
    <row r="10252" spans="5:6" ht="15" customHeight="1" x14ac:dyDescent="0.2">
      <c r="E10252" s="7"/>
      <c r="F10252" s="7"/>
    </row>
    <row r="10253" spans="5:6" ht="15" customHeight="1" x14ac:dyDescent="0.2">
      <c r="E10253" s="7"/>
      <c r="F10253" s="7"/>
    </row>
    <row r="10254" spans="5:6" ht="15" customHeight="1" x14ac:dyDescent="0.2">
      <c r="E10254" s="7"/>
      <c r="F10254" s="7"/>
    </row>
    <row r="10255" spans="5:6" ht="15" customHeight="1" x14ac:dyDescent="0.2">
      <c r="E10255" s="7"/>
      <c r="F10255" s="7"/>
    </row>
    <row r="10256" spans="5:6" ht="15" customHeight="1" x14ac:dyDescent="0.2">
      <c r="E10256" s="7"/>
      <c r="F10256" s="7"/>
    </row>
    <row r="10257" spans="5:6" ht="15" customHeight="1" x14ac:dyDescent="0.2">
      <c r="E10257" s="7"/>
      <c r="F10257" s="7"/>
    </row>
    <row r="10258" spans="5:6" ht="15" customHeight="1" x14ac:dyDescent="0.2">
      <c r="E10258" s="7"/>
      <c r="F10258" s="7"/>
    </row>
    <row r="10259" spans="5:6" ht="15" customHeight="1" x14ac:dyDescent="0.2">
      <c r="E10259" s="7"/>
      <c r="F10259" s="7"/>
    </row>
    <row r="10260" spans="5:6" ht="15" customHeight="1" x14ac:dyDescent="0.2">
      <c r="E10260" s="7"/>
      <c r="F10260" s="7"/>
    </row>
    <row r="10261" spans="5:6" ht="15" customHeight="1" x14ac:dyDescent="0.2">
      <c r="E10261" s="7"/>
      <c r="F10261" s="7"/>
    </row>
    <row r="10262" spans="5:6" ht="15" customHeight="1" x14ac:dyDescent="0.2">
      <c r="E10262" s="7"/>
      <c r="F10262" s="7"/>
    </row>
    <row r="10263" spans="5:6" ht="15" customHeight="1" x14ac:dyDescent="0.2">
      <c r="E10263" s="7"/>
      <c r="F10263" s="7"/>
    </row>
    <row r="10264" spans="5:6" ht="15" customHeight="1" x14ac:dyDescent="0.2">
      <c r="E10264" s="7"/>
      <c r="F10264" s="7"/>
    </row>
    <row r="10265" spans="5:6" ht="15" customHeight="1" x14ac:dyDescent="0.2">
      <c r="E10265" s="7"/>
      <c r="F10265" s="7"/>
    </row>
    <row r="10266" spans="5:6" ht="15" customHeight="1" x14ac:dyDescent="0.2">
      <c r="E10266" s="7"/>
      <c r="F10266" s="7"/>
    </row>
    <row r="10267" spans="5:6" ht="15" customHeight="1" x14ac:dyDescent="0.2">
      <c r="E10267" s="7"/>
      <c r="F10267" s="7"/>
    </row>
    <row r="10268" spans="5:6" ht="15" customHeight="1" x14ac:dyDescent="0.2">
      <c r="E10268" s="7"/>
      <c r="F10268" s="7"/>
    </row>
    <row r="10269" spans="5:6" ht="15" customHeight="1" x14ac:dyDescent="0.2">
      <c r="E10269" s="7"/>
      <c r="F10269" s="7"/>
    </row>
    <row r="10270" spans="5:6" ht="15" customHeight="1" x14ac:dyDescent="0.2">
      <c r="E10270" s="7"/>
      <c r="F10270" s="7"/>
    </row>
    <row r="10271" spans="5:6" ht="15" customHeight="1" x14ac:dyDescent="0.2">
      <c r="E10271" s="7"/>
      <c r="F10271" s="7"/>
    </row>
    <row r="10272" spans="5:6" ht="15" customHeight="1" x14ac:dyDescent="0.2">
      <c r="E10272" s="7"/>
      <c r="F10272" s="7"/>
    </row>
    <row r="10273" spans="5:6" ht="15" customHeight="1" x14ac:dyDescent="0.2">
      <c r="E10273" s="7"/>
      <c r="F10273" s="7"/>
    </row>
    <row r="10274" spans="5:6" ht="15" customHeight="1" x14ac:dyDescent="0.2">
      <c r="E10274" s="7"/>
      <c r="F10274" s="7"/>
    </row>
    <row r="10275" spans="5:6" ht="15" customHeight="1" x14ac:dyDescent="0.2">
      <c r="E10275" s="7"/>
      <c r="F10275" s="7"/>
    </row>
    <row r="10276" spans="5:6" ht="15" customHeight="1" x14ac:dyDescent="0.2">
      <c r="E10276" s="7"/>
      <c r="F10276" s="7"/>
    </row>
    <row r="10277" spans="5:6" ht="15" customHeight="1" x14ac:dyDescent="0.2">
      <c r="E10277" s="7"/>
      <c r="F10277" s="7"/>
    </row>
    <row r="10278" spans="5:6" ht="15" customHeight="1" x14ac:dyDescent="0.2">
      <c r="E10278" s="7"/>
      <c r="F10278" s="7"/>
    </row>
    <row r="10279" spans="5:6" ht="15" customHeight="1" x14ac:dyDescent="0.2">
      <c r="E10279" s="7"/>
      <c r="F10279" s="7"/>
    </row>
    <row r="10280" spans="5:6" ht="15" customHeight="1" x14ac:dyDescent="0.2">
      <c r="E10280" s="7"/>
      <c r="F10280" s="7"/>
    </row>
    <row r="10281" spans="5:6" ht="15" customHeight="1" x14ac:dyDescent="0.2">
      <c r="E10281" s="7"/>
      <c r="F10281" s="7"/>
    </row>
    <row r="10282" spans="5:6" ht="15" customHeight="1" x14ac:dyDescent="0.2">
      <c r="E10282" s="7"/>
      <c r="F10282" s="7"/>
    </row>
    <row r="10283" spans="5:6" ht="15" customHeight="1" x14ac:dyDescent="0.2">
      <c r="E10283" s="7"/>
      <c r="F10283" s="7"/>
    </row>
    <row r="10284" spans="5:6" ht="15" customHeight="1" x14ac:dyDescent="0.2">
      <c r="E10284" s="7"/>
      <c r="F10284" s="7"/>
    </row>
    <row r="10285" spans="5:6" ht="15" customHeight="1" x14ac:dyDescent="0.2">
      <c r="E10285" s="7"/>
      <c r="F10285" s="7"/>
    </row>
    <row r="10286" spans="5:6" ht="15" customHeight="1" x14ac:dyDescent="0.2">
      <c r="E10286" s="7"/>
      <c r="F10286" s="7"/>
    </row>
    <row r="10287" spans="5:6" ht="15" customHeight="1" x14ac:dyDescent="0.2">
      <c r="E10287" s="7"/>
      <c r="F10287" s="7"/>
    </row>
    <row r="10288" spans="5:6" ht="15" customHeight="1" x14ac:dyDescent="0.2">
      <c r="E10288" s="7"/>
      <c r="F10288" s="7"/>
    </row>
    <row r="10289" spans="5:6" ht="15" customHeight="1" x14ac:dyDescent="0.2">
      <c r="E10289" s="7"/>
      <c r="F10289" s="7"/>
    </row>
    <row r="10290" spans="5:6" ht="15" customHeight="1" x14ac:dyDescent="0.2">
      <c r="E10290" s="7"/>
      <c r="F10290" s="7"/>
    </row>
    <row r="10291" spans="5:6" ht="15" customHeight="1" x14ac:dyDescent="0.2">
      <c r="E10291" s="7"/>
      <c r="F10291" s="7"/>
    </row>
    <row r="10292" spans="5:6" ht="15" customHeight="1" x14ac:dyDescent="0.2">
      <c r="E10292" s="7"/>
      <c r="F10292" s="7"/>
    </row>
    <row r="10293" spans="5:6" ht="15" customHeight="1" x14ac:dyDescent="0.2">
      <c r="E10293" s="7"/>
      <c r="F10293" s="7"/>
    </row>
    <row r="10294" spans="5:6" ht="15" customHeight="1" x14ac:dyDescent="0.2">
      <c r="E10294" s="7"/>
      <c r="F10294" s="7"/>
    </row>
    <row r="10295" spans="5:6" ht="15" customHeight="1" x14ac:dyDescent="0.2">
      <c r="E10295" s="7"/>
      <c r="F10295" s="7"/>
    </row>
    <row r="10296" spans="5:6" ht="15" customHeight="1" x14ac:dyDescent="0.2">
      <c r="E10296" s="7"/>
      <c r="F10296" s="7"/>
    </row>
    <row r="10297" spans="5:6" ht="15" customHeight="1" x14ac:dyDescent="0.2">
      <c r="E10297" s="7"/>
      <c r="F10297" s="7"/>
    </row>
    <row r="10298" spans="5:6" ht="15" customHeight="1" x14ac:dyDescent="0.2">
      <c r="E10298" s="7"/>
      <c r="F10298" s="7"/>
    </row>
    <row r="10299" spans="5:6" ht="15" customHeight="1" x14ac:dyDescent="0.2">
      <c r="E10299" s="7"/>
      <c r="F10299" s="7"/>
    </row>
    <row r="10300" spans="5:6" ht="15" customHeight="1" x14ac:dyDescent="0.2">
      <c r="E10300" s="7"/>
      <c r="F10300" s="7"/>
    </row>
    <row r="10301" spans="5:6" ht="15" customHeight="1" x14ac:dyDescent="0.2">
      <c r="E10301" s="7"/>
      <c r="F10301" s="7"/>
    </row>
    <row r="10302" spans="5:6" ht="15" customHeight="1" x14ac:dyDescent="0.2">
      <c r="E10302" s="7"/>
      <c r="F10302" s="7"/>
    </row>
    <row r="10303" spans="5:6" ht="15" customHeight="1" x14ac:dyDescent="0.2">
      <c r="E10303" s="7"/>
      <c r="F10303" s="7"/>
    </row>
    <row r="10304" spans="5:6" ht="15" customHeight="1" x14ac:dyDescent="0.2">
      <c r="E10304" s="7"/>
      <c r="F10304" s="7"/>
    </row>
    <row r="10305" spans="5:6" ht="15" customHeight="1" x14ac:dyDescent="0.2">
      <c r="E10305" s="7"/>
      <c r="F10305" s="7"/>
    </row>
    <row r="10306" spans="5:6" ht="15" customHeight="1" x14ac:dyDescent="0.2">
      <c r="E10306" s="7"/>
      <c r="F10306" s="7"/>
    </row>
    <row r="10307" spans="5:6" ht="15" customHeight="1" x14ac:dyDescent="0.2">
      <c r="E10307" s="7"/>
      <c r="F10307" s="7"/>
    </row>
    <row r="10308" spans="5:6" ht="15" customHeight="1" x14ac:dyDescent="0.2">
      <c r="E10308" s="7"/>
      <c r="F10308" s="7"/>
    </row>
    <row r="10309" spans="5:6" ht="15" customHeight="1" x14ac:dyDescent="0.2">
      <c r="E10309" s="7"/>
      <c r="F10309" s="7"/>
    </row>
    <row r="10310" spans="5:6" ht="15" customHeight="1" x14ac:dyDescent="0.2">
      <c r="E10310" s="7"/>
      <c r="F10310" s="7"/>
    </row>
    <row r="10311" spans="5:6" ht="15" customHeight="1" x14ac:dyDescent="0.2">
      <c r="E10311" s="7"/>
      <c r="F10311" s="7"/>
    </row>
    <row r="10312" spans="5:6" ht="15" customHeight="1" x14ac:dyDescent="0.2">
      <c r="E10312" s="7"/>
      <c r="F10312" s="7"/>
    </row>
    <row r="10313" spans="5:6" ht="15" customHeight="1" x14ac:dyDescent="0.2">
      <c r="E10313" s="7"/>
      <c r="F10313" s="7"/>
    </row>
    <row r="10314" spans="5:6" ht="15" customHeight="1" x14ac:dyDescent="0.2">
      <c r="E10314" s="7"/>
      <c r="F10314" s="7"/>
    </row>
    <row r="10315" spans="5:6" ht="15" customHeight="1" x14ac:dyDescent="0.2">
      <c r="E10315" s="7"/>
      <c r="F10315" s="7"/>
    </row>
    <row r="10316" spans="5:6" ht="15" customHeight="1" x14ac:dyDescent="0.2">
      <c r="E10316" s="7"/>
      <c r="F10316" s="7"/>
    </row>
    <row r="10317" spans="5:6" ht="15" customHeight="1" x14ac:dyDescent="0.2">
      <c r="E10317" s="7"/>
      <c r="F10317" s="7"/>
    </row>
    <row r="10318" spans="5:6" ht="15" customHeight="1" x14ac:dyDescent="0.2">
      <c r="E10318" s="7"/>
      <c r="F10318" s="7"/>
    </row>
    <row r="10319" spans="5:6" ht="15" customHeight="1" x14ac:dyDescent="0.2">
      <c r="E10319" s="7"/>
      <c r="F10319" s="7"/>
    </row>
    <row r="10320" spans="5:6" ht="15" customHeight="1" x14ac:dyDescent="0.2">
      <c r="E10320" s="7"/>
      <c r="F10320" s="7"/>
    </row>
    <row r="10321" spans="5:6" ht="15" customHeight="1" x14ac:dyDescent="0.2">
      <c r="E10321" s="7"/>
      <c r="F10321" s="7"/>
    </row>
    <row r="10322" spans="5:6" ht="15" customHeight="1" x14ac:dyDescent="0.2">
      <c r="E10322" s="7"/>
      <c r="F10322" s="7"/>
    </row>
    <row r="10323" spans="5:6" ht="15" customHeight="1" x14ac:dyDescent="0.2">
      <c r="E10323" s="7"/>
      <c r="F10323" s="7"/>
    </row>
    <row r="10324" spans="5:6" ht="15" customHeight="1" x14ac:dyDescent="0.2">
      <c r="E10324" s="7"/>
      <c r="F10324" s="7"/>
    </row>
    <row r="10325" spans="5:6" ht="15" customHeight="1" x14ac:dyDescent="0.2">
      <c r="E10325" s="7"/>
      <c r="F10325" s="7"/>
    </row>
    <row r="10326" spans="5:6" ht="15" customHeight="1" x14ac:dyDescent="0.2">
      <c r="E10326" s="7"/>
      <c r="F10326" s="7"/>
    </row>
    <row r="10327" spans="5:6" ht="15" customHeight="1" x14ac:dyDescent="0.2">
      <c r="E10327" s="7"/>
      <c r="F10327" s="7"/>
    </row>
    <row r="10328" spans="5:6" ht="15" customHeight="1" x14ac:dyDescent="0.2">
      <c r="E10328" s="7"/>
      <c r="F10328" s="7"/>
    </row>
    <row r="10329" spans="5:6" ht="15" customHeight="1" x14ac:dyDescent="0.2">
      <c r="E10329" s="7"/>
      <c r="F10329" s="7"/>
    </row>
    <row r="10330" spans="5:6" ht="15" customHeight="1" x14ac:dyDescent="0.2">
      <c r="E10330" s="7"/>
      <c r="F10330" s="7"/>
    </row>
    <row r="10331" spans="5:6" ht="15" customHeight="1" x14ac:dyDescent="0.2">
      <c r="E10331" s="7"/>
      <c r="F10331" s="7"/>
    </row>
    <row r="10332" spans="5:6" ht="15" customHeight="1" x14ac:dyDescent="0.2">
      <c r="E10332" s="7"/>
      <c r="F10332" s="7"/>
    </row>
    <row r="10333" spans="5:6" ht="15" customHeight="1" x14ac:dyDescent="0.2">
      <c r="E10333" s="7"/>
      <c r="F10333" s="7"/>
    </row>
    <row r="10334" spans="5:6" ht="15" customHeight="1" x14ac:dyDescent="0.2">
      <c r="E10334" s="7"/>
      <c r="F10334" s="7"/>
    </row>
    <row r="10335" spans="5:6" ht="15" customHeight="1" x14ac:dyDescent="0.2">
      <c r="E10335" s="7"/>
      <c r="F10335" s="7"/>
    </row>
    <row r="10336" spans="5:6" ht="15" customHeight="1" x14ac:dyDescent="0.2">
      <c r="E10336" s="7"/>
      <c r="F10336" s="7"/>
    </row>
    <row r="10337" spans="5:6" ht="15" customHeight="1" x14ac:dyDescent="0.2">
      <c r="E10337" s="7"/>
      <c r="F10337" s="7"/>
    </row>
    <row r="10338" spans="5:6" ht="15" customHeight="1" x14ac:dyDescent="0.2">
      <c r="E10338" s="7"/>
      <c r="F10338" s="7"/>
    </row>
    <row r="10339" spans="5:6" ht="15" customHeight="1" x14ac:dyDescent="0.2">
      <c r="E10339" s="7"/>
      <c r="F10339" s="7"/>
    </row>
    <row r="10340" spans="5:6" ht="15" customHeight="1" x14ac:dyDescent="0.2">
      <c r="E10340" s="7"/>
      <c r="F10340" s="7"/>
    </row>
    <row r="10341" spans="5:6" ht="15" customHeight="1" x14ac:dyDescent="0.2">
      <c r="E10341" s="7"/>
      <c r="F10341" s="7"/>
    </row>
    <row r="10342" spans="5:6" ht="15" customHeight="1" x14ac:dyDescent="0.2">
      <c r="E10342" s="7"/>
      <c r="F10342" s="7"/>
    </row>
    <row r="10343" spans="5:6" ht="15" customHeight="1" x14ac:dyDescent="0.2">
      <c r="E10343" s="7"/>
      <c r="F10343" s="7"/>
    </row>
    <row r="10344" spans="5:6" ht="15" customHeight="1" x14ac:dyDescent="0.2">
      <c r="E10344" s="7"/>
      <c r="F10344" s="7"/>
    </row>
    <row r="10345" spans="5:6" ht="15" customHeight="1" x14ac:dyDescent="0.2">
      <c r="E10345" s="7"/>
      <c r="F10345" s="7"/>
    </row>
    <row r="10346" spans="5:6" ht="15" customHeight="1" x14ac:dyDescent="0.2">
      <c r="E10346" s="7"/>
      <c r="F10346" s="7"/>
    </row>
    <row r="10347" spans="5:6" ht="15" customHeight="1" x14ac:dyDescent="0.2">
      <c r="E10347" s="7"/>
      <c r="F10347" s="7"/>
    </row>
    <row r="10348" spans="5:6" ht="15" customHeight="1" x14ac:dyDescent="0.2">
      <c r="E10348" s="7"/>
      <c r="F10348" s="7"/>
    </row>
    <row r="10349" spans="5:6" ht="15" customHeight="1" x14ac:dyDescent="0.2">
      <c r="E10349" s="7"/>
      <c r="F10349" s="7"/>
    </row>
    <row r="10350" spans="5:6" ht="15" customHeight="1" x14ac:dyDescent="0.2">
      <c r="E10350" s="7"/>
      <c r="F10350" s="7"/>
    </row>
    <row r="10351" spans="5:6" ht="15" customHeight="1" x14ac:dyDescent="0.2">
      <c r="E10351" s="7"/>
      <c r="F10351" s="7"/>
    </row>
    <row r="10352" spans="5:6" ht="15" customHeight="1" x14ac:dyDescent="0.2">
      <c r="E10352" s="7"/>
      <c r="F10352" s="7"/>
    </row>
    <row r="10353" spans="5:6" ht="15" customHeight="1" x14ac:dyDescent="0.2">
      <c r="E10353" s="7"/>
      <c r="F10353" s="7"/>
    </row>
    <row r="10354" spans="5:6" ht="15" customHeight="1" x14ac:dyDescent="0.2">
      <c r="E10354" s="7"/>
      <c r="F10354" s="7"/>
    </row>
    <row r="10355" spans="5:6" ht="15" customHeight="1" x14ac:dyDescent="0.2">
      <c r="E10355" s="7"/>
      <c r="F10355" s="7"/>
    </row>
    <row r="10356" spans="5:6" ht="15" customHeight="1" x14ac:dyDescent="0.2">
      <c r="E10356" s="7"/>
      <c r="F10356" s="7"/>
    </row>
    <row r="10357" spans="5:6" ht="15" customHeight="1" x14ac:dyDescent="0.2">
      <c r="E10357" s="7"/>
      <c r="F10357" s="7"/>
    </row>
    <row r="10358" spans="5:6" ht="15" customHeight="1" x14ac:dyDescent="0.2">
      <c r="E10358" s="7"/>
      <c r="F10358" s="7"/>
    </row>
    <row r="10359" spans="5:6" ht="15" customHeight="1" x14ac:dyDescent="0.2">
      <c r="E10359" s="7"/>
      <c r="F10359" s="7"/>
    </row>
    <row r="10360" spans="5:6" ht="15" customHeight="1" x14ac:dyDescent="0.2">
      <c r="E10360" s="7"/>
      <c r="F10360" s="7"/>
    </row>
    <row r="10361" spans="5:6" ht="15" customHeight="1" x14ac:dyDescent="0.2">
      <c r="E10361" s="7"/>
      <c r="F10361" s="7"/>
    </row>
    <row r="10362" spans="5:6" ht="15" customHeight="1" x14ac:dyDescent="0.2">
      <c r="E10362" s="7"/>
      <c r="F10362" s="7"/>
    </row>
    <row r="10363" spans="5:6" ht="15" customHeight="1" x14ac:dyDescent="0.2">
      <c r="E10363" s="7"/>
      <c r="F10363" s="7"/>
    </row>
    <row r="10364" spans="5:6" ht="15" customHeight="1" x14ac:dyDescent="0.2">
      <c r="E10364" s="7"/>
      <c r="F10364" s="7"/>
    </row>
    <row r="10365" spans="5:6" ht="15" customHeight="1" x14ac:dyDescent="0.2">
      <c r="E10365" s="7"/>
      <c r="F10365" s="7"/>
    </row>
    <row r="10366" spans="5:6" ht="15" customHeight="1" x14ac:dyDescent="0.2">
      <c r="E10366" s="7"/>
      <c r="F10366" s="7"/>
    </row>
    <row r="10367" spans="5:6" ht="15" customHeight="1" x14ac:dyDescent="0.2">
      <c r="E10367" s="7"/>
      <c r="F10367" s="7"/>
    </row>
    <row r="10368" spans="5:6" ht="15" customHeight="1" x14ac:dyDescent="0.2">
      <c r="E10368" s="7"/>
      <c r="F10368" s="7"/>
    </row>
    <row r="10369" spans="5:6" ht="15" customHeight="1" x14ac:dyDescent="0.2">
      <c r="E10369" s="7"/>
      <c r="F10369" s="7"/>
    </row>
    <row r="10370" spans="5:6" ht="15" customHeight="1" x14ac:dyDescent="0.2">
      <c r="E10370" s="7"/>
      <c r="F10370" s="7"/>
    </row>
    <row r="10371" spans="5:6" ht="15" customHeight="1" x14ac:dyDescent="0.2">
      <c r="E10371" s="7"/>
      <c r="F10371" s="7"/>
    </row>
    <row r="10372" spans="5:6" ht="15" customHeight="1" x14ac:dyDescent="0.2">
      <c r="E10372" s="7"/>
      <c r="F10372" s="7"/>
    </row>
    <row r="10373" spans="5:6" ht="15" customHeight="1" x14ac:dyDescent="0.2">
      <c r="E10373" s="7"/>
      <c r="F10373" s="7"/>
    </row>
    <row r="10374" spans="5:6" ht="15" customHeight="1" x14ac:dyDescent="0.2">
      <c r="E10374" s="7"/>
      <c r="F10374" s="7"/>
    </row>
    <row r="10375" spans="5:6" ht="15" customHeight="1" x14ac:dyDescent="0.2">
      <c r="E10375" s="7"/>
      <c r="F10375" s="7"/>
    </row>
    <row r="10376" spans="5:6" ht="15" customHeight="1" x14ac:dyDescent="0.2">
      <c r="E10376" s="7"/>
      <c r="F10376" s="7"/>
    </row>
    <row r="10377" spans="5:6" ht="15" customHeight="1" x14ac:dyDescent="0.2">
      <c r="E10377" s="7"/>
      <c r="F10377" s="7"/>
    </row>
    <row r="10378" spans="5:6" ht="15" customHeight="1" x14ac:dyDescent="0.2">
      <c r="E10378" s="7"/>
      <c r="F10378" s="7"/>
    </row>
    <row r="10379" spans="5:6" ht="15" customHeight="1" x14ac:dyDescent="0.2">
      <c r="E10379" s="7"/>
      <c r="F10379" s="7"/>
    </row>
    <row r="10380" spans="5:6" ht="15" customHeight="1" x14ac:dyDescent="0.2">
      <c r="E10380" s="7"/>
      <c r="F10380" s="7"/>
    </row>
    <row r="10381" spans="5:6" ht="15" customHeight="1" x14ac:dyDescent="0.2">
      <c r="E10381" s="7"/>
      <c r="F10381" s="7"/>
    </row>
    <row r="10382" spans="5:6" ht="15" customHeight="1" x14ac:dyDescent="0.2">
      <c r="E10382" s="7"/>
      <c r="F10382" s="7"/>
    </row>
    <row r="10383" spans="5:6" ht="15" customHeight="1" x14ac:dyDescent="0.2">
      <c r="E10383" s="7"/>
      <c r="F10383" s="7"/>
    </row>
    <row r="10384" spans="5:6" ht="15" customHeight="1" x14ac:dyDescent="0.2">
      <c r="E10384" s="7"/>
      <c r="F10384" s="7"/>
    </row>
    <row r="10385" spans="5:6" ht="15" customHeight="1" x14ac:dyDescent="0.2">
      <c r="E10385" s="7"/>
      <c r="F10385" s="7"/>
    </row>
    <row r="10386" spans="5:6" ht="15" customHeight="1" x14ac:dyDescent="0.2">
      <c r="E10386" s="7"/>
      <c r="F10386" s="7"/>
    </row>
    <row r="10387" spans="5:6" ht="15" customHeight="1" x14ac:dyDescent="0.2">
      <c r="E10387" s="7"/>
      <c r="F10387" s="7"/>
    </row>
    <row r="10388" spans="5:6" ht="15" customHeight="1" x14ac:dyDescent="0.2">
      <c r="E10388" s="7"/>
      <c r="F10388" s="7"/>
    </row>
    <row r="10389" spans="5:6" ht="15" customHeight="1" x14ac:dyDescent="0.2">
      <c r="E10389" s="7"/>
      <c r="F10389" s="7"/>
    </row>
    <row r="10390" spans="5:6" ht="15" customHeight="1" x14ac:dyDescent="0.2">
      <c r="E10390" s="7"/>
      <c r="F10390" s="7"/>
    </row>
    <row r="10391" spans="5:6" ht="15" customHeight="1" x14ac:dyDescent="0.2">
      <c r="E10391" s="7"/>
      <c r="F10391" s="7"/>
    </row>
    <row r="10392" spans="5:6" ht="15" customHeight="1" x14ac:dyDescent="0.2">
      <c r="E10392" s="7"/>
      <c r="F10392" s="7"/>
    </row>
    <row r="10393" spans="5:6" ht="15" customHeight="1" x14ac:dyDescent="0.2">
      <c r="E10393" s="7"/>
      <c r="F10393" s="7"/>
    </row>
    <row r="10394" spans="5:6" ht="15" customHeight="1" x14ac:dyDescent="0.2">
      <c r="E10394" s="7"/>
      <c r="F10394" s="7"/>
    </row>
    <row r="10395" spans="5:6" ht="15" customHeight="1" x14ac:dyDescent="0.2">
      <c r="E10395" s="7"/>
      <c r="F10395" s="7"/>
    </row>
    <row r="10396" spans="5:6" ht="15" customHeight="1" x14ac:dyDescent="0.2">
      <c r="E10396" s="7"/>
      <c r="F10396" s="7"/>
    </row>
    <row r="10397" spans="5:6" ht="15" customHeight="1" x14ac:dyDescent="0.2">
      <c r="E10397" s="7"/>
      <c r="F10397" s="7"/>
    </row>
    <row r="10398" spans="5:6" ht="15" customHeight="1" x14ac:dyDescent="0.2">
      <c r="E10398" s="7"/>
      <c r="F10398" s="7"/>
    </row>
    <row r="10399" spans="5:6" ht="15" customHeight="1" x14ac:dyDescent="0.2">
      <c r="E10399" s="7"/>
      <c r="F10399" s="7"/>
    </row>
    <row r="10400" spans="5:6" ht="15" customHeight="1" x14ac:dyDescent="0.2">
      <c r="E10400" s="7"/>
      <c r="F10400" s="7"/>
    </row>
    <row r="10401" spans="5:6" ht="15" customHeight="1" x14ac:dyDescent="0.2">
      <c r="E10401" s="7"/>
      <c r="F10401" s="7"/>
    </row>
    <row r="10402" spans="5:6" ht="15" customHeight="1" x14ac:dyDescent="0.2">
      <c r="E10402" s="7"/>
      <c r="F10402" s="7"/>
    </row>
    <row r="10403" spans="5:6" ht="15" customHeight="1" x14ac:dyDescent="0.2">
      <c r="E10403" s="7"/>
      <c r="F10403" s="7"/>
    </row>
    <row r="10404" spans="5:6" ht="15" customHeight="1" x14ac:dyDescent="0.2">
      <c r="E10404" s="7"/>
      <c r="F10404" s="7"/>
    </row>
    <row r="10405" spans="5:6" ht="15" customHeight="1" x14ac:dyDescent="0.2">
      <c r="E10405" s="7"/>
      <c r="F10405" s="7"/>
    </row>
    <row r="10406" spans="5:6" ht="15" customHeight="1" x14ac:dyDescent="0.2">
      <c r="E10406" s="7"/>
      <c r="F10406" s="7"/>
    </row>
    <row r="10407" spans="5:6" ht="15" customHeight="1" x14ac:dyDescent="0.2">
      <c r="E10407" s="7"/>
      <c r="F10407" s="7"/>
    </row>
    <row r="10408" spans="5:6" ht="15" customHeight="1" x14ac:dyDescent="0.2">
      <c r="E10408" s="7"/>
      <c r="F10408" s="7"/>
    </row>
    <row r="10409" spans="5:6" ht="15" customHeight="1" x14ac:dyDescent="0.2">
      <c r="E10409" s="7"/>
      <c r="F10409" s="7"/>
    </row>
    <row r="10410" spans="5:6" ht="15" customHeight="1" x14ac:dyDescent="0.2">
      <c r="E10410" s="7"/>
      <c r="F10410" s="7"/>
    </row>
    <row r="10411" spans="5:6" ht="15" customHeight="1" x14ac:dyDescent="0.2">
      <c r="E10411" s="7"/>
      <c r="F10411" s="7"/>
    </row>
    <row r="10412" spans="5:6" ht="15" customHeight="1" x14ac:dyDescent="0.2">
      <c r="E10412" s="7"/>
      <c r="F10412" s="7"/>
    </row>
    <row r="10413" spans="5:6" ht="15" customHeight="1" x14ac:dyDescent="0.2">
      <c r="E10413" s="7"/>
      <c r="F10413" s="7"/>
    </row>
    <row r="10414" spans="5:6" ht="15" customHeight="1" x14ac:dyDescent="0.2">
      <c r="E10414" s="7"/>
      <c r="F10414" s="7"/>
    </row>
    <row r="10415" spans="5:6" ht="15" customHeight="1" x14ac:dyDescent="0.2">
      <c r="E10415" s="7"/>
      <c r="F10415" s="7"/>
    </row>
    <row r="10416" spans="5:6" ht="15" customHeight="1" x14ac:dyDescent="0.2">
      <c r="E10416" s="7"/>
      <c r="F10416" s="7"/>
    </row>
    <row r="10417" spans="5:6" ht="15" customHeight="1" x14ac:dyDescent="0.2">
      <c r="E10417" s="7"/>
      <c r="F10417" s="7"/>
    </row>
    <row r="10418" spans="5:6" ht="15" customHeight="1" x14ac:dyDescent="0.2">
      <c r="E10418" s="7"/>
      <c r="F10418" s="7"/>
    </row>
    <row r="10419" spans="5:6" ht="15" customHeight="1" x14ac:dyDescent="0.2">
      <c r="E10419" s="7"/>
      <c r="F10419" s="7"/>
    </row>
    <row r="10420" spans="5:6" ht="15" customHeight="1" x14ac:dyDescent="0.2">
      <c r="E10420" s="7"/>
      <c r="F10420" s="7"/>
    </row>
    <row r="10421" spans="5:6" ht="15" customHeight="1" x14ac:dyDescent="0.2">
      <c r="E10421" s="7"/>
      <c r="F10421" s="7"/>
    </row>
    <row r="10422" spans="5:6" ht="15" customHeight="1" x14ac:dyDescent="0.2">
      <c r="E10422" s="7"/>
      <c r="F10422" s="7"/>
    </row>
    <row r="10423" spans="5:6" ht="15" customHeight="1" x14ac:dyDescent="0.2">
      <c r="E10423" s="7"/>
      <c r="F10423" s="7"/>
    </row>
    <row r="10424" spans="5:6" ht="15" customHeight="1" x14ac:dyDescent="0.2">
      <c r="E10424" s="7"/>
      <c r="F10424" s="7"/>
    </row>
    <row r="10425" spans="5:6" ht="15" customHeight="1" x14ac:dyDescent="0.2">
      <c r="E10425" s="7"/>
      <c r="F10425" s="7"/>
    </row>
    <row r="10426" spans="5:6" ht="15" customHeight="1" x14ac:dyDescent="0.2">
      <c r="E10426" s="7"/>
      <c r="F10426" s="7"/>
    </row>
    <row r="10427" spans="5:6" ht="15" customHeight="1" x14ac:dyDescent="0.2">
      <c r="E10427" s="7"/>
      <c r="F10427" s="7"/>
    </row>
    <row r="10428" spans="5:6" ht="15" customHeight="1" x14ac:dyDescent="0.2">
      <c r="E10428" s="7"/>
      <c r="F10428" s="7"/>
    </row>
    <row r="10429" spans="5:6" ht="15" customHeight="1" x14ac:dyDescent="0.2">
      <c r="E10429" s="7"/>
      <c r="F10429" s="7"/>
    </row>
    <row r="10430" spans="5:6" ht="15" customHeight="1" x14ac:dyDescent="0.2">
      <c r="E10430" s="7"/>
      <c r="F10430" s="7"/>
    </row>
    <row r="10431" spans="5:6" ht="15" customHeight="1" x14ac:dyDescent="0.2">
      <c r="E10431" s="7"/>
      <c r="F10431" s="7"/>
    </row>
    <row r="10432" spans="5:6" ht="15" customHeight="1" x14ac:dyDescent="0.2">
      <c r="E10432" s="7"/>
      <c r="F10432" s="7"/>
    </row>
    <row r="10433" spans="5:6" ht="15" customHeight="1" x14ac:dyDescent="0.2">
      <c r="E10433" s="7"/>
      <c r="F10433" s="7"/>
    </row>
    <row r="10434" spans="5:6" ht="15" customHeight="1" x14ac:dyDescent="0.2">
      <c r="E10434" s="7"/>
      <c r="F10434" s="7"/>
    </row>
    <row r="10435" spans="5:6" ht="15" customHeight="1" x14ac:dyDescent="0.2">
      <c r="E10435" s="7"/>
      <c r="F10435" s="7"/>
    </row>
    <row r="10436" spans="5:6" ht="15" customHeight="1" x14ac:dyDescent="0.2">
      <c r="E10436" s="7"/>
      <c r="F10436" s="7"/>
    </row>
    <row r="10437" spans="5:6" ht="15" customHeight="1" x14ac:dyDescent="0.2">
      <c r="E10437" s="7"/>
      <c r="F10437" s="7"/>
    </row>
    <row r="10438" spans="5:6" ht="15" customHeight="1" x14ac:dyDescent="0.2">
      <c r="E10438" s="7"/>
      <c r="F10438" s="7"/>
    </row>
    <row r="10439" spans="5:6" ht="15" customHeight="1" x14ac:dyDescent="0.2">
      <c r="E10439" s="7"/>
      <c r="F10439" s="7"/>
    </row>
    <row r="10440" spans="5:6" ht="15" customHeight="1" x14ac:dyDescent="0.2">
      <c r="E10440" s="7"/>
      <c r="F10440" s="7"/>
    </row>
    <row r="10441" spans="5:6" ht="15" customHeight="1" x14ac:dyDescent="0.2">
      <c r="E10441" s="7"/>
      <c r="F10441" s="7"/>
    </row>
    <row r="10442" spans="5:6" ht="15" customHeight="1" x14ac:dyDescent="0.2">
      <c r="E10442" s="7"/>
      <c r="F10442" s="7"/>
    </row>
    <row r="10443" spans="5:6" ht="15" customHeight="1" x14ac:dyDescent="0.2">
      <c r="E10443" s="7"/>
      <c r="F10443" s="7"/>
    </row>
    <row r="10444" spans="5:6" ht="15" customHeight="1" x14ac:dyDescent="0.2">
      <c r="E10444" s="7"/>
      <c r="F10444" s="7"/>
    </row>
    <row r="10445" spans="5:6" ht="15" customHeight="1" x14ac:dyDescent="0.2">
      <c r="E10445" s="7"/>
      <c r="F10445" s="7"/>
    </row>
    <row r="10446" spans="5:6" ht="15" customHeight="1" x14ac:dyDescent="0.2">
      <c r="E10446" s="7"/>
      <c r="F10446" s="7"/>
    </row>
    <row r="10447" spans="5:6" ht="15" customHeight="1" x14ac:dyDescent="0.2">
      <c r="E10447" s="7"/>
      <c r="F10447" s="7"/>
    </row>
    <row r="10448" spans="5:6" ht="15" customHeight="1" x14ac:dyDescent="0.2">
      <c r="E10448" s="7"/>
      <c r="F10448" s="7"/>
    </row>
    <row r="10449" spans="5:6" ht="15" customHeight="1" x14ac:dyDescent="0.2">
      <c r="E10449" s="7"/>
      <c r="F10449" s="7"/>
    </row>
    <row r="10450" spans="5:6" ht="15" customHeight="1" x14ac:dyDescent="0.2">
      <c r="E10450" s="7"/>
      <c r="F10450" s="7"/>
    </row>
    <row r="10451" spans="5:6" ht="15" customHeight="1" x14ac:dyDescent="0.2">
      <c r="E10451" s="7"/>
      <c r="F10451" s="7"/>
    </row>
    <row r="10452" spans="5:6" ht="15" customHeight="1" x14ac:dyDescent="0.2">
      <c r="E10452" s="7"/>
      <c r="F10452" s="7"/>
    </row>
    <row r="10453" spans="5:6" ht="15" customHeight="1" x14ac:dyDescent="0.2">
      <c r="E10453" s="7"/>
      <c r="F10453" s="7"/>
    </row>
    <row r="10454" spans="5:6" ht="15" customHeight="1" x14ac:dyDescent="0.2">
      <c r="E10454" s="7"/>
      <c r="F10454" s="7"/>
    </row>
    <row r="10455" spans="5:6" ht="15" customHeight="1" x14ac:dyDescent="0.2">
      <c r="E10455" s="7"/>
      <c r="F10455" s="7"/>
    </row>
    <row r="10456" spans="5:6" ht="15" customHeight="1" x14ac:dyDescent="0.2">
      <c r="E10456" s="7"/>
      <c r="F10456" s="7"/>
    </row>
    <row r="10457" spans="5:6" ht="15" customHeight="1" x14ac:dyDescent="0.2">
      <c r="E10457" s="7"/>
      <c r="F10457" s="7"/>
    </row>
    <row r="10458" spans="5:6" ht="15" customHeight="1" x14ac:dyDescent="0.2">
      <c r="E10458" s="7"/>
      <c r="F10458" s="7"/>
    </row>
    <row r="10459" spans="5:6" ht="15" customHeight="1" x14ac:dyDescent="0.2">
      <c r="E10459" s="7"/>
      <c r="F10459" s="7"/>
    </row>
    <row r="10460" spans="5:6" ht="15" customHeight="1" x14ac:dyDescent="0.2">
      <c r="E10460" s="7"/>
      <c r="F10460" s="7"/>
    </row>
    <row r="10461" spans="5:6" ht="15" customHeight="1" x14ac:dyDescent="0.2">
      <c r="E10461" s="7"/>
      <c r="F10461" s="7"/>
    </row>
    <row r="10462" spans="5:6" ht="15" customHeight="1" x14ac:dyDescent="0.2">
      <c r="E10462" s="7"/>
      <c r="F10462" s="7"/>
    </row>
    <row r="10463" spans="5:6" ht="15" customHeight="1" x14ac:dyDescent="0.2">
      <c r="E10463" s="7"/>
      <c r="F10463" s="7"/>
    </row>
    <row r="10464" spans="5:6" ht="15" customHeight="1" x14ac:dyDescent="0.2">
      <c r="E10464" s="7"/>
      <c r="F10464" s="7"/>
    </row>
    <row r="10465" spans="5:6" ht="15" customHeight="1" x14ac:dyDescent="0.2">
      <c r="E10465" s="7"/>
      <c r="F10465" s="7"/>
    </row>
    <row r="10466" spans="5:6" ht="15" customHeight="1" x14ac:dyDescent="0.2">
      <c r="E10466" s="7"/>
      <c r="F10466" s="7"/>
    </row>
    <row r="10467" spans="5:6" ht="15" customHeight="1" x14ac:dyDescent="0.2">
      <c r="E10467" s="7"/>
      <c r="F10467" s="7"/>
    </row>
    <row r="10468" spans="5:6" ht="15" customHeight="1" x14ac:dyDescent="0.2">
      <c r="E10468" s="7"/>
      <c r="F10468" s="7"/>
    </row>
    <row r="10469" spans="5:6" ht="15" customHeight="1" x14ac:dyDescent="0.2">
      <c r="E10469" s="7"/>
      <c r="F10469" s="7"/>
    </row>
    <row r="10470" spans="5:6" ht="15" customHeight="1" x14ac:dyDescent="0.2">
      <c r="E10470" s="7"/>
      <c r="F10470" s="7"/>
    </row>
    <row r="10471" spans="5:6" ht="15" customHeight="1" x14ac:dyDescent="0.2">
      <c r="E10471" s="7"/>
      <c r="F10471" s="7"/>
    </row>
    <row r="10472" spans="5:6" ht="15" customHeight="1" x14ac:dyDescent="0.2">
      <c r="E10472" s="7"/>
      <c r="F10472" s="7"/>
    </row>
    <row r="10473" spans="5:6" ht="15" customHeight="1" x14ac:dyDescent="0.2">
      <c r="E10473" s="7"/>
      <c r="F10473" s="7"/>
    </row>
    <row r="10474" spans="5:6" ht="15" customHeight="1" x14ac:dyDescent="0.2">
      <c r="E10474" s="7"/>
      <c r="F10474" s="7"/>
    </row>
    <row r="10475" spans="5:6" ht="15" customHeight="1" x14ac:dyDescent="0.2">
      <c r="E10475" s="7"/>
      <c r="F10475" s="7"/>
    </row>
    <row r="10476" spans="5:6" ht="15" customHeight="1" x14ac:dyDescent="0.2">
      <c r="E10476" s="7"/>
      <c r="F10476" s="7"/>
    </row>
    <row r="10477" spans="5:6" ht="15" customHeight="1" x14ac:dyDescent="0.2">
      <c r="E10477" s="7"/>
      <c r="F10477" s="7"/>
    </row>
    <row r="10478" spans="5:6" ht="15" customHeight="1" x14ac:dyDescent="0.2">
      <c r="E10478" s="7"/>
      <c r="F10478" s="7"/>
    </row>
    <row r="10479" spans="5:6" ht="15" customHeight="1" x14ac:dyDescent="0.2">
      <c r="E10479" s="7"/>
      <c r="F10479" s="7"/>
    </row>
    <row r="10480" spans="5:6" ht="15" customHeight="1" x14ac:dyDescent="0.2">
      <c r="E10480" s="7"/>
      <c r="F10480" s="7"/>
    </row>
    <row r="10481" spans="5:6" ht="15" customHeight="1" x14ac:dyDescent="0.2">
      <c r="E10481" s="7"/>
      <c r="F10481" s="7"/>
    </row>
    <row r="10482" spans="5:6" ht="15" customHeight="1" x14ac:dyDescent="0.2">
      <c r="E10482" s="7"/>
      <c r="F10482" s="7"/>
    </row>
    <row r="10483" spans="5:6" ht="15" customHeight="1" x14ac:dyDescent="0.2">
      <c r="E10483" s="7"/>
      <c r="F10483" s="7"/>
    </row>
    <row r="10484" spans="5:6" ht="15" customHeight="1" x14ac:dyDescent="0.2">
      <c r="E10484" s="7"/>
      <c r="F10484" s="7"/>
    </row>
    <row r="10485" spans="5:6" ht="15" customHeight="1" x14ac:dyDescent="0.2">
      <c r="E10485" s="7"/>
      <c r="F10485" s="7"/>
    </row>
    <row r="10486" spans="5:6" ht="15" customHeight="1" x14ac:dyDescent="0.2">
      <c r="E10486" s="7"/>
      <c r="F10486" s="7"/>
    </row>
    <row r="10487" spans="5:6" ht="15" customHeight="1" x14ac:dyDescent="0.2">
      <c r="E10487" s="7"/>
      <c r="F10487" s="7"/>
    </row>
    <row r="10488" spans="5:6" ht="15" customHeight="1" x14ac:dyDescent="0.2">
      <c r="E10488" s="7"/>
      <c r="F10488" s="7"/>
    </row>
    <row r="10489" spans="5:6" ht="15" customHeight="1" x14ac:dyDescent="0.2">
      <c r="E10489" s="7"/>
      <c r="F10489" s="7"/>
    </row>
    <row r="10490" spans="5:6" ht="15" customHeight="1" x14ac:dyDescent="0.2">
      <c r="E10490" s="7"/>
      <c r="F10490" s="7"/>
    </row>
    <row r="10491" spans="5:6" ht="15" customHeight="1" x14ac:dyDescent="0.2">
      <c r="E10491" s="7"/>
      <c r="F10491" s="7"/>
    </row>
    <row r="10492" spans="5:6" ht="15" customHeight="1" x14ac:dyDescent="0.2">
      <c r="E10492" s="7"/>
      <c r="F10492" s="7"/>
    </row>
    <row r="10493" spans="5:6" ht="15" customHeight="1" x14ac:dyDescent="0.2">
      <c r="E10493" s="7"/>
      <c r="F10493" s="7"/>
    </row>
    <row r="10494" spans="5:6" ht="15" customHeight="1" x14ac:dyDescent="0.2">
      <c r="E10494" s="7"/>
      <c r="F10494" s="7"/>
    </row>
    <row r="10495" spans="5:6" ht="15" customHeight="1" x14ac:dyDescent="0.2">
      <c r="E10495" s="7"/>
      <c r="F10495" s="7"/>
    </row>
    <row r="10496" spans="5:6" ht="15" customHeight="1" x14ac:dyDescent="0.2">
      <c r="E10496" s="7"/>
      <c r="F10496" s="7"/>
    </row>
    <row r="10497" spans="5:6" ht="15" customHeight="1" x14ac:dyDescent="0.2">
      <c r="E10497" s="7"/>
      <c r="F10497" s="7"/>
    </row>
    <row r="10498" spans="5:6" ht="15" customHeight="1" x14ac:dyDescent="0.2">
      <c r="E10498" s="7"/>
      <c r="F10498" s="7"/>
    </row>
    <row r="10499" spans="5:6" ht="15" customHeight="1" x14ac:dyDescent="0.2">
      <c r="E10499" s="7"/>
      <c r="F10499" s="7"/>
    </row>
    <row r="10500" spans="5:6" ht="15" customHeight="1" x14ac:dyDescent="0.2">
      <c r="E10500" s="7"/>
      <c r="F10500" s="7"/>
    </row>
    <row r="10501" spans="5:6" ht="15" customHeight="1" x14ac:dyDescent="0.2">
      <c r="E10501" s="7"/>
      <c r="F10501" s="7"/>
    </row>
    <row r="10502" spans="5:6" ht="15" customHeight="1" x14ac:dyDescent="0.2">
      <c r="E10502" s="7"/>
      <c r="F10502" s="7"/>
    </row>
    <row r="10503" spans="5:6" ht="15" customHeight="1" x14ac:dyDescent="0.2">
      <c r="E10503" s="7"/>
      <c r="F10503" s="7"/>
    </row>
    <row r="10504" spans="5:6" ht="15" customHeight="1" x14ac:dyDescent="0.2">
      <c r="E10504" s="7"/>
      <c r="F10504" s="7"/>
    </row>
    <row r="10505" spans="5:6" ht="15" customHeight="1" x14ac:dyDescent="0.2">
      <c r="E10505" s="7"/>
      <c r="F10505" s="7"/>
    </row>
    <row r="10506" spans="5:6" ht="15" customHeight="1" x14ac:dyDescent="0.2">
      <c r="E10506" s="7"/>
      <c r="F10506" s="7"/>
    </row>
    <row r="10507" spans="5:6" ht="15" customHeight="1" x14ac:dyDescent="0.2">
      <c r="E10507" s="7"/>
      <c r="F10507" s="7"/>
    </row>
    <row r="10508" spans="5:6" ht="15" customHeight="1" x14ac:dyDescent="0.2">
      <c r="E10508" s="7"/>
      <c r="F10508" s="7"/>
    </row>
    <row r="10509" spans="5:6" ht="15" customHeight="1" x14ac:dyDescent="0.2">
      <c r="E10509" s="7"/>
      <c r="F10509" s="7"/>
    </row>
    <row r="10510" spans="5:6" ht="15" customHeight="1" x14ac:dyDescent="0.2">
      <c r="E10510" s="7"/>
      <c r="F10510" s="7"/>
    </row>
    <row r="10511" spans="5:6" ht="15" customHeight="1" x14ac:dyDescent="0.2">
      <c r="E10511" s="7"/>
      <c r="F10511" s="7"/>
    </row>
    <row r="10512" spans="5:6" ht="15" customHeight="1" x14ac:dyDescent="0.2">
      <c r="E10512" s="7"/>
      <c r="F10512" s="7"/>
    </row>
    <row r="10513" spans="5:6" ht="15" customHeight="1" x14ac:dyDescent="0.2">
      <c r="E10513" s="7"/>
      <c r="F10513" s="7"/>
    </row>
    <row r="10514" spans="5:6" ht="15" customHeight="1" x14ac:dyDescent="0.2">
      <c r="E10514" s="7"/>
      <c r="F10514" s="7"/>
    </row>
    <row r="10515" spans="5:6" ht="15" customHeight="1" x14ac:dyDescent="0.2">
      <c r="E10515" s="7"/>
      <c r="F10515" s="7"/>
    </row>
    <row r="10516" spans="5:6" ht="15" customHeight="1" x14ac:dyDescent="0.2">
      <c r="E10516" s="7"/>
      <c r="F10516" s="7"/>
    </row>
    <row r="10517" spans="5:6" ht="15" customHeight="1" x14ac:dyDescent="0.2">
      <c r="E10517" s="7"/>
      <c r="F10517" s="7"/>
    </row>
    <row r="10518" spans="5:6" ht="15" customHeight="1" x14ac:dyDescent="0.2">
      <c r="E10518" s="7"/>
      <c r="F10518" s="7"/>
    </row>
    <row r="10519" spans="5:6" ht="15" customHeight="1" x14ac:dyDescent="0.2">
      <c r="E10519" s="7"/>
      <c r="F10519" s="7"/>
    </row>
    <row r="10520" spans="5:6" ht="15" customHeight="1" x14ac:dyDescent="0.2">
      <c r="E10520" s="7"/>
      <c r="F10520" s="7"/>
    </row>
    <row r="10521" spans="5:6" ht="15" customHeight="1" x14ac:dyDescent="0.2">
      <c r="E10521" s="7"/>
      <c r="F10521" s="7"/>
    </row>
    <row r="10522" spans="5:6" ht="15" customHeight="1" x14ac:dyDescent="0.2">
      <c r="E10522" s="7"/>
      <c r="F10522" s="7"/>
    </row>
    <row r="10523" spans="5:6" ht="15" customHeight="1" x14ac:dyDescent="0.2">
      <c r="E10523" s="7"/>
      <c r="F10523" s="7"/>
    </row>
    <row r="10524" spans="5:6" ht="15" customHeight="1" x14ac:dyDescent="0.2">
      <c r="E10524" s="7"/>
      <c r="F10524" s="7"/>
    </row>
    <row r="10525" spans="5:6" ht="15" customHeight="1" x14ac:dyDescent="0.2">
      <c r="E10525" s="7"/>
      <c r="F10525" s="7"/>
    </row>
    <row r="10526" spans="5:6" ht="15" customHeight="1" x14ac:dyDescent="0.2">
      <c r="E10526" s="7"/>
      <c r="F10526" s="7"/>
    </row>
    <row r="10527" spans="5:6" ht="15" customHeight="1" x14ac:dyDescent="0.2">
      <c r="E10527" s="7"/>
      <c r="F10527" s="7"/>
    </row>
    <row r="10528" spans="5:6" ht="15" customHeight="1" x14ac:dyDescent="0.2">
      <c r="E10528" s="7"/>
      <c r="F10528" s="7"/>
    </row>
    <row r="10529" spans="5:6" ht="15" customHeight="1" x14ac:dyDescent="0.2">
      <c r="E10529" s="7"/>
      <c r="F10529" s="7"/>
    </row>
    <row r="10530" spans="5:6" ht="15" customHeight="1" x14ac:dyDescent="0.2">
      <c r="E10530" s="7"/>
      <c r="F10530" s="7"/>
    </row>
    <row r="10531" spans="5:6" ht="15" customHeight="1" x14ac:dyDescent="0.2">
      <c r="E10531" s="7"/>
      <c r="F10531" s="7"/>
    </row>
    <row r="10532" spans="5:6" ht="15" customHeight="1" x14ac:dyDescent="0.2">
      <c r="E10532" s="7"/>
      <c r="F10532" s="7"/>
    </row>
    <row r="10533" spans="5:6" ht="15" customHeight="1" x14ac:dyDescent="0.2">
      <c r="E10533" s="7"/>
      <c r="F10533" s="7"/>
    </row>
    <row r="10534" spans="5:6" ht="15" customHeight="1" x14ac:dyDescent="0.2">
      <c r="E10534" s="7"/>
      <c r="F10534" s="7"/>
    </row>
    <row r="10535" spans="5:6" ht="15" customHeight="1" x14ac:dyDescent="0.2">
      <c r="E10535" s="7"/>
      <c r="F10535" s="7"/>
    </row>
    <row r="10536" spans="5:6" ht="15" customHeight="1" x14ac:dyDescent="0.2">
      <c r="E10536" s="7"/>
      <c r="F10536" s="7"/>
    </row>
    <row r="10537" spans="5:6" ht="15" customHeight="1" x14ac:dyDescent="0.2">
      <c r="E10537" s="7"/>
      <c r="F10537" s="7"/>
    </row>
    <row r="10538" spans="5:6" ht="15" customHeight="1" x14ac:dyDescent="0.2">
      <c r="E10538" s="7"/>
      <c r="F10538" s="7"/>
    </row>
    <row r="10539" spans="5:6" ht="15" customHeight="1" x14ac:dyDescent="0.2">
      <c r="E10539" s="7"/>
      <c r="F10539" s="7"/>
    </row>
    <row r="10540" spans="5:6" ht="15" customHeight="1" x14ac:dyDescent="0.2">
      <c r="E10540" s="7"/>
      <c r="F10540" s="7"/>
    </row>
    <row r="10541" spans="5:6" ht="15" customHeight="1" x14ac:dyDescent="0.2">
      <c r="E10541" s="7"/>
      <c r="F10541" s="7"/>
    </row>
    <row r="10542" spans="5:6" ht="15" customHeight="1" x14ac:dyDescent="0.2">
      <c r="E10542" s="7"/>
      <c r="F10542" s="7"/>
    </row>
    <row r="10543" spans="5:6" ht="15" customHeight="1" x14ac:dyDescent="0.2">
      <c r="E10543" s="7"/>
      <c r="F10543" s="7"/>
    </row>
    <row r="10544" spans="5:6" ht="15" customHeight="1" x14ac:dyDescent="0.2">
      <c r="E10544" s="7"/>
      <c r="F10544" s="7"/>
    </row>
    <row r="10545" spans="5:6" ht="15" customHeight="1" x14ac:dyDescent="0.2">
      <c r="E10545" s="7"/>
      <c r="F10545" s="7"/>
    </row>
    <row r="10546" spans="5:6" ht="15" customHeight="1" x14ac:dyDescent="0.2">
      <c r="E10546" s="7"/>
      <c r="F10546" s="7"/>
    </row>
    <row r="10547" spans="5:6" ht="15" customHeight="1" x14ac:dyDescent="0.2">
      <c r="E10547" s="7"/>
      <c r="F10547" s="7"/>
    </row>
    <row r="10548" spans="5:6" ht="15" customHeight="1" x14ac:dyDescent="0.2">
      <c r="E10548" s="7"/>
      <c r="F10548" s="7"/>
    </row>
    <row r="10549" spans="5:6" ht="15" customHeight="1" x14ac:dyDescent="0.2">
      <c r="E10549" s="7"/>
      <c r="F10549" s="7"/>
    </row>
    <row r="10550" spans="5:6" ht="15" customHeight="1" x14ac:dyDescent="0.2">
      <c r="E10550" s="7"/>
      <c r="F10550" s="7"/>
    </row>
    <row r="10551" spans="5:6" ht="15" customHeight="1" x14ac:dyDescent="0.2">
      <c r="E10551" s="7"/>
      <c r="F10551" s="7"/>
    </row>
    <row r="10552" spans="5:6" ht="15" customHeight="1" x14ac:dyDescent="0.2">
      <c r="E10552" s="7"/>
      <c r="F10552" s="7"/>
    </row>
    <row r="10553" spans="5:6" ht="15" customHeight="1" x14ac:dyDescent="0.2">
      <c r="E10553" s="7"/>
      <c r="F10553" s="7"/>
    </row>
    <row r="10554" spans="5:6" ht="15" customHeight="1" x14ac:dyDescent="0.2">
      <c r="E10554" s="7"/>
      <c r="F10554" s="7"/>
    </row>
    <row r="10555" spans="5:6" ht="15" customHeight="1" x14ac:dyDescent="0.2">
      <c r="E10555" s="7"/>
      <c r="F10555" s="7"/>
    </row>
    <row r="10556" spans="5:6" ht="15" customHeight="1" x14ac:dyDescent="0.2">
      <c r="E10556" s="7"/>
      <c r="F10556" s="7"/>
    </row>
    <row r="10557" spans="5:6" ht="15" customHeight="1" x14ac:dyDescent="0.2">
      <c r="E10557" s="7"/>
      <c r="F10557" s="7"/>
    </row>
    <row r="10558" spans="5:6" ht="15" customHeight="1" x14ac:dyDescent="0.2">
      <c r="E10558" s="7"/>
      <c r="F10558" s="7"/>
    </row>
    <row r="10559" spans="5:6" ht="15" customHeight="1" x14ac:dyDescent="0.2">
      <c r="E10559" s="7"/>
      <c r="F10559" s="7"/>
    </row>
    <row r="10560" spans="5:6" ht="15" customHeight="1" x14ac:dyDescent="0.2">
      <c r="E10560" s="7"/>
      <c r="F10560" s="7"/>
    </row>
    <row r="10561" spans="5:6" ht="15" customHeight="1" x14ac:dyDescent="0.2">
      <c r="E10561" s="7"/>
      <c r="F10561" s="7"/>
    </row>
    <row r="10562" spans="5:6" ht="15" customHeight="1" x14ac:dyDescent="0.2">
      <c r="E10562" s="7"/>
      <c r="F10562" s="7"/>
    </row>
    <row r="10563" spans="5:6" ht="15" customHeight="1" x14ac:dyDescent="0.2">
      <c r="E10563" s="7"/>
      <c r="F10563" s="7"/>
    </row>
    <row r="10564" spans="5:6" ht="15" customHeight="1" x14ac:dyDescent="0.2">
      <c r="E10564" s="7"/>
      <c r="F10564" s="7"/>
    </row>
    <row r="10565" spans="5:6" ht="15" customHeight="1" x14ac:dyDescent="0.2">
      <c r="E10565" s="7"/>
      <c r="F10565" s="7"/>
    </row>
    <row r="10566" spans="5:6" ht="15" customHeight="1" x14ac:dyDescent="0.2">
      <c r="E10566" s="7"/>
      <c r="F10566" s="7"/>
    </row>
    <row r="10567" spans="5:6" ht="15" customHeight="1" x14ac:dyDescent="0.2">
      <c r="E10567" s="7"/>
      <c r="F10567" s="7"/>
    </row>
    <row r="10568" spans="5:6" ht="15" customHeight="1" x14ac:dyDescent="0.2">
      <c r="E10568" s="7"/>
      <c r="F10568" s="7"/>
    </row>
    <row r="10569" spans="5:6" ht="15" customHeight="1" x14ac:dyDescent="0.2">
      <c r="E10569" s="7"/>
      <c r="F10569" s="7"/>
    </row>
    <row r="10570" spans="5:6" ht="15" customHeight="1" x14ac:dyDescent="0.2">
      <c r="E10570" s="7"/>
      <c r="F10570" s="7"/>
    </row>
    <row r="10571" spans="5:6" ht="15" customHeight="1" x14ac:dyDescent="0.2">
      <c r="E10571" s="7"/>
      <c r="F10571" s="7"/>
    </row>
    <row r="10572" spans="5:6" ht="15" customHeight="1" x14ac:dyDescent="0.2">
      <c r="E10572" s="7"/>
      <c r="F10572" s="7"/>
    </row>
    <row r="10573" spans="5:6" ht="15" customHeight="1" x14ac:dyDescent="0.2">
      <c r="E10573" s="7"/>
      <c r="F10573" s="7"/>
    </row>
    <row r="10574" spans="5:6" ht="15" customHeight="1" x14ac:dyDescent="0.2">
      <c r="E10574" s="7"/>
      <c r="F10574" s="7"/>
    </row>
    <row r="10575" spans="5:6" ht="15" customHeight="1" x14ac:dyDescent="0.2">
      <c r="E10575" s="7"/>
      <c r="F10575" s="7"/>
    </row>
    <row r="10576" spans="5:6" ht="15" customHeight="1" x14ac:dyDescent="0.2">
      <c r="E10576" s="7"/>
      <c r="F10576" s="7"/>
    </row>
    <row r="10577" spans="5:6" ht="15" customHeight="1" x14ac:dyDescent="0.2">
      <c r="E10577" s="7"/>
      <c r="F10577" s="7"/>
    </row>
    <row r="10578" spans="5:6" ht="15" customHeight="1" x14ac:dyDescent="0.2">
      <c r="E10578" s="7"/>
      <c r="F10578" s="7"/>
    </row>
    <row r="10579" spans="5:6" ht="15" customHeight="1" x14ac:dyDescent="0.2">
      <c r="E10579" s="7"/>
      <c r="F10579" s="7"/>
    </row>
    <row r="10580" spans="5:6" ht="15" customHeight="1" x14ac:dyDescent="0.2">
      <c r="E10580" s="7"/>
      <c r="F10580" s="7"/>
    </row>
    <row r="10581" spans="5:6" ht="15" customHeight="1" x14ac:dyDescent="0.2">
      <c r="E10581" s="7"/>
      <c r="F10581" s="7"/>
    </row>
    <row r="10582" spans="5:6" ht="15" customHeight="1" x14ac:dyDescent="0.2">
      <c r="E10582" s="7"/>
      <c r="F10582" s="7"/>
    </row>
    <row r="10583" spans="5:6" ht="15" customHeight="1" x14ac:dyDescent="0.2">
      <c r="E10583" s="7"/>
      <c r="F10583" s="7"/>
    </row>
    <row r="10584" spans="5:6" ht="15" customHeight="1" x14ac:dyDescent="0.2">
      <c r="E10584" s="7"/>
      <c r="F10584" s="7"/>
    </row>
    <row r="10585" spans="5:6" ht="15" customHeight="1" x14ac:dyDescent="0.2">
      <c r="E10585" s="7"/>
      <c r="F10585" s="7"/>
    </row>
    <row r="10586" spans="5:6" ht="15" customHeight="1" x14ac:dyDescent="0.2">
      <c r="E10586" s="7"/>
      <c r="F10586" s="7"/>
    </row>
    <row r="10587" spans="5:6" ht="15" customHeight="1" x14ac:dyDescent="0.2">
      <c r="E10587" s="7"/>
      <c r="F10587" s="7"/>
    </row>
    <row r="10588" spans="5:6" ht="15" customHeight="1" x14ac:dyDescent="0.2">
      <c r="E10588" s="7"/>
      <c r="F10588" s="7"/>
    </row>
    <row r="10589" spans="5:6" ht="15" customHeight="1" x14ac:dyDescent="0.2">
      <c r="E10589" s="7"/>
      <c r="F10589" s="7"/>
    </row>
    <row r="10590" spans="5:6" ht="15" customHeight="1" x14ac:dyDescent="0.2">
      <c r="E10590" s="7"/>
      <c r="F10590" s="7"/>
    </row>
    <row r="10591" spans="5:6" ht="15" customHeight="1" x14ac:dyDescent="0.2">
      <c r="E10591" s="7"/>
      <c r="F10591" s="7"/>
    </row>
    <row r="10592" spans="5:6" ht="15" customHeight="1" x14ac:dyDescent="0.2">
      <c r="E10592" s="7"/>
      <c r="F10592" s="7"/>
    </row>
    <row r="10593" spans="5:6" ht="15" customHeight="1" x14ac:dyDescent="0.2">
      <c r="E10593" s="7"/>
      <c r="F10593" s="7"/>
    </row>
    <row r="10594" spans="5:6" ht="15" customHeight="1" x14ac:dyDescent="0.2">
      <c r="E10594" s="7"/>
      <c r="F10594" s="7"/>
    </row>
    <row r="10595" spans="5:6" ht="15" customHeight="1" x14ac:dyDescent="0.2">
      <c r="E10595" s="7"/>
      <c r="F10595" s="7"/>
    </row>
    <row r="10596" spans="5:6" ht="15" customHeight="1" x14ac:dyDescent="0.2">
      <c r="E10596" s="7"/>
      <c r="F10596" s="7"/>
    </row>
    <row r="10597" spans="5:6" ht="15" customHeight="1" x14ac:dyDescent="0.2">
      <c r="E10597" s="7"/>
      <c r="F10597" s="7"/>
    </row>
    <row r="10598" spans="5:6" ht="15" customHeight="1" x14ac:dyDescent="0.2">
      <c r="E10598" s="7"/>
      <c r="F10598" s="7"/>
    </row>
    <row r="10599" spans="5:6" ht="15" customHeight="1" x14ac:dyDescent="0.2">
      <c r="E10599" s="7"/>
      <c r="F10599" s="7"/>
    </row>
    <row r="10600" spans="5:6" ht="15" customHeight="1" x14ac:dyDescent="0.2">
      <c r="E10600" s="7"/>
      <c r="F10600" s="7"/>
    </row>
    <row r="10601" spans="5:6" ht="15" customHeight="1" x14ac:dyDescent="0.2">
      <c r="E10601" s="7"/>
      <c r="F10601" s="7"/>
    </row>
    <row r="10602" spans="5:6" ht="15" customHeight="1" x14ac:dyDescent="0.2">
      <c r="E10602" s="7"/>
      <c r="F10602" s="7"/>
    </row>
    <row r="10603" spans="5:6" ht="15" customHeight="1" x14ac:dyDescent="0.2">
      <c r="E10603" s="7"/>
      <c r="F10603" s="7"/>
    </row>
    <row r="10604" spans="5:6" ht="15" customHeight="1" x14ac:dyDescent="0.2">
      <c r="E10604" s="7"/>
      <c r="F10604" s="7"/>
    </row>
    <row r="10605" spans="5:6" ht="15" customHeight="1" x14ac:dyDescent="0.2">
      <c r="E10605" s="7"/>
      <c r="F10605" s="7"/>
    </row>
    <row r="10606" spans="5:6" ht="15" customHeight="1" x14ac:dyDescent="0.2">
      <c r="E10606" s="7"/>
      <c r="F10606" s="7"/>
    </row>
    <row r="10607" spans="5:6" ht="15" customHeight="1" x14ac:dyDescent="0.2">
      <c r="E10607" s="7"/>
      <c r="F10607" s="7"/>
    </row>
    <row r="10608" spans="5:6" ht="15" customHeight="1" x14ac:dyDescent="0.2">
      <c r="E10608" s="7"/>
      <c r="F10608" s="7"/>
    </row>
    <row r="10609" spans="5:6" ht="15" customHeight="1" x14ac:dyDescent="0.2">
      <c r="E10609" s="7"/>
      <c r="F10609" s="7"/>
    </row>
    <row r="10610" spans="5:6" ht="15" customHeight="1" x14ac:dyDescent="0.2">
      <c r="E10610" s="7"/>
      <c r="F10610" s="7"/>
    </row>
    <row r="10611" spans="5:6" ht="15" customHeight="1" x14ac:dyDescent="0.2">
      <c r="E10611" s="7"/>
      <c r="F10611" s="7"/>
    </row>
    <row r="10612" spans="5:6" ht="15" customHeight="1" x14ac:dyDescent="0.2">
      <c r="E10612" s="7"/>
      <c r="F10612" s="7"/>
    </row>
    <row r="10613" spans="5:6" ht="15" customHeight="1" x14ac:dyDescent="0.2">
      <c r="E10613" s="7"/>
      <c r="F10613" s="7"/>
    </row>
    <row r="10614" spans="5:6" ht="15" customHeight="1" x14ac:dyDescent="0.2">
      <c r="E10614" s="7"/>
      <c r="F10614" s="7"/>
    </row>
    <row r="10615" spans="5:6" ht="15" customHeight="1" x14ac:dyDescent="0.2">
      <c r="E10615" s="7"/>
      <c r="F10615" s="7"/>
    </row>
    <row r="10616" spans="5:6" ht="15" customHeight="1" x14ac:dyDescent="0.2">
      <c r="E10616" s="7"/>
      <c r="F10616" s="7"/>
    </row>
    <row r="10617" spans="5:6" ht="15" customHeight="1" x14ac:dyDescent="0.2">
      <c r="E10617" s="7"/>
      <c r="F10617" s="7"/>
    </row>
    <row r="10618" spans="5:6" ht="15" customHeight="1" x14ac:dyDescent="0.2">
      <c r="E10618" s="7"/>
      <c r="F10618" s="7"/>
    </row>
    <row r="10619" spans="5:6" ht="15" customHeight="1" x14ac:dyDescent="0.2">
      <c r="E10619" s="7"/>
      <c r="F10619" s="7"/>
    </row>
    <row r="10620" spans="5:6" ht="15" customHeight="1" x14ac:dyDescent="0.2">
      <c r="E10620" s="7"/>
      <c r="F10620" s="7"/>
    </row>
    <row r="10621" spans="5:6" ht="15" customHeight="1" x14ac:dyDescent="0.2">
      <c r="E10621" s="7"/>
      <c r="F10621" s="7"/>
    </row>
    <row r="10622" spans="5:6" ht="15" customHeight="1" x14ac:dyDescent="0.2">
      <c r="E10622" s="7"/>
      <c r="F10622" s="7"/>
    </row>
    <row r="10623" spans="5:6" ht="15" customHeight="1" x14ac:dyDescent="0.2">
      <c r="E10623" s="7"/>
      <c r="F10623" s="7"/>
    </row>
    <row r="10624" spans="5:6" ht="15" customHeight="1" x14ac:dyDescent="0.2">
      <c r="E10624" s="7"/>
      <c r="F10624" s="7"/>
    </row>
    <row r="10625" spans="5:6" ht="15" customHeight="1" x14ac:dyDescent="0.2">
      <c r="E10625" s="7"/>
      <c r="F10625" s="7"/>
    </row>
    <row r="10626" spans="5:6" ht="15" customHeight="1" x14ac:dyDescent="0.2">
      <c r="E10626" s="7"/>
      <c r="F10626" s="7"/>
    </row>
    <row r="10627" spans="5:6" ht="15" customHeight="1" x14ac:dyDescent="0.2">
      <c r="E10627" s="7"/>
      <c r="F10627" s="7"/>
    </row>
    <row r="10628" spans="5:6" ht="15" customHeight="1" x14ac:dyDescent="0.2">
      <c r="E10628" s="7"/>
      <c r="F10628" s="7"/>
    </row>
    <row r="10629" spans="5:6" ht="15" customHeight="1" x14ac:dyDescent="0.2">
      <c r="E10629" s="7"/>
      <c r="F10629" s="7"/>
    </row>
    <row r="10630" spans="5:6" ht="15" customHeight="1" x14ac:dyDescent="0.2">
      <c r="E10630" s="7"/>
      <c r="F10630" s="7"/>
    </row>
    <row r="10631" spans="5:6" ht="15" customHeight="1" x14ac:dyDescent="0.2">
      <c r="E10631" s="7"/>
      <c r="F10631" s="7"/>
    </row>
    <row r="10632" spans="5:6" ht="15" customHeight="1" x14ac:dyDescent="0.2">
      <c r="E10632" s="7"/>
      <c r="F10632" s="7"/>
    </row>
    <row r="10633" spans="5:6" ht="15" customHeight="1" x14ac:dyDescent="0.2">
      <c r="E10633" s="7"/>
      <c r="F10633" s="7"/>
    </row>
    <row r="10634" spans="5:6" ht="15" customHeight="1" x14ac:dyDescent="0.2">
      <c r="E10634" s="7"/>
      <c r="F10634" s="7"/>
    </row>
    <row r="10635" spans="5:6" ht="15" customHeight="1" x14ac:dyDescent="0.2">
      <c r="E10635" s="7"/>
      <c r="F10635" s="7"/>
    </row>
    <row r="10636" spans="5:6" ht="15" customHeight="1" x14ac:dyDescent="0.2">
      <c r="E10636" s="7"/>
      <c r="F10636" s="7"/>
    </row>
    <row r="10637" spans="5:6" ht="15" customHeight="1" x14ac:dyDescent="0.2">
      <c r="E10637" s="7"/>
      <c r="F10637" s="7"/>
    </row>
    <row r="10638" spans="5:6" ht="15" customHeight="1" x14ac:dyDescent="0.2">
      <c r="E10638" s="7"/>
      <c r="F10638" s="7"/>
    </row>
    <row r="10639" spans="5:6" ht="15" customHeight="1" x14ac:dyDescent="0.2">
      <c r="E10639" s="7"/>
      <c r="F10639" s="7"/>
    </row>
    <row r="10640" spans="5:6" ht="15" customHeight="1" x14ac:dyDescent="0.2">
      <c r="E10640" s="7"/>
      <c r="F10640" s="7"/>
    </row>
    <row r="10641" spans="5:6" ht="15" customHeight="1" x14ac:dyDescent="0.2">
      <c r="E10641" s="7"/>
      <c r="F10641" s="7"/>
    </row>
    <row r="10642" spans="5:6" ht="15" customHeight="1" x14ac:dyDescent="0.2">
      <c r="E10642" s="7"/>
      <c r="F10642" s="7"/>
    </row>
    <row r="10643" spans="5:6" ht="15" customHeight="1" x14ac:dyDescent="0.2">
      <c r="E10643" s="7"/>
      <c r="F10643" s="7"/>
    </row>
    <row r="10644" spans="5:6" ht="15" customHeight="1" x14ac:dyDescent="0.2">
      <c r="E10644" s="7"/>
      <c r="F10644" s="7"/>
    </row>
    <row r="10645" spans="5:6" ht="15" customHeight="1" x14ac:dyDescent="0.2">
      <c r="E10645" s="7"/>
      <c r="F10645" s="7"/>
    </row>
    <row r="10646" spans="5:6" ht="15" customHeight="1" x14ac:dyDescent="0.2">
      <c r="E10646" s="7"/>
      <c r="F10646" s="7"/>
    </row>
    <row r="10647" spans="5:6" ht="15" customHeight="1" x14ac:dyDescent="0.2">
      <c r="E10647" s="7"/>
      <c r="F10647" s="7"/>
    </row>
    <row r="10648" spans="5:6" ht="15" customHeight="1" x14ac:dyDescent="0.2">
      <c r="E10648" s="7"/>
      <c r="F10648" s="7"/>
    </row>
    <row r="10649" spans="5:6" ht="15" customHeight="1" x14ac:dyDescent="0.2">
      <c r="E10649" s="7"/>
      <c r="F10649" s="7"/>
    </row>
    <row r="10650" spans="5:6" ht="15" customHeight="1" x14ac:dyDescent="0.2">
      <c r="E10650" s="7"/>
      <c r="F10650" s="7"/>
    </row>
    <row r="10651" spans="5:6" ht="15" customHeight="1" x14ac:dyDescent="0.2">
      <c r="E10651" s="7"/>
      <c r="F10651" s="7"/>
    </row>
    <row r="10652" spans="5:6" ht="15" customHeight="1" x14ac:dyDescent="0.2">
      <c r="E10652" s="7"/>
      <c r="F10652" s="7"/>
    </row>
    <row r="10653" spans="5:6" ht="15" customHeight="1" x14ac:dyDescent="0.2">
      <c r="E10653" s="7"/>
      <c r="F10653" s="7"/>
    </row>
    <row r="10654" spans="5:6" ht="15" customHeight="1" x14ac:dyDescent="0.2">
      <c r="E10654" s="7"/>
      <c r="F10654" s="7"/>
    </row>
    <row r="10655" spans="5:6" ht="15" customHeight="1" x14ac:dyDescent="0.2">
      <c r="E10655" s="7"/>
      <c r="F10655" s="7"/>
    </row>
    <row r="10656" spans="5:6" ht="15" customHeight="1" x14ac:dyDescent="0.2">
      <c r="E10656" s="7"/>
      <c r="F10656" s="7"/>
    </row>
    <row r="10657" spans="5:6" ht="15" customHeight="1" x14ac:dyDescent="0.2">
      <c r="E10657" s="7"/>
      <c r="F10657" s="7"/>
    </row>
    <row r="10658" spans="5:6" ht="15" customHeight="1" x14ac:dyDescent="0.2">
      <c r="E10658" s="7"/>
      <c r="F10658" s="7"/>
    </row>
    <row r="10659" spans="5:6" ht="15" customHeight="1" x14ac:dyDescent="0.2">
      <c r="E10659" s="7"/>
      <c r="F10659" s="7"/>
    </row>
    <row r="10660" spans="5:6" ht="15" customHeight="1" x14ac:dyDescent="0.2">
      <c r="E10660" s="7"/>
      <c r="F10660" s="7"/>
    </row>
    <row r="10661" spans="5:6" ht="15" customHeight="1" x14ac:dyDescent="0.2">
      <c r="E10661" s="7"/>
      <c r="F10661" s="7"/>
    </row>
    <row r="10662" spans="5:6" ht="15" customHeight="1" x14ac:dyDescent="0.2">
      <c r="E10662" s="7"/>
      <c r="F10662" s="7"/>
    </row>
    <row r="10663" spans="5:6" ht="15" customHeight="1" x14ac:dyDescent="0.2">
      <c r="E10663" s="7"/>
      <c r="F10663" s="7"/>
    </row>
    <row r="10664" spans="5:6" ht="15" customHeight="1" x14ac:dyDescent="0.2">
      <c r="E10664" s="7"/>
      <c r="F10664" s="7"/>
    </row>
    <row r="10665" spans="5:6" ht="15" customHeight="1" x14ac:dyDescent="0.2">
      <c r="E10665" s="7"/>
      <c r="F10665" s="7"/>
    </row>
    <row r="10666" spans="5:6" ht="15" customHeight="1" x14ac:dyDescent="0.2">
      <c r="E10666" s="7"/>
      <c r="F10666" s="7"/>
    </row>
    <row r="10667" spans="5:6" ht="15" customHeight="1" x14ac:dyDescent="0.2">
      <c r="E10667" s="7"/>
      <c r="F10667" s="7"/>
    </row>
    <row r="10668" spans="5:6" ht="15" customHeight="1" x14ac:dyDescent="0.2">
      <c r="E10668" s="7"/>
      <c r="F10668" s="7"/>
    </row>
    <row r="10669" spans="5:6" ht="15" customHeight="1" x14ac:dyDescent="0.2">
      <c r="E10669" s="7"/>
      <c r="F10669" s="7"/>
    </row>
    <row r="10670" spans="5:6" ht="15" customHeight="1" x14ac:dyDescent="0.2">
      <c r="E10670" s="7"/>
      <c r="F10670" s="7"/>
    </row>
    <row r="10671" spans="5:6" ht="15" customHeight="1" x14ac:dyDescent="0.2">
      <c r="E10671" s="7"/>
      <c r="F10671" s="7"/>
    </row>
    <row r="10672" spans="5:6" ht="15" customHeight="1" x14ac:dyDescent="0.2">
      <c r="E10672" s="7"/>
      <c r="F10672" s="7"/>
    </row>
    <row r="10673" spans="5:6" ht="15" customHeight="1" x14ac:dyDescent="0.2">
      <c r="E10673" s="7"/>
      <c r="F10673" s="7"/>
    </row>
    <row r="10674" spans="5:6" ht="15" customHeight="1" x14ac:dyDescent="0.2">
      <c r="E10674" s="7"/>
      <c r="F10674" s="7"/>
    </row>
    <row r="10675" spans="5:6" ht="15" customHeight="1" x14ac:dyDescent="0.2">
      <c r="E10675" s="7"/>
      <c r="F10675" s="7"/>
    </row>
    <row r="10676" spans="5:6" ht="15" customHeight="1" x14ac:dyDescent="0.2">
      <c r="E10676" s="7"/>
      <c r="F10676" s="7"/>
    </row>
    <row r="10677" spans="5:6" ht="15" customHeight="1" x14ac:dyDescent="0.2">
      <c r="E10677" s="7"/>
      <c r="F10677" s="7"/>
    </row>
    <row r="10678" spans="5:6" ht="15" customHeight="1" x14ac:dyDescent="0.2">
      <c r="E10678" s="7"/>
      <c r="F10678" s="7"/>
    </row>
    <row r="10679" spans="5:6" ht="15" customHeight="1" x14ac:dyDescent="0.2">
      <c r="E10679" s="7"/>
      <c r="F10679" s="7"/>
    </row>
    <row r="10680" spans="5:6" ht="15" customHeight="1" x14ac:dyDescent="0.2">
      <c r="E10680" s="7"/>
      <c r="F10680" s="7"/>
    </row>
    <row r="10681" spans="5:6" ht="15" customHeight="1" x14ac:dyDescent="0.2">
      <c r="E10681" s="7"/>
      <c r="F10681" s="7"/>
    </row>
    <row r="10682" spans="5:6" ht="15" customHeight="1" x14ac:dyDescent="0.2">
      <c r="E10682" s="7"/>
      <c r="F10682" s="7"/>
    </row>
    <row r="10683" spans="5:6" ht="15" customHeight="1" x14ac:dyDescent="0.2">
      <c r="E10683" s="7"/>
      <c r="F10683" s="7"/>
    </row>
    <row r="10684" spans="5:6" ht="15" customHeight="1" x14ac:dyDescent="0.2">
      <c r="E10684" s="7"/>
      <c r="F10684" s="7"/>
    </row>
    <row r="10685" spans="5:6" ht="15" customHeight="1" x14ac:dyDescent="0.2">
      <c r="E10685" s="7"/>
      <c r="F10685" s="7"/>
    </row>
    <row r="10686" spans="5:6" ht="15" customHeight="1" x14ac:dyDescent="0.2">
      <c r="E10686" s="7"/>
      <c r="F10686" s="7"/>
    </row>
    <row r="10687" spans="5:6" ht="15" customHeight="1" x14ac:dyDescent="0.2">
      <c r="E10687" s="7"/>
      <c r="F10687" s="7"/>
    </row>
    <row r="10688" spans="5:6" ht="15" customHeight="1" x14ac:dyDescent="0.2">
      <c r="E10688" s="7"/>
      <c r="F10688" s="7"/>
    </row>
    <row r="10689" spans="5:6" ht="15" customHeight="1" x14ac:dyDescent="0.2">
      <c r="E10689" s="7"/>
      <c r="F10689" s="7"/>
    </row>
    <row r="10690" spans="5:6" ht="15" customHeight="1" x14ac:dyDescent="0.2">
      <c r="E10690" s="7"/>
      <c r="F10690" s="7"/>
    </row>
    <row r="10691" spans="5:6" ht="15" customHeight="1" x14ac:dyDescent="0.2">
      <c r="E10691" s="7"/>
      <c r="F10691" s="7"/>
    </row>
    <row r="10692" spans="5:6" ht="15" customHeight="1" x14ac:dyDescent="0.2">
      <c r="E10692" s="7"/>
      <c r="F10692" s="7"/>
    </row>
    <row r="10693" spans="5:6" ht="15" customHeight="1" x14ac:dyDescent="0.2">
      <c r="E10693" s="7"/>
      <c r="F10693" s="7"/>
    </row>
    <row r="10694" spans="5:6" ht="15" customHeight="1" x14ac:dyDescent="0.2">
      <c r="E10694" s="7"/>
      <c r="F10694" s="7"/>
    </row>
    <row r="10695" spans="5:6" ht="15" customHeight="1" x14ac:dyDescent="0.2">
      <c r="E10695" s="7"/>
      <c r="F10695" s="7"/>
    </row>
    <row r="10696" spans="5:6" ht="15" customHeight="1" x14ac:dyDescent="0.2">
      <c r="E10696" s="7"/>
      <c r="F10696" s="7"/>
    </row>
    <row r="10697" spans="5:6" ht="15" customHeight="1" x14ac:dyDescent="0.2">
      <c r="E10697" s="7"/>
      <c r="F10697" s="7"/>
    </row>
    <row r="10698" spans="5:6" ht="15" customHeight="1" x14ac:dyDescent="0.2">
      <c r="E10698" s="7"/>
      <c r="F10698" s="7"/>
    </row>
    <row r="10699" spans="5:6" ht="15" customHeight="1" x14ac:dyDescent="0.2">
      <c r="E10699" s="7"/>
      <c r="F10699" s="7"/>
    </row>
    <row r="10700" spans="5:6" ht="15" customHeight="1" x14ac:dyDescent="0.2">
      <c r="E10700" s="7"/>
      <c r="F10700" s="7"/>
    </row>
    <row r="10701" spans="5:6" ht="15" customHeight="1" x14ac:dyDescent="0.2">
      <c r="E10701" s="7"/>
      <c r="F10701" s="7"/>
    </row>
    <row r="10702" spans="5:6" ht="15" customHeight="1" x14ac:dyDescent="0.2">
      <c r="E10702" s="7"/>
      <c r="F10702" s="7"/>
    </row>
    <row r="10703" spans="5:6" ht="15" customHeight="1" x14ac:dyDescent="0.2">
      <c r="E10703" s="7"/>
      <c r="F10703" s="7"/>
    </row>
    <row r="10704" spans="5:6" ht="15" customHeight="1" x14ac:dyDescent="0.2">
      <c r="E10704" s="7"/>
      <c r="F10704" s="7"/>
    </row>
    <row r="10705" spans="5:6" ht="15" customHeight="1" x14ac:dyDescent="0.2">
      <c r="E10705" s="7"/>
      <c r="F10705" s="7"/>
    </row>
    <row r="10706" spans="5:6" ht="15" customHeight="1" x14ac:dyDescent="0.2">
      <c r="E10706" s="7"/>
      <c r="F10706" s="7"/>
    </row>
    <row r="10707" spans="5:6" ht="15" customHeight="1" x14ac:dyDescent="0.2">
      <c r="E10707" s="7"/>
      <c r="F10707" s="7"/>
    </row>
    <row r="10708" spans="5:6" ht="15" customHeight="1" x14ac:dyDescent="0.2">
      <c r="E10708" s="7"/>
      <c r="F10708" s="7"/>
    </row>
    <row r="10709" spans="5:6" ht="15" customHeight="1" x14ac:dyDescent="0.2">
      <c r="E10709" s="7"/>
      <c r="F10709" s="7"/>
    </row>
    <row r="10710" spans="5:6" ht="15" customHeight="1" x14ac:dyDescent="0.2">
      <c r="E10710" s="7"/>
      <c r="F10710" s="7"/>
    </row>
    <row r="10711" spans="5:6" ht="15" customHeight="1" x14ac:dyDescent="0.2">
      <c r="E10711" s="7"/>
      <c r="F10711" s="7"/>
    </row>
    <row r="10712" spans="5:6" ht="15" customHeight="1" x14ac:dyDescent="0.2">
      <c r="E10712" s="7"/>
      <c r="F10712" s="7"/>
    </row>
    <row r="10713" spans="5:6" ht="15" customHeight="1" x14ac:dyDescent="0.2">
      <c r="E10713" s="7"/>
      <c r="F10713" s="7"/>
    </row>
    <row r="10714" spans="5:6" ht="15" customHeight="1" x14ac:dyDescent="0.2">
      <c r="E10714" s="7"/>
      <c r="F10714" s="7"/>
    </row>
    <row r="10715" spans="5:6" ht="15" customHeight="1" x14ac:dyDescent="0.2">
      <c r="E10715" s="7"/>
      <c r="F10715" s="7"/>
    </row>
    <row r="10716" spans="5:6" ht="15" customHeight="1" x14ac:dyDescent="0.2">
      <c r="E10716" s="7"/>
      <c r="F10716" s="7"/>
    </row>
    <row r="10717" spans="5:6" ht="15" customHeight="1" x14ac:dyDescent="0.2">
      <c r="E10717" s="7"/>
      <c r="F10717" s="7"/>
    </row>
    <row r="10718" spans="5:6" ht="15" customHeight="1" x14ac:dyDescent="0.2">
      <c r="E10718" s="7"/>
      <c r="F10718" s="7"/>
    </row>
    <row r="10719" spans="5:6" ht="15" customHeight="1" x14ac:dyDescent="0.2">
      <c r="E10719" s="7"/>
      <c r="F10719" s="7"/>
    </row>
    <row r="10720" spans="5:6" ht="15" customHeight="1" x14ac:dyDescent="0.2">
      <c r="E10720" s="7"/>
      <c r="F10720" s="7"/>
    </row>
    <row r="10721" spans="5:6" ht="15" customHeight="1" x14ac:dyDescent="0.2">
      <c r="E10721" s="7"/>
      <c r="F10721" s="7"/>
    </row>
    <row r="10722" spans="5:6" ht="15" customHeight="1" x14ac:dyDescent="0.2">
      <c r="E10722" s="7"/>
      <c r="F10722" s="7"/>
    </row>
    <row r="10723" spans="5:6" ht="15" customHeight="1" x14ac:dyDescent="0.2">
      <c r="E10723" s="7"/>
      <c r="F10723" s="7"/>
    </row>
    <row r="10724" spans="5:6" ht="15" customHeight="1" x14ac:dyDescent="0.2">
      <c r="E10724" s="7"/>
      <c r="F10724" s="7"/>
    </row>
    <row r="10725" spans="5:6" ht="15" customHeight="1" x14ac:dyDescent="0.2">
      <c r="E10725" s="7"/>
      <c r="F10725" s="7"/>
    </row>
    <row r="10726" spans="5:6" ht="15" customHeight="1" x14ac:dyDescent="0.2">
      <c r="E10726" s="7"/>
      <c r="F10726" s="7"/>
    </row>
    <row r="10727" spans="5:6" ht="15" customHeight="1" x14ac:dyDescent="0.2">
      <c r="E10727" s="7"/>
      <c r="F10727" s="7"/>
    </row>
    <row r="10728" spans="5:6" ht="15" customHeight="1" x14ac:dyDescent="0.2">
      <c r="E10728" s="7"/>
      <c r="F10728" s="7"/>
    </row>
    <row r="10729" spans="5:6" ht="15" customHeight="1" x14ac:dyDescent="0.2">
      <c r="E10729" s="7"/>
      <c r="F10729" s="7"/>
    </row>
    <row r="10730" spans="5:6" ht="15" customHeight="1" x14ac:dyDescent="0.2">
      <c r="E10730" s="7"/>
      <c r="F10730" s="7"/>
    </row>
    <row r="10731" spans="5:6" ht="15" customHeight="1" x14ac:dyDescent="0.2">
      <c r="E10731" s="7"/>
      <c r="F10731" s="7"/>
    </row>
    <row r="10732" spans="5:6" ht="15" customHeight="1" x14ac:dyDescent="0.2">
      <c r="E10732" s="7"/>
      <c r="F10732" s="7"/>
    </row>
    <row r="10733" spans="5:6" ht="15" customHeight="1" x14ac:dyDescent="0.2">
      <c r="E10733" s="7"/>
      <c r="F10733" s="7"/>
    </row>
    <row r="10734" spans="5:6" ht="15" customHeight="1" x14ac:dyDescent="0.2">
      <c r="E10734" s="7"/>
      <c r="F10734" s="7"/>
    </row>
    <row r="10735" spans="5:6" ht="15" customHeight="1" x14ac:dyDescent="0.2">
      <c r="E10735" s="7"/>
      <c r="F10735" s="7"/>
    </row>
    <row r="10736" spans="5:6" ht="15" customHeight="1" x14ac:dyDescent="0.2">
      <c r="E10736" s="7"/>
      <c r="F10736" s="7"/>
    </row>
    <row r="10737" spans="5:6" ht="15" customHeight="1" x14ac:dyDescent="0.2">
      <c r="E10737" s="7"/>
      <c r="F10737" s="7"/>
    </row>
    <row r="10738" spans="5:6" ht="15" customHeight="1" x14ac:dyDescent="0.2">
      <c r="E10738" s="7"/>
      <c r="F10738" s="7"/>
    </row>
    <row r="10739" spans="5:6" ht="15" customHeight="1" x14ac:dyDescent="0.2">
      <c r="E10739" s="7"/>
      <c r="F10739" s="7"/>
    </row>
    <row r="10740" spans="5:6" ht="15" customHeight="1" x14ac:dyDescent="0.2">
      <c r="E10740" s="7"/>
      <c r="F10740" s="7"/>
    </row>
    <row r="10741" spans="5:6" ht="15" customHeight="1" x14ac:dyDescent="0.2">
      <c r="E10741" s="7"/>
      <c r="F10741" s="7"/>
    </row>
    <row r="10742" spans="5:6" ht="15" customHeight="1" x14ac:dyDescent="0.2">
      <c r="E10742" s="7"/>
      <c r="F10742" s="7"/>
    </row>
    <row r="10743" spans="5:6" ht="15" customHeight="1" x14ac:dyDescent="0.2">
      <c r="E10743" s="7"/>
      <c r="F10743" s="7"/>
    </row>
    <row r="10744" spans="5:6" ht="15" customHeight="1" x14ac:dyDescent="0.2">
      <c r="E10744" s="7"/>
      <c r="F10744" s="7"/>
    </row>
    <row r="10745" spans="5:6" ht="15" customHeight="1" x14ac:dyDescent="0.2">
      <c r="E10745" s="7"/>
      <c r="F10745" s="7"/>
    </row>
    <row r="10746" spans="5:6" ht="15" customHeight="1" x14ac:dyDescent="0.2">
      <c r="E10746" s="7"/>
      <c r="F10746" s="7"/>
    </row>
    <row r="10747" spans="5:6" ht="15" customHeight="1" x14ac:dyDescent="0.2">
      <c r="E10747" s="7"/>
      <c r="F10747" s="7"/>
    </row>
    <row r="10748" spans="5:6" ht="15" customHeight="1" x14ac:dyDescent="0.2">
      <c r="E10748" s="7"/>
      <c r="F10748" s="7"/>
    </row>
    <row r="10749" spans="5:6" ht="15" customHeight="1" x14ac:dyDescent="0.2">
      <c r="E10749" s="7"/>
      <c r="F10749" s="7"/>
    </row>
    <row r="10750" spans="5:6" ht="15" customHeight="1" x14ac:dyDescent="0.2">
      <c r="E10750" s="7"/>
      <c r="F10750" s="7"/>
    </row>
    <row r="10751" spans="5:6" ht="15" customHeight="1" x14ac:dyDescent="0.2">
      <c r="E10751" s="7"/>
      <c r="F10751" s="7"/>
    </row>
    <row r="10752" spans="5:6" ht="15" customHeight="1" x14ac:dyDescent="0.2">
      <c r="E10752" s="7"/>
      <c r="F10752" s="7"/>
    </row>
    <row r="10753" spans="5:6" ht="15" customHeight="1" x14ac:dyDescent="0.2">
      <c r="E10753" s="7"/>
      <c r="F10753" s="7"/>
    </row>
    <row r="10754" spans="5:6" ht="15" customHeight="1" x14ac:dyDescent="0.2">
      <c r="E10754" s="7"/>
      <c r="F10754" s="7"/>
    </row>
    <row r="10755" spans="5:6" ht="15" customHeight="1" x14ac:dyDescent="0.2">
      <c r="E10755" s="7"/>
      <c r="F10755" s="7"/>
    </row>
    <row r="10756" spans="5:6" ht="15" customHeight="1" x14ac:dyDescent="0.2">
      <c r="E10756" s="7"/>
      <c r="F10756" s="7"/>
    </row>
    <row r="10757" spans="5:6" ht="15" customHeight="1" x14ac:dyDescent="0.2">
      <c r="E10757" s="7"/>
      <c r="F10757" s="7"/>
    </row>
    <row r="10758" spans="5:6" ht="15" customHeight="1" x14ac:dyDescent="0.2">
      <c r="E10758" s="7"/>
      <c r="F10758" s="7"/>
    </row>
    <row r="10759" spans="5:6" ht="15" customHeight="1" x14ac:dyDescent="0.2">
      <c r="E10759" s="7"/>
      <c r="F10759" s="7"/>
    </row>
    <row r="10760" spans="5:6" ht="15" customHeight="1" x14ac:dyDescent="0.2">
      <c r="E10760" s="7"/>
      <c r="F10760" s="7"/>
    </row>
    <row r="10761" spans="5:6" ht="15" customHeight="1" x14ac:dyDescent="0.2">
      <c r="E10761" s="7"/>
      <c r="F10761" s="7"/>
    </row>
    <row r="10762" spans="5:6" ht="15" customHeight="1" x14ac:dyDescent="0.2">
      <c r="E10762" s="7"/>
      <c r="F10762" s="7"/>
    </row>
    <row r="10763" spans="5:6" ht="15" customHeight="1" x14ac:dyDescent="0.2">
      <c r="E10763" s="7"/>
      <c r="F10763" s="7"/>
    </row>
    <row r="10764" spans="5:6" ht="15" customHeight="1" x14ac:dyDescent="0.2">
      <c r="E10764" s="7"/>
      <c r="F10764" s="7"/>
    </row>
    <row r="10765" spans="5:6" ht="15" customHeight="1" x14ac:dyDescent="0.2">
      <c r="E10765" s="7"/>
      <c r="F10765" s="7"/>
    </row>
    <row r="10766" spans="5:6" ht="15" customHeight="1" x14ac:dyDescent="0.2">
      <c r="E10766" s="7"/>
      <c r="F10766" s="7"/>
    </row>
    <row r="10767" spans="5:6" ht="15" customHeight="1" x14ac:dyDescent="0.2">
      <c r="E10767" s="7"/>
      <c r="F10767" s="7"/>
    </row>
    <row r="10768" spans="5:6" ht="15" customHeight="1" x14ac:dyDescent="0.2">
      <c r="E10768" s="7"/>
      <c r="F10768" s="7"/>
    </row>
    <row r="10769" spans="5:6" ht="15" customHeight="1" x14ac:dyDescent="0.2">
      <c r="E10769" s="7"/>
      <c r="F10769" s="7"/>
    </row>
    <row r="10770" spans="5:6" ht="15" customHeight="1" x14ac:dyDescent="0.2">
      <c r="E10770" s="7"/>
      <c r="F10770" s="7"/>
    </row>
    <row r="10771" spans="5:6" ht="15" customHeight="1" x14ac:dyDescent="0.2">
      <c r="E10771" s="7"/>
      <c r="F10771" s="7"/>
    </row>
    <row r="10772" spans="5:6" ht="15" customHeight="1" x14ac:dyDescent="0.2">
      <c r="E10772" s="7"/>
      <c r="F10772" s="7"/>
    </row>
    <row r="10773" spans="5:6" ht="15" customHeight="1" x14ac:dyDescent="0.2">
      <c r="E10773" s="7"/>
      <c r="F10773" s="7"/>
    </row>
    <row r="10774" spans="5:6" ht="15" customHeight="1" x14ac:dyDescent="0.2">
      <c r="E10774" s="7"/>
      <c r="F10774" s="7"/>
    </row>
    <row r="10775" spans="5:6" ht="15" customHeight="1" x14ac:dyDescent="0.2">
      <c r="E10775" s="7"/>
      <c r="F10775" s="7"/>
    </row>
    <row r="10776" spans="5:6" ht="15" customHeight="1" x14ac:dyDescent="0.2">
      <c r="E10776" s="7"/>
      <c r="F10776" s="7"/>
    </row>
    <row r="10777" spans="5:6" ht="15" customHeight="1" x14ac:dyDescent="0.2">
      <c r="E10777" s="7"/>
      <c r="F10777" s="7"/>
    </row>
    <row r="10778" spans="5:6" ht="15" customHeight="1" x14ac:dyDescent="0.2">
      <c r="E10778" s="7"/>
      <c r="F10778" s="7"/>
    </row>
    <row r="10779" spans="5:6" ht="15" customHeight="1" x14ac:dyDescent="0.2">
      <c r="E10779" s="7"/>
      <c r="F10779" s="7"/>
    </row>
    <row r="10780" spans="5:6" ht="15" customHeight="1" x14ac:dyDescent="0.2">
      <c r="E10780" s="7"/>
      <c r="F10780" s="7"/>
    </row>
    <row r="10781" spans="5:6" ht="15" customHeight="1" x14ac:dyDescent="0.2">
      <c r="E10781" s="7"/>
      <c r="F10781" s="7"/>
    </row>
    <row r="10782" spans="5:6" ht="15" customHeight="1" x14ac:dyDescent="0.2">
      <c r="E10782" s="7"/>
      <c r="F10782" s="7"/>
    </row>
    <row r="10783" spans="5:6" ht="15" customHeight="1" x14ac:dyDescent="0.2">
      <c r="E10783" s="7"/>
      <c r="F10783" s="7"/>
    </row>
    <row r="10784" spans="5:6" ht="15" customHeight="1" x14ac:dyDescent="0.2">
      <c r="E10784" s="7"/>
      <c r="F10784" s="7"/>
    </row>
    <row r="10785" spans="5:6" ht="15" customHeight="1" x14ac:dyDescent="0.2">
      <c r="E10785" s="7"/>
      <c r="F10785" s="7"/>
    </row>
    <row r="10786" spans="5:6" ht="15" customHeight="1" x14ac:dyDescent="0.2">
      <c r="E10786" s="7"/>
      <c r="F10786" s="7"/>
    </row>
    <row r="10787" spans="5:6" ht="15" customHeight="1" x14ac:dyDescent="0.2">
      <c r="E10787" s="7"/>
      <c r="F10787" s="7"/>
    </row>
    <row r="10788" spans="5:6" ht="15" customHeight="1" x14ac:dyDescent="0.2">
      <c r="E10788" s="7"/>
      <c r="F10788" s="7"/>
    </row>
    <row r="10789" spans="5:6" ht="15" customHeight="1" x14ac:dyDescent="0.2">
      <c r="E10789" s="7"/>
      <c r="F10789" s="7"/>
    </row>
    <row r="10790" spans="5:6" ht="15" customHeight="1" x14ac:dyDescent="0.2">
      <c r="E10790" s="7"/>
      <c r="F10790" s="7"/>
    </row>
    <row r="10791" spans="5:6" ht="15" customHeight="1" x14ac:dyDescent="0.2">
      <c r="E10791" s="7"/>
      <c r="F10791" s="7"/>
    </row>
    <row r="10792" spans="5:6" ht="15" customHeight="1" x14ac:dyDescent="0.2">
      <c r="E10792" s="7"/>
      <c r="F10792" s="7"/>
    </row>
    <row r="10793" spans="5:6" ht="15" customHeight="1" x14ac:dyDescent="0.2">
      <c r="E10793" s="7"/>
      <c r="F10793" s="7"/>
    </row>
    <row r="10794" spans="5:6" ht="15" customHeight="1" x14ac:dyDescent="0.2">
      <c r="E10794" s="7"/>
      <c r="F10794" s="7"/>
    </row>
    <row r="10795" spans="5:6" ht="15" customHeight="1" x14ac:dyDescent="0.2">
      <c r="E10795" s="7"/>
      <c r="F10795" s="7"/>
    </row>
    <row r="10796" spans="5:6" ht="15" customHeight="1" x14ac:dyDescent="0.2">
      <c r="E10796" s="7"/>
      <c r="F10796" s="7"/>
    </row>
    <row r="10797" spans="5:6" ht="15" customHeight="1" x14ac:dyDescent="0.2">
      <c r="E10797" s="7"/>
      <c r="F10797" s="7"/>
    </row>
    <row r="10798" spans="5:6" ht="15" customHeight="1" x14ac:dyDescent="0.2">
      <c r="E10798" s="7"/>
      <c r="F10798" s="7"/>
    </row>
    <row r="10799" spans="5:6" ht="15" customHeight="1" x14ac:dyDescent="0.2">
      <c r="E10799" s="7"/>
      <c r="F10799" s="7"/>
    </row>
    <row r="10800" spans="5:6" ht="15" customHeight="1" x14ac:dyDescent="0.2">
      <c r="E10800" s="7"/>
      <c r="F10800" s="7"/>
    </row>
    <row r="10801" spans="5:6" ht="15" customHeight="1" x14ac:dyDescent="0.2">
      <c r="E10801" s="7"/>
      <c r="F10801" s="7"/>
    </row>
    <row r="10802" spans="5:6" ht="15" customHeight="1" x14ac:dyDescent="0.2">
      <c r="E10802" s="7"/>
      <c r="F10802" s="7"/>
    </row>
    <row r="10803" spans="5:6" ht="15" customHeight="1" x14ac:dyDescent="0.2">
      <c r="E10803" s="7"/>
      <c r="F10803" s="7"/>
    </row>
    <row r="10804" spans="5:6" ht="15" customHeight="1" x14ac:dyDescent="0.2">
      <c r="E10804" s="7"/>
      <c r="F10804" s="7"/>
    </row>
    <row r="10805" spans="5:6" ht="15" customHeight="1" x14ac:dyDescent="0.2">
      <c r="E10805" s="7"/>
      <c r="F10805" s="7"/>
    </row>
    <row r="10806" spans="5:6" ht="15" customHeight="1" x14ac:dyDescent="0.2">
      <c r="E10806" s="7"/>
      <c r="F10806" s="7"/>
    </row>
    <row r="10807" spans="5:6" ht="15" customHeight="1" x14ac:dyDescent="0.2">
      <c r="E10807" s="7"/>
      <c r="F10807" s="7"/>
    </row>
    <row r="10808" spans="5:6" ht="15" customHeight="1" x14ac:dyDescent="0.2">
      <c r="E10808" s="7"/>
      <c r="F10808" s="7"/>
    </row>
    <row r="10809" spans="5:6" ht="15" customHeight="1" x14ac:dyDescent="0.2">
      <c r="E10809" s="7"/>
      <c r="F10809" s="7"/>
    </row>
    <row r="10810" spans="5:6" ht="15" customHeight="1" x14ac:dyDescent="0.2">
      <c r="E10810" s="7"/>
      <c r="F10810" s="7"/>
    </row>
    <row r="10811" spans="5:6" ht="15" customHeight="1" x14ac:dyDescent="0.2">
      <c r="E10811" s="7"/>
      <c r="F10811" s="7"/>
    </row>
    <row r="10812" spans="5:6" ht="15" customHeight="1" x14ac:dyDescent="0.2">
      <c r="E10812" s="7"/>
      <c r="F10812" s="7"/>
    </row>
    <row r="10813" spans="5:6" ht="15" customHeight="1" x14ac:dyDescent="0.2">
      <c r="E10813" s="7"/>
      <c r="F10813" s="7"/>
    </row>
    <row r="10814" spans="5:6" ht="15" customHeight="1" x14ac:dyDescent="0.2">
      <c r="E10814" s="7"/>
      <c r="F10814" s="7"/>
    </row>
    <row r="10815" spans="5:6" ht="15" customHeight="1" x14ac:dyDescent="0.2">
      <c r="E10815" s="7"/>
      <c r="F10815" s="7"/>
    </row>
    <row r="10816" spans="5:6" ht="15" customHeight="1" x14ac:dyDescent="0.2">
      <c r="E10816" s="7"/>
      <c r="F10816" s="7"/>
    </row>
    <row r="10817" spans="5:6" ht="15" customHeight="1" x14ac:dyDescent="0.2">
      <c r="E10817" s="7"/>
      <c r="F10817" s="7"/>
    </row>
    <row r="10818" spans="5:6" ht="15" customHeight="1" x14ac:dyDescent="0.2">
      <c r="E10818" s="7"/>
      <c r="F10818" s="7"/>
    </row>
    <row r="10819" spans="5:6" ht="15" customHeight="1" x14ac:dyDescent="0.2">
      <c r="E10819" s="7"/>
      <c r="F10819" s="7"/>
    </row>
    <row r="10820" spans="5:6" ht="15" customHeight="1" x14ac:dyDescent="0.2">
      <c r="E10820" s="7"/>
      <c r="F10820" s="7"/>
    </row>
    <row r="10821" spans="5:6" ht="15" customHeight="1" x14ac:dyDescent="0.2">
      <c r="E10821" s="7"/>
      <c r="F10821" s="7"/>
    </row>
    <row r="10822" spans="5:6" ht="15" customHeight="1" x14ac:dyDescent="0.2">
      <c r="E10822" s="7"/>
      <c r="F10822" s="7"/>
    </row>
    <row r="10823" spans="5:6" ht="15" customHeight="1" x14ac:dyDescent="0.2">
      <c r="E10823" s="7"/>
      <c r="F10823" s="7"/>
    </row>
    <row r="10824" spans="5:6" ht="15" customHeight="1" x14ac:dyDescent="0.2">
      <c r="E10824" s="7"/>
      <c r="F10824" s="7"/>
    </row>
    <row r="10825" spans="5:6" ht="15" customHeight="1" x14ac:dyDescent="0.2">
      <c r="E10825" s="7"/>
      <c r="F10825" s="7"/>
    </row>
    <row r="10826" spans="5:6" ht="15" customHeight="1" x14ac:dyDescent="0.2">
      <c r="E10826" s="7"/>
      <c r="F10826" s="7"/>
    </row>
    <row r="10827" spans="5:6" ht="15" customHeight="1" x14ac:dyDescent="0.2">
      <c r="E10827" s="7"/>
      <c r="F10827" s="7"/>
    </row>
    <row r="10828" spans="5:6" ht="15" customHeight="1" x14ac:dyDescent="0.2">
      <c r="E10828" s="7"/>
      <c r="F10828" s="7"/>
    </row>
    <row r="10829" spans="5:6" ht="15" customHeight="1" x14ac:dyDescent="0.2">
      <c r="E10829" s="7"/>
      <c r="F10829" s="7"/>
    </row>
    <row r="10830" spans="5:6" ht="15" customHeight="1" x14ac:dyDescent="0.2">
      <c r="E10830" s="7"/>
      <c r="F10830" s="7"/>
    </row>
    <row r="10831" spans="5:6" ht="15" customHeight="1" x14ac:dyDescent="0.2">
      <c r="E10831" s="7"/>
      <c r="F10831" s="7"/>
    </row>
    <row r="10832" spans="5:6" ht="15" customHeight="1" x14ac:dyDescent="0.2">
      <c r="E10832" s="7"/>
      <c r="F10832" s="7"/>
    </row>
    <row r="10833" spans="5:6" ht="15" customHeight="1" x14ac:dyDescent="0.2">
      <c r="E10833" s="7"/>
      <c r="F10833" s="7"/>
    </row>
    <row r="10834" spans="5:6" ht="15" customHeight="1" x14ac:dyDescent="0.2">
      <c r="E10834" s="7"/>
      <c r="F10834" s="7"/>
    </row>
    <row r="10835" spans="5:6" ht="15" customHeight="1" x14ac:dyDescent="0.2">
      <c r="E10835" s="7"/>
      <c r="F10835" s="7"/>
    </row>
    <row r="10836" spans="5:6" ht="15" customHeight="1" x14ac:dyDescent="0.2">
      <c r="E10836" s="7"/>
      <c r="F10836" s="7"/>
    </row>
    <row r="10837" spans="5:6" ht="15" customHeight="1" x14ac:dyDescent="0.2">
      <c r="E10837" s="7"/>
      <c r="F10837" s="7"/>
    </row>
    <row r="10838" spans="5:6" ht="15" customHeight="1" x14ac:dyDescent="0.2">
      <c r="E10838" s="7"/>
      <c r="F10838" s="7"/>
    </row>
    <row r="10839" spans="5:6" ht="15" customHeight="1" x14ac:dyDescent="0.2">
      <c r="E10839" s="7"/>
      <c r="F10839" s="7"/>
    </row>
    <row r="10840" spans="5:6" ht="15" customHeight="1" x14ac:dyDescent="0.2">
      <c r="E10840" s="7"/>
      <c r="F10840" s="7"/>
    </row>
    <row r="10841" spans="5:6" ht="15" customHeight="1" x14ac:dyDescent="0.2">
      <c r="E10841" s="7"/>
      <c r="F10841" s="7"/>
    </row>
    <row r="10842" spans="5:6" ht="15" customHeight="1" x14ac:dyDescent="0.2">
      <c r="E10842" s="7"/>
      <c r="F10842" s="7"/>
    </row>
    <row r="10843" spans="5:6" ht="15" customHeight="1" x14ac:dyDescent="0.2">
      <c r="E10843" s="7"/>
      <c r="F10843" s="7"/>
    </row>
    <row r="10844" spans="5:6" ht="15" customHeight="1" x14ac:dyDescent="0.2">
      <c r="E10844" s="7"/>
      <c r="F10844" s="7"/>
    </row>
    <row r="10845" spans="5:6" ht="15" customHeight="1" x14ac:dyDescent="0.2">
      <c r="E10845" s="7"/>
      <c r="F10845" s="7"/>
    </row>
    <row r="10846" spans="5:6" ht="15" customHeight="1" x14ac:dyDescent="0.2">
      <c r="E10846" s="7"/>
      <c r="F10846" s="7"/>
    </row>
    <row r="10847" spans="5:6" ht="15" customHeight="1" x14ac:dyDescent="0.2">
      <c r="E10847" s="7"/>
      <c r="F10847" s="7"/>
    </row>
    <row r="10848" spans="5:6" ht="15" customHeight="1" x14ac:dyDescent="0.2">
      <c r="E10848" s="7"/>
      <c r="F10848" s="7"/>
    </row>
    <row r="10849" spans="5:6" ht="15" customHeight="1" x14ac:dyDescent="0.2">
      <c r="E10849" s="7"/>
      <c r="F10849" s="7"/>
    </row>
    <row r="10850" spans="5:6" ht="15" customHeight="1" x14ac:dyDescent="0.2">
      <c r="E10850" s="7"/>
      <c r="F10850" s="7"/>
    </row>
    <row r="10851" spans="5:6" ht="15" customHeight="1" x14ac:dyDescent="0.2">
      <c r="E10851" s="7"/>
      <c r="F10851" s="7"/>
    </row>
    <row r="10852" spans="5:6" ht="15" customHeight="1" x14ac:dyDescent="0.2">
      <c r="E10852" s="7"/>
      <c r="F10852" s="7"/>
    </row>
    <row r="10853" spans="5:6" ht="15" customHeight="1" x14ac:dyDescent="0.2">
      <c r="E10853" s="7"/>
      <c r="F10853" s="7"/>
    </row>
    <row r="10854" spans="5:6" ht="15" customHeight="1" x14ac:dyDescent="0.2">
      <c r="E10854" s="7"/>
      <c r="F10854" s="7"/>
    </row>
    <row r="10855" spans="5:6" ht="15" customHeight="1" x14ac:dyDescent="0.2">
      <c r="E10855" s="7"/>
      <c r="F10855" s="7"/>
    </row>
    <row r="10856" spans="5:6" ht="15" customHeight="1" x14ac:dyDescent="0.2">
      <c r="E10856" s="7"/>
      <c r="F10856" s="7"/>
    </row>
    <row r="10857" spans="5:6" ht="15" customHeight="1" x14ac:dyDescent="0.2">
      <c r="E10857" s="7"/>
      <c r="F10857" s="7"/>
    </row>
    <row r="10858" spans="5:6" ht="15" customHeight="1" x14ac:dyDescent="0.2">
      <c r="E10858" s="7"/>
      <c r="F10858" s="7"/>
    </row>
    <row r="10859" spans="5:6" ht="15" customHeight="1" x14ac:dyDescent="0.2">
      <c r="E10859" s="7"/>
      <c r="F10859" s="7"/>
    </row>
    <row r="10860" spans="5:6" ht="15" customHeight="1" x14ac:dyDescent="0.2">
      <c r="E10860" s="7"/>
      <c r="F10860" s="7"/>
    </row>
    <row r="10861" spans="5:6" ht="15" customHeight="1" x14ac:dyDescent="0.2">
      <c r="E10861" s="7"/>
      <c r="F10861" s="7"/>
    </row>
    <row r="10862" spans="5:6" ht="15" customHeight="1" x14ac:dyDescent="0.2">
      <c r="E10862" s="7"/>
      <c r="F10862" s="7"/>
    </row>
    <row r="10863" spans="5:6" ht="15" customHeight="1" x14ac:dyDescent="0.2">
      <c r="E10863" s="7"/>
      <c r="F10863" s="7"/>
    </row>
    <row r="10864" spans="5:6" ht="15" customHeight="1" x14ac:dyDescent="0.2">
      <c r="E10864" s="7"/>
      <c r="F10864" s="7"/>
    </row>
    <row r="10865" spans="5:6" ht="15" customHeight="1" x14ac:dyDescent="0.2">
      <c r="E10865" s="7"/>
      <c r="F10865" s="7"/>
    </row>
    <row r="10866" spans="5:6" ht="15" customHeight="1" x14ac:dyDescent="0.2">
      <c r="E10866" s="7"/>
      <c r="F10866" s="7"/>
    </row>
    <row r="10867" spans="5:6" ht="15" customHeight="1" x14ac:dyDescent="0.2">
      <c r="E10867" s="7"/>
      <c r="F10867" s="7"/>
    </row>
    <row r="10868" spans="5:6" ht="15" customHeight="1" x14ac:dyDescent="0.2">
      <c r="E10868" s="7"/>
      <c r="F10868" s="7"/>
    </row>
    <row r="10869" spans="5:6" ht="15" customHeight="1" x14ac:dyDescent="0.2">
      <c r="E10869" s="7"/>
      <c r="F10869" s="7"/>
    </row>
    <row r="10870" spans="5:6" ht="15" customHeight="1" x14ac:dyDescent="0.2">
      <c r="E10870" s="7"/>
      <c r="F10870" s="7"/>
    </row>
    <row r="10871" spans="5:6" ht="15" customHeight="1" x14ac:dyDescent="0.2">
      <c r="E10871" s="7"/>
      <c r="F10871" s="7"/>
    </row>
    <row r="10872" spans="5:6" ht="15" customHeight="1" x14ac:dyDescent="0.2">
      <c r="E10872" s="7"/>
      <c r="F10872" s="7"/>
    </row>
    <row r="10873" spans="5:6" ht="15" customHeight="1" x14ac:dyDescent="0.2">
      <c r="E10873" s="7"/>
      <c r="F10873" s="7"/>
    </row>
    <row r="10874" spans="5:6" ht="15" customHeight="1" x14ac:dyDescent="0.2">
      <c r="E10874" s="7"/>
      <c r="F10874" s="7"/>
    </row>
    <row r="10875" spans="5:6" ht="15" customHeight="1" x14ac:dyDescent="0.2">
      <c r="E10875" s="7"/>
      <c r="F10875" s="7"/>
    </row>
    <row r="10876" spans="5:6" ht="15" customHeight="1" x14ac:dyDescent="0.2">
      <c r="E10876" s="7"/>
      <c r="F10876" s="7"/>
    </row>
    <row r="10877" spans="5:6" ht="15" customHeight="1" x14ac:dyDescent="0.2">
      <c r="E10877" s="7"/>
      <c r="F10877" s="7"/>
    </row>
    <row r="10878" spans="5:6" ht="15" customHeight="1" x14ac:dyDescent="0.2">
      <c r="E10878" s="7"/>
      <c r="F10878" s="7"/>
    </row>
    <row r="10879" spans="5:6" ht="15" customHeight="1" x14ac:dyDescent="0.2">
      <c r="E10879" s="7"/>
      <c r="F10879" s="7"/>
    </row>
    <row r="10880" spans="5:6" ht="15" customHeight="1" x14ac:dyDescent="0.2">
      <c r="E10880" s="7"/>
      <c r="F10880" s="7"/>
    </row>
    <row r="10881" spans="5:6" ht="15" customHeight="1" x14ac:dyDescent="0.2">
      <c r="E10881" s="7"/>
      <c r="F10881" s="7"/>
    </row>
    <row r="10882" spans="5:6" ht="15" customHeight="1" x14ac:dyDescent="0.2">
      <c r="E10882" s="7"/>
      <c r="F10882" s="7"/>
    </row>
    <row r="10883" spans="5:6" ht="15" customHeight="1" x14ac:dyDescent="0.2">
      <c r="E10883" s="7"/>
      <c r="F10883" s="7"/>
    </row>
    <row r="10884" spans="5:6" ht="15" customHeight="1" x14ac:dyDescent="0.2">
      <c r="E10884" s="7"/>
      <c r="F10884" s="7"/>
    </row>
    <row r="10885" spans="5:6" ht="15" customHeight="1" x14ac:dyDescent="0.2">
      <c r="E10885" s="7"/>
      <c r="F10885" s="7"/>
    </row>
    <row r="10886" spans="5:6" ht="15" customHeight="1" x14ac:dyDescent="0.2">
      <c r="E10886" s="7"/>
      <c r="F10886" s="7"/>
    </row>
    <row r="10887" spans="5:6" ht="15" customHeight="1" x14ac:dyDescent="0.2">
      <c r="E10887" s="7"/>
      <c r="F10887" s="7"/>
    </row>
    <row r="10888" spans="5:6" ht="15" customHeight="1" x14ac:dyDescent="0.2">
      <c r="E10888" s="7"/>
      <c r="F10888" s="7"/>
    </row>
    <row r="10889" spans="5:6" ht="15" customHeight="1" x14ac:dyDescent="0.2">
      <c r="E10889" s="7"/>
      <c r="F10889" s="7"/>
    </row>
    <row r="10890" spans="5:6" ht="15" customHeight="1" x14ac:dyDescent="0.2">
      <c r="E10890" s="7"/>
      <c r="F10890" s="7"/>
    </row>
    <row r="10891" spans="5:6" ht="15" customHeight="1" x14ac:dyDescent="0.2">
      <c r="E10891" s="7"/>
      <c r="F10891" s="7"/>
    </row>
    <row r="10892" spans="5:6" ht="15" customHeight="1" x14ac:dyDescent="0.2">
      <c r="E10892" s="7"/>
      <c r="F10892" s="7"/>
    </row>
    <row r="10893" spans="5:6" ht="15" customHeight="1" x14ac:dyDescent="0.2">
      <c r="E10893" s="7"/>
      <c r="F10893" s="7"/>
    </row>
    <row r="10894" spans="5:6" ht="15" customHeight="1" x14ac:dyDescent="0.2">
      <c r="E10894" s="7"/>
      <c r="F10894" s="7"/>
    </row>
    <row r="10895" spans="5:6" ht="15" customHeight="1" x14ac:dyDescent="0.2">
      <c r="E10895" s="7"/>
      <c r="F10895" s="7"/>
    </row>
    <row r="10896" spans="5:6" ht="15" customHeight="1" x14ac:dyDescent="0.2">
      <c r="E10896" s="7"/>
      <c r="F10896" s="7"/>
    </row>
    <row r="10897" spans="5:6" ht="15" customHeight="1" x14ac:dyDescent="0.2">
      <c r="E10897" s="7"/>
      <c r="F10897" s="7"/>
    </row>
    <row r="10898" spans="5:6" ht="15" customHeight="1" x14ac:dyDescent="0.2">
      <c r="E10898" s="7"/>
      <c r="F10898" s="7"/>
    </row>
    <row r="10899" spans="5:6" ht="15" customHeight="1" x14ac:dyDescent="0.2">
      <c r="E10899" s="7"/>
      <c r="F10899" s="7"/>
    </row>
    <row r="10900" spans="5:6" ht="15" customHeight="1" x14ac:dyDescent="0.2">
      <c r="E10900" s="7"/>
      <c r="F10900" s="7"/>
    </row>
    <row r="10901" spans="5:6" ht="15" customHeight="1" x14ac:dyDescent="0.2">
      <c r="E10901" s="7"/>
      <c r="F10901" s="7"/>
    </row>
    <row r="10902" spans="5:6" ht="15" customHeight="1" x14ac:dyDescent="0.2">
      <c r="E10902" s="7"/>
      <c r="F10902" s="7"/>
    </row>
    <row r="10903" spans="5:6" ht="15" customHeight="1" x14ac:dyDescent="0.2">
      <c r="E10903" s="7"/>
      <c r="F10903" s="7"/>
    </row>
    <row r="10904" spans="5:6" ht="15" customHeight="1" x14ac:dyDescent="0.2">
      <c r="E10904" s="7"/>
      <c r="F10904" s="7"/>
    </row>
    <row r="10905" spans="5:6" ht="15" customHeight="1" x14ac:dyDescent="0.2">
      <c r="E10905" s="7"/>
      <c r="F10905" s="7"/>
    </row>
    <row r="10906" spans="5:6" ht="15" customHeight="1" x14ac:dyDescent="0.2">
      <c r="E10906" s="7"/>
      <c r="F10906" s="7"/>
    </row>
    <row r="10907" spans="5:6" ht="15" customHeight="1" x14ac:dyDescent="0.2">
      <c r="E10907" s="7"/>
      <c r="F10907" s="7"/>
    </row>
    <row r="10908" spans="5:6" ht="15" customHeight="1" x14ac:dyDescent="0.2">
      <c r="E10908" s="7"/>
      <c r="F10908" s="7"/>
    </row>
    <row r="10909" spans="5:6" ht="15" customHeight="1" x14ac:dyDescent="0.2">
      <c r="E10909" s="7"/>
      <c r="F10909" s="7"/>
    </row>
    <row r="10910" spans="5:6" ht="15" customHeight="1" x14ac:dyDescent="0.2">
      <c r="E10910" s="7"/>
      <c r="F10910" s="7"/>
    </row>
    <row r="10911" spans="5:6" ht="15" customHeight="1" x14ac:dyDescent="0.2">
      <c r="E10911" s="7"/>
      <c r="F10911" s="7"/>
    </row>
    <row r="10912" spans="5:6" ht="15" customHeight="1" x14ac:dyDescent="0.2">
      <c r="E10912" s="7"/>
      <c r="F10912" s="7"/>
    </row>
    <row r="10913" spans="5:6" ht="15" customHeight="1" x14ac:dyDescent="0.2">
      <c r="E10913" s="7"/>
      <c r="F10913" s="7"/>
    </row>
    <row r="10914" spans="5:6" ht="15" customHeight="1" x14ac:dyDescent="0.2">
      <c r="E10914" s="7"/>
      <c r="F10914" s="7"/>
    </row>
    <row r="10915" spans="5:6" ht="15" customHeight="1" x14ac:dyDescent="0.2">
      <c r="E10915" s="7"/>
      <c r="F10915" s="7"/>
    </row>
    <row r="10916" spans="5:6" ht="15" customHeight="1" x14ac:dyDescent="0.2">
      <c r="E10916" s="7"/>
      <c r="F10916" s="7"/>
    </row>
    <row r="10917" spans="5:6" ht="15" customHeight="1" x14ac:dyDescent="0.2">
      <c r="E10917" s="7"/>
      <c r="F10917" s="7"/>
    </row>
    <row r="10918" spans="5:6" ht="15" customHeight="1" x14ac:dyDescent="0.2">
      <c r="E10918" s="7"/>
      <c r="F10918" s="7"/>
    </row>
    <row r="10919" spans="5:6" ht="15" customHeight="1" x14ac:dyDescent="0.2">
      <c r="E10919" s="7"/>
      <c r="F10919" s="7"/>
    </row>
    <row r="10920" spans="5:6" ht="15" customHeight="1" x14ac:dyDescent="0.2">
      <c r="E10920" s="7"/>
      <c r="F10920" s="7"/>
    </row>
    <row r="10921" spans="5:6" ht="15" customHeight="1" x14ac:dyDescent="0.2">
      <c r="E10921" s="7"/>
      <c r="F10921" s="7"/>
    </row>
    <row r="10922" spans="5:6" ht="15" customHeight="1" x14ac:dyDescent="0.2">
      <c r="E10922" s="7"/>
      <c r="F10922" s="7"/>
    </row>
    <row r="10923" spans="5:6" ht="15" customHeight="1" x14ac:dyDescent="0.2">
      <c r="E10923" s="7"/>
      <c r="F10923" s="7"/>
    </row>
    <row r="10924" spans="5:6" ht="15" customHeight="1" x14ac:dyDescent="0.2">
      <c r="E10924" s="7"/>
      <c r="F10924" s="7"/>
    </row>
    <row r="10925" spans="5:6" ht="15" customHeight="1" x14ac:dyDescent="0.2">
      <c r="E10925" s="7"/>
      <c r="F10925" s="7"/>
    </row>
    <row r="10926" spans="5:6" ht="15" customHeight="1" x14ac:dyDescent="0.2">
      <c r="E10926" s="7"/>
      <c r="F10926" s="7"/>
    </row>
    <row r="10927" spans="5:6" ht="15" customHeight="1" x14ac:dyDescent="0.2">
      <c r="E10927" s="7"/>
      <c r="F10927" s="7"/>
    </row>
    <row r="10928" spans="5:6" ht="15" customHeight="1" x14ac:dyDescent="0.2">
      <c r="E10928" s="7"/>
      <c r="F10928" s="7"/>
    </row>
    <row r="10929" spans="5:6" ht="15" customHeight="1" x14ac:dyDescent="0.2">
      <c r="E10929" s="7"/>
      <c r="F10929" s="7"/>
    </row>
    <row r="10930" spans="5:6" ht="15" customHeight="1" x14ac:dyDescent="0.2">
      <c r="E10930" s="7"/>
      <c r="F10930" s="7"/>
    </row>
    <row r="10931" spans="5:6" ht="15" customHeight="1" x14ac:dyDescent="0.2">
      <c r="E10931" s="7"/>
      <c r="F10931" s="7"/>
    </row>
    <row r="10932" spans="5:6" ht="15" customHeight="1" x14ac:dyDescent="0.2">
      <c r="E10932" s="7"/>
      <c r="F10932" s="7"/>
    </row>
    <row r="10933" spans="5:6" ht="15" customHeight="1" x14ac:dyDescent="0.2">
      <c r="E10933" s="7"/>
      <c r="F10933" s="7"/>
    </row>
    <row r="10934" spans="5:6" ht="15" customHeight="1" x14ac:dyDescent="0.2">
      <c r="E10934" s="7"/>
      <c r="F10934" s="7"/>
    </row>
    <row r="10935" spans="5:6" ht="15" customHeight="1" x14ac:dyDescent="0.2">
      <c r="E10935" s="7"/>
      <c r="F10935" s="7"/>
    </row>
    <row r="10936" spans="5:6" ht="15" customHeight="1" x14ac:dyDescent="0.2">
      <c r="E10936" s="7"/>
      <c r="F10936" s="7"/>
    </row>
    <row r="10937" spans="5:6" ht="15" customHeight="1" x14ac:dyDescent="0.2">
      <c r="E10937" s="7"/>
      <c r="F10937" s="7"/>
    </row>
    <row r="10938" spans="5:6" ht="15" customHeight="1" x14ac:dyDescent="0.2">
      <c r="E10938" s="7"/>
      <c r="F10938" s="7"/>
    </row>
    <row r="10939" spans="5:6" ht="15" customHeight="1" x14ac:dyDescent="0.2">
      <c r="E10939" s="7"/>
      <c r="F10939" s="7"/>
    </row>
    <row r="10940" spans="5:6" ht="15" customHeight="1" x14ac:dyDescent="0.2">
      <c r="E10940" s="7"/>
      <c r="F10940" s="7"/>
    </row>
    <row r="10941" spans="5:6" ht="15" customHeight="1" x14ac:dyDescent="0.2">
      <c r="E10941" s="7"/>
      <c r="F10941" s="7"/>
    </row>
    <row r="10942" spans="5:6" ht="15" customHeight="1" x14ac:dyDescent="0.2">
      <c r="E10942" s="7"/>
      <c r="F10942" s="7"/>
    </row>
    <row r="10943" spans="5:6" ht="15" customHeight="1" x14ac:dyDescent="0.2">
      <c r="E10943" s="7"/>
      <c r="F10943" s="7"/>
    </row>
    <row r="10944" spans="5:6" ht="15" customHeight="1" x14ac:dyDescent="0.2">
      <c r="E10944" s="7"/>
      <c r="F10944" s="7"/>
    </row>
    <row r="10945" spans="5:6" ht="15" customHeight="1" x14ac:dyDescent="0.2">
      <c r="E10945" s="7"/>
      <c r="F10945" s="7"/>
    </row>
    <row r="10946" spans="5:6" ht="15" customHeight="1" x14ac:dyDescent="0.2">
      <c r="E10946" s="7"/>
      <c r="F10946" s="7"/>
    </row>
    <row r="10947" spans="5:6" ht="15" customHeight="1" x14ac:dyDescent="0.2">
      <c r="E10947" s="7"/>
      <c r="F10947" s="7"/>
    </row>
    <row r="10948" spans="5:6" ht="15" customHeight="1" x14ac:dyDescent="0.2">
      <c r="E10948" s="7"/>
      <c r="F10948" s="7"/>
    </row>
    <row r="10949" spans="5:6" ht="15" customHeight="1" x14ac:dyDescent="0.2">
      <c r="E10949" s="7"/>
      <c r="F10949" s="7"/>
    </row>
    <row r="10950" spans="5:6" ht="15" customHeight="1" x14ac:dyDescent="0.2">
      <c r="E10950" s="7"/>
      <c r="F10950" s="7"/>
    </row>
    <row r="10951" spans="5:6" ht="15" customHeight="1" x14ac:dyDescent="0.2">
      <c r="E10951" s="7"/>
      <c r="F10951" s="7"/>
    </row>
    <row r="10952" spans="5:6" ht="15" customHeight="1" x14ac:dyDescent="0.2">
      <c r="E10952" s="7"/>
      <c r="F10952" s="7"/>
    </row>
    <row r="10953" spans="5:6" ht="15" customHeight="1" x14ac:dyDescent="0.2">
      <c r="E10953" s="7"/>
      <c r="F10953" s="7"/>
    </row>
    <row r="10954" spans="5:6" ht="15" customHeight="1" x14ac:dyDescent="0.2">
      <c r="E10954" s="7"/>
      <c r="F10954" s="7"/>
    </row>
    <row r="10955" spans="5:6" ht="15" customHeight="1" x14ac:dyDescent="0.2">
      <c r="E10955" s="7"/>
      <c r="F10955" s="7"/>
    </row>
    <row r="10956" spans="5:6" ht="15" customHeight="1" x14ac:dyDescent="0.2">
      <c r="E10956" s="7"/>
      <c r="F10956" s="7"/>
    </row>
    <row r="10957" spans="5:6" ht="15" customHeight="1" x14ac:dyDescent="0.2">
      <c r="E10957" s="7"/>
      <c r="F10957" s="7"/>
    </row>
    <row r="10958" spans="5:6" ht="15" customHeight="1" x14ac:dyDescent="0.2">
      <c r="E10958" s="7"/>
      <c r="F10958" s="7"/>
    </row>
    <row r="10959" spans="5:6" ht="15" customHeight="1" x14ac:dyDescent="0.2">
      <c r="E10959" s="7"/>
      <c r="F10959" s="7"/>
    </row>
    <row r="10960" spans="5:6" ht="15" customHeight="1" x14ac:dyDescent="0.2">
      <c r="E10960" s="7"/>
      <c r="F10960" s="7"/>
    </row>
    <row r="10961" spans="5:6" ht="15" customHeight="1" x14ac:dyDescent="0.2">
      <c r="E10961" s="7"/>
      <c r="F10961" s="7"/>
    </row>
    <row r="10962" spans="5:6" ht="15" customHeight="1" x14ac:dyDescent="0.2">
      <c r="E10962" s="7"/>
      <c r="F10962" s="7"/>
    </row>
    <row r="10963" spans="5:6" ht="15" customHeight="1" x14ac:dyDescent="0.2">
      <c r="E10963" s="7"/>
      <c r="F10963" s="7"/>
    </row>
    <row r="10964" spans="5:6" ht="15" customHeight="1" x14ac:dyDescent="0.2">
      <c r="E10964" s="7"/>
      <c r="F10964" s="7"/>
    </row>
    <row r="10965" spans="5:6" ht="15" customHeight="1" x14ac:dyDescent="0.2">
      <c r="E10965" s="7"/>
      <c r="F10965" s="7"/>
    </row>
    <row r="10966" spans="5:6" ht="15" customHeight="1" x14ac:dyDescent="0.2">
      <c r="E10966" s="7"/>
      <c r="F10966" s="7"/>
    </row>
    <row r="10967" spans="5:6" ht="15" customHeight="1" x14ac:dyDescent="0.2">
      <c r="E10967" s="7"/>
      <c r="F10967" s="7"/>
    </row>
    <row r="10968" spans="5:6" ht="15" customHeight="1" x14ac:dyDescent="0.2">
      <c r="E10968" s="7"/>
      <c r="F10968" s="7"/>
    </row>
    <row r="10969" spans="5:6" ht="15" customHeight="1" x14ac:dyDescent="0.2">
      <c r="E10969" s="7"/>
      <c r="F10969" s="7"/>
    </row>
    <row r="10970" spans="5:6" ht="15" customHeight="1" x14ac:dyDescent="0.2">
      <c r="E10970" s="7"/>
      <c r="F10970" s="7"/>
    </row>
    <row r="10971" spans="5:6" ht="15" customHeight="1" x14ac:dyDescent="0.2">
      <c r="E10971" s="7"/>
      <c r="F10971" s="7"/>
    </row>
    <row r="10972" spans="5:6" ht="15" customHeight="1" x14ac:dyDescent="0.2">
      <c r="E10972" s="7"/>
      <c r="F10972" s="7"/>
    </row>
    <row r="10973" spans="5:6" ht="15" customHeight="1" x14ac:dyDescent="0.2">
      <c r="E10973" s="7"/>
      <c r="F10973" s="7"/>
    </row>
    <row r="10974" spans="5:6" ht="15" customHeight="1" x14ac:dyDescent="0.2">
      <c r="E10974" s="7"/>
      <c r="F10974" s="7"/>
    </row>
    <row r="10975" spans="5:6" ht="15" customHeight="1" x14ac:dyDescent="0.2">
      <c r="E10975" s="7"/>
      <c r="F10975" s="7"/>
    </row>
    <row r="10976" spans="5:6" ht="15" customHeight="1" x14ac:dyDescent="0.2">
      <c r="E10976" s="7"/>
      <c r="F10976" s="7"/>
    </row>
    <row r="10977" spans="5:6" ht="15" customHeight="1" x14ac:dyDescent="0.2">
      <c r="E10977" s="7"/>
      <c r="F10977" s="7"/>
    </row>
    <row r="10978" spans="5:6" ht="15" customHeight="1" x14ac:dyDescent="0.2">
      <c r="E10978" s="7"/>
      <c r="F10978" s="7"/>
    </row>
    <row r="10979" spans="5:6" ht="15" customHeight="1" x14ac:dyDescent="0.2">
      <c r="E10979" s="7"/>
      <c r="F10979" s="7"/>
    </row>
    <row r="10980" spans="5:6" ht="15" customHeight="1" x14ac:dyDescent="0.2">
      <c r="E10980" s="7"/>
      <c r="F10980" s="7"/>
    </row>
    <row r="10981" spans="5:6" ht="15" customHeight="1" x14ac:dyDescent="0.2">
      <c r="E10981" s="7"/>
      <c r="F10981" s="7"/>
    </row>
    <row r="10982" spans="5:6" ht="15" customHeight="1" x14ac:dyDescent="0.2">
      <c r="E10982" s="7"/>
      <c r="F10982" s="7"/>
    </row>
    <row r="10983" spans="5:6" ht="15" customHeight="1" x14ac:dyDescent="0.2">
      <c r="E10983" s="7"/>
      <c r="F10983" s="7"/>
    </row>
    <row r="10984" spans="5:6" ht="15" customHeight="1" x14ac:dyDescent="0.2">
      <c r="E10984" s="7"/>
      <c r="F10984" s="7"/>
    </row>
    <row r="10985" spans="5:6" ht="15" customHeight="1" x14ac:dyDescent="0.2">
      <c r="E10985" s="7"/>
      <c r="F10985" s="7"/>
    </row>
    <row r="10986" spans="5:6" ht="15" customHeight="1" x14ac:dyDescent="0.2">
      <c r="E10986" s="7"/>
      <c r="F10986" s="7"/>
    </row>
    <row r="10987" spans="5:6" ht="15" customHeight="1" x14ac:dyDescent="0.2">
      <c r="E10987" s="7"/>
      <c r="F10987" s="7"/>
    </row>
    <row r="10988" spans="5:6" ht="15" customHeight="1" x14ac:dyDescent="0.2">
      <c r="E10988" s="7"/>
      <c r="F10988" s="7"/>
    </row>
    <row r="10989" spans="5:6" ht="15" customHeight="1" x14ac:dyDescent="0.2">
      <c r="E10989" s="7"/>
      <c r="F10989" s="7"/>
    </row>
    <row r="10990" spans="5:6" ht="15" customHeight="1" x14ac:dyDescent="0.2">
      <c r="E10990" s="7"/>
      <c r="F10990" s="7"/>
    </row>
    <row r="10991" spans="5:6" ht="15" customHeight="1" x14ac:dyDescent="0.2">
      <c r="E10991" s="7"/>
      <c r="F10991" s="7"/>
    </row>
    <row r="10992" spans="5:6" ht="15" customHeight="1" x14ac:dyDescent="0.2">
      <c r="E10992" s="7"/>
      <c r="F10992" s="7"/>
    </row>
    <row r="10993" spans="5:6" ht="15" customHeight="1" x14ac:dyDescent="0.2">
      <c r="E10993" s="7"/>
      <c r="F10993" s="7"/>
    </row>
    <row r="10994" spans="5:6" ht="15" customHeight="1" x14ac:dyDescent="0.2">
      <c r="E10994" s="7"/>
      <c r="F10994" s="7"/>
    </row>
    <row r="10995" spans="5:6" ht="15" customHeight="1" x14ac:dyDescent="0.2">
      <c r="E10995" s="7"/>
      <c r="F10995" s="7"/>
    </row>
    <row r="10996" spans="5:6" ht="15" customHeight="1" x14ac:dyDescent="0.2">
      <c r="E10996" s="7"/>
      <c r="F10996" s="7"/>
    </row>
    <row r="10997" spans="5:6" ht="15" customHeight="1" x14ac:dyDescent="0.2">
      <c r="E10997" s="7"/>
      <c r="F10997" s="7"/>
    </row>
    <row r="10998" spans="5:6" ht="15" customHeight="1" x14ac:dyDescent="0.2">
      <c r="E10998" s="7"/>
      <c r="F10998" s="7"/>
    </row>
    <row r="10999" spans="5:6" ht="15" customHeight="1" x14ac:dyDescent="0.2">
      <c r="E10999" s="7"/>
      <c r="F10999" s="7"/>
    </row>
    <row r="11000" spans="5:6" ht="15" customHeight="1" x14ac:dyDescent="0.2">
      <c r="E11000" s="7"/>
      <c r="F11000" s="7"/>
    </row>
    <row r="11001" spans="5:6" ht="15" customHeight="1" x14ac:dyDescent="0.2">
      <c r="E11001" s="7"/>
      <c r="F11001" s="7"/>
    </row>
    <row r="11002" spans="5:6" ht="15" customHeight="1" x14ac:dyDescent="0.2">
      <c r="E11002" s="7"/>
      <c r="F11002" s="7"/>
    </row>
    <row r="11003" spans="5:6" ht="15" customHeight="1" x14ac:dyDescent="0.2">
      <c r="E11003" s="7"/>
      <c r="F11003" s="7"/>
    </row>
    <row r="11004" spans="5:6" ht="15" customHeight="1" x14ac:dyDescent="0.2">
      <c r="E11004" s="7"/>
      <c r="F11004" s="7"/>
    </row>
    <row r="11005" spans="5:6" ht="15" customHeight="1" x14ac:dyDescent="0.2">
      <c r="E11005" s="7"/>
      <c r="F11005" s="7"/>
    </row>
    <row r="11006" spans="5:6" ht="15" customHeight="1" x14ac:dyDescent="0.2">
      <c r="E11006" s="7"/>
      <c r="F11006" s="7"/>
    </row>
    <row r="11007" spans="5:6" ht="15" customHeight="1" x14ac:dyDescent="0.2">
      <c r="E11007" s="7"/>
      <c r="F11007" s="7"/>
    </row>
    <row r="11008" spans="5:6" ht="15" customHeight="1" x14ac:dyDescent="0.2">
      <c r="E11008" s="7"/>
      <c r="F11008" s="7"/>
    </row>
    <row r="11009" spans="5:6" ht="15" customHeight="1" x14ac:dyDescent="0.2">
      <c r="E11009" s="7"/>
      <c r="F11009" s="7"/>
    </row>
    <row r="11010" spans="5:6" ht="15" customHeight="1" x14ac:dyDescent="0.2">
      <c r="E11010" s="7"/>
      <c r="F11010" s="7"/>
    </row>
    <row r="11011" spans="5:6" ht="15" customHeight="1" x14ac:dyDescent="0.2">
      <c r="E11011" s="7"/>
      <c r="F11011" s="7"/>
    </row>
    <row r="11012" spans="5:6" ht="15" customHeight="1" x14ac:dyDescent="0.2">
      <c r="E11012" s="7"/>
      <c r="F11012" s="7"/>
    </row>
    <row r="11013" spans="5:6" ht="15" customHeight="1" x14ac:dyDescent="0.2">
      <c r="E11013" s="7"/>
      <c r="F11013" s="7"/>
    </row>
    <row r="11014" spans="5:6" ht="15" customHeight="1" x14ac:dyDescent="0.2">
      <c r="E11014" s="7"/>
      <c r="F11014" s="7"/>
    </row>
    <row r="11015" spans="5:6" ht="15" customHeight="1" x14ac:dyDescent="0.2">
      <c r="E11015" s="7"/>
      <c r="F11015" s="7"/>
    </row>
    <row r="11016" spans="5:6" ht="15" customHeight="1" x14ac:dyDescent="0.2">
      <c r="E11016" s="7"/>
      <c r="F11016" s="7"/>
    </row>
    <row r="11017" spans="5:6" ht="15" customHeight="1" x14ac:dyDescent="0.2">
      <c r="E11017" s="7"/>
      <c r="F11017" s="7"/>
    </row>
    <row r="11018" spans="5:6" ht="15" customHeight="1" x14ac:dyDescent="0.2">
      <c r="E11018" s="7"/>
      <c r="F11018" s="7"/>
    </row>
    <row r="11019" spans="5:6" ht="15" customHeight="1" x14ac:dyDescent="0.2">
      <c r="E11019" s="7"/>
      <c r="F11019" s="7"/>
    </row>
    <row r="11020" spans="5:6" ht="15" customHeight="1" x14ac:dyDescent="0.2">
      <c r="E11020" s="7"/>
      <c r="F11020" s="7"/>
    </row>
    <row r="11021" spans="5:6" ht="15" customHeight="1" x14ac:dyDescent="0.2">
      <c r="E11021" s="7"/>
      <c r="F11021" s="7"/>
    </row>
    <row r="11022" spans="5:6" ht="15" customHeight="1" x14ac:dyDescent="0.2">
      <c r="E11022" s="7"/>
      <c r="F11022" s="7"/>
    </row>
    <row r="11023" spans="5:6" ht="15" customHeight="1" x14ac:dyDescent="0.2">
      <c r="E11023" s="7"/>
      <c r="F11023" s="7"/>
    </row>
    <row r="11024" spans="5:6" ht="15" customHeight="1" x14ac:dyDescent="0.2">
      <c r="E11024" s="7"/>
      <c r="F11024" s="7"/>
    </row>
    <row r="11025" spans="5:6" ht="15" customHeight="1" x14ac:dyDescent="0.2">
      <c r="E11025" s="7"/>
      <c r="F11025" s="7"/>
    </row>
    <row r="11026" spans="5:6" ht="15" customHeight="1" x14ac:dyDescent="0.2">
      <c r="E11026" s="7"/>
      <c r="F11026" s="7"/>
    </row>
    <row r="11027" spans="5:6" ht="15" customHeight="1" x14ac:dyDescent="0.2">
      <c r="E11027" s="7"/>
      <c r="F11027" s="7"/>
    </row>
    <row r="11028" spans="5:6" ht="15" customHeight="1" x14ac:dyDescent="0.2">
      <c r="E11028" s="7"/>
      <c r="F11028" s="7"/>
    </row>
    <row r="11029" spans="5:6" ht="15" customHeight="1" x14ac:dyDescent="0.2">
      <c r="E11029" s="7"/>
      <c r="F11029" s="7"/>
    </row>
    <row r="11030" spans="5:6" ht="15" customHeight="1" x14ac:dyDescent="0.2">
      <c r="E11030" s="7"/>
      <c r="F11030" s="7"/>
    </row>
    <row r="11031" spans="5:6" ht="15" customHeight="1" x14ac:dyDescent="0.2">
      <c r="E11031" s="7"/>
      <c r="F11031" s="7"/>
    </row>
    <row r="11032" spans="5:6" ht="15" customHeight="1" x14ac:dyDescent="0.2">
      <c r="E11032" s="7"/>
      <c r="F11032" s="7"/>
    </row>
    <row r="11033" spans="5:6" ht="15" customHeight="1" x14ac:dyDescent="0.2">
      <c r="E11033" s="7"/>
      <c r="F11033" s="7"/>
    </row>
    <row r="11034" spans="5:6" ht="15" customHeight="1" x14ac:dyDescent="0.2">
      <c r="E11034" s="7"/>
      <c r="F11034" s="7"/>
    </row>
    <row r="11035" spans="5:6" ht="15" customHeight="1" x14ac:dyDescent="0.2">
      <c r="E11035" s="7"/>
      <c r="F11035" s="7"/>
    </row>
    <row r="11036" spans="5:6" ht="15" customHeight="1" x14ac:dyDescent="0.2">
      <c r="E11036" s="7"/>
      <c r="F11036" s="7"/>
    </row>
    <row r="11037" spans="5:6" ht="15" customHeight="1" x14ac:dyDescent="0.2">
      <c r="E11037" s="7"/>
      <c r="F11037" s="7"/>
    </row>
    <row r="11038" spans="5:6" ht="15" customHeight="1" x14ac:dyDescent="0.2">
      <c r="E11038" s="7"/>
      <c r="F11038" s="7"/>
    </row>
    <row r="11039" spans="5:6" ht="15" customHeight="1" x14ac:dyDescent="0.2">
      <c r="E11039" s="7"/>
      <c r="F11039" s="7"/>
    </row>
    <row r="11040" spans="5:6" ht="15" customHeight="1" x14ac:dyDescent="0.2">
      <c r="E11040" s="7"/>
      <c r="F11040" s="7"/>
    </row>
    <row r="11041" spans="5:6" ht="15" customHeight="1" x14ac:dyDescent="0.2">
      <c r="E11041" s="7"/>
      <c r="F11041" s="7"/>
    </row>
    <row r="11042" spans="5:6" ht="15" customHeight="1" x14ac:dyDescent="0.2">
      <c r="E11042" s="7"/>
      <c r="F11042" s="7"/>
    </row>
    <row r="11043" spans="5:6" ht="15" customHeight="1" x14ac:dyDescent="0.2">
      <c r="E11043" s="7"/>
      <c r="F11043" s="7"/>
    </row>
    <row r="11044" spans="5:6" ht="15" customHeight="1" x14ac:dyDescent="0.2">
      <c r="E11044" s="7"/>
      <c r="F11044" s="7"/>
    </row>
    <row r="11045" spans="5:6" ht="15" customHeight="1" x14ac:dyDescent="0.2">
      <c r="E11045" s="7"/>
      <c r="F11045" s="7"/>
    </row>
    <row r="11046" spans="5:6" ht="15" customHeight="1" x14ac:dyDescent="0.2">
      <c r="E11046" s="7"/>
      <c r="F11046" s="7"/>
    </row>
    <row r="11047" spans="5:6" ht="15" customHeight="1" x14ac:dyDescent="0.2">
      <c r="E11047" s="7"/>
      <c r="F11047" s="7"/>
    </row>
    <row r="11048" spans="5:6" ht="15" customHeight="1" x14ac:dyDescent="0.2">
      <c r="E11048" s="7"/>
      <c r="F11048" s="7"/>
    </row>
    <row r="11049" spans="5:6" ht="15" customHeight="1" x14ac:dyDescent="0.2">
      <c r="E11049" s="7"/>
      <c r="F11049" s="7"/>
    </row>
    <row r="11050" spans="5:6" ht="15" customHeight="1" x14ac:dyDescent="0.2">
      <c r="E11050" s="7"/>
      <c r="F11050" s="7"/>
    </row>
    <row r="11051" spans="5:6" ht="15" customHeight="1" x14ac:dyDescent="0.2">
      <c r="E11051" s="7"/>
      <c r="F11051" s="7"/>
    </row>
    <row r="11052" spans="5:6" ht="15" customHeight="1" x14ac:dyDescent="0.2">
      <c r="E11052" s="7"/>
      <c r="F11052" s="7"/>
    </row>
    <row r="11053" spans="5:6" ht="15" customHeight="1" x14ac:dyDescent="0.2">
      <c r="E11053" s="7"/>
      <c r="F11053" s="7"/>
    </row>
    <row r="11054" spans="5:6" ht="15" customHeight="1" x14ac:dyDescent="0.2">
      <c r="E11054" s="7"/>
      <c r="F11054" s="7"/>
    </row>
    <row r="11055" spans="5:6" ht="15" customHeight="1" x14ac:dyDescent="0.2">
      <c r="E11055" s="7"/>
      <c r="F11055" s="7"/>
    </row>
    <row r="11056" spans="5:6" ht="15" customHeight="1" x14ac:dyDescent="0.2">
      <c r="E11056" s="7"/>
      <c r="F11056" s="7"/>
    </row>
    <row r="11057" spans="5:6" ht="15" customHeight="1" x14ac:dyDescent="0.2">
      <c r="E11057" s="7"/>
      <c r="F11057" s="7"/>
    </row>
    <row r="11058" spans="5:6" ht="15" customHeight="1" x14ac:dyDescent="0.2">
      <c r="E11058" s="7"/>
      <c r="F11058" s="7"/>
    </row>
    <row r="11059" spans="5:6" ht="15" customHeight="1" x14ac:dyDescent="0.2">
      <c r="E11059" s="7"/>
      <c r="F11059" s="7"/>
    </row>
    <row r="11060" spans="5:6" ht="15" customHeight="1" x14ac:dyDescent="0.2">
      <c r="E11060" s="7"/>
      <c r="F11060" s="7"/>
    </row>
    <row r="11061" spans="5:6" ht="15" customHeight="1" x14ac:dyDescent="0.2">
      <c r="E11061" s="7"/>
      <c r="F11061" s="7"/>
    </row>
    <row r="11062" spans="5:6" ht="15" customHeight="1" x14ac:dyDescent="0.2">
      <c r="E11062" s="7"/>
      <c r="F11062" s="7"/>
    </row>
    <row r="11063" spans="5:6" ht="15" customHeight="1" x14ac:dyDescent="0.2">
      <c r="E11063" s="7"/>
      <c r="F11063" s="7"/>
    </row>
    <row r="11064" spans="5:6" ht="15" customHeight="1" x14ac:dyDescent="0.2">
      <c r="E11064" s="7"/>
      <c r="F11064" s="7"/>
    </row>
    <row r="11065" spans="5:6" ht="15" customHeight="1" x14ac:dyDescent="0.2">
      <c r="E11065" s="7"/>
      <c r="F11065" s="7"/>
    </row>
    <row r="11066" spans="5:6" ht="15" customHeight="1" x14ac:dyDescent="0.2">
      <c r="E11066" s="7"/>
      <c r="F11066" s="7"/>
    </row>
    <row r="11067" spans="5:6" ht="15" customHeight="1" x14ac:dyDescent="0.2">
      <c r="E11067" s="7"/>
      <c r="F11067" s="7"/>
    </row>
    <row r="11068" spans="5:6" ht="15" customHeight="1" x14ac:dyDescent="0.2">
      <c r="E11068" s="7"/>
      <c r="F11068" s="7"/>
    </row>
    <row r="11069" spans="5:6" ht="15" customHeight="1" x14ac:dyDescent="0.2">
      <c r="E11069" s="7"/>
      <c r="F11069" s="7"/>
    </row>
    <row r="11070" spans="5:6" ht="15" customHeight="1" x14ac:dyDescent="0.2">
      <c r="E11070" s="7"/>
      <c r="F11070" s="7"/>
    </row>
    <row r="11071" spans="5:6" ht="15" customHeight="1" x14ac:dyDescent="0.2">
      <c r="E11071" s="7"/>
      <c r="F11071" s="7"/>
    </row>
    <row r="11072" spans="5:6" ht="15" customHeight="1" x14ac:dyDescent="0.2">
      <c r="E11072" s="7"/>
      <c r="F11072" s="7"/>
    </row>
    <row r="11073" spans="5:6" ht="15" customHeight="1" x14ac:dyDescent="0.2">
      <c r="E11073" s="7"/>
      <c r="F11073" s="7"/>
    </row>
    <row r="11074" spans="5:6" ht="15" customHeight="1" x14ac:dyDescent="0.2">
      <c r="E11074" s="7"/>
      <c r="F11074" s="7"/>
    </row>
    <row r="11075" spans="5:6" ht="15" customHeight="1" x14ac:dyDescent="0.2">
      <c r="E11075" s="7"/>
      <c r="F11075" s="7"/>
    </row>
    <row r="11076" spans="5:6" ht="15" customHeight="1" x14ac:dyDescent="0.2">
      <c r="E11076" s="7"/>
      <c r="F11076" s="7"/>
    </row>
    <row r="11077" spans="5:6" ht="15" customHeight="1" x14ac:dyDescent="0.2">
      <c r="E11077" s="7"/>
      <c r="F11077" s="7"/>
    </row>
    <row r="11078" spans="5:6" ht="15" customHeight="1" x14ac:dyDescent="0.2">
      <c r="E11078" s="7"/>
      <c r="F11078" s="7"/>
    </row>
    <row r="11079" spans="5:6" ht="15" customHeight="1" x14ac:dyDescent="0.2">
      <c r="E11079" s="7"/>
      <c r="F11079" s="7"/>
    </row>
    <row r="11080" spans="5:6" ht="15" customHeight="1" x14ac:dyDescent="0.2">
      <c r="E11080" s="7"/>
      <c r="F11080" s="7"/>
    </row>
    <row r="11081" spans="5:6" ht="15" customHeight="1" x14ac:dyDescent="0.2">
      <c r="E11081" s="7"/>
      <c r="F11081" s="7"/>
    </row>
    <row r="11082" spans="5:6" ht="15" customHeight="1" x14ac:dyDescent="0.2">
      <c r="E11082" s="7"/>
      <c r="F11082" s="7"/>
    </row>
    <row r="11083" spans="5:6" ht="15" customHeight="1" x14ac:dyDescent="0.2">
      <c r="E11083" s="7"/>
      <c r="F11083" s="7"/>
    </row>
    <row r="11084" spans="5:6" ht="15" customHeight="1" x14ac:dyDescent="0.2">
      <c r="E11084" s="7"/>
      <c r="F11084" s="7"/>
    </row>
    <row r="11085" spans="5:6" ht="15" customHeight="1" x14ac:dyDescent="0.2">
      <c r="E11085" s="7"/>
      <c r="F11085" s="7"/>
    </row>
    <row r="11086" spans="5:6" ht="15" customHeight="1" x14ac:dyDescent="0.2">
      <c r="E11086" s="7"/>
      <c r="F11086" s="7"/>
    </row>
    <row r="11087" spans="5:6" ht="15" customHeight="1" x14ac:dyDescent="0.2">
      <c r="E11087" s="7"/>
      <c r="F11087" s="7"/>
    </row>
    <row r="11088" spans="5:6" ht="15" customHeight="1" x14ac:dyDescent="0.2">
      <c r="E11088" s="7"/>
      <c r="F11088" s="7"/>
    </row>
    <row r="11089" spans="5:6" ht="15" customHeight="1" x14ac:dyDescent="0.2">
      <c r="E11089" s="7"/>
      <c r="F11089" s="7"/>
    </row>
    <row r="11090" spans="5:6" ht="15" customHeight="1" x14ac:dyDescent="0.2">
      <c r="E11090" s="7"/>
      <c r="F11090" s="7"/>
    </row>
    <row r="11091" spans="5:6" ht="15" customHeight="1" x14ac:dyDescent="0.2">
      <c r="E11091" s="7"/>
      <c r="F11091" s="7"/>
    </row>
    <row r="11092" spans="5:6" ht="15" customHeight="1" x14ac:dyDescent="0.2">
      <c r="E11092" s="7"/>
      <c r="F11092" s="7"/>
    </row>
    <row r="11093" spans="5:6" ht="15" customHeight="1" x14ac:dyDescent="0.2">
      <c r="E11093" s="7"/>
      <c r="F11093" s="7"/>
    </row>
    <row r="11094" spans="5:6" ht="15" customHeight="1" x14ac:dyDescent="0.2">
      <c r="E11094" s="7"/>
      <c r="F11094" s="7"/>
    </row>
    <row r="11095" spans="5:6" ht="15" customHeight="1" x14ac:dyDescent="0.2">
      <c r="E11095" s="7"/>
      <c r="F11095" s="7"/>
    </row>
    <row r="11096" spans="5:6" ht="15" customHeight="1" x14ac:dyDescent="0.2">
      <c r="E11096" s="7"/>
      <c r="F11096" s="7"/>
    </row>
    <row r="11097" spans="5:6" ht="15" customHeight="1" x14ac:dyDescent="0.2">
      <c r="E11097" s="7"/>
      <c r="F11097" s="7"/>
    </row>
    <row r="11098" spans="5:6" ht="15" customHeight="1" x14ac:dyDescent="0.2">
      <c r="E11098" s="7"/>
      <c r="F11098" s="7"/>
    </row>
    <row r="11099" spans="5:6" ht="15" customHeight="1" x14ac:dyDescent="0.2">
      <c r="E11099" s="7"/>
      <c r="F11099" s="7"/>
    </row>
    <row r="11100" spans="5:6" ht="15" customHeight="1" x14ac:dyDescent="0.2">
      <c r="E11100" s="7"/>
      <c r="F11100" s="7"/>
    </row>
    <row r="11101" spans="5:6" ht="15" customHeight="1" x14ac:dyDescent="0.2">
      <c r="E11101" s="7"/>
      <c r="F11101" s="7"/>
    </row>
    <row r="11102" spans="5:6" ht="15" customHeight="1" x14ac:dyDescent="0.2">
      <c r="E11102" s="7"/>
      <c r="F11102" s="7"/>
    </row>
    <row r="11103" spans="5:6" ht="15" customHeight="1" x14ac:dyDescent="0.2">
      <c r="E11103" s="7"/>
      <c r="F11103" s="7"/>
    </row>
    <row r="11104" spans="5:6" ht="15" customHeight="1" x14ac:dyDescent="0.2">
      <c r="E11104" s="7"/>
      <c r="F11104" s="7"/>
    </row>
    <row r="11105" spans="5:6" ht="15" customHeight="1" x14ac:dyDescent="0.2">
      <c r="E11105" s="7"/>
      <c r="F11105" s="7"/>
    </row>
    <row r="11106" spans="5:6" ht="15" customHeight="1" x14ac:dyDescent="0.2">
      <c r="E11106" s="7"/>
      <c r="F11106" s="7"/>
    </row>
    <row r="11107" spans="5:6" ht="15" customHeight="1" x14ac:dyDescent="0.2">
      <c r="E11107" s="7"/>
      <c r="F11107" s="7"/>
    </row>
    <row r="11108" spans="5:6" ht="15" customHeight="1" x14ac:dyDescent="0.2">
      <c r="E11108" s="7"/>
      <c r="F11108" s="7"/>
    </row>
    <row r="11109" spans="5:6" ht="15" customHeight="1" x14ac:dyDescent="0.2">
      <c r="E11109" s="7"/>
      <c r="F11109" s="7"/>
    </row>
    <row r="11110" spans="5:6" ht="15" customHeight="1" x14ac:dyDescent="0.2">
      <c r="E11110" s="7"/>
      <c r="F11110" s="7"/>
    </row>
    <row r="11111" spans="5:6" ht="15" customHeight="1" x14ac:dyDescent="0.2">
      <c r="E11111" s="7"/>
      <c r="F11111" s="7"/>
    </row>
    <row r="11112" spans="5:6" ht="15" customHeight="1" x14ac:dyDescent="0.2">
      <c r="E11112" s="7"/>
      <c r="F11112" s="7"/>
    </row>
    <row r="11113" spans="5:6" ht="15" customHeight="1" x14ac:dyDescent="0.2">
      <c r="E11113" s="7"/>
      <c r="F11113" s="7"/>
    </row>
    <row r="11114" spans="5:6" ht="15" customHeight="1" x14ac:dyDescent="0.2">
      <c r="E11114" s="7"/>
      <c r="F11114" s="7"/>
    </row>
    <row r="11115" spans="5:6" ht="15" customHeight="1" x14ac:dyDescent="0.2">
      <c r="E11115" s="7"/>
      <c r="F11115" s="7"/>
    </row>
    <row r="11116" spans="5:6" ht="15" customHeight="1" x14ac:dyDescent="0.2">
      <c r="E11116" s="7"/>
      <c r="F11116" s="7"/>
    </row>
    <row r="11117" spans="5:6" ht="15" customHeight="1" x14ac:dyDescent="0.2">
      <c r="E11117" s="7"/>
      <c r="F11117" s="7"/>
    </row>
    <row r="11118" spans="5:6" ht="15" customHeight="1" x14ac:dyDescent="0.2">
      <c r="E11118" s="7"/>
      <c r="F11118" s="7"/>
    </row>
    <row r="11119" spans="5:6" ht="15" customHeight="1" x14ac:dyDescent="0.2">
      <c r="E11119" s="7"/>
      <c r="F11119" s="7"/>
    </row>
    <row r="11120" spans="5:6" ht="15" customHeight="1" x14ac:dyDescent="0.2">
      <c r="E11120" s="7"/>
      <c r="F11120" s="7"/>
    </row>
    <row r="11121" spans="5:6" ht="15" customHeight="1" x14ac:dyDescent="0.2">
      <c r="E11121" s="7"/>
      <c r="F11121" s="7"/>
    </row>
    <row r="11122" spans="5:6" ht="15" customHeight="1" x14ac:dyDescent="0.2">
      <c r="E11122" s="7"/>
      <c r="F11122" s="7"/>
    </row>
    <row r="11123" spans="5:6" ht="15" customHeight="1" x14ac:dyDescent="0.2">
      <c r="E11123" s="7"/>
      <c r="F11123" s="7"/>
    </row>
    <row r="11124" spans="5:6" ht="15" customHeight="1" x14ac:dyDescent="0.2">
      <c r="E11124" s="7"/>
      <c r="F11124" s="7"/>
    </row>
    <row r="11125" spans="5:6" ht="15" customHeight="1" x14ac:dyDescent="0.2">
      <c r="E11125" s="7"/>
      <c r="F11125" s="7"/>
    </row>
    <row r="11126" spans="5:6" ht="15" customHeight="1" x14ac:dyDescent="0.2">
      <c r="E11126" s="7"/>
      <c r="F11126" s="7"/>
    </row>
    <row r="11127" spans="5:6" ht="15" customHeight="1" x14ac:dyDescent="0.2">
      <c r="E11127" s="7"/>
      <c r="F11127" s="7"/>
    </row>
    <row r="11128" spans="5:6" ht="15" customHeight="1" x14ac:dyDescent="0.2">
      <c r="E11128" s="7"/>
      <c r="F11128" s="7"/>
    </row>
    <row r="11129" spans="5:6" ht="15" customHeight="1" x14ac:dyDescent="0.2">
      <c r="E11129" s="7"/>
      <c r="F11129" s="7"/>
    </row>
    <row r="11130" spans="5:6" ht="15" customHeight="1" x14ac:dyDescent="0.2">
      <c r="E11130" s="7"/>
      <c r="F11130" s="7"/>
    </row>
    <row r="11131" spans="5:6" ht="15" customHeight="1" x14ac:dyDescent="0.2">
      <c r="E11131" s="7"/>
      <c r="F11131" s="7"/>
    </row>
    <row r="11132" spans="5:6" ht="15" customHeight="1" x14ac:dyDescent="0.2">
      <c r="E11132" s="7"/>
      <c r="F11132" s="7"/>
    </row>
    <row r="11133" spans="5:6" ht="15" customHeight="1" x14ac:dyDescent="0.2">
      <c r="E11133" s="7"/>
      <c r="F11133" s="7"/>
    </row>
    <row r="11134" spans="5:6" ht="15" customHeight="1" x14ac:dyDescent="0.2">
      <c r="E11134" s="7"/>
      <c r="F11134" s="7"/>
    </row>
    <row r="11135" spans="5:6" ht="15" customHeight="1" x14ac:dyDescent="0.2">
      <c r="E11135" s="7"/>
      <c r="F11135" s="7"/>
    </row>
    <row r="11136" spans="5:6" ht="15" customHeight="1" x14ac:dyDescent="0.2">
      <c r="E11136" s="7"/>
      <c r="F11136" s="7"/>
    </row>
    <row r="11137" spans="5:6" ht="15" customHeight="1" x14ac:dyDescent="0.2">
      <c r="E11137" s="7"/>
      <c r="F11137" s="7"/>
    </row>
    <row r="11138" spans="5:6" ht="15" customHeight="1" x14ac:dyDescent="0.2">
      <c r="E11138" s="7"/>
      <c r="F11138" s="7"/>
    </row>
    <row r="11139" spans="5:6" ht="15" customHeight="1" x14ac:dyDescent="0.2">
      <c r="E11139" s="7"/>
      <c r="F11139" s="7"/>
    </row>
    <row r="11140" spans="5:6" ht="15" customHeight="1" x14ac:dyDescent="0.2">
      <c r="E11140" s="7"/>
      <c r="F11140" s="7"/>
    </row>
    <row r="11141" spans="5:6" ht="15" customHeight="1" x14ac:dyDescent="0.2">
      <c r="E11141" s="7"/>
      <c r="F11141" s="7"/>
    </row>
    <row r="11142" spans="5:6" ht="15" customHeight="1" x14ac:dyDescent="0.2">
      <c r="E11142" s="7"/>
      <c r="F11142" s="7"/>
    </row>
    <row r="11143" spans="5:6" ht="15" customHeight="1" x14ac:dyDescent="0.2">
      <c r="E11143" s="7"/>
      <c r="F11143" s="7"/>
    </row>
    <row r="11144" spans="5:6" ht="15" customHeight="1" x14ac:dyDescent="0.2">
      <c r="E11144" s="7"/>
      <c r="F11144" s="7"/>
    </row>
    <row r="11145" spans="5:6" ht="15" customHeight="1" x14ac:dyDescent="0.2">
      <c r="E11145" s="7"/>
      <c r="F11145" s="7"/>
    </row>
    <row r="11146" spans="5:6" ht="15" customHeight="1" x14ac:dyDescent="0.2">
      <c r="E11146" s="7"/>
      <c r="F11146" s="7"/>
    </row>
    <row r="11147" spans="5:6" ht="15" customHeight="1" x14ac:dyDescent="0.2">
      <c r="E11147" s="7"/>
      <c r="F11147" s="7"/>
    </row>
    <row r="11148" spans="5:6" ht="15" customHeight="1" x14ac:dyDescent="0.2">
      <c r="E11148" s="7"/>
      <c r="F11148" s="7"/>
    </row>
    <row r="11149" spans="5:6" ht="15" customHeight="1" x14ac:dyDescent="0.2">
      <c r="E11149" s="7"/>
      <c r="F11149" s="7"/>
    </row>
    <row r="11150" spans="5:6" ht="15" customHeight="1" x14ac:dyDescent="0.2">
      <c r="E11150" s="7"/>
      <c r="F11150" s="7"/>
    </row>
    <row r="11151" spans="5:6" ht="15" customHeight="1" x14ac:dyDescent="0.2">
      <c r="E11151" s="7"/>
      <c r="F11151" s="7"/>
    </row>
    <row r="11152" spans="5:6" ht="15" customHeight="1" x14ac:dyDescent="0.2">
      <c r="E11152" s="7"/>
      <c r="F11152" s="7"/>
    </row>
    <row r="11153" spans="5:6" ht="15" customHeight="1" x14ac:dyDescent="0.2">
      <c r="E11153" s="7"/>
      <c r="F11153" s="7"/>
    </row>
    <row r="11154" spans="5:6" ht="15" customHeight="1" x14ac:dyDescent="0.2">
      <c r="E11154" s="7"/>
      <c r="F11154" s="7"/>
    </row>
    <row r="11155" spans="5:6" ht="15" customHeight="1" x14ac:dyDescent="0.2">
      <c r="E11155" s="7"/>
      <c r="F11155" s="7"/>
    </row>
    <row r="11156" spans="5:6" ht="15" customHeight="1" x14ac:dyDescent="0.2">
      <c r="E11156" s="7"/>
      <c r="F11156" s="7"/>
    </row>
    <row r="11157" spans="5:6" ht="15" customHeight="1" x14ac:dyDescent="0.2">
      <c r="E11157" s="7"/>
      <c r="F11157" s="7"/>
    </row>
    <row r="11158" spans="5:6" ht="15" customHeight="1" x14ac:dyDescent="0.2">
      <c r="E11158" s="7"/>
      <c r="F11158" s="7"/>
    </row>
    <row r="11159" spans="5:6" ht="15" customHeight="1" x14ac:dyDescent="0.2">
      <c r="E11159" s="7"/>
      <c r="F11159" s="7"/>
    </row>
    <row r="11160" spans="5:6" ht="15" customHeight="1" x14ac:dyDescent="0.2">
      <c r="E11160" s="7"/>
      <c r="F11160" s="7"/>
    </row>
    <row r="11161" spans="5:6" ht="15" customHeight="1" x14ac:dyDescent="0.2">
      <c r="E11161" s="7"/>
      <c r="F11161" s="7"/>
    </row>
    <row r="11162" spans="5:6" ht="15" customHeight="1" x14ac:dyDescent="0.2">
      <c r="E11162" s="7"/>
      <c r="F11162" s="7"/>
    </row>
    <row r="11163" spans="5:6" ht="15" customHeight="1" x14ac:dyDescent="0.2">
      <c r="E11163" s="7"/>
      <c r="F11163" s="7"/>
    </row>
    <row r="11164" spans="5:6" ht="15" customHeight="1" x14ac:dyDescent="0.2">
      <c r="E11164" s="7"/>
      <c r="F11164" s="7"/>
    </row>
    <row r="11165" spans="5:6" ht="15" customHeight="1" x14ac:dyDescent="0.2">
      <c r="E11165" s="7"/>
      <c r="F11165" s="7"/>
    </row>
    <row r="11166" spans="5:6" ht="15" customHeight="1" x14ac:dyDescent="0.2">
      <c r="E11166" s="7"/>
      <c r="F11166" s="7"/>
    </row>
    <row r="11167" spans="5:6" ht="15" customHeight="1" x14ac:dyDescent="0.2">
      <c r="E11167" s="7"/>
      <c r="F11167" s="7"/>
    </row>
    <row r="11168" spans="5:6" ht="15" customHeight="1" x14ac:dyDescent="0.2">
      <c r="E11168" s="7"/>
      <c r="F11168" s="7"/>
    </row>
    <row r="11169" spans="5:6" ht="15" customHeight="1" x14ac:dyDescent="0.2">
      <c r="E11169" s="7"/>
      <c r="F11169" s="7"/>
    </row>
    <row r="11170" spans="5:6" ht="15" customHeight="1" x14ac:dyDescent="0.2">
      <c r="E11170" s="7"/>
      <c r="F11170" s="7"/>
    </row>
    <row r="11171" spans="5:6" ht="15" customHeight="1" x14ac:dyDescent="0.2">
      <c r="E11171" s="7"/>
      <c r="F11171" s="7"/>
    </row>
    <row r="11172" spans="5:6" ht="15" customHeight="1" x14ac:dyDescent="0.2">
      <c r="E11172" s="7"/>
      <c r="F11172" s="7"/>
    </row>
    <row r="11173" spans="5:6" ht="15" customHeight="1" x14ac:dyDescent="0.2">
      <c r="E11173" s="7"/>
      <c r="F11173" s="7"/>
    </row>
    <row r="11174" spans="5:6" ht="15" customHeight="1" x14ac:dyDescent="0.2">
      <c r="E11174" s="7"/>
      <c r="F11174" s="7"/>
    </row>
    <row r="11175" spans="5:6" ht="15" customHeight="1" x14ac:dyDescent="0.2">
      <c r="E11175" s="7"/>
      <c r="F11175" s="7"/>
    </row>
    <row r="11176" spans="5:6" ht="15" customHeight="1" x14ac:dyDescent="0.2">
      <c r="E11176" s="7"/>
      <c r="F11176" s="7"/>
    </row>
    <row r="11177" spans="5:6" ht="15" customHeight="1" x14ac:dyDescent="0.2">
      <c r="E11177" s="7"/>
      <c r="F11177" s="7"/>
    </row>
    <row r="11178" spans="5:6" ht="15" customHeight="1" x14ac:dyDescent="0.2">
      <c r="E11178" s="7"/>
      <c r="F11178" s="7"/>
    </row>
    <row r="11179" spans="5:6" ht="15" customHeight="1" x14ac:dyDescent="0.2">
      <c r="E11179" s="7"/>
      <c r="F11179" s="7"/>
    </row>
    <row r="11180" spans="5:6" ht="15" customHeight="1" x14ac:dyDescent="0.2">
      <c r="E11180" s="7"/>
      <c r="F11180" s="7"/>
    </row>
    <row r="11181" spans="5:6" ht="15" customHeight="1" x14ac:dyDescent="0.2">
      <c r="E11181" s="7"/>
      <c r="F11181" s="7"/>
    </row>
    <row r="11182" spans="5:6" ht="15" customHeight="1" x14ac:dyDescent="0.2">
      <c r="E11182" s="7"/>
      <c r="F11182" s="7"/>
    </row>
    <row r="11183" spans="5:6" ht="15" customHeight="1" x14ac:dyDescent="0.2">
      <c r="E11183" s="7"/>
      <c r="F11183" s="7"/>
    </row>
    <row r="11184" spans="5:6" ht="15" customHeight="1" x14ac:dyDescent="0.2">
      <c r="E11184" s="7"/>
      <c r="F11184" s="7"/>
    </row>
    <row r="11185" spans="5:6" ht="15" customHeight="1" x14ac:dyDescent="0.2">
      <c r="E11185" s="7"/>
      <c r="F11185" s="7"/>
    </row>
    <row r="11186" spans="5:6" ht="15" customHeight="1" x14ac:dyDescent="0.2">
      <c r="E11186" s="7"/>
      <c r="F11186" s="7"/>
    </row>
    <row r="11187" spans="5:6" ht="15" customHeight="1" x14ac:dyDescent="0.2">
      <c r="E11187" s="7"/>
      <c r="F11187" s="7"/>
    </row>
    <row r="11188" spans="5:6" ht="15" customHeight="1" x14ac:dyDescent="0.2">
      <c r="E11188" s="7"/>
      <c r="F11188" s="7"/>
    </row>
    <row r="11189" spans="5:6" ht="15" customHeight="1" x14ac:dyDescent="0.2">
      <c r="E11189" s="7"/>
      <c r="F11189" s="7"/>
    </row>
    <row r="11190" spans="5:6" ht="15" customHeight="1" x14ac:dyDescent="0.2">
      <c r="E11190" s="7"/>
      <c r="F11190" s="7"/>
    </row>
    <row r="11191" spans="5:6" ht="15" customHeight="1" x14ac:dyDescent="0.2">
      <c r="E11191" s="7"/>
      <c r="F11191" s="7"/>
    </row>
    <row r="11192" spans="5:6" ht="15" customHeight="1" x14ac:dyDescent="0.2">
      <c r="E11192" s="7"/>
      <c r="F11192" s="7"/>
    </row>
    <row r="11193" spans="5:6" ht="15" customHeight="1" x14ac:dyDescent="0.2">
      <c r="E11193" s="7"/>
      <c r="F11193" s="7"/>
    </row>
    <row r="11194" spans="5:6" ht="15" customHeight="1" x14ac:dyDescent="0.2">
      <c r="E11194" s="7"/>
      <c r="F11194" s="7"/>
    </row>
    <row r="11195" spans="5:6" ht="15" customHeight="1" x14ac:dyDescent="0.2">
      <c r="E11195" s="7"/>
      <c r="F11195" s="7"/>
    </row>
    <row r="11196" spans="5:6" ht="15" customHeight="1" x14ac:dyDescent="0.2">
      <c r="E11196" s="7"/>
      <c r="F11196" s="7"/>
    </row>
    <row r="11197" spans="5:6" ht="15" customHeight="1" x14ac:dyDescent="0.2">
      <c r="E11197" s="7"/>
      <c r="F11197" s="7"/>
    </row>
    <row r="11198" spans="5:6" ht="15" customHeight="1" x14ac:dyDescent="0.2">
      <c r="E11198" s="7"/>
      <c r="F11198" s="7"/>
    </row>
    <row r="11199" spans="5:6" ht="15" customHeight="1" x14ac:dyDescent="0.2">
      <c r="E11199" s="7"/>
      <c r="F11199" s="7"/>
    </row>
    <row r="11200" spans="5:6" ht="15" customHeight="1" x14ac:dyDescent="0.2">
      <c r="E11200" s="7"/>
      <c r="F11200" s="7"/>
    </row>
    <row r="11201" spans="5:6" ht="15" customHeight="1" x14ac:dyDescent="0.2">
      <c r="E11201" s="7"/>
      <c r="F11201" s="7"/>
    </row>
    <row r="11202" spans="5:6" ht="15" customHeight="1" x14ac:dyDescent="0.2">
      <c r="E11202" s="7"/>
      <c r="F11202" s="7"/>
    </row>
    <row r="11203" spans="5:6" ht="15" customHeight="1" x14ac:dyDescent="0.2">
      <c r="E11203" s="7"/>
      <c r="F11203" s="7"/>
    </row>
    <row r="11204" spans="5:6" ht="15" customHeight="1" x14ac:dyDescent="0.2">
      <c r="E11204" s="7"/>
      <c r="F11204" s="7"/>
    </row>
    <row r="11205" spans="5:6" ht="15" customHeight="1" x14ac:dyDescent="0.2">
      <c r="E11205" s="7"/>
      <c r="F11205" s="7"/>
    </row>
    <row r="11206" spans="5:6" ht="15" customHeight="1" x14ac:dyDescent="0.2">
      <c r="E11206" s="7"/>
      <c r="F11206" s="7"/>
    </row>
    <row r="11207" spans="5:6" ht="15" customHeight="1" x14ac:dyDescent="0.2">
      <c r="E11207" s="7"/>
      <c r="F11207" s="7"/>
    </row>
    <row r="11208" spans="5:6" ht="15" customHeight="1" x14ac:dyDescent="0.2">
      <c r="E11208" s="7"/>
      <c r="F11208" s="7"/>
    </row>
    <row r="11209" spans="5:6" ht="15" customHeight="1" x14ac:dyDescent="0.2">
      <c r="E11209" s="7"/>
      <c r="F11209" s="7"/>
    </row>
    <row r="11210" spans="5:6" ht="15" customHeight="1" x14ac:dyDescent="0.2">
      <c r="E11210" s="7"/>
      <c r="F11210" s="7"/>
    </row>
    <row r="11211" spans="5:6" ht="15" customHeight="1" x14ac:dyDescent="0.2">
      <c r="E11211" s="7"/>
      <c r="F11211" s="7"/>
    </row>
    <row r="11212" spans="5:6" ht="15" customHeight="1" x14ac:dyDescent="0.2">
      <c r="E11212" s="7"/>
      <c r="F11212" s="7"/>
    </row>
    <row r="11213" spans="5:6" ht="15" customHeight="1" x14ac:dyDescent="0.2">
      <c r="E11213" s="7"/>
      <c r="F11213" s="7"/>
    </row>
    <row r="11214" spans="5:6" ht="15" customHeight="1" x14ac:dyDescent="0.2">
      <c r="E11214" s="7"/>
      <c r="F11214" s="7"/>
    </row>
    <row r="11215" spans="5:6" ht="15" customHeight="1" x14ac:dyDescent="0.2">
      <c r="E11215" s="7"/>
      <c r="F11215" s="7"/>
    </row>
    <row r="11216" spans="5:6" ht="15" customHeight="1" x14ac:dyDescent="0.2">
      <c r="E11216" s="7"/>
      <c r="F11216" s="7"/>
    </row>
    <row r="11217" spans="5:6" ht="15" customHeight="1" x14ac:dyDescent="0.2">
      <c r="E11217" s="7"/>
      <c r="F11217" s="7"/>
    </row>
    <row r="11218" spans="5:6" ht="15" customHeight="1" x14ac:dyDescent="0.2">
      <c r="E11218" s="7"/>
      <c r="F11218" s="7"/>
    </row>
    <row r="11219" spans="5:6" ht="15" customHeight="1" x14ac:dyDescent="0.2">
      <c r="E11219" s="7"/>
      <c r="F11219" s="7"/>
    </row>
    <row r="11220" spans="5:6" ht="15" customHeight="1" x14ac:dyDescent="0.2">
      <c r="E11220" s="7"/>
      <c r="F11220" s="7"/>
    </row>
    <row r="11221" spans="5:6" ht="15" customHeight="1" x14ac:dyDescent="0.2">
      <c r="E11221" s="7"/>
      <c r="F11221" s="7"/>
    </row>
    <row r="11222" spans="5:6" ht="15" customHeight="1" x14ac:dyDescent="0.2">
      <c r="E11222" s="7"/>
      <c r="F11222" s="7"/>
    </row>
    <row r="11223" spans="5:6" ht="15" customHeight="1" x14ac:dyDescent="0.2">
      <c r="E11223" s="7"/>
      <c r="F11223" s="7"/>
    </row>
    <row r="11224" spans="5:6" ht="15" customHeight="1" x14ac:dyDescent="0.2">
      <c r="E11224" s="7"/>
      <c r="F11224" s="7"/>
    </row>
    <row r="11225" spans="5:6" ht="15" customHeight="1" x14ac:dyDescent="0.2">
      <c r="E11225" s="7"/>
      <c r="F11225" s="7"/>
    </row>
    <row r="11226" spans="5:6" ht="15" customHeight="1" x14ac:dyDescent="0.2">
      <c r="E11226" s="7"/>
      <c r="F11226" s="7"/>
    </row>
    <row r="11227" spans="5:6" ht="15" customHeight="1" x14ac:dyDescent="0.2">
      <c r="E11227" s="7"/>
      <c r="F11227" s="7"/>
    </row>
    <row r="11228" spans="5:6" ht="15" customHeight="1" x14ac:dyDescent="0.2">
      <c r="E11228" s="7"/>
      <c r="F11228" s="7"/>
    </row>
    <row r="11229" spans="5:6" ht="15" customHeight="1" x14ac:dyDescent="0.2">
      <c r="E11229" s="7"/>
      <c r="F11229" s="7"/>
    </row>
    <row r="11230" spans="5:6" ht="15" customHeight="1" x14ac:dyDescent="0.2">
      <c r="E11230" s="7"/>
      <c r="F11230" s="7"/>
    </row>
    <row r="11231" spans="5:6" ht="15" customHeight="1" x14ac:dyDescent="0.2">
      <c r="E11231" s="7"/>
      <c r="F11231" s="7"/>
    </row>
    <row r="11232" spans="5:6" ht="15" customHeight="1" x14ac:dyDescent="0.2">
      <c r="E11232" s="7"/>
      <c r="F11232" s="7"/>
    </row>
    <row r="11233" spans="5:6" ht="15" customHeight="1" x14ac:dyDescent="0.2">
      <c r="E11233" s="7"/>
      <c r="F11233" s="7"/>
    </row>
    <row r="11234" spans="5:6" ht="15" customHeight="1" x14ac:dyDescent="0.2">
      <c r="E11234" s="7"/>
      <c r="F11234" s="7"/>
    </row>
    <row r="11235" spans="5:6" ht="15" customHeight="1" x14ac:dyDescent="0.2">
      <c r="E11235" s="7"/>
      <c r="F11235" s="7"/>
    </row>
    <row r="11236" spans="5:6" ht="15" customHeight="1" x14ac:dyDescent="0.2">
      <c r="E11236" s="7"/>
      <c r="F11236" s="7"/>
    </row>
    <row r="11237" spans="5:6" ht="15" customHeight="1" x14ac:dyDescent="0.2">
      <c r="E11237" s="7"/>
      <c r="F11237" s="7"/>
    </row>
    <row r="11238" spans="5:6" ht="15" customHeight="1" x14ac:dyDescent="0.2">
      <c r="E11238" s="7"/>
      <c r="F11238" s="7"/>
    </row>
    <row r="11239" spans="5:6" ht="15" customHeight="1" x14ac:dyDescent="0.2">
      <c r="E11239" s="7"/>
      <c r="F11239" s="7"/>
    </row>
    <row r="11240" spans="5:6" ht="15" customHeight="1" x14ac:dyDescent="0.2">
      <c r="E11240" s="7"/>
      <c r="F11240" s="7"/>
    </row>
    <row r="11241" spans="5:6" ht="15" customHeight="1" x14ac:dyDescent="0.2">
      <c r="E11241" s="7"/>
      <c r="F11241" s="7"/>
    </row>
    <row r="11242" spans="5:6" ht="15" customHeight="1" x14ac:dyDescent="0.2">
      <c r="E11242" s="7"/>
      <c r="F11242" s="7"/>
    </row>
    <row r="11243" spans="5:6" ht="15" customHeight="1" x14ac:dyDescent="0.2">
      <c r="E11243" s="7"/>
      <c r="F11243" s="7"/>
    </row>
    <row r="11244" spans="5:6" ht="15" customHeight="1" x14ac:dyDescent="0.2">
      <c r="E11244" s="7"/>
      <c r="F11244" s="7"/>
    </row>
    <row r="11245" spans="5:6" ht="15" customHeight="1" x14ac:dyDescent="0.2">
      <c r="E11245" s="7"/>
      <c r="F11245" s="7"/>
    </row>
    <row r="11246" spans="5:6" ht="15" customHeight="1" x14ac:dyDescent="0.2">
      <c r="E11246" s="7"/>
      <c r="F11246" s="7"/>
    </row>
    <row r="11247" spans="5:6" ht="15" customHeight="1" x14ac:dyDescent="0.2">
      <c r="E11247" s="7"/>
      <c r="F11247" s="7"/>
    </row>
    <row r="11248" spans="5:6" ht="15" customHeight="1" x14ac:dyDescent="0.2">
      <c r="E11248" s="7"/>
      <c r="F11248" s="7"/>
    </row>
    <row r="11249" spans="5:6" ht="15" customHeight="1" x14ac:dyDescent="0.2">
      <c r="E11249" s="7"/>
      <c r="F11249" s="7"/>
    </row>
    <row r="11250" spans="5:6" ht="15" customHeight="1" x14ac:dyDescent="0.2">
      <c r="E11250" s="7"/>
      <c r="F11250" s="7"/>
    </row>
    <row r="11251" spans="5:6" ht="15" customHeight="1" x14ac:dyDescent="0.2">
      <c r="E11251" s="7"/>
      <c r="F11251" s="7"/>
    </row>
    <row r="11252" spans="5:6" ht="15" customHeight="1" x14ac:dyDescent="0.2">
      <c r="E11252" s="7"/>
      <c r="F11252" s="7"/>
    </row>
    <row r="11253" spans="5:6" ht="15" customHeight="1" x14ac:dyDescent="0.2">
      <c r="E11253" s="7"/>
      <c r="F11253" s="7"/>
    </row>
    <row r="11254" spans="5:6" ht="15" customHeight="1" x14ac:dyDescent="0.2">
      <c r="E11254" s="7"/>
      <c r="F11254" s="7"/>
    </row>
    <row r="11255" spans="5:6" ht="15" customHeight="1" x14ac:dyDescent="0.2">
      <c r="E11255" s="7"/>
      <c r="F11255" s="7"/>
    </row>
    <row r="11256" spans="5:6" ht="15" customHeight="1" x14ac:dyDescent="0.2">
      <c r="E11256" s="7"/>
      <c r="F11256" s="7"/>
    </row>
    <row r="11257" spans="5:6" ht="15" customHeight="1" x14ac:dyDescent="0.2">
      <c r="E11257" s="7"/>
      <c r="F11257" s="7"/>
    </row>
    <row r="11258" spans="5:6" ht="15" customHeight="1" x14ac:dyDescent="0.2">
      <c r="E11258" s="7"/>
      <c r="F11258" s="7"/>
    </row>
    <row r="11259" spans="5:6" ht="15" customHeight="1" x14ac:dyDescent="0.2">
      <c r="E11259" s="7"/>
      <c r="F11259" s="7"/>
    </row>
    <row r="11260" spans="5:6" ht="15" customHeight="1" x14ac:dyDescent="0.2">
      <c r="E11260" s="7"/>
      <c r="F11260" s="7"/>
    </row>
    <row r="11261" spans="5:6" ht="15" customHeight="1" x14ac:dyDescent="0.2">
      <c r="E11261" s="7"/>
      <c r="F11261" s="7"/>
    </row>
    <row r="11262" spans="5:6" ht="15" customHeight="1" x14ac:dyDescent="0.2">
      <c r="E11262" s="7"/>
      <c r="F11262" s="7"/>
    </row>
    <row r="11263" spans="5:6" ht="15" customHeight="1" x14ac:dyDescent="0.2">
      <c r="E11263" s="7"/>
      <c r="F11263" s="7"/>
    </row>
    <row r="11264" spans="5:6" ht="15" customHeight="1" x14ac:dyDescent="0.2">
      <c r="E11264" s="7"/>
      <c r="F11264" s="7"/>
    </row>
    <row r="11265" spans="5:6" ht="15" customHeight="1" x14ac:dyDescent="0.2">
      <c r="E11265" s="7"/>
      <c r="F11265" s="7"/>
    </row>
    <row r="11266" spans="5:6" ht="15" customHeight="1" x14ac:dyDescent="0.2">
      <c r="E11266" s="7"/>
      <c r="F11266" s="7"/>
    </row>
    <row r="11267" spans="5:6" ht="15" customHeight="1" x14ac:dyDescent="0.2">
      <c r="E11267" s="7"/>
      <c r="F11267" s="7"/>
    </row>
    <row r="11268" spans="5:6" ht="15" customHeight="1" x14ac:dyDescent="0.2">
      <c r="E11268" s="7"/>
      <c r="F11268" s="7"/>
    </row>
    <row r="11269" spans="5:6" ht="15" customHeight="1" x14ac:dyDescent="0.2">
      <c r="E11269" s="7"/>
      <c r="F11269" s="7"/>
    </row>
    <row r="11270" spans="5:6" ht="15" customHeight="1" x14ac:dyDescent="0.2">
      <c r="E11270" s="7"/>
      <c r="F11270" s="7"/>
    </row>
    <row r="11271" spans="5:6" ht="15" customHeight="1" x14ac:dyDescent="0.2">
      <c r="E11271" s="7"/>
      <c r="F11271" s="7"/>
    </row>
    <row r="11272" spans="5:6" ht="15" customHeight="1" x14ac:dyDescent="0.2">
      <c r="E11272" s="7"/>
      <c r="F11272" s="7"/>
    </row>
    <row r="11273" spans="5:6" ht="15" customHeight="1" x14ac:dyDescent="0.2">
      <c r="E11273" s="7"/>
      <c r="F11273" s="7"/>
    </row>
    <row r="11274" spans="5:6" ht="15" customHeight="1" x14ac:dyDescent="0.2">
      <c r="E11274" s="7"/>
      <c r="F11274" s="7"/>
    </row>
    <row r="11275" spans="5:6" ht="15" customHeight="1" x14ac:dyDescent="0.2">
      <c r="E11275" s="7"/>
      <c r="F11275" s="7"/>
    </row>
    <row r="11276" spans="5:6" ht="15" customHeight="1" x14ac:dyDescent="0.2">
      <c r="E11276" s="7"/>
      <c r="F11276" s="7"/>
    </row>
    <row r="11277" spans="5:6" ht="15" customHeight="1" x14ac:dyDescent="0.2">
      <c r="E11277" s="7"/>
      <c r="F11277" s="7"/>
    </row>
    <row r="11278" spans="5:6" ht="15" customHeight="1" x14ac:dyDescent="0.2">
      <c r="E11278" s="7"/>
      <c r="F11278" s="7"/>
    </row>
    <row r="11279" spans="5:6" ht="15" customHeight="1" x14ac:dyDescent="0.2">
      <c r="E11279" s="7"/>
      <c r="F11279" s="7"/>
    </row>
    <row r="11280" spans="5:6" ht="15" customHeight="1" x14ac:dyDescent="0.2">
      <c r="E11280" s="7"/>
      <c r="F11280" s="7"/>
    </row>
    <row r="11281" spans="5:6" ht="15" customHeight="1" x14ac:dyDescent="0.2">
      <c r="E11281" s="7"/>
      <c r="F11281" s="7"/>
    </row>
    <row r="11282" spans="5:6" ht="15" customHeight="1" x14ac:dyDescent="0.2">
      <c r="E11282" s="7"/>
      <c r="F11282" s="7"/>
    </row>
    <row r="11283" spans="5:6" ht="15" customHeight="1" x14ac:dyDescent="0.2">
      <c r="E11283" s="7"/>
      <c r="F11283" s="7"/>
    </row>
    <row r="11284" spans="5:6" ht="15" customHeight="1" x14ac:dyDescent="0.2">
      <c r="E11284" s="7"/>
      <c r="F11284" s="7"/>
    </row>
    <row r="11285" spans="5:6" ht="15" customHeight="1" x14ac:dyDescent="0.2">
      <c r="E11285" s="7"/>
      <c r="F11285" s="7"/>
    </row>
    <row r="11286" spans="5:6" ht="15" customHeight="1" x14ac:dyDescent="0.2">
      <c r="E11286" s="7"/>
      <c r="F11286" s="7"/>
    </row>
    <row r="11287" spans="5:6" ht="15" customHeight="1" x14ac:dyDescent="0.2">
      <c r="E11287" s="7"/>
      <c r="F11287" s="7"/>
    </row>
    <row r="11288" spans="5:6" ht="15" customHeight="1" x14ac:dyDescent="0.2">
      <c r="E11288" s="7"/>
      <c r="F11288" s="7"/>
    </row>
    <row r="11289" spans="5:6" ht="15" customHeight="1" x14ac:dyDescent="0.2">
      <c r="E11289" s="7"/>
      <c r="F11289" s="7"/>
    </row>
    <row r="11290" spans="5:6" ht="15" customHeight="1" x14ac:dyDescent="0.2">
      <c r="E11290" s="7"/>
      <c r="F11290" s="7"/>
    </row>
    <row r="11291" spans="5:6" ht="15" customHeight="1" x14ac:dyDescent="0.2">
      <c r="E11291" s="7"/>
      <c r="F11291" s="7"/>
    </row>
    <row r="11292" spans="5:6" ht="15" customHeight="1" x14ac:dyDescent="0.2">
      <c r="E11292" s="7"/>
      <c r="F11292" s="7"/>
    </row>
    <row r="11293" spans="5:6" ht="15" customHeight="1" x14ac:dyDescent="0.2">
      <c r="E11293" s="7"/>
      <c r="F11293" s="7"/>
    </row>
    <row r="11294" spans="5:6" ht="15" customHeight="1" x14ac:dyDescent="0.2">
      <c r="E11294" s="7"/>
      <c r="F11294" s="7"/>
    </row>
    <row r="11295" spans="5:6" ht="15" customHeight="1" x14ac:dyDescent="0.2">
      <c r="E11295" s="7"/>
      <c r="F11295" s="7"/>
    </row>
    <row r="11296" spans="5:6" ht="15" customHeight="1" x14ac:dyDescent="0.2">
      <c r="E11296" s="7"/>
      <c r="F11296" s="7"/>
    </row>
    <row r="11297" spans="5:6" ht="15" customHeight="1" x14ac:dyDescent="0.2">
      <c r="E11297" s="7"/>
      <c r="F11297" s="7"/>
    </row>
    <row r="11298" spans="5:6" ht="15" customHeight="1" x14ac:dyDescent="0.2">
      <c r="E11298" s="7"/>
      <c r="F11298" s="7"/>
    </row>
    <row r="11299" spans="5:6" ht="15" customHeight="1" x14ac:dyDescent="0.2">
      <c r="E11299" s="7"/>
      <c r="F11299" s="7"/>
    </row>
    <row r="11300" spans="5:6" ht="15" customHeight="1" x14ac:dyDescent="0.2">
      <c r="E11300" s="7"/>
      <c r="F11300" s="7"/>
    </row>
    <row r="11301" spans="5:6" ht="15" customHeight="1" x14ac:dyDescent="0.2">
      <c r="E11301" s="7"/>
      <c r="F11301" s="7"/>
    </row>
    <row r="11302" spans="5:6" ht="15" customHeight="1" x14ac:dyDescent="0.2">
      <c r="E11302" s="7"/>
      <c r="F11302" s="7"/>
    </row>
    <row r="11303" spans="5:6" ht="15" customHeight="1" x14ac:dyDescent="0.2">
      <c r="E11303" s="7"/>
      <c r="F11303" s="7"/>
    </row>
    <row r="11304" spans="5:6" ht="15" customHeight="1" x14ac:dyDescent="0.2">
      <c r="E11304" s="7"/>
      <c r="F11304" s="7"/>
    </row>
    <row r="11305" spans="5:6" ht="15" customHeight="1" x14ac:dyDescent="0.2">
      <c r="E11305" s="7"/>
      <c r="F11305" s="7"/>
    </row>
    <row r="11306" spans="5:6" ht="15" customHeight="1" x14ac:dyDescent="0.2">
      <c r="E11306" s="7"/>
      <c r="F11306" s="7"/>
    </row>
    <row r="11307" spans="5:6" ht="15" customHeight="1" x14ac:dyDescent="0.2">
      <c r="E11307" s="7"/>
      <c r="F11307" s="7"/>
    </row>
    <row r="11308" spans="5:6" ht="15" customHeight="1" x14ac:dyDescent="0.2">
      <c r="E11308" s="7"/>
      <c r="F11308" s="7"/>
    </row>
    <row r="11309" spans="5:6" ht="15" customHeight="1" x14ac:dyDescent="0.2">
      <c r="E11309" s="7"/>
      <c r="F11309" s="7"/>
    </row>
    <row r="11310" spans="5:6" ht="15" customHeight="1" x14ac:dyDescent="0.2">
      <c r="E11310" s="7"/>
      <c r="F11310" s="7"/>
    </row>
    <row r="11311" spans="5:6" ht="15" customHeight="1" x14ac:dyDescent="0.2">
      <c r="E11311" s="7"/>
      <c r="F11311" s="7"/>
    </row>
    <row r="11312" spans="5:6" ht="15" customHeight="1" x14ac:dyDescent="0.2">
      <c r="E11312" s="7"/>
      <c r="F11312" s="7"/>
    </row>
    <row r="11313" spans="5:6" ht="15" customHeight="1" x14ac:dyDescent="0.2">
      <c r="E11313" s="7"/>
      <c r="F11313" s="7"/>
    </row>
    <row r="11314" spans="5:6" ht="15" customHeight="1" x14ac:dyDescent="0.2">
      <c r="E11314" s="7"/>
      <c r="F11314" s="7"/>
    </row>
    <row r="11315" spans="5:6" ht="15" customHeight="1" x14ac:dyDescent="0.2">
      <c r="E11315" s="7"/>
      <c r="F11315" s="7"/>
    </row>
    <row r="11316" spans="5:6" ht="15" customHeight="1" x14ac:dyDescent="0.2">
      <c r="E11316" s="7"/>
      <c r="F11316" s="7"/>
    </row>
    <row r="11317" spans="5:6" ht="15" customHeight="1" x14ac:dyDescent="0.2">
      <c r="E11317" s="7"/>
      <c r="F11317" s="7"/>
    </row>
    <row r="11318" spans="5:6" ht="15" customHeight="1" x14ac:dyDescent="0.2">
      <c r="E11318" s="7"/>
      <c r="F11318" s="7"/>
    </row>
    <row r="11319" spans="5:6" ht="15" customHeight="1" x14ac:dyDescent="0.2">
      <c r="E11319" s="7"/>
      <c r="F11319" s="7"/>
    </row>
    <row r="11320" spans="5:6" ht="15" customHeight="1" x14ac:dyDescent="0.2">
      <c r="E11320" s="7"/>
      <c r="F11320" s="7"/>
    </row>
    <row r="11321" spans="5:6" ht="15" customHeight="1" x14ac:dyDescent="0.2">
      <c r="E11321" s="7"/>
      <c r="F11321" s="7"/>
    </row>
    <row r="11322" spans="5:6" ht="15" customHeight="1" x14ac:dyDescent="0.2">
      <c r="E11322" s="7"/>
      <c r="F11322" s="7"/>
    </row>
    <row r="11323" spans="5:6" ht="15" customHeight="1" x14ac:dyDescent="0.2">
      <c r="E11323" s="7"/>
      <c r="F11323" s="7"/>
    </row>
    <row r="11324" spans="5:6" ht="15" customHeight="1" x14ac:dyDescent="0.2">
      <c r="E11324" s="7"/>
      <c r="F11324" s="7"/>
    </row>
    <row r="11325" spans="5:6" ht="15" customHeight="1" x14ac:dyDescent="0.2">
      <c r="E11325" s="7"/>
      <c r="F11325" s="7"/>
    </row>
    <row r="11326" spans="5:6" ht="15" customHeight="1" x14ac:dyDescent="0.2">
      <c r="E11326" s="7"/>
      <c r="F11326" s="7"/>
    </row>
    <row r="11327" spans="5:6" ht="15" customHeight="1" x14ac:dyDescent="0.2">
      <c r="E11327" s="7"/>
      <c r="F11327" s="7"/>
    </row>
    <row r="11328" spans="5:6" ht="15" customHeight="1" x14ac:dyDescent="0.2">
      <c r="E11328" s="7"/>
      <c r="F11328" s="7"/>
    </row>
    <row r="11329" spans="5:6" ht="15" customHeight="1" x14ac:dyDescent="0.2">
      <c r="E11329" s="7"/>
      <c r="F11329" s="7"/>
    </row>
    <row r="11330" spans="5:6" ht="15" customHeight="1" x14ac:dyDescent="0.2">
      <c r="E11330" s="7"/>
      <c r="F11330" s="7"/>
    </row>
    <row r="11331" spans="5:6" ht="15" customHeight="1" x14ac:dyDescent="0.2">
      <c r="E11331" s="7"/>
      <c r="F11331" s="7"/>
    </row>
    <row r="11332" spans="5:6" ht="15" customHeight="1" x14ac:dyDescent="0.2">
      <c r="E11332" s="7"/>
      <c r="F11332" s="7"/>
    </row>
    <row r="11333" spans="5:6" ht="15" customHeight="1" x14ac:dyDescent="0.2">
      <c r="E11333" s="7"/>
      <c r="F11333" s="7"/>
    </row>
    <row r="11334" spans="5:6" ht="15" customHeight="1" x14ac:dyDescent="0.2">
      <c r="E11334" s="7"/>
      <c r="F11334" s="7"/>
    </row>
    <row r="11335" spans="5:6" ht="15" customHeight="1" x14ac:dyDescent="0.2">
      <c r="E11335" s="7"/>
      <c r="F11335" s="7"/>
    </row>
    <row r="11336" spans="5:6" ht="15" customHeight="1" x14ac:dyDescent="0.2">
      <c r="E11336" s="7"/>
      <c r="F11336" s="7"/>
    </row>
    <row r="11337" spans="5:6" ht="15" customHeight="1" x14ac:dyDescent="0.2">
      <c r="E11337" s="7"/>
      <c r="F11337" s="7"/>
    </row>
    <row r="11338" spans="5:6" ht="15" customHeight="1" x14ac:dyDescent="0.2">
      <c r="E11338" s="7"/>
      <c r="F11338" s="7"/>
    </row>
    <row r="11339" spans="5:6" ht="15" customHeight="1" x14ac:dyDescent="0.2">
      <c r="E11339" s="7"/>
      <c r="F11339" s="7"/>
    </row>
    <row r="11340" spans="5:6" ht="15" customHeight="1" x14ac:dyDescent="0.2">
      <c r="E11340" s="7"/>
      <c r="F11340" s="7"/>
    </row>
    <row r="11341" spans="5:6" ht="15" customHeight="1" x14ac:dyDescent="0.2">
      <c r="E11341" s="7"/>
      <c r="F11341" s="7"/>
    </row>
    <row r="11342" spans="5:6" ht="15" customHeight="1" x14ac:dyDescent="0.2">
      <c r="E11342" s="7"/>
      <c r="F11342" s="7"/>
    </row>
    <row r="11343" spans="5:6" ht="15" customHeight="1" x14ac:dyDescent="0.2">
      <c r="E11343" s="7"/>
      <c r="F11343" s="7"/>
    </row>
    <row r="11344" spans="5:6" ht="15" customHeight="1" x14ac:dyDescent="0.2">
      <c r="E11344" s="7"/>
      <c r="F11344" s="7"/>
    </row>
    <row r="11345" spans="5:6" ht="15" customHeight="1" x14ac:dyDescent="0.2">
      <c r="E11345" s="7"/>
      <c r="F11345" s="7"/>
    </row>
    <row r="11346" spans="5:6" ht="15" customHeight="1" x14ac:dyDescent="0.2">
      <c r="E11346" s="7"/>
      <c r="F11346" s="7"/>
    </row>
    <row r="11347" spans="5:6" ht="15" customHeight="1" x14ac:dyDescent="0.2">
      <c r="E11347" s="7"/>
      <c r="F11347" s="7"/>
    </row>
    <row r="11348" spans="5:6" ht="15" customHeight="1" x14ac:dyDescent="0.2">
      <c r="E11348" s="7"/>
      <c r="F11348" s="7"/>
    </row>
    <row r="11349" spans="5:6" ht="15" customHeight="1" x14ac:dyDescent="0.2">
      <c r="E11349" s="7"/>
      <c r="F11349" s="7"/>
    </row>
    <row r="11350" spans="5:6" ht="15" customHeight="1" x14ac:dyDescent="0.2">
      <c r="E11350" s="7"/>
      <c r="F11350" s="7"/>
    </row>
    <row r="11351" spans="5:6" ht="15" customHeight="1" x14ac:dyDescent="0.2">
      <c r="E11351" s="7"/>
      <c r="F11351" s="7"/>
    </row>
    <row r="11352" spans="5:6" ht="15" customHeight="1" x14ac:dyDescent="0.2">
      <c r="E11352" s="7"/>
      <c r="F11352" s="7"/>
    </row>
    <row r="11353" spans="5:6" ht="15" customHeight="1" x14ac:dyDescent="0.2">
      <c r="E11353" s="7"/>
      <c r="F11353" s="7"/>
    </row>
    <row r="11354" spans="5:6" ht="15" customHeight="1" x14ac:dyDescent="0.2">
      <c r="E11354" s="7"/>
      <c r="F11354" s="7"/>
    </row>
    <row r="11355" spans="5:6" ht="15" customHeight="1" x14ac:dyDescent="0.2">
      <c r="E11355" s="7"/>
      <c r="F11355" s="7"/>
    </row>
    <row r="11356" spans="5:6" ht="15" customHeight="1" x14ac:dyDescent="0.2">
      <c r="E11356" s="7"/>
      <c r="F11356" s="7"/>
    </row>
    <row r="11357" spans="5:6" ht="15" customHeight="1" x14ac:dyDescent="0.2">
      <c r="E11357" s="7"/>
      <c r="F11357" s="7"/>
    </row>
    <row r="11358" spans="5:6" ht="15" customHeight="1" x14ac:dyDescent="0.2">
      <c r="E11358" s="7"/>
      <c r="F11358" s="7"/>
    </row>
    <row r="11359" spans="5:6" ht="15" customHeight="1" x14ac:dyDescent="0.2">
      <c r="E11359" s="7"/>
      <c r="F11359" s="7"/>
    </row>
    <row r="11360" spans="5:6" ht="15" customHeight="1" x14ac:dyDescent="0.2">
      <c r="E11360" s="7"/>
      <c r="F11360" s="7"/>
    </row>
    <row r="11361" spans="5:6" ht="15" customHeight="1" x14ac:dyDescent="0.2">
      <c r="E11361" s="7"/>
      <c r="F11361" s="7"/>
    </row>
    <row r="11362" spans="5:6" ht="15" customHeight="1" x14ac:dyDescent="0.2">
      <c r="E11362" s="7"/>
      <c r="F11362" s="7"/>
    </row>
    <row r="11363" spans="5:6" ht="15" customHeight="1" x14ac:dyDescent="0.2">
      <c r="E11363" s="7"/>
      <c r="F11363" s="7"/>
    </row>
    <row r="11364" spans="5:6" ht="15" customHeight="1" x14ac:dyDescent="0.2">
      <c r="E11364" s="7"/>
      <c r="F11364" s="7"/>
    </row>
    <row r="11365" spans="5:6" ht="15" customHeight="1" x14ac:dyDescent="0.2">
      <c r="E11365" s="7"/>
      <c r="F11365" s="7"/>
    </row>
    <row r="11366" spans="5:6" ht="15" customHeight="1" x14ac:dyDescent="0.2">
      <c r="E11366" s="7"/>
      <c r="F11366" s="7"/>
    </row>
    <row r="11367" spans="5:6" ht="15" customHeight="1" x14ac:dyDescent="0.2">
      <c r="E11367" s="7"/>
      <c r="F11367" s="7"/>
    </row>
    <row r="11368" spans="5:6" ht="15" customHeight="1" x14ac:dyDescent="0.2">
      <c r="E11368" s="7"/>
      <c r="F11368" s="7"/>
    </row>
    <row r="11369" spans="5:6" ht="15" customHeight="1" x14ac:dyDescent="0.2">
      <c r="E11369" s="7"/>
      <c r="F11369" s="7"/>
    </row>
    <row r="11370" spans="5:6" ht="15" customHeight="1" x14ac:dyDescent="0.2">
      <c r="E11370" s="7"/>
      <c r="F11370" s="7"/>
    </row>
    <row r="11371" spans="5:6" ht="15" customHeight="1" x14ac:dyDescent="0.2">
      <c r="E11371" s="7"/>
      <c r="F11371" s="7"/>
    </row>
    <row r="11372" spans="5:6" ht="15" customHeight="1" x14ac:dyDescent="0.2">
      <c r="E11372" s="7"/>
      <c r="F11372" s="7"/>
    </row>
    <row r="11373" spans="5:6" ht="15" customHeight="1" x14ac:dyDescent="0.2">
      <c r="E11373" s="7"/>
      <c r="F11373" s="7"/>
    </row>
    <row r="11374" spans="5:6" ht="15" customHeight="1" x14ac:dyDescent="0.2">
      <c r="E11374" s="7"/>
      <c r="F11374" s="7"/>
    </row>
    <row r="11375" spans="5:6" ht="15" customHeight="1" x14ac:dyDescent="0.2">
      <c r="E11375" s="7"/>
      <c r="F11375" s="7"/>
    </row>
    <row r="11376" spans="5:6" ht="15" customHeight="1" x14ac:dyDescent="0.2">
      <c r="E11376" s="7"/>
      <c r="F11376" s="7"/>
    </row>
    <row r="11377" spans="5:6" ht="15" customHeight="1" x14ac:dyDescent="0.2">
      <c r="E11377" s="7"/>
      <c r="F11377" s="7"/>
    </row>
    <row r="11378" spans="5:6" ht="15" customHeight="1" x14ac:dyDescent="0.2">
      <c r="E11378" s="7"/>
      <c r="F11378" s="7"/>
    </row>
    <row r="11379" spans="5:6" ht="15" customHeight="1" x14ac:dyDescent="0.2">
      <c r="E11379" s="7"/>
      <c r="F11379" s="7"/>
    </row>
    <row r="11380" spans="5:6" ht="15" customHeight="1" x14ac:dyDescent="0.2">
      <c r="E11380" s="7"/>
      <c r="F11380" s="7"/>
    </row>
    <row r="11381" spans="5:6" ht="15" customHeight="1" x14ac:dyDescent="0.2">
      <c r="E11381" s="7"/>
      <c r="F11381" s="7"/>
    </row>
    <row r="11382" spans="5:6" ht="15" customHeight="1" x14ac:dyDescent="0.2">
      <c r="E11382" s="7"/>
      <c r="F11382" s="7"/>
    </row>
    <row r="11383" spans="5:6" ht="15" customHeight="1" x14ac:dyDescent="0.2">
      <c r="E11383" s="7"/>
      <c r="F11383" s="7"/>
    </row>
    <row r="11384" spans="5:6" ht="15" customHeight="1" x14ac:dyDescent="0.2">
      <c r="E11384" s="7"/>
      <c r="F11384" s="7"/>
    </row>
    <row r="11385" spans="5:6" ht="15" customHeight="1" x14ac:dyDescent="0.2">
      <c r="E11385" s="7"/>
      <c r="F11385" s="7"/>
    </row>
    <row r="11386" spans="5:6" ht="15" customHeight="1" x14ac:dyDescent="0.2">
      <c r="E11386" s="7"/>
      <c r="F11386" s="7"/>
    </row>
    <row r="11387" spans="5:6" ht="15" customHeight="1" x14ac:dyDescent="0.2">
      <c r="E11387" s="7"/>
      <c r="F11387" s="7"/>
    </row>
    <row r="11388" spans="5:6" ht="15" customHeight="1" x14ac:dyDescent="0.2">
      <c r="E11388" s="7"/>
      <c r="F11388" s="7"/>
    </row>
    <row r="11389" spans="5:6" ht="15" customHeight="1" x14ac:dyDescent="0.2">
      <c r="E11389" s="7"/>
      <c r="F11389" s="7"/>
    </row>
    <row r="11390" spans="5:6" ht="15" customHeight="1" x14ac:dyDescent="0.2">
      <c r="E11390" s="7"/>
      <c r="F11390" s="7"/>
    </row>
    <row r="11391" spans="5:6" ht="15" customHeight="1" x14ac:dyDescent="0.2">
      <c r="E11391" s="7"/>
      <c r="F11391" s="7"/>
    </row>
    <row r="11392" spans="5:6" ht="15" customHeight="1" x14ac:dyDescent="0.2">
      <c r="E11392" s="7"/>
      <c r="F11392" s="7"/>
    </row>
    <row r="11393" spans="5:6" ht="15" customHeight="1" x14ac:dyDescent="0.2">
      <c r="E11393" s="7"/>
      <c r="F11393" s="7"/>
    </row>
    <row r="11394" spans="5:6" ht="15" customHeight="1" x14ac:dyDescent="0.2">
      <c r="E11394" s="7"/>
      <c r="F11394" s="7"/>
    </row>
    <row r="11395" spans="5:6" ht="15" customHeight="1" x14ac:dyDescent="0.2">
      <c r="E11395" s="7"/>
      <c r="F11395" s="7"/>
    </row>
    <row r="11396" spans="5:6" ht="15" customHeight="1" x14ac:dyDescent="0.2">
      <c r="E11396" s="7"/>
      <c r="F11396" s="7"/>
    </row>
    <row r="11397" spans="5:6" ht="15" customHeight="1" x14ac:dyDescent="0.2">
      <c r="E11397" s="7"/>
      <c r="F11397" s="7"/>
    </row>
    <row r="11398" spans="5:6" ht="15" customHeight="1" x14ac:dyDescent="0.2">
      <c r="E11398" s="7"/>
      <c r="F11398" s="7"/>
    </row>
    <row r="11399" spans="5:6" ht="15" customHeight="1" x14ac:dyDescent="0.2">
      <c r="E11399" s="7"/>
      <c r="F11399" s="7"/>
    </row>
    <row r="11400" spans="5:6" ht="15" customHeight="1" x14ac:dyDescent="0.2">
      <c r="E11400" s="7"/>
      <c r="F11400" s="7"/>
    </row>
    <row r="11401" spans="5:6" ht="15" customHeight="1" x14ac:dyDescent="0.2">
      <c r="E11401" s="7"/>
      <c r="F11401" s="7"/>
    </row>
    <row r="11402" spans="5:6" ht="15" customHeight="1" x14ac:dyDescent="0.2">
      <c r="E11402" s="7"/>
      <c r="F11402" s="7"/>
    </row>
    <row r="11403" spans="5:6" ht="15" customHeight="1" x14ac:dyDescent="0.2">
      <c r="E11403" s="7"/>
      <c r="F11403" s="7"/>
    </row>
    <row r="11404" spans="5:6" ht="15" customHeight="1" x14ac:dyDescent="0.2">
      <c r="E11404" s="7"/>
      <c r="F11404" s="7"/>
    </row>
    <row r="11405" spans="5:6" ht="15" customHeight="1" x14ac:dyDescent="0.2">
      <c r="E11405" s="7"/>
      <c r="F11405" s="7"/>
    </row>
    <row r="11406" spans="5:6" ht="15" customHeight="1" x14ac:dyDescent="0.2">
      <c r="E11406" s="7"/>
      <c r="F11406" s="7"/>
    </row>
    <row r="11407" spans="5:6" ht="15" customHeight="1" x14ac:dyDescent="0.2">
      <c r="E11407" s="7"/>
      <c r="F11407" s="7"/>
    </row>
    <row r="11408" spans="5:6" ht="15" customHeight="1" x14ac:dyDescent="0.2">
      <c r="E11408" s="7"/>
      <c r="F11408" s="7"/>
    </row>
    <row r="11409" spans="5:6" ht="15" customHeight="1" x14ac:dyDescent="0.2">
      <c r="E11409" s="7"/>
      <c r="F11409" s="7"/>
    </row>
    <row r="11410" spans="5:6" ht="15" customHeight="1" x14ac:dyDescent="0.2">
      <c r="E11410" s="7"/>
      <c r="F11410" s="7"/>
    </row>
    <row r="11411" spans="5:6" ht="15" customHeight="1" x14ac:dyDescent="0.2">
      <c r="E11411" s="7"/>
      <c r="F11411" s="7"/>
    </row>
    <row r="11412" spans="5:6" ht="15" customHeight="1" x14ac:dyDescent="0.2">
      <c r="E11412" s="7"/>
      <c r="F11412" s="7"/>
    </row>
    <row r="11413" spans="5:6" ht="15" customHeight="1" x14ac:dyDescent="0.2">
      <c r="E11413" s="7"/>
      <c r="F11413" s="7"/>
    </row>
    <row r="11414" spans="5:6" ht="15" customHeight="1" x14ac:dyDescent="0.2">
      <c r="E11414" s="7"/>
      <c r="F11414" s="7"/>
    </row>
    <row r="11415" spans="5:6" ht="15" customHeight="1" x14ac:dyDescent="0.2">
      <c r="E11415" s="7"/>
      <c r="F11415" s="7"/>
    </row>
    <row r="11416" spans="5:6" ht="15" customHeight="1" x14ac:dyDescent="0.2">
      <c r="E11416" s="7"/>
      <c r="F11416" s="7"/>
    </row>
    <row r="11417" spans="5:6" ht="15" customHeight="1" x14ac:dyDescent="0.2">
      <c r="E11417" s="7"/>
      <c r="F11417" s="7"/>
    </row>
    <row r="11418" spans="5:6" ht="15" customHeight="1" x14ac:dyDescent="0.2">
      <c r="E11418" s="7"/>
      <c r="F11418" s="7"/>
    </row>
    <row r="11419" spans="5:6" ht="15" customHeight="1" x14ac:dyDescent="0.2">
      <c r="E11419" s="7"/>
      <c r="F11419" s="7"/>
    </row>
    <row r="11420" spans="5:6" ht="15" customHeight="1" x14ac:dyDescent="0.2">
      <c r="E11420" s="7"/>
      <c r="F11420" s="7"/>
    </row>
    <row r="11421" spans="5:6" ht="15" customHeight="1" x14ac:dyDescent="0.2">
      <c r="E11421" s="7"/>
      <c r="F11421" s="7"/>
    </row>
    <row r="11422" spans="5:6" ht="15" customHeight="1" x14ac:dyDescent="0.2">
      <c r="E11422" s="7"/>
      <c r="F11422" s="7"/>
    </row>
    <row r="11423" spans="5:6" ht="15" customHeight="1" x14ac:dyDescent="0.2">
      <c r="E11423" s="7"/>
      <c r="F11423" s="7"/>
    </row>
    <row r="11424" spans="5:6" ht="15" customHeight="1" x14ac:dyDescent="0.2">
      <c r="E11424" s="7"/>
      <c r="F11424" s="7"/>
    </row>
    <row r="11425" spans="5:6" ht="15" customHeight="1" x14ac:dyDescent="0.2">
      <c r="E11425" s="7"/>
      <c r="F11425" s="7"/>
    </row>
    <row r="11426" spans="5:6" ht="15" customHeight="1" x14ac:dyDescent="0.2">
      <c r="E11426" s="7"/>
      <c r="F11426" s="7"/>
    </row>
    <row r="11427" spans="5:6" ht="15" customHeight="1" x14ac:dyDescent="0.2">
      <c r="E11427" s="7"/>
      <c r="F11427" s="7"/>
    </row>
    <row r="11428" spans="5:6" ht="15" customHeight="1" x14ac:dyDescent="0.2">
      <c r="E11428" s="7"/>
      <c r="F11428" s="7"/>
    </row>
    <row r="11429" spans="5:6" ht="15" customHeight="1" x14ac:dyDescent="0.2">
      <c r="E11429" s="7"/>
      <c r="F11429" s="7"/>
    </row>
    <row r="11430" spans="5:6" ht="15" customHeight="1" x14ac:dyDescent="0.2">
      <c r="E11430" s="7"/>
      <c r="F11430" s="7"/>
    </row>
    <row r="11431" spans="5:6" ht="15" customHeight="1" x14ac:dyDescent="0.2">
      <c r="E11431" s="7"/>
      <c r="F11431" s="7"/>
    </row>
    <row r="11432" spans="5:6" ht="15" customHeight="1" x14ac:dyDescent="0.2">
      <c r="E11432" s="7"/>
      <c r="F11432" s="7"/>
    </row>
    <row r="11433" spans="5:6" ht="15" customHeight="1" x14ac:dyDescent="0.2">
      <c r="E11433" s="7"/>
      <c r="F11433" s="7"/>
    </row>
    <row r="11434" spans="5:6" ht="15" customHeight="1" x14ac:dyDescent="0.2">
      <c r="E11434" s="7"/>
      <c r="F11434" s="7"/>
    </row>
    <row r="11435" spans="5:6" ht="15" customHeight="1" x14ac:dyDescent="0.2">
      <c r="E11435" s="7"/>
      <c r="F11435" s="7"/>
    </row>
    <row r="11436" spans="5:6" ht="15" customHeight="1" x14ac:dyDescent="0.2">
      <c r="E11436" s="7"/>
      <c r="F11436" s="7"/>
    </row>
    <row r="11437" spans="5:6" ht="15" customHeight="1" x14ac:dyDescent="0.2">
      <c r="E11437" s="7"/>
      <c r="F11437" s="7"/>
    </row>
    <row r="11438" spans="5:6" ht="15" customHeight="1" x14ac:dyDescent="0.2">
      <c r="E11438" s="7"/>
      <c r="F11438" s="7"/>
    </row>
    <row r="11439" spans="5:6" ht="15" customHeight="1" x14ac:dyDescent="0.2">
      <c r="E11439" s="7"/>
      <c r="F11439" s="7"/>
    </row>
    <row r="11440" spans="5:6" ht="15" customHeight="1" x14ac:dyDescent="0.2">
      <c r="E11440" s="7"/>
      <c r="F11440" s="7"/>
    </row>
    <row r="11441" spans="5:6" ht="15" customHeight="1" x14ac:dyDescent="0.2">
      <c r="E11441" s="7"/>
      <c r="F11441" s="7"/>
    </row>
    <row r="11442" spans="5:6" ht="15" customHeight="1" x14ac:dyDescent="0.2">
      <c r="E11442" s="7"/>
      <c r="F11442" s="7"/>
    </row>
    <row r="11443" spans="5:6" ht="15" customHeight="1" x14ac:dyDescent="0.2">
      <c r="E11443" s="7"/>
      <c r="F11443" s="7"/>
    </row>
    <row r="11444" spans="5:6" ht="15" customHeight="1" x14ac:dyDescent="0.2">
      <c r="E11444" s="7"/>
      <c r="F11444" s="7"/>
    </row>
    <row r="11445" spans="5:6" ht="15" customHeight="1" x14ac:dyDescent="0.2">
      <c r="E11445" s="7"/>
      <c r="F11445" s="7"/>
    </row>
    <row r="11446" spans="5:6" ht="15" customHeight="1" x14ac:dyDescent="0.2">
      <c r="E11446" s="7"/>
      <c r="F11446" s="7"/>
    </row>
    <row r="11447" spans="5:6" ht="15" customHeight="1" x14ac:dyDescent="0.2">
      <c r="E11447" s="7"/>
      <c r="F11447" s="7"/>
    </row>
    <row r="11448" spans="5:6" ht="15" customHeight="1" x14ac:dyDescent="0.2">
      <c r="E11448" s="7"/>
      <c r="F11448" s="7"/>
    </row>
    <row r="11449" spans="5:6" ht="15" customHeight="1" x14ac:dyDescent="0.2">
      <c r="E11449" s="7"/>
      <c r="F11449" s="7"/>
    </row>
    <row r="11450" spans="5:6" ht="15" customHeight="1" x14ac:dyDescent="0.2">
      <c r="E11450" s="7"/>
      <c r="F11450" s="7"/>
    </row>
    <row r="11451" spans="5:6" ht="15" customHeight="1" x14ac:dyDescent="0.2">
      <c r="E11451" s="7"/>
      <c r="F11451" s="7"/>
    </row>
    <row r="11452" spans="5:6" ht="15" customHeight="1" x14ac:dyDescent="0.2">
      <c r="E11452" s="7"/>
      <c r="F11452" s="7"/>
    </row>
    <row r="11453" spans="5:6" ht="15" customHeight="1" x14ac:dyDescent="0.2">
      <c r="E11453" s="7"/>
      <c r="F11453" s="7"/>
    </row>
    <row r="11454" spans="5:6" ht="15" customHeight="1" x14ac:dyDescent="0.2">
      <c r="E11454" s="7"/>
      <c r="F11454" s="7"/>
    </row>
    <row r="11455" spans="5:6" ht="15" customHeight="1" x14ac:dyDescent="0.2">
      <c r="E11455" s="7"/>
      <c r="F11455" s="7"/>
    </row>
    <row r="11456" spans="5:6" ht="15" customHeight="1" x14ac:dyDescent="0.2">
      <c r="E11456" s="7"/>
      <c r="F11456" s="7"/>
    </row>
    <row r="11457" spans="5:6" ht="15" customHeight="1" x14ac:dyDescent="0.2">
      <c r="E11457" s="7"/>
      <c r="F11457" s="7"/>
    </row>
    <row r="11458" spans="5:6" ht="15" customHeight="1" x14ac:dyDescent="0.2">
      <c r="E11458" s="7"/>
      <c r="F11458" s="7"/>
    </row>
    <row r="11459" spans="5:6" ht="15" customHeight="1" x14ac:dyDescent="0.2">
      <c r="E11459" s="7"/>
      <c r="F11459" s="7"/>
    </row>
    <row r="11460" spans="5:6" ht="15" customHeight="1" x14ac:dyDescent="0.2">
      <c r="E11460" s="7"/>
      <c r="F11460" s="7"/>
    </row>
    <row r="11461" spans="5:6" ht="15" customHeight="1" x14ac:dyDescent="0.2">
      <c r="E11461" s="7"/>
      <c r="F11461" s="7"/>
    </row>
    <row r="11462" spans="5:6" ht="15" customHeight="1" x14ac:dyDescent="0.2">
      <c r="E11462" s="7"/>
      <c r="F11462" s="7"/>
    </row>
    <row r="11463" spans="5:6" ht="15" customHeight="1" x14ac:dyDescent="0.2">
      <c r="E11463" s="7"/>
      <c r="F11463" s="7"/>
    </row>
    <row r="11464" spans="5:6" ht="15" customHeight="1" x14ac:dyDescent="0.2">
      <c r="E11464" s="7"/>
      <c r="F11464" s="7"/>
    </row>
    <row r="11465" spans="5:6" ht="15" customHeight="1" x14ac:dyDescent="0.2">
      <c r="E11465" s="7"/>
      <c r="F11465" s="7"/>
    </row>
    <row r="11466" spans="5:6" ht="15" customHeight="1" x14ac:dyDescent="0.2">
      <c r="E11466" s="7"/>
      <c r="F11466" s="7"/>
    </row>
    <row r="11467" spans="5:6" ht="15" customHeight="1" x14ac:dyDescent="0.2">
      <c r="E11467" s="7"/>
      <c r="F11467" s="7"/>
    </row>
    <row r="11468" spans="5:6" ht="15" customHeight="1" x14ac:dyDescent="0.2">
      <c r="E11468" s="7"/>
      <c r="F11468" s="7"/>
    </row>
    <row r="11469" spans="5:6" ht="15" customHeight="1" x14ac:dyDescent="0.2">
      <c r="E11469" s="7"/>
      <c r="F11469" s="7"/>
    </row>
    <row r="11470" spans="5:6" ht="15" customHeight="1" x14ac:dyDescent="0.2">
      <c r="E11470" s="7"/>
      <c r="F11470" s="7"/>
    </row>
    <row r="11471" spans="5:6" ht="15" customHeight="1" x14ac:dyDescent="0.2">
      <c r="E11471" s="7"/>
      <c r="F11471" s="7"/>
    </row>
    <row r="11472" spans="5:6" ht="15" customHeight="1" x14ac:dyDescent="0.2">
      <c r="E11472" s="7"/>
      <c r="F11472" s="7"/>
    </row>
    <row r="11473" spans="5:6" ht="15" customHeight="1" x14ac:dyDescent="0.2">
      <c r="E11473" s="7"/>
      <c r="F11473" s="7"/>
    </row>
    <row r="11474" spans="5:6" ht="15" customHeight="1" x14ac:dyDescent="0.2">
      <c r="E11474" s="7"/>
      <c r="F11474" s="7"/>
    </row>
    <row r="11475" spans="5:6" ht="15" customHeight="1" x14ac:dyDescent="0.2">
      <c r="E11475" s="7"/>
      <c r="F11475" s="7"/>
    </row>
    <row r="11476" spans="5:6" ht="15" customHeight="1" x14ac:dyDescent="0.2">
      <c r="E11476" s="7"/>
      <c r="F11476" s="7"/>
    </row>
    <row r="11477" spans="5:6" ht="15" customHeight="1" x14ac:dyDescent="0.2">
      <c r="E11477" s="7"/>
      <c r="F11477" s="7"/>
    </row>
    <row r="11478" spans="5:6" ht="15" customHeight="1" x14ac:dyDescent="0.2">
      <c r="E11478" s="7"/>
      <c r="F11478" s="7"/>
    </row>
    <row r="11479" spans="5:6" ht="15" customHeight="1" x14ac:dyDescent="0.2">
      <c r="E11479" s="7"/>
      <c r="F11479" s="7"/>
    </row>
    <row r="11480" spans="5:6" ht="15" customHeight="1" x14ac:dyDescent="0.2">
      <c r="E11480" s="7"/>
      <c r="F11480" s="7"/>
    </row>
    <row r="11481" spans="5:6" ht="15" customHeight="1" x14ac:dyDescent="0.2">
      <c r="E11481" s="7"/>
      <c r="F11481" s="7"/>
    </row>
    <row r="11482" spans="5:6" ht="15" customHeight="1" x14ac:dyDescent="0.2">
      <c r="E11482" s="7"/>
      <c r="F11482" s="7"/>
    </row>
    <row r="11483" spans="5:6" ht="15" customHeight="1" x14ac:dyDescent="0.2">
      <c r="E11483" s="7"/>
      <c r="F11483" s="7"/>
    </row>
    <row r="11484" spans="5:6" ht="15" customHeight="1" x14ac:dyDescent="0.2">
      <c r="E11484" s="7"/>
      <c r="F11484" s="7"/>
    </row>
    <row r="11485" spans="5:6" ht="15" customHeight="1" x14ac:dyDescent="0.2">
      <c r="E11485" s="7"/>
      <c r="F11485" s="7"/>
    </row>
    <row r="11486" spans="5:6" ht="15" customHeight="1" x14ac:dyDescent="0.2">
      <c r="E11486" s="7"/>
      <c r="F11486" s="7"/>
    </row>
    <row r="11487" spans="5:6" ht="15" customHeight="1" x14ac:dyDescent="0.2">
      <c r="E11487" s="7"/>
      <c r="F11487" s="7"/>
    </row>
    <row r="11488" spans="5:6" ht="15" customHeight="1" x14ac:dyDescent="0.2">
      <c r="E11488" s="7"/>
      <c r="F11488" s="7"/>
    </row>
    <row r="11489" spans="5:6" ht="15" customHeight="1" x14ac:dyDescent="0.2">
      <c r="E11489" s="7"/>
      <c r="F11489" s="7"/>
    </row>
    <row r="11490" spans="5:6" ht="15" customHeight="1" x14ac:dyDescent="0.2">
      <c r="E11490" s="7"/>
      <c r="F11490" s="7"/>
    </row>
    <row r="11491" spans="5:6" ht="15" customHeight="1" x14ac:dyDescent="0.2">
      <c r="E11491" s="7"/>
      <c r="F11491" s="7"/>
    </row>
    <row r="11492" spans="5:6" ht="15" customHeight="1" x14ac:dyDescent="0.2">
      <c r="E11492" s="7"/>
      <c r="F11492" s="7"/>
    </row>
    <row r="11493" spans="5:6" ht="15" customHeight="1" x14ac:dyDescent="0.2">
      <c r="E11493" s="7"/>
      <c r="F11493" s="7"/>
    </row>
    <row r="11494" spans="5:6" ht="15" customHeight="1" x14ac:dyDescent="0.2">
      <c r="E11494" s="7"/>
      <c r="F11494" s="7"/>
    </row>
    <row r="11495" spans="5:6" ht="15" customHeight="1" x14ac:dyDescent="0.2">
      <c r="E11495" s="7"/>
      <c r="F11495" s="7"/>
    </row>
    <row r="11496" spans="5:6" ht="15" customHeight="1" x14ac:dyDescent="0.2">
      <c r="E11496" s="7"/>
      <c r="F11496" s="7"/>
    </row>
    <row r="11497" spans="5:6" ht="15" customHeight="1" x14ac:dyDescent="0.2">
      <c r="E11497" s="7"/>
      <c r="F11497" s="7"/>
    </row>
    <row r="11498" spans="5:6" ht="15" customHeight="1" x14ac:dyDescent="0.2">
      <c r="E11498" s="7"/>
      <c r="F11498" s="7"/>
    </row>
    <row r="11499" spans="5:6" ht="15" customHeight="1" x14ac:dyDescent="0.2">
      <c r="E11499" s="7"/>
      <c r="F11499" s="7"/>
    </row>
    <row r="11500" spans="5:6" ht="15" customHeight="1" x14ac:dyDescent="0.2">
      <c r="E11500" s="7"/>
      <c r="F11500" s="7"/>
    </row>
    <row r="11501" spans="5:6" ht="15" customHeight="1" x14ac:dyDescent="0.2">
      <c r="E11501" s="7"/>
      <c r="F11501" s="7"/>
    </row>
    <row r="11502" spans="5:6" ht="15" customHeight="1" x14ac:dyDescent="0.2">
      <c r="E11502" s="7"/>
      <c r="F11502" s="7"/>
    </row>
    <row r="11503" spans="5:6" ht="15" customHeight="1" x14ac:dyDescent="0.2">
      <c r="E11503" s="7"/>
      <c r="F11503" s="7"/>
    </row>
    <row r="11504" spans="5:6" ht="15" customHeight="1" x14ac:dyDescent="0.2">
      <c r="E11504" s="7"/>
      <c r="F11504" s="7"/>
    </row>
    <row r="11505" spans="5:6" ht="15" customHeight="1" x14ac:dyDescent="0.2">
      <c r="E11505" s="7"/>
      <c r="F11505" s="7"/>
    </row>
    <row r="11506" spans="5:6" ht="15" customHeight="1" x14ac:dyDescent="0.2">
      <c r="E11506" s="7"/>
      <c r="F11506" s="7"/>
    </row>
    <row r="11507" spans="5:6" ht="15" customHeight="1" x14ac:dyDescent="0.2">
      <c r="E11507" s="7"/>
      <c r="F11507" s="7"/>
    </row>
    <row r="11508" spans="5:6" ht="15" customHeight="1" x14ac:dyDescent="0.2">
      <c r="E11508" s="7"/>
      <c r="F11508" s="7"/>
    </row>
    <row r="11509" spans="5:6" ht="15" customHeight="1" x14ac:dyDescent="0.2">
      <c r="E11509" s="7"/>
      <c r="F11509" s="7"/>
    </row>
    <row r="11510" spans="5:6" ht="15" customHeight="1" x14ac:dyDescent="0.2">
      <c r="E11510" s="7"/>
      <c r="F11510" s="7"/>
    </row>
    <row r="11511" spans="5:6" ht="15" customHeight="1" x14ac:dyDescent="0.2">
      <c r="E11511" s="7"/>
      <c r="F11511" s="7"/>
    </row>
    <row r="11512" spans="5:6" ht="15" customHeight="1" x14ac:dyDescent="0.2">
      <c r="E11512" s="7"/>
      <c r="F11512" s="7"/>
    </row>
    <row r="11513" spans="5:6" ht="15" customHeight="1" x14ac:dyDescent="0.2">
      <c r="E11513" s="7"/>
      <c r="F11513" s="7"/>
    </row>
    <row r="11514" spans="5:6" ht="15" customHeight="1" x14ac:dyDescent="0.2">
      <c r="E11514" s="7"/>
      <c r="F11514" s="7"/>
    </row>
    <row r="11515" spans="5:6" ht="15" customHeight="1" x14ac:dyDescent="0.2">
      <c r="E11515" s="7"/>
      <c r="F11515" s="7"/>
    </row>
    <row r="11516" spans="5:6" ht="15" customHeight="1" x14ac:dyDescent="0.2">
      <c r="E11516" s="7"/>
      <c r="F11516" s="7"/>
    </row>
    <row r="11517" spans="5:6" ht="15" customHeight="1" x14ac:dyDescent="0.2">
      <c r="E11517" s="7"/>
      <c r="F11517" s="7"/>
    </row>
    <row r="11518" spans="5:6" ht="15" customHeight="1" x14ac:dyDescent="0.2">
      <c r="E11518" s="7"/>
      <c r="F11518" s="7"/>
    </row>
    <row r="11519" spans="5:6" ht="15" customHeight="1" x14ac:dyDescent="0.2">
      <c r="E11519" s="7"/>
      <c r="F11519" s="7"/>
    </row>
    <row r="11520" spans="5:6" ht="15" customHeight="1" x14ac:dyDescent="0.2">
      <c r="E11520" s="7"/>
      <c r="F11520" s="7"/>
    </row>
    <row r="11521" spans="5:6" ht="15" customHeight="1" x14ac:dyDescent="0.2">
      <c r="E11521" s="7"/>
      <c r="F11521" s="7"/>
    </row>
    <row r="11522" spans="5:6" ht="15" customHeight="1" x14ac:dyDescent="0.2">
      <c r="E11522" s="7"/>
      <c r="F11522" s="7"/>
    </row>
    <row r="11523" spans="5:6" ht="15" customHeight="1" x14ac:dyDescent="0.2">
      <c r="E11523" s="7"/>
      <c r="F11523" s="7"/>
    </row>
    <row r="11524" spans="5:6" ht="15" customHeight="1" x14ac:dyDescent="0.2">
      <c r="E11524" s="7"/>
      <c r="F11524" s="7"/>
    </row>
    <row r="11525" spans="5:6" ht="15" customHeight="1" x14ac:dyDescent="0.2">
      <c r="E11525" s="7"/>
      <c r="F11525" s="7"/>
    </row>
    <row r="11526" spans="5:6" ht="15" customHeight="1" x14ac:dyDescent="0.2">
      <c r="E11526" s="7"/>
      <c r="F11526" s="7"/>
    </row>
    <row r="11527" spans="5:6" ht="15" customHeight="1" x14ac:dyDescent="0.2">
      <c r="E11527" s="7"/>
      <c r="F11527" s="7"/>
    </row>
    <row r="11528" spans="5:6" ht="15" customHeight="1" x14ac:dyDescent="0.2">
      <c r="E11528" s="7"/>
      <c r="F11528" s="7"/>
    </row>
    <row r="11529" spans="5:6" ht="15" customHeight="1" x14ac:dyDescent="0.2">
      <c r="E11529" s="7"/>
      <c r="F11529" s="7"/>
    </row>
    <row r="11530" spans="5:6" ht="15" customHeight="1" x14ac:dyDescent="0.2">
      <c r="E11530" s="7"/>
      <c r="F11530" s="7"/>
    </row>
    <row r="11531" spans="5:6" ht="15" customHeight="1" x14ac:dyDescent="0.2">
      <c r="E11531" s="7"/>
      <c r="F11531" s="7"/>
    </row>
    <row r="11532" spans="5:6" ht="15" customHeight="1" x14ac:dyDescent="0.2">
      <c r="E11532" s="7"/>
      <c r="F11532" s="7"/>
    </row>
    <row r="11533" spans="5:6" ht="15" customHeight="1" x14ac:dyDescent="0.2">
      <c r="E11533" s="7"/>
      <c r="F11533" s="7"/>
    </row>
    <row r="11534" spans="5:6" ht="15" customHeight="1" x14ac:dyDescent="0.2">
      <c r="E11534" s="7"/>
      <c r="F11534" s="7"/>
    </row>
    <row r="11535" spans="5:6" ht="15" customHeight="1" x14ac:dyDescent="0.2">
      <c r="E11535" s="7"/>
      <c r="F11535" s="7"/>
    </row>
    <row r="11536" spans="5:6" ht="15" customHeight="1" x14ac:dyDescent="0.2">
      <c r="E11536" s="7"/>
      <c r="F11536" s="7"/>
    </row>
    <row r="11537" spans="5:6" ht="15" customHeight="1" x14ac:dyDescent="0.2">
      <c r="E11537" s="7"/>
      <c r="F11537" s="7"/>
    </row>
    <row r="11538" spans="5:6" ht="15" customHeight="1" x14ac:dyDescent="0.2">
      <c r="E11538" s="7"/>
      <c r="F11538" s="7"/>
    </row>
    <row r="11539" spans="5:6" ht="15" customHeight="1" x14ac:dyDescent="0.2">
      <c r="E11539" s="7"/>
      <c r="F11539" s="7"/>
    </row>
    <row r="11540" spans="5:6" ht="15" customHeight="1" x14ac:dyDescent="0.2">
      <c r="E11540" s="7"/>
      <c r="F11540" s="7"/>
    </row>
    <row r="11541" spans="5:6" ht="15" customHeight="1" x14ac:dyDescent="0.2">
      <c r="E11541" s="7"/>
      <c r="F11541" s="7"/>
    </row>
    <row r="11542" spans="5:6" ht="15" customHeight="1" x14ac:dyDescent="0.2">
      <c r="E11542" s="7"/>
      <c r="F11542" s="7"/>
    </row>
    <row r="11543" spans="5:6" ht="15" customHeight="1" x14ac:dyDescent="0.2">
      <c r="E11543" s="7"/>
      <c r="F11543" s="7"/>
    </row>
    <row r="11544" spans="5:6" ht="15" customHeight="1" x14ac:dyDescent="0.2">
      <c r="E11544" s="7"/>
      <c r="F11544" s="7"/>
    </row>
    <row r="11545" spans="5:6" ht="15" customHeight="1" x14ac:dyDescent="0.2">
      <c r="E11545" s="7"/>
      <c r="F11545" s="7"/>
    </row>
    <row r="11546" spans="5:6" ht="15" customHeight="1" x14ac:dyDescent="0.2">
      <c r="E11546" s="7"/>
      <c r="F11546" s="7"/>
    </row>
    <row r="11547" spans="5:6" ht="15" customHeight="1" x14ac:dyDescent="0.2">
      <c r="E11547" s="7"/>
      <c r="F11547" s="7"/>
    </row>
    <row r="11548" spans="5:6" ht="15" customHeight="1" x14ac:dyDescent="0.2">
      <c r="E11548" s="7"/>
      <c r="F11548" s="7"/>
    </row>
    <row r="11549" spans="5:6" ht="15" customHeight="1" x14ac:dyDescent="0.2">
      <c r="E11549" s="7"/>
      <c r="F11549" s="7"/>
    </row>
    <row r="11550" spans="5:6" ht="15" customHeight="1" x14ac:dyDescent="0.2">
      <c r="E11550" s="7"/>
      <c r="F11550" s="7"/>
    </row>
    <row r="11551" spans="5:6" ht="15" customHeight="1" x14ac:dyDescent="0.2">
      <c r="E11551" s="7"/>
      <c r="F11551" s="7"/>
    </row>
    <row r="11552" spans="5:6" ht="15" customHeight="1" x14ac:dyDescent="0.2">
      <c r="E11552" s="7"/>
      <c r="F11552" s="7"/>
    </row>
    <row r="11553" spans="5:6" ht="15" customHeight="1" x14ac:dyDescent="0.2">
      <c r="E11553" s="7"/>
      <c r="F11553" s="7"/>
    </row>
    <row r="11554" spans="5:6" ht="15" customHeight="1" x14ac:dyDescent="0.2">
      <c r="E11554" s="7"/>
      <c r="F11554" s="7"/>
    </row>
    <row r="11555" spans="5:6" ht="15" customHeight="1" x14ac:dyDescent="0.2">
      <c r="E11555" s="7"/>
      <c r="F11555" s="7"/>
    </row>
    <row r="11556" spans="5:6" ht="15" customHeight="1" x14ac:dyDescent="0.2">
      <c r="E11556" s="7"/>
      <c r="F11556" s="7"/>
    </row>
    <row r="11557" spans="5:6" ht="15" customHeight="1" x14ac:dyDescent="0.2">
      <c r="E11557" s="7"/>
      <c r="F11557" s="7"/>
    </row>
    <row r="11558" spans="5:6" ht="15" customHeight="1" x14ac:dyDescent="0.2">
      <c r="E11558" s="7"/>
      <c r="F11558" s="7"/>
    </row>
    <row r="11559" spans="5:6" ht="15" customHeight="1" x14ac:dyDescent="0.2">
      <c r="E11559" s="7"/>
      <c r="F11559" s="7"/>
    </row>
    <row r="11560" spans="5:6" ht="15" customHeight="1" x14ac:dyDescent="0.2">
      <c r="E11560" s="7"/>
      <c r="F11560" s="7"/>
    </row>
    <row r="11561" spans="5:6" ht="15" customHeight="1" x14ac:dyDescent="0.2">
      <c r="E11561" s="7"/>
      <c r="F11561" s="7"/>
    </row>
    <row r="11562" spans="5:6" ht="15" customHeight="1" x14ac:dyDescent="0.2">
      <c r="E11562" s="7"/>
      <c r="F11562" s="7"/>
    </row>
    <row r="11563" spans="5:6" ht="15" customHeight="1" x14ac:dyDescent="0.2">
      <c r="E11563" s="7"/>
      <c r="F11563" s="7"/>
    </row>
    <row r="11564" spans="5:6" ht="15" customHeight="1" x14ac:dyDescent="0.2">
      <c r="E11564" s="7"/>
      <c r="F11564" s="7"/>
    </row>
    <row r="11565" spans="5:6" ht="15" customHeight="1" x14ac:dyDescent="0.2">
      <c r="E11565" s="7"/>
      <c r="F11565" s="7"/>
    </row>
    <row r="11566" spans="5:6" ht="15" customHeight="1" x14ac:dyDescent="0.2">
      <c r="E11566" s="7"/>
      <c r="F11566" s="7"/>
    </row>
    <row r="11567" spans="5:6" ht="15" customHeight="1" x14ac:dyDescent="0.2">
      <c r="E11567" s="7"/>
      <c r="F11567" s="7"/>
    </row>
    <row r="11568" spans="5:6" ht="15" customHeight="1" x14ac:dyDescent="0.2">
      <c r="E11568" s="7"/>
      <c r="F11568" s="7"/>
    </row>
    <row r="11569" spans="5:6" ht="15" customHeight="1" x14ac:dyDescent="0.2">
      <c r="E11569" s="7"/>
      <c r="F11569" s="7"/>
    </row>
    <row r="11570" spans="5:6" ht="15" customHeight="1" x14ac:dyDescent="0.2">
      <c r="E11570" s="7"/>
      <c r="F11570" s="7"/>
    </row>
    <row r="11571" spans="5:6" ht="15" customHeight="1" x14ac:dyDescent="0.2">
      <c r="E11571" s="7"/>
      <c r="F11571" s="7"/>
    </row>
    <row r="11572" spans="5:6" ht="15" customHeight="1" x14ac:dyDescent="0.2">
      <c r="E11572" s="7"/>
      <c r="F11572" s="7"/>
    </row>
    <row r="11573" spans="5:6" ht="15" customHeight="1" x14ac:dyDescent="0.2">
      <c r="E11573" s="7"/>
      <c r="F11573" s="7"/>
    </row>
    <row r="11574" spans="5:6" ht="15" customHeight="1" x14ac:dyDescent="0.2">
      <c r="E11574" s="7"/>
      <c r="F11574" s="7"/>
    </row>
    <row r="11575" spans="5:6" ht="15" customHeight="1" x14ac:dyDescent="0.2">
      <c r="E11575" s="7"/>
      <c r="F11575" s="7"/>
    </row>
    <row r="11576" spans="5:6" ht="15" customHeight="1" x14ac:dyDescent="0.2">
      <c r="E11576" s="7"/>
      <c r="F11576" s="7"/>
    </row>
    <row r="11577" spans="5:6" ht="15" customHeight="1" x14ac:dyDescent="0.2">
      <c r="E11577" s="7"/>
      <c r="F11577" s="7"/>
    </row>
    <row r="11578" spans="5:6" ht="15" customHeight="1" x14ac:dyDescent="0.2">
      <c r="E11578" s="7"/>
      <c r="F11578" s="7"/>
    </row>
    <row r="11579" spans="5:6" ht="15" customHeight="1" x14ac:dyDescent="0.2">
      <c r="E11579" s="7"/>
      <c r="F11579" s="7"/>
    </row>
    <row r="11580" spans="5:6" ht="15" customHeight="1" x14ac:dyDescent="0.2">
      <c r="E11580" s="7"/>
      <c r="F11580" s="7"/>
    </row>
    <row r="11581" spans="5:6" ht="15" customHeight="1" x14ac:dyDescent="0.2">
      <c r="E11581" s="7"/>
      <c r="F11581" s="7"/>
    </row>
    <row r="11582" spans="5:6" ht="15" customHeight="1" x14ac:dyDescent="0.2">
      <c r="E11582" s="7"/>
      <c r="F11582" s="7"/>
    </row>
    <row r="11583" spans="5:6" ht="15" customHeight="1" x14ac:dyDescent="0.2">
      <c r="E11583" s="7"/>
      <c r="F11583" s="7"/>
    </row>
    <row r="11584" spans="5:6" ht="15" customHeight="1" x14ac:dyDescent="0.2">
      <c r="E11584" s="7"/>
      <c r="F11584" s="7"/>
    </row>
    <row r="11585" spans="5:6" ht="15" customHeight="1" x14ac:dyDescent="0.2">
      <c r="E11585" s="7"/>
      <c r="F11585" s="7"/>
    </row>
    <row r="11586" spans="5:6" ht="15" customHeight="1" x14ac:dyDescent="0.2">
      <c r="E11586" s="7"/>
      <c r="F11586" s="7"/>
    </row>
    <row r="11587" spans="5:6" ht="15" customHeight="1" x14ac:dyDescent="0.2">
      <c r="E11587" s="7"/>
      <c r="F11587" s="7"/>
    </row>
    <row r="11588" spans="5:6" ht="15" customHeight="1" x14ac:dyDescent="0.2">
      <c r="E11588" s="7"/>
      <c r="F11588" s="7"/>
    </row>
    <row r="11589" spans="5:6" ht="15" customHeight="1" x14ac:dyDescent="0.2">
      <c r="E11589" s="7"/>
      <c r="F11589" s="7"/>
    </row>
    <row r="11590" spans="5:6" ht="15" customHeight="1" x14ac:dyDescent="0.2">
      <c r="E11590" s="7"/>
      <c r="F11590" s="7"/>
    </row>
    <row r="11591" spans="5:6" ht="15" customHeight="1" x14ac:dyDescent="0.2">
      <c r="E11591" s="7"/>
      <c r="F11591" s="7"/>
    </row>
    <row r="11592" spans="5:6" ht="15" customHeight="1" x14ac:dyDescent="0.2">
      <c r="E11592" s="7"/>
      <c r="F11592" s="7"/>
    </row>
    <row r="11593" spans="5:6" ht="15" customHeight="1" x14ac:dyDescent="0.2">
      <c r="E11593" s="7"/>
      <c r="F11593" s="7"/>
    </row>
    <row r="11594" spans="5:6" ht="15" customHeight="1" x14ac:dyDescent="0.2">
      <c r="E11594" s="7"/>
      <c r="F11594" s="7"/>
    </row>
    <row r="11595" spans="5:6" ht="15" customHeight="1" x14ac:dyDescent="0.2">
      <c r="E11595" s="7"/>
      <c r="F11595" s="7"/>
    </row>
    <row r="11596" spans="5:6" ht="15" customHeight="1" x14ac:dyDescent="0.2">
      <c r="E11596" s="7"/>
      <c r="F11596" s="7"/>
    </row>
    <row r="11597" spans="5:6" ht="15" customHeight="1" x14ac:dyDescent="0.2">
      <c r="E11597" s="7"/>
      <c r="F11597" s="7"/>
    </row>
    <row r="11598" spans="5:6" ht="15" customHeight="1" x14ac:dyDescent="0.2">
      <c r="E11598" s="7"/>
      <c r="F11598" s="7"/>
    </row>
    <row r="11599" spans="5:6" ht="15" customHeight="1" x14ac:dyDescent="0.2">
      <c r="E11599" s="7"/>
      <c r="F11599" s="7"/>
    </row>
    <row r="11600" spans="5:6" ht="15" customHeight="1" x14ac:dyDescent="0.2">
      <c r="E11600" s="7"/>
      <c r="F11600" s="7"/>
    </row>
    <row r="11601" spans="5:6" ht="15" customHeight="1" x14ac:dyDescent="0.2">
      <c r="E11601" s="7"/>
      <c r="F11601" s="7"/>
    </row>
    <row r="11602" spans="5:6" ht="15" customHeight="1" x14ac:dyDescent="0.2">
      <c r="E11602" s="7"/>
      <c r="F11602" s="7"/>
    </row>
    <row r="11603" spans="5:6" ht="15" customHeight="1" x14ac:dyDescent="0.2">
      <c r="E11603" s="7"/>
      <c r="F11603" s="7"/>
    </row>
    <row r="11604" spans="5:6" ht="15" customHeight="1" x14ac:dyDescent="0.2">
      <c r="E11604" s="7"/>
      <c r="F11604" s="7"/>
    </row>
    <row r="11605" spans="5:6" ht="15" customHeight="1" x14ac:dyDescent="0.2">
      <c r="E11605" s="7"/>
      <c r="F11605" s="7"/>
    </row>
    <row r="11606" spans="5:6" ht="15" customHeight="1" x14ac:dyDescent="0.2">
      <c r="E11606" s="7"/>
      <c r="F11606" s="7"/>
    </row>
    <row r="11607" spans="5:6" ht="15" customHeight="1" x14ac:dyDescent="0.2">
      <c r="E11607" s="7"/>
      <c r="F11607" s="7"/>
    </row>
    <row r="11608" spans="5:6" ht="15" customHeight="1" x14ac:dyDescent="0.2">
      <c r="E11608" s="7"/>
      <c r="F11608" s="7"/>
    </row>
    <row r="11609" spans="5:6" ht="15" customHeight="1" x14ac:dyDescent="0.2">
      <c r="E11609" s="7"/>
      <c r="F11609" s="7"/>
    </row>
    <row r="11610" spans="5:6" ht="15" customHeight="1" x14ac:dyDescent="0.2">
      <c r="E11610" s="7"/>
      <c r="F11610" s="7"/>
    </row>
    <row r="11611" spans="5:6" ht="15" customHeight="1" x14ac:dyDescent="0.2">
      <c r="E11611" s="7"/>
      <c r="F11611" s="7"/>
    </row>
    <row r="11612" spans="5:6" ht="15" customHeight="1" x14ac:dyDescent="0.2">
      <c r="E11612" s="7"/>
      <c r="F11612" s="7"/>
    </row>
    <row r="11613" spans="5:6" ht="15" customHeight="1" x14ac:dyDescent="0.2">
      <c r="E11613" s="7"/>
      <c r="F11613" s="7"/>
    </row>
    <row r="11614" spans="5:6" ht="15" customHeight="1" x14ac:dyDescent="0.2">
      <c r="E11614" s="7"/>
      <c r="F11614" s="7"/>
    </row>
    <row r="11615" spans="5:6" ht="15" customHeight="1" x14ac:dyDescent="0.2">
      <c r="E11615" s="7"/>
      <c r="F11615" s="7"/>
    </row>
    <row r="11616" spans="5:6" ht="15" customHeight="1" x14ac:dyDescent="0.2">
      <c r="E11616" s="7"/>
      <c r="F11616" s="7"/>
    </row>
    <row r="11617" spans="5:6" ht="15" customHeight="1" x14ac:dyDescent="0.2">
      <c r="E11617" s="7"/>
      <c r="F11617" s="7"/>
    </row>
    <row r="11618" spans="5:6" ht="15" customHeight="1" x14ac:dyDescent="0.2">
      <c r="E11618" s="7"/>
      <c r="F11618" s="7"/>
    </row>
    <row r="11619" spans="5:6" ht="15" customHeight="1" x14ac:dyDescent="0.2">
      <c r="E11619" s="7"/>
      <c r="F11619" s="7"/>
    </row>
    <row r="11620" spans="5:6" ht="15" customHeight="1" x14ac:dyDescent="0.2">
      <c r="E11620" s="7"/>
      <c r="F11620" s="7"/>
    </row>
    <row r="11621" spans="5:6" ht="15" customHeight="1" x14ac:dyDescent="0.2">
      <c r="E11621" s="7"/>
      <c r="F11621" s="7"/>
    </row>
    <row r="11622" spans="5:6" ht="15" customHeight="1" x14ac:dyDescent="0.2">
      <c r="E11622" s="7"/>
      <c r="F11622" s="7"/>
    </row>
    <row r="11623" spans="5:6" ht="15" customHeight="1" x14ac:dyDescent="0.2">
      <c r="E11623" s="7"/>
      <c r="F11623" s="7"/>
    </row>
    <row r="11624" spans="5:6" ht="15" customHeight="1" x14ac:dyDescent="0.2">
      <c r="E11624" s="7"/>
      <c r="F11624" s="7"/>
    </row>
    <row r="11625" spans="5:6" ht="15" customHeight="1" x14ac:dyDescent="0.2">
      <c r="E11625" s="7"/>
      <c r="F11625" s="7"/>
    </row>
    <row r="11626" spans="5:6" ht="15" customHeight="1" x14ac:dyDescent="0.2">
      <c r="E11626" s="7"/>
      <c r="F11626" s="7"/>
    </row>
    <row r="11627" spans="5:6" ht="15" customHeight="1" x14ac:dyDescent="0.2">
      <c r="E11627" s="7"/>
      <c r="F11627" s="7"/>
    </row>
    <row r="11628" spans="5:6" ht="15" customHeight="1" x14ac:dyDescent="0.2">
      <c r="E11628" s="7"/>
      <c r="F11628" s="7"/>
    </row>
    <row r="11629" spans="5:6" ht="15" customHeight="1" x14ac:dyDescent="0.2">
      <c r="E11629" s="7"/>
      <c r="F11629" s="7"/>
    </row>
    <row r="11630" spans="5:6" ht="15" customHeight="1" x14ac:dyDescent="0.2">
      <c r="E11630" s="7"/>
      <c r="F11630" s="7"/>
    </row>
    <row r="11631" spans="5:6" ht="15" customHeight="1" x14ac:dyDescent="0.2">
      <c r="E11631" s="7"/>
      <c r="F11631" s="7"/>
    </row>
    <row r="11632" spans="5:6" ht="15" customHeight="1" x14ac:dyDescent="0.2">
      <c r="E11632" s="7"/>
      <c r="F11632" s="7"/>
    </row>
    <row r="11633" spans="5:6" ht="15" customHeight="1" x14ac:dyDescent="0.2">
      <c r="E11633" s="7"/>
      <c r="F11633" s="7"/>
    </row>
    <row r="11634" spans="5:6" ht="15" customHeight="1" x14ac:dyDescent="0.2">
      <c r="E11634" s="7"/>
      <c r="F11634" s="7"/>
    </row>
    <row r="11635" spans="5:6" ht="15" customHeight="1" x14ac:dyDescent="0.2">
      <c r="E11635" s="7"/>
      <c r="F11635" s="7"/>
    </row>
    <row r="11636" spans="5:6" ht="15" customHeight="1" x14ac:dyDescent="0.2">
      <c r="E11636" s="7"/>
      <c r="F11636" s="7"/>
    </row>
    <row r="11637" spans="5:6" ht="15" customHeight="1" x14ac:dyDescent="0.2">
      <c r="E11637" s="7"/>
      <c r="F11637" s="7"/>
    </row>
    <row r="11638" spans="5:6" ht="15" customHeight="1" x14ac:dyDescent="0.2">
      <c r="E11638" s="7"/>
      <c r="F11638" s="7"/>
    </row>
    <row r="11639" spans="5:6" ht="15" customHeight="1" x14ac:dyDescent="0.2">
      <c r="E11639" s="7"/>
      <c r="F11639" s="7"/>
    </row>
    <row r="11640" spans="5:6" ht="15" customHeight="1" x14ac:dyDescent="0.2">
      <c r="E11640" s="7"/>
      <c r="F11640" s="7"/>
    </row>
    <row r="11641" spans="5:6" ht="15" customHeight="1" x14ac:dyDescent="0.2">
      <c r="E11641" s="7"/>
      <c r="F11641" s="7"/>
    </row>
    <row r="11642" spans="5:6" ht="15" customHeight="1" x14ac:dyDescent="0.2">
      <c r="E11642" s="7"/>
      <c r="F11642" s="7"/>
    </row>
    <row r="11643" spans="5:6" ht="15" customHeight="1" x14ac:dyDescent="0.2">
      <c r="E11643" s="7"/>
      <c r="F11643" s="7"/>
    </row>
    <row r="11644" spans="5:6" ht="15" customHeight="1" x14ac:dyDescent="0.2">
      <c r="E11644" s="7"/>
      <c r="F11644" s="7"/>
    </row>
    <row r="11645" spans="5:6" ht="15" customHeight="1" x14ac:dyDescent="0.2">
      <c r="E11645" s="7"/>
      <c r="F11645" s="7"/>
    </row>
    <row r="11646" spans="5:6" ht="15" customHeight="1" x14ac:dyDescent="0.2">
      <c r="E11646" s="7"/>
      <c r="F11646" s="7"/>
    </row>
    <row r="11647" spans="5:6" ht="15" customHeight="1" x14ac:dyDescent="0.2">
      <c r="E11647" s="7"/>
      <c r="F11647" s="7"/>
    </row>
    <row r="11648" spans="5:6" ht="15" customHeight="1" x14ac:dyDescent="0.2">
      <c r="E11648" s="7"/>
      <c r="F11648" s="7"/>
    </row>
    <row r="11649" spans="5:6" ht="15" customHeight="1" x14ac:dyDescent="0.2">
      <c r="E11649" s="7"/>
      <c r="F11649" s="7"/>
    </row>
    <row r="11650" spans="5:6" ht="15" customHeight="1" x14ac:dyDescent="0.2">
      <c r="E11650" s="7"/>
      <c r="F11650" s="7"/>
    </row>
    <row r="11651" spans="5:6" ht="15" customHeight="1" x14ac:dyDescent="0.2">
      <c r="E11651" s="7"/>
      <c r="F11651" s="7"/>
    </row>
    <row r="11652" spans="5:6" ht="15" customHeight="1" x14ac:dyDescent="0.2">
      <c r="E11652" s="7"/>
      <c r="F11652" s="7"/>
    </row>
    <row r="11653" spans="5:6" ht="15" customHeight="1" x14ac:dyDescent="0.2">
      <c r="E11653" s="7"/>
      <c r="F11653" s="7"/>
    </row>
    <row r="11654" spans="5:6" ht="15" customHeight="1" x14ac:dyDescent="0.2">
      <c r="E11654" s="7"/>
      <c r="F11654" s="7"/>
    </row>
    <row r="11655" spans="5:6" ht="15" customHeight="1" x14ac:dyDescent="0.2">
      <c r="E11655" s="7"/>
      <c r="F11655" s="7"/>
    </row>
    <row r="11656" spans="5:6" ht="15" customHeight="1" x14ac:dyDescent="0.2">
      <c r="E11656" s="7"/>
      <c r="F11656" s="7"/>
    </row>
    <row r="11657" spans="5:6" ht="15" customHeight="1" x14ac:dyDescent="0.2">
      <c r="E11657" s="7"/>
      <c r="F11657" s="7"/>
    </row>
    <row r="11658" spans="5:6" ht="15" customHeight="1" x14ac:dyDescent="0.2">
      <c r="E11658" s="7"/>
      <c r="F11658" s="7"/>
    </row>
    <row r="11659" spans="5:6" ht="15" customHeight="1" x14ac:dyDescent="0.2">
      <c r="E11659" s="7"/>
      <c r="F11659" s="7"/>
    </row>
    <row r="11660" spans="5:6" ht="15" customHeight="1" x14ac:dyDescent="0.2">
      <c r="E11660" s="7"/>
      <c r="F11660" s="7"/>
    </row>
    <row r="11661" spans="5:6" ht="15" customHeight="1" x14ac:dyDescent="0.2">
      <c r="E11661" s="7"/>
      <c r="F11661" s="7"/>
    </row>
    <row r="11662" spans="5:6" ht="15" customHeight="1" x14ac:dyDescent="0.2">
      <c r="E11662" s="7"/>
      <c r="F11662" s="7"/>
    </row>
    <row r="11663" spans="5:6" ht="15" customHeight="1" x14ac:dyDescent="0.2">
      <c r="E11663" s="7"/>
      <c r="F11663" s="7"/>
    </row>
    <row r="11664" spans="5:6" ht="15" customHeight="1" x14ac:dyDescent="0.2">
      <c r="E11664" s="7"/>
      <c r="F11664" s="7"/>
    </row>
    <row r="11665" spans="5:6" ht="15" customHeight="1" x14ac:dyDescent="0.2">
      <c r="E11665" s="7"/>
      <c r="F11665" s="7"/>
    </row>
    <row r="11666" spans="5:6" ht="15" customHeight="1" x14ac:dyDescent="0.2">
      <c r="E11666" s="7"/>
      <c r="F11666" s="7"/>
    </row>
    <row r="11667" spans="5:6" ht="15" customHeight="1" x14ac:dyDescent="0.2">
      <c r="E11667" s="7"/>
      <c r="F11667" s="7"/>
    </row>
    <row r="11668" spans="5:6" ht="15" customHeight="1" x14ac:dyDescent="0.2">
      <c r="E11668" s="7"/>
      <c r="F11668" s="7"/>
    </row>
    <row r="11669" spans="5:6" ht="15" customHeight="1" x14ac:dyDescent="0.2">
      <c r="E11669" s="7"/>
      <c r="F11669" s="7"/>
    </row>
    <row r="11670" spans="5:6" ht="15" customHeight="1" x14ac:dyDescent="0.2">
      <c r="E11670" s="7"/>
      <c r="F11670" s="7"/>
    </row>
    <row r="11671" spans="5:6" ht="15" customHeight="1" x14ac:dyDescent="0.2">
      <c r="E11671" s="7"/>
      <c r="F11671" s="7"/>
    </row>
    <row r="11672" spans="5:6" ht="15" customHeight="1" x14ac:dyDescent="0.2">
      <c r="E11672" s="7"/>
      <c r="F11672" s="7"/>
    </row>
    <row r="11673" spans="5:6" ht="15" customHeight="1" x14ac:dyDescent="0.2">
      <c r="E11673" s="7"/>
      <c r="F11673" s="7"/>
    </row>
    <row r="11674" spans="5:6" ht="15" customHeight="1" x14ac:dyDescent="0.2">
      <c r="E11674" s="7"/>
      <c r="F11674" s="7"/>
    </row>
    <row r="11675" spans="5:6" ht="15" customHeight="1" x14ac:dyDescent="0.2">
      <c r="E11675" s="7"/>
      <c r="F11675" s="7"/>
    </row>
    <row r="11676" spans="5:6" ht="15" customHeight="1" x14ac:dyDescent="0.2">
      <c r="E11676" s="7"/>
      <c r="F11676" s="7"/>
    </row>
    <row r="11677" spans="5:6" ht="15" customHeight="1" x14ac:dyDescent="0.2">
      <c r="E11677" s="7"/>
      <c r="F11677" s="7"/>
    </row>
    <row r="11678" spans="5:6" ht="15" customHeight="1" x14ac:dyDescent="0.2">
      <c r="E11678" s="7"/>
      <c r="F11678" s="7"/>
    </row>
    <row r="11679" spans="5:6" ht="15" customHeight="1" x14ac:dyDescent="0.2">
      <c r="E11679" s="7"/>
      <c r="F11679" s="7"/>
    </row>
    <row r="11680" spans="5:6" ht="15" customHeight="1" x14ac:dyDescent="0.2">
      <c r="E11680" s="7"/>
      <c r="F11680" s="7"/>
    </row>
    <row r="11681" spans="5:6" ht="15" customHeight="1" x14ac:dyDescent="0.2">
      <c r="E11681" s="7"/>
      <c r="F11681" s="7"/>
    </row>
    <row r="11682" spans="5:6" ht="15" customHeight="1" x14ac:dyDescent="0.2">
      <c r="E11682" s="7"/>
      <c r="F11682" s="7"/>
    </row>
    <row r="11683" spans="5:6" ht="15" customHeight="1" x14ac:dyDescent="0.2">
      <c r="E11683" s="7"/>
      <c r="F11683" s="7"/>
    </row>
    <row r="11684" spans="5:6" ht="15" customHeight="1" x14ac:dyDescent="0.2">
      <c r="E11684" s="7"/>
      <c r="F11684" s="7"/>
    </row>
    <row r="11685" spans="5:6" ht="15" customHeight="1" x14ac:dyDescent="0.2">
      <c r="E11685" s="7"/>
      <c r="F11685" s="7"/>
    </row>
    <row r="11686" spans="5:6" ht="15" customHeight="1" x14ac:dyDescent="0.2">
      <c r="E11686" s="7"/>
      <c r="F11686" s="7"/>
    </row>
    <row r="11687" spans="5:6" ht="15" customHeight="1" x14ac:dyDescent="0.2">
      <c r="E11687" s="7"/>
      <c r="F11687" s="7"/>
    </row>
    <row r="11688" spans="5:6" ht="15" customHeight="1" x14ac:dyDescent="0.2">
      <c r="E11688" s="7"/>
      <c r="F11688" s="7"/>
    </row>
    <row r="11689" spans="5:6" ht="15" customHeight="1" x14ac:dyDescent="0.2">
      <c r="E11689" s="7"/>
      <c r="F11689" s="7"/>
    </row>
    <row r="11690" spans="5:6" ht="15" customHeight="1" x14ac:dyDescent="0.2">
      <c r="E11690" s="7"/>
      <c r="F11690" s="7"/>
    </row>
    <row r="11691" spans="5:6" ht="15" customHeight="1" x14ac:dyDescent="0.2">
      <c r="E11691" s="7"/>
      <c r="F11691" s="7"/>
    </row>
    <row r="11692" spans="5:6" ht="15" customHeight="1" x14ac:dyDescent="0.2">
      <c r="E11692" s="7"/>
      <c r="F11692" s="7"/>
    </row>
    <row r="11693" spans="5:6" ht="15" customHeight="1" x14ac:dyDescent="0.2">
      <c r="E11693" s="7"/>
      <c r="F11693" s="7"/>
    </row>
    <row r="11694" spans="5:6" ht="15" customHeight="1" x14ac:dyDescent="0.2">
      <c r="E11694" s="7"/>
      <c r="F11694" s="7"/>
    </row>
    <row r="11695" spans="5:6" ht="15" customHeight="1" x14ac:dyDescent="0.2">
      <c r="E11695" s="7"/>
      <c r="F11695" s="7"/>
    </row>
    <row r="11696" spans="5:6" ht="15" customHeight="1" x14ac:dyDescent="0.2">
      <c r="E11696" s="7"/>
      <c r="F11696" s="7"/>
    </row>
    <row r="11697" spans="5:6" ht="15" customHeight="1" x14ac:dyDescent="0.2">
      <c r="E11697" s="7"/>
      <c r="F11697" s="7"/>
    </row>
    <row r="11698" spans="5:6" ht="15" customHeight="1" x14ac:dyDescent="0.2">
      <c r="E11698" s="7"/>
      <c r="F11698" s="7"/>
    </row>
    <row r="11699" spans="5:6" ht="15" customHeight="1" x14ac:dyDescent="0.2">
      <c r="E11699" s="7"/>
      <c r="F11699" s="7"/>
    </row>
    <row r="11700" spans="5:6" ht="15" customHeight="1" x14ac:dyDescent="0.2">
      <c r="E11700" s="7"/>
      <c r="F11700" s="7"/>
    </row>
    <row r="11701" spans="5:6" ht="15" customHeight="1" x14ac:dyDescent="0.2">
      <c r="E11701" s="7"/>
      <c r="F11701" s="7"/>
    </row>
    <row r="11702" spans="5:6" ht="15" customHeight="1" x14ac:dyDescent="0.2">
      <c r="E11702" s="7"/>
      <c r="F11702" s="7"/>
    </row>
    <row r="11703" spans="5:6" ht="15" customHeight="1" x14ac:dyDescent="0.2">
      <c r="E11703" s="7"/>
      <c r="F11703" s="7"/>
    </row>
    <row r="11704" spans="5:6" ht="15" customHeight="1" x14ac:dyDescent="0.2">
      <c r="E11704" s="7"/>
      <c r="F11704" s="7"/>
    </row>
    <row r="11705" spans="5:6" ht="15" customHeight="1" x14ac:dyDescent="0.2">
      <c r="E11705" s="7"/>
      <c r="F11705" s="7"/>
    </row>
    <row r="11706" spans="5:6" ht="15" customHeight="1" x14ac:dyDescent="0.2">
      <c r="E11706" s="7"/>
      <c r="F11706" s="7"/>
    </row>
    <row r="11707" spans="5:6" ht="15" customHeight="1" x14ac:dyDescent="0.2">
      <c r="E11707" s="7"/>
      <c r="F11707" s="7"/>
    </row>
    <row r="11708" spans="5:6" ht="15" customHeight="1" x14ac:dyDescent="0.2">
      <c r="E11708" s="7"/>
      <c r="F11708" s="7"/>
    </row>
    <row r="11709" spans="5:6" ht="15" customHeight="1" x14ac:dyDescent="0.2">
      <c r="E11709" s="7"/>
      <c r="F11709" s="7"/>
    </row>
    <row r="11710" spans="5:6" ht="15" customHeight="1" x14ac:dyDescent="0.2">
      <c r="E11710" s="7"/>
      <c r="F11710" s="7"/>
    </row>
    <row r="11711" spans="5:6" ht="15" customHeight="1" x14ac:dyDescent="0.2">
      <c r="E11711" s="7"/>
      <c r="F11711" s="7"/>
    </row>
    <row r="11712" spans="5:6" ht="15" customHeight="1" x14ac:dyDescent="0.2">
      <c r="E11712" s="7"/>
      <c r="F11712" s="7"/>
    </row>
    <row r="11713" spans="5:6" ht="15" customHeight="1" x14ac:dyDescent="0.2">
      <c r="E11713" s="7"/>
      <c r="F11713" s="7"/>
    </row>
    <row r="11714" spans="5:6" ht="15" customHeight="1" x14ac:dyDescent="0.2">
      <c r="E11714" s="7"/>
      <c r="F11714" s="7"/>
    </row>
    <row r="11715" spans="5:6" ht="15" customHeight="1" x14ac:dyDescent="0.2">
      <c r="E11715" s="7"/>
      <c r="F11715" s="7"/>
    </row>
    <row r="11716" spans="5:6" ht="15" customHeight="1" x14ac:dyDescent="0.2">
      <c r="E11716" s="7"/>
      <c r="F11716" s="7"/>
    </row>
    <row r="11717" spans="5:6" ht="15" customHeight="1" x14ac:dyDescent="0.2">
      <c r="E11717" s="7"/>
      <c r="F11717" s="7"/>
    </row>
    <row r="11718" spans="5:6" ht="15" customHeight="1" x14ac:dyDescent="0.2">
      <c r="E11718" s="7"/>
      <c r="F11718" s="7"/>
    </row>
    <row r="11719" spans="5:6" ht="15" customHeight="1" x14ac:dyDescent="0.2">
      <c r="E11719" s="7"/>
      <c r="F11719" s="7"/>
    </row>
    <row r="11720" spans="5:6" ht="15" customHeight="1" x14ac:dyDescent="0.2">
      <c r="E11720" s="7"/>
      <c r="F11720" s="7"/>
    </row>
    <row r="11721" spans="5:6" ht="15" customHeight="1" x14ac:dyDescent="0.2">
      <c r="E11721" s="7"/>
      <c r="F11721" s="7"/>
    </row>
    <row r="11722" spans="5:6" ht="15" customHeight="1" x14ac:dyDescent="0.2">
      <c r="E11722" s="7"/>
      <c r="F11722" s="7"/>
    </row>
    <row r="11723" spans="5:6" ht="15" customHeight="1" x14ac:dyDescent="0.2">
      <c r="E11723" s="7"/>
      <c r="F11723" s="7"/>
    </row>
    <row r="11724" spans="5:6" ht="15" customHeight="1" x14ac:dyDescent="0.2">
      <c r="E11724" s="7"/>
      <c r="F11724" s="7"/>
    </row>
    <row r="11725" spans="5:6" ht="15" customHeight="1" x14ac:dyDescent="0.2">
      <c r="E11725" s="7"/>
      <c r="F11725" s="7"/>
    </row>
    <row r="11726" spans="5:6" ht="15" customHeight="1" x14ac:dyDescent="0.2">
      <c r="E11726" s="7"/>
      <c r="F11726" s="7"/>
    </row>
    <row r="11727" spans="5:6" ht="15" customHeight="1" x14ac:dyDescent="0.2">
      <c r="E11727" s="7"/>
      <c r="F11727" s="7"/>
    </row>
    <row r="11728" spans="5:6" ht="15" customHeight="1" x14ac:dyDescent="0.2">
      <c r="E11728" s="7"/>
      <c r="F11728" s="7"/>
    </row>
    <row r="11729" spans="5:6" ht="15" customHeight="1" x14ac:dyDescent="0.2">
      <c r="E11729" s="7"/>
      <c r="F11729" s="7"/>
    </row>
    <row r="11730" spans="5:6" ht="15" customHeight="1" x14ac:dyDescent="0.2">
      <c r="E11730" s="7"/>
      <c r="F11730" s="7"/>
    </row>
    <row r="11731" spans="5:6" ht="15" customHeight="1" x14ac:dyDescent="0.2">
      <c r="E11731" s="7"/>
      <c r="F11731" s="7"/>
    </row>
    <row r="11732" spans="5:6" ht="15" customHeight="1" x14ac:dyDescent="0.2">
      <c r="E11732" s="7"/>
      <c r="F11732" s="7"/>
    </row>
    <row r="11733" spans="5:6" ht="15" customHeight="1" x14ac:dyDescent="0.2">
      <c r="E11733" s="7"/>
      <c r="F11733" s="7"/>
    </row>
    <row r="11734" spans="5:6" ht="15" customHeight="1" x14ac:dyDescent="0.2">
      <c r="E11734" s="7"/>
      <c r="F11734" s="7"/>
    </row>
    <row r="11735" spans="5:6" ht="15" customHeight="1" x14ac:dyDescent="0.2">
      <c r="E11735" s="7"/>
      <c r="F11735" s="7"/>
    </row>
    <row r="11736" spans="5:6" ht="15" customHeight="1" x14ac:dyDescent="0.2">
      <c r="E11736" s="7"/>
      <c r="F11736" s="7"/>
    </row>
    <row r="11737" spans="5:6" ht="15" customHeight="1" x14ac:dyDescent="0.2">
      <c r="E11737" s="7"/>
      <c r="F11737" s="7"/>
    </row>
    <row r="11738" spans="5:6" ht="15" customHeight="1" x14ac:dyDescent="0.2">
      <c r="E11738" s="7"/>
      <c r="F11738" s="7"/>
    </row>
    <row r="11739" spans="5:6" ht="15" customHeight="1" x14ac:dyDescent="0.2">
      <c r="E11739" s="7"/>
      <c r="F11739" s="7"/>
    </row>
    <row r="11740" spans="5:6" ht="15" customHeight="1" x14ac:dyDescent="0.2">
      <c r="E11740" s="7"/>
      <c r="F11740" s="7"/>
    </row>
    <row r="11741" spans="5:6" ht="15" customHeight="1" x14ac:dyDescent="0.2">
      <c r="E11741" s="7"/>
      <c r="F11741" s="7"/>
    </row>
    <row r="11742" spans="5:6" ht="15" customHeight="1" x14ac:dyDescent="0.2">
      <c r="E11742" s="7"/>
      <c r="F11742" s="7"/>
    </row>
    <row r="11743" spans="5:6" ht="15" customHeight="1" x14ac:dyDescent="0.2">
      <c r="E11743" s="7"/>
      <c r="F11743" s="7"/>
    </row>
    <row r="11744" spans="5:6" ht="15" customHeight="1" x14ac:dyDescent="0.2">
      <c r="E11744" s="7"/>
      <c r="F11744" s="7"/>
    </row>
    <row r="11745" spans="5:6" ht="15" customHeight="1" x14ac:dyDescent="0.2">
      <c r="E11745" s="7"/>
      <c r="F11745" s="7"/>
    </row>
    <row r="11746" spans="5:6" ht="15" customHeight="1" x14ac:dyDescent="0.2">
      <c r="E11746" s="7"/>
      <c r="F11746" s="7"/>
    </row>
    <row r="11747" spans="5:6" ht="15" customHeight="1" x14ac:dyDescent="0.2">
      <c r="E11747" s="7"/>
      <c r="F11747" s="7"/>
    </row>
    <row r="11748" spans="5:6" ht="15" customHeight="1" x14ac:dyDescent="0.2">
      <c r="E11748" s="7"/>
      <c r="F11748" s="7"/>
    </row>
    <row r="11749" spans="5:6" ht="15" customHeight="1" x14ac:dyDescent="0.2">
      <c r="E11749" s="7"/>
      <c r="F11749" s="7"/>
    </row>
    <row r="11750" spans="5:6" ht="15" customHeight="1" x14ac:dyDescent="0.2">
      <c r="E11750" s="7"/>
      <c r="F11750" s="7"/>
    </row>
    <row r="11751" spans="5:6" ht="15" customHeight="1" x14ac:dyDescent="0.2">
      <c r="E11751" s="7"/>
      <c r="F11751" s="7"/>
    </row>
    <row r="11752" spans="5:6" ht="15" customHeight="1" x14ac:dyDescent="0.2">
      <c r="E11752" s="7"/>
      <c r="F11752" s="7"/>
    </row>
    <row r="11753" spans="5:6" ht="15" customHeight="1" x14ac:dyDescent="0.2">
      <c r="E11753" s="7"/>
      <c r="F11753" s="7"/>
    </row>
    <row r="11754" spans="5:6" ht="15" customHeight="1" x14ac:dyDescent="0.2">
      <c r="E11754" s="7"/>
      <c r="F11754" s="7"/>
    </row>
    <row r="11755" spans="5:6" ht="15" customHeight="1" x14ac:dyDescent="0.2">
      <c r="E11755" s="7"/>
      <c r="F11755" s="7"/>
    </row>
    <row r="11756" spans="5:6" ht="15" customHeight="1" x14ac:dyDescent="0.2">
      <c r="E11756" s="7"/>
      <c r="F11756" s="7"/>
    </row>
    <row r="11757" spans="5:6" ht="15" customHeight="1" x14ac:dyDescent="0.2">
      <c r="E11757" s="7"/>
      <c r="F11757" s="7"/>
    </row>
    <row r="11758" spans="5:6" ht="15" customHeight="1" x14ac:dyDescent="0.2">
      <c r="E11758" s="7"/>
      <c r="F11758" s="7"/>
    </row>
    <row r="11759" spans="5:6" ht="15" customHeight="1" x14ac:dyDescent="0.2">
      <c r="E11759" s="7"/>
      <c r="F11759" s="7"/>
    </row>
    <row r="11760" spans="5:6" ht="15" customHeight="1" x14ac:dyDescent="0.2">
      <c r="E11760" s="7"/>
      <c r="F11760" s="7"/>
    </row>
    <row r="11761" spans="5:6" ht="15" customHeight="1" x14ac:dyDescent="0.2">
      <c r="E11761" s="7"/>
      <c r="F11761" s="7"/>
    </row>
    <row r="11762" spans="5:6" ht="15" customHeight="1" x14ac:dyDescent="0.2">
      <c r="E11762" s="7"/>
      <c r="F11762" s="7"/>
    </row>
    <row r="11763" spans="5:6" ht="15" customHeight="1" x14ac:dyDescent="0.2">
      <c r="E11763" s="7"/>
      <c r="F11763" s="7"/>
    </row>
    <row r="11764" spans="5:6" ht="15" customHeight="1" x14ac:dyDescent="0.2">
      <c r="E11764" s="7"/>
      <c r="F11764" s="7"/>
    </row>
    <row r="11765" spans="5:6" ht="15" customHeight="1" x14ac:dyDescent="0.2">
      <c r="E11765" s="7"/>
      <c r="F11765" s="7"/>
    </row>
    <row r="11766" spans="5:6" ht="15" customHeight="1" x14ac:dyDescent="0.2">
      <c r="E11766" s="7"/>
      <c r="F11766" s="7"/>
    </row>
    <row r="11767" spans="5:6" ht="15" customHeight="1" x14ac:dyDescent="0.2">
      <c r="E11767" s="7"/>
      <c r="F11767" s="7"/>
    </row>
    <row r="11768" spans="5:6" ht="15" customHeight="1" x14ac:dyDescent="0.2">
      <c r="E11768" s="7"/>
      <c r="F11768" s="7"/>
    </row>
    <row r="11769" spans="5:6" ht="15" customHeight="1" x14ac:dyDescent="0.2">
      <c r="E11769" s="7"/>
      <c r="F11769" s="7"/>
    </row>
    <row r="11770" spans="5:6" ht="15" customHeight="1" x14ac:dyDescent="0.2">
      <c r="E11770" s="7"/>
      <c r="F11770" s="7"/>
    </row>
    <row r="11771" spans="5:6" ht="15" customHeight="1" x14ac:dyDescent="0.2">
      <c r="E11771" s="7"/>
      <c r="F11771" s="7"/>
    </row>
    <row r="11772" spans="5:6" ht="15" customHeight="1" x14ac:dyDescent="0.2">
      <c r="E11772" s="7"/>
      <c r="F11772" s="7"/>
    </row>
    <row r="11773" spans="5:6" ht="15" customHeight="1" x14ac:dyDescent="0.2">
      <c r="E11773" s="7"/>
      <c r="F11773" s="7"/>
    </row>
    <row r="11774" spans="5:6" ht="15" customHeight="1" x14ac:dyDescent="0.2">
      <c r="E11774" s="7"/>
      <c r="F11774" s="7"/>
    </row>
    <row r="11775" spans="5:6" ht="15" customHeight="1" x14ac:dyDescent="0.2">
      <c r="E11775" s="7"/>
      <c r="F11775" s="7"/>
    </row>
    <row r="11776" spans="5:6" ht="15" customHeight="1" x14ac:dyDescent="0.2">
      <c r="E11776" s="7"/>
      <c r="F11776" s="7"/>
    </row>
    <row r="11777" spans="5:6" ht="15" customHeight="1" x14ac:dyDescent="0.2">
      <c r="E11777" s="7"/>
      <c r="F11777" s="7"/>
    </row>
    <row r="11778" spans="5:6" ht="15" customHeight="1" x14ac:dyDescent="0.2">
      <c r="E11778" s="7"/>
      <c r="F11778" s="7"/>
    </row>
    <row r="11779" spans="5:6" ht="15" customHeight="1" x14ac:dyDescent="0.2">
      <c r="E11779" s="7"/>
      <c r="F11779" s="7"/>
    </row>
    <row r="11780" spans="5:6" ht="15" customHeight="1" x14ac:dyDescent="0.2">
      <c r="E11780" s="7"/>
      <c r="F11780" s="7"/>
    </row>
    <row r="11781" spans="5:6" ht="15" customHeight="1" x14ac:dyDescent="0.2">
      <c r="E11781" s="7"/>
      <c r="F11781" s="7"/>
    </row>
    <row r="11782" spans="5:6" ht="15" customHeight="1" x14ac:dyDescent="0.2">
      <c r="E11782" s="7"/>
      <c r="F11782" s="7"/>
    </row>
    <row r="11783" spans="5:6" ht="15" customHeight="1" x14ac:dyDescent="0.2">
      <c r="E11783" s="7"/>
      <c r="F11783" s="7"/>
    </row>
    <row r="11784" spans="5:6" ht="15" customHeight="1" x14ac:dyDescent="0.2">
      <c r="E11784" s="7"/>
      <c r="F11784" s="7"/>
    </row>
    <row r="11785" spans="5:6" ht="15" customHeight="1" x14ac:dyDescent="0.2">
      <c r="E11785" s="7"/>
      <c r="F11785" s="7"/>
    </row>
    <row r="11786" spans="5:6" ht="15" customHeight="1" x14ac:dyDescent="0.2">
      <c r="E11786" s="7"/>
      <c r="F11786" s="7"/>
    </row>
    <row r="11787" spans="5:6" ht="15" customHeight="1" x14ac:dyDescent="0.2">
      <c r="E11787" s="7"/>
      <c r="F11787" s="7"/>
    </row>
    <row r="11788" spans="5:6" ht="15" customHeight="1" x14ac:dyDescent="0.2">
      <c r="E11788" s="7"/>
      <c r="F11788" s="7"/>
    </row>
    <row r="11789" spans="5:6" ht="15" customHeight="1" x14ac:dyDescent="0.2">
      <c r="E11789" s="7"/>
      <c r="F11789" s="7"/>
    </row>
    <row r="11790" spans="5:6" ht="15" customHeight="1" x14ac:dyDescent="0.2">
      <c r="E11790" s="7"/>
      <c r="F11790" s="7"/>
    </row>
    <row r="11791" spans="5:6" ht="15" customHeight="1" x14ac:dyDescent="0.2">
      <c r="E11791" s="7"/>
      <c r="F11791" s="7"/>
    </row>
    <row r="11792" spans="5:6" ht="15" customHeight="1" x14ac:dyDescent="0.2">
      <c r="E11792" s="7"/>
      <c r="F11792" s="7"/>
    </row>
    <row r="11793" spans="5:6" ht="15" customHeight="1" x14ac:dyDescent="0.2">
      <c r="E11793" s="7"/>
      <c r="F11793" s="7"/>
    </row>
    <row r="11794" spans="5:6" ht="15" customHeight="1" x14ac:dyDescent="0.2">
      <c r="E11794" s="7"/>
      <c r="F11794" s="7"/>
    </row>
    <row r="11795" spans="5:6" ht="15" customHeight="1" x14ac:dyDescent="0.2">
      <c r="E11795" s="7"/>
      <c r="F11795" s="7"/>
    </row>
    <row r="11796" spans="5:6" ht="15" customHeight="1" x14ac:dyDescent="0.2">
      <c r="E11796" s="7"/>
      <c r="F11796" s="7"/>
    </row>
    <row r="11797" spans="5:6" ht="15" customHeight="1" x14ac:dyDescent="0.2">
      <c r="E11797" s="7"/>
      <c r="F11797" s="7"/>
    </row>
    <row r="11798" spans="5:6" ht="15" customHeight="1" x14ac:dyDescent="0.2">
      <c r="E11798" s="7"/>
      <c r="F11798" s="7"/>
    </row>
    <row r="11799" spans="5:6" ht="15" customHeight="1" x14ac:dyDescent="0.2">
      <c r="E11799" s="7"/>
      <c r="F11799" s="7"/>
    </row>
    <row r="11800" spans="5:6" ht="15" customHeight="1" x14ac:dyDescent="0.2">
      <c r="E11800" s="7"/>
      <c r="F11800" s="7"/>
    </row>
    <row r="11801" spans="5:6" ht="15" customHeight="1" x14ac:dyDescent="0.2">
      <c r="E11801" s="7"/>
      <c r="F11801" s="7"/>
    </row>
    <row r="11802" spans="5:6" ht="15" customHeight="1" x14ac:dyDescent="0.2">
      <c r="E11802" s="7"/>
      <c r="F11802" s="7"/>
    </row>
    <row r="11803" spans="5:6" ht="15" customHeight="1" x14ac:dyDescent="0.2">
      <c r="E11803" s="7"/>
      <c r="F11803" s="7"/>
    </row>
    <row r="11804" spans="5:6" ht="15" customHeight="1" x14ac:dyDescent="0.2">
      <c r="E11804" s="7"/>
      <c r="F11804" s="7"/>
    </row>
    <row r="11805" spans="5:6" ht="15" customHeight="1" x14ac:dyDescent="0.2">
      <c r="E11805" s="7"/>
      <c r="F11805" s="7"/>
    </row>
    <row r="11806" spans="5:6" ht="15" customHeight="1" x14ac:dyDescent="0.2">
      <c r="E11806" s="7"/>
      <c r="F11806" s="7"/>
    </row>
    <row r="11807" spans="5:6" ht="15" customHeight="1" x14ac:dyDescent="0.2">
      <c r="E11807" s="7"/>
      <c r="F11807" s="7"/>
    </row>
    <row r="11808" spans="5:6" ht="15" customHeight="1" x14ac:dyDescent="0.2">
      <c r="E11808" s="7"/>
      <c r="F11808" s="7"/>
    </row>
    <row r="11809" spans="5:6" ht="15" customHeight="1" x14ac:dyDescent="0.2">
      <c r="E11809" s="7"/>
      <c r="F11809" s="7"/>
    </row>
    <row r="11810" spans="5:6" ht="15" customHeight="1" x14ac:dyDescent="0.2">
      <c r="E11810" s="7"/>
      <c r="F11810" s="7"/>
    </row>
    <row r="11811" spans="5:6" ht="15" customHeight="1" x14ac:dyDescent="0.2">
      <c r="E11811" s="7"/>
      <c r="F11811" s="7"/>
    </row>
    <row r="11812" spans="5:6" ht="15" customHeight="1" x14ac:dyDescent="0.2">
      <c r="E11812" s="7"/>
      <c r="F11812" s="7"/>
    </row>
    <row r="11813" spans="5:6" ht="15" customHeight="1" x14ac:dyDescent="0.2">
      <c r="E11813" s="7"/>
      <c r="F11813" s="7"/>
    </row>
    <row r="11814" spans="5:6" ht="15" customHeight="1" x14ac:dyDescent="0.2">
      <c r="E11814" s="7"/>
      <c r="F11814" s="7"/>
    </row>
    <row r="11815" spans="5:6" ht="15" customHeight="1" x14ac:dyDescent="0.2">
      <c r="E11815" s="7"/>
      <c r="F11815" s="7"/>
    </row>
    <row r="11816" spans="5:6" ht="15" customHeight="1" x14ac:dyDescent="0.2">
      <c r="E11816" s="7"/>
      <c r="F11816" s="7"/>
    </row>
    <row r="11817" spans="5:6" ht="15" customHeight="1" x14ac:dyDescent="0.2">
      <c r="E11817" s="7"/>
      <c r="F11817" s="7"/>
    </row>
    <row r="11818" spans="5:6" ht="15" customHeight="1" x14ac:dyDescent="0.2">
      <c r="E11818" s="7"/>
      <c r="F11818" s="7"/>
    </row>
    <row r="11819" spans="5:6" ht="15" customHeight="1" x14ac:dyDescent="0.2">
      <c r="E11819" s="7"/>
      <c r="F11819" s="7"/>
    </row>
    <row r="11820" spans="5:6" ht="15" customHeight="1" x14ac:dyDescent="0.2">
      <c r="E11820" s="7"/>
      <c r="F11820" s="7"/>
    </row>
    <row r="11821" spans="5:6" ht="15" customHeight="1" x14ac:dyDescent="0.2">
      <c r="E11821" s="7"/>
      <c r="F11821" s="7"/>
    </row>
    <row r="11822" spans="5:6" ht="15" customHeight="1" x14ac:dyDescent="0.2">
      <c r="E11822" s="7"/>
      <c r="F11822" s="7"/>
    </row>
    <row r="11823" spans="5:6" ht="15" customHeight="1" x14ac:dyDescent="0.2">
      <c r="E11823" s="7"/>
      <c r="F11823" s="7"/>
    </row>
    <row r="11824" spans="5:6" ht="15" customHeight="1" x14ac:dyDescent="0.2">
      <c r="E11824" s="7"/>
      <c r="F11824" s="7"/>
    </row>
    <row r="11825" spans="5:6" ht="15" customHeight="1" x14ac:dyDescent="0.2">
      <c r="E11825" s="7"/>
      <c r="F11825" s="7"/>
    </row>
    <row r="11826" spans="5:6" ht="15" customHeight="1" x14ac:dyDescent="0.2">
      <c r="E11826" s="7"/>
      <c r="F11826" s="7"/>
    </row>
    <row r="11827" spans="5:6" ht="15" customHeight="1" x14ac:dyDescent="0.2">
      <c r="E11827" s="7"/>
      <c r="F11827" s="7"/>
    </row>
    <row r="11828" spans="5:6" ht="15" customHeight="1" x14ac:dyDescent="0.2">
      <c r="E11828" s="7"/>
      <c r="F11828" s="7"/>
    </row>
    <row r="11829" spans="5:6" ht="15" customHeight="1" x14ac:dyDescent="0.2">
      <c r="E11829" s="7"/>
      <c r="F11829" s="7"/>
    </row>
    <row r="11830" spans="5:6" ht="15" customHeight="1" x14ac:dyDescent="0.2">
      <c r="E11830" s="7"/>
      <c r="F11830" s="7"/>
    </row>
    <row r="11831" spans="5:6" ht="15" customHeight="1" x14ac:dyDescent="0.2">
      <c r="E11831" s="7"/>
      <c r="F11831" s="7"/>
    </row>
    <row r="11832" spans="5:6" ht="15" customHeight="1" x14ac:dyDescent="0.2">
      <c r="E11832" s="7"/>
      <c r="F11832" s="7"/>
    </row>
    <row r="11833" spans="5:6" ht="15" customHeight="1" x14ac:dyDescent="0.2">
      <c r="E11833" s="7"/>
      <c r="F11833" s="7"/>
    </row>
    <row r="11834" spans="5:6" ht="15" customHeight="1" x14ac:dyDescent="0.2">
      <c r="E11834" s="7"/>
      <c r="F11834" s="7"/>
    </row>
    <row r="11835" spans="5:6" ht="15" customHeight="1" x14ac:dyDescent="0.2">
      <c r="E11835" s="7"/>
      <c r="F11835" s="7"/>
    </row>
    <row r="11836" spans="5:6" ht="15" customHeight="1" x14ac:dyDescent="0.2">
      <c r="E11836" s="7"/>
      <c r="F11836" s="7"/>
    </row>
    <row r="11837" spans="5:6" ht="15" customHeight="1" x14ac:dyDescent="0.2">
      <c r="E11837" s="7"/>
      <c r="F11837" s="7"/>
    </row>
    <row r="11838" spans="5:6" ht="15" customHeight="1" x14ac:dyDescent="0.2">
      <c r="E11838" s="7"/>
      <c r="F11838" s="7"/>
    </row>
    <row r="11839" spans="5:6" ht="15" customHeight="1" x14ac:dyDescent="0.2">
      <c r="E11839" s="7"/>
      <c r="F11839" s="7"/>
    </row>
    <row r="11840" spans="5:6" ht="15" customHeight="1" x14ac:dyDescent="0.2">
      <c r="E11840" s="7"/>
      <c r="F11840" s="7"/>
    </row>
    <row r="11841" spans="5:6" ht="15" customHeight="1" x14ac:dyDescent="0.2">
      <c r="E11841" s="7"/>
      <c r="F11841" s="7"/>
    </row>
    <row r="11842" spans="5:6" ht="15" customHeight="1" x14ac:dyDescent="0.2">
      <c r="E11842" s="7"/>
      <c r="F11842" s="7"/>
    </row>
    <row r="11843" spans="5:6" ht="15" customHeight="1" x14ac:dyDescent="0.2">
      <c r="E11843" s="7"/>
      <c r="F11843" s="7"/>
    </row>
    <row r="11844" spans="5:6" ht="15" customHeight="1" x14ac:dyDescent="0.2">
      <c r="E11844" s="7"/>
      <c r="F11844" s="7"/>
    </row>
    <row r="11845" spans="5:6" ht="15" customHeight="1" x14ac:dyDescent="0.2">
      <c r="E11845" s="7"/>
      <c r="F11845" s="7"/>
    </row>
    <row r="11846" spans="5:6" ht="15" customHeight="1" x14ac:dyDescent="0.2">
      <c r="E11846" s="7"/>
      <c r="F11846" s="7"/>
    </row>
    <row r="11847" spans="5:6" ht="15" customHeight="1" x14ac:dyDescent="0.2">
      <c r="E11847" s="7"/>
      <c r="F11847" s="7"/>
    </row>
    <row r="11848" spans="5:6" ht="15" customHeight="1" x14ac:dyDescent="0.2">
      <c r="E11848" s="7"/>
      <c r="F11848" s="7"/>
    </row>
    <row r="11849" spans="5:6" ht="15" customHeight="1" x14ac:dyDescent="0.2">
      <c r="E11849" s="7"/>
      <c r="F11849" s="7"/>
    </row>
    <row r="11850" spans="5:6" ht="15" customHeight="1" x14ac:dyDescent="0.2">
      <c r="E11850" s="7"/>
      <c r="F11850" s="7"/>
    </row>
    <row r="11851" spans="5:6" ht="15" customHeight="1" x14ac:dyDescent="0.2">
      <c r="E11851" s="7"/>
      <c r="F11851" s="7"/>
    </row>
    <row r="11852" spans="5:6" ht="15" customHeight="1" x14ac:dyDescent="0.2">
      <c r="E11852" s="7"/>
      <c r="F11852" s="7"/>
    </row>
    <row r="11853" spans="5:6" ht="15" customHeight="1" x14ac:dyDescent="0.2">
      <c r="E11853" s="7"/>
      <c r="F11853" s="7"/>
    </row>
    <row r="11854" spans="5:6" ht="15" customHeight="1" x14ac:dyDescent="0.2">
      <c r="E11854" s="7"/>
      <c r="F11854" s="7"/>
    </row>
    <row r="11855" spans="5:6" ht="15" customHeight="1" x14ac:dyDescent="0.2">
      <c r="E11855" s="7"/>
      <c r="F11855" s="7"/>
    </row>
    <row r="11856" spans="5:6" ht="15" customHeight="1" x14ac:dyDescent="0.2">
      <c r="E11856" s="7"/>
      <c r="F11856" s="7"/>
    </row>
    <row r="11857" spans="5:6" ht="15" customHeight="1" x14ac:dyDescent="0.2">
      <c r="E11857" s="7"/>
      <c r="F11857" s="7"/>
    </row>
    <row r="11858" spans="5:6" ht="15" customHeight="1" x14ac:dyDescent="0.2">
      <c r="E11858" s="7"/>
      <c r="F11858" s="7"/>
    </row>
    <row r="11859" spans="5:6" ht="15" customHeight="1" x14ac:dyDescent="0.2">
      <c r="E11859" s="7"/>
      <c r="F11859" s="7"/>
    </row>
    <row r="11860" spans="5:6" ht="15" customHeight="1" x14ac:dyDescent="0.2">
      <c r="E11860" s="7"/>
      <c r="F11860" s="7"/>
    </row>
    <row r="11861" spans="5:6" ht="15" customHeight="1" x14ac:dyDescent="0.2">
      <c r="E11861" s="7"/>
      <c r="F11861" s="7"/>
    </row>
    <row r="11862" spans="5:6" ht="15" customHeight="1" x14ac:dyDescent="0.2">
      <c r="E11862" s="7"/>
      <c r="F11862" s="7"/>
    </row>
    <row r="11863" spans="5:6" ht="15" customHeight="1" x14ac:dyDescent="0.2">
      <c r="E11863" s="7"/>
      <c r="F11863" s="7"/>
    </row>
    <row r="11864" spans="5:6" ht="15" customHeight="1" x14ac:dyDescent="0.2">
      <c r="E11864" s="7"/>
      <c r="F11864" s="7"/>
    </row>
    <row r="11865" spans="5:6" ht="15" customHeight="1" x14ac:dyDescent="0.2">
      <c r="E11865" s="7"/>
      <c r="F11865" s="7"/>
    </row>
    <row r="11866" spans="5:6" ht="15" customHeight="1" x14ac:dyDescent="0.2">
      <c r="E11866" s="7"/>
      <c r="F11866" s="7"/>
    </row>
    <row r="11867" spans="5:6" ht="15" customHeight="1" x14ac:dyDescent="0.2">
      <c r="E11867" s="7"/>
      <c r="F11867" s="7"/>
    </row>
    <row r="11868" spans="5:6" ht="15" customHeight="1" x14ac:dyDescent="0.2">
      <c r="E11868" s="7"/>
      <c r="F11868" s="7"/>
    </row>
    <row r="11869" spans="5:6" ht="15" customHeight="1" x14ac:dyDescent="0.2">
      <c r="E11869" s="7"/>
      <c r="F11869" s="7"/>
    </row>
    <row r="11870" spans="5:6" ht="15" customHeight="1" x14ac:dyDescent="0.2">
      <c r="E11870" s="7"/>
      <c r="F11870" s="7"/>
    </row>
    <row r="11871" spans="5:6" ht="15" customHeight="1" x14ac:dyDescent="0.2">
      <c r="E11871" s="7"/>
      <c r="F11871" s="7"/>
    </row>
    <row r="11872" spans="5:6" ht="15" customHeight="1" x14ac:dyDescent="0.2">
      <c r="E11872" s="7"/>
      <c r="F11872" s="7"/>
    </row>
    <row r="11873" spans="5:6" ht="15" customHeight="1" x14ac:dyDescent="0.2">
      <c r="E11873" s="7"/>
      <c r="F11873" s="7"/>
    </row>
    <row r="11874" spans="5:6" ht="15" customHeight="1" x14ac:dyDescent="0.2">
      <c r="E11874" s="7"/>
      <c r="F11874" s="7"/>
    </row>
    <row r="11875" spans="5:6" ht="15" customHeight="1" x14ac:dyDescent="0.2">
      <c r="E11875" s="7"/>
      <c r="F11875" s="7"/>
    </row>
    <row r="11876" spans="5:6" ht="15" customHeight="1" x14ac:dyDescent="0.2">
      <c r="E11876" s="7"/>
      <c r="F11876" s="7"/>
    </row>
    <row r="11877" spans="5:6" ht="15" customHeight="1" x14ac:dyDescent="0.2">
      <c r="E11877" s="7"/>
      <c r="F11877" s="7"/>
    </row>
    <row r="11878" spans="5:6" ht="15" customHeight="1" x14ac:dyDescent="0.2">
      <c r="E11878" s="7"/>
      <c r="F11878" s="7"/>
    </row>
    <row r="11879" spans="5:6" ht="15" customHeight="1" x14ac:dyDescent="0.2">
      <c r="E11879" s="7"/>
      <c r="F11879" s="7"/>
    </row>
    <row r="11880" spans="5:6" ht="15" customHeight="1" x14ac:dyDescent="0.2">
      <c r="E11880" s="7"/>
      <c r="F11880" s="7"/>
    </row>
    <row r="11881" spans="5:6" ht="15" customHeight="1" x14ac:dyDescent="0.2">
      <c r="E11881" s="7"/>
      <c r="F11881" s="7"/>
    </row>
    <row r="11882" spans="5:6" ht="15" customHeight="1" x14ac:dyDescent="0.2">
      <c r="E11882" s="7"/>
      <c r="F11882" s="7"/>
    </row>
    <row r="11883" spans="5:6" ht="15" customHeight="1" x14ac:dyDescent="0.2">
      <c r="E11883" s="7"/>
      <c r="F11883" s="7"/>
    </row>
    <row r="11884" spans="5:6" ht="15" customHeight="1" x14ac:dyDescent="0.2">
      <c r="E11884" s="7"/>
      <c r="F11884" s="7"/>
    </row>
    <row r="11885" spans="5:6" ht="15" customHeight="1" x14ac:dyDescent="0.2">
      <c r="E11885" s="7"/>
      <c r="F11885" s="7"/>
    </row>
    <row r="11886" spans="5:6" ht="15" customHeight="1" x14ac:dyDescent="0.2">
      <c r="E11886" s="7"/>
      <c r="F11886" s="7"/>
    </row>
    <row r="11887" spans="5:6" ht="15" customHeight="1" x14ac:dyDescent="0.2">
      <c r="E11887" s="7"/>
      <c r="F11887" s="7"/>
    </row>
    <row r="11888" spans="5:6" ht="15" customHeight="1" x14ac:dyDescent="0.2">
      <c r="E11888" s="7"/>
      <c r="F11888" s="7"/>
    </row>
    <row r="11889" spans="5:6" ht="15" customHeight="1" x14ac:dyDescent="0.2">
      <c r="E11889" s="7"/>
      <c r="F11889" s="7"/>
    </row>
    <row r="11890" spans="5:6" ht="15" customHeight="1" x14ac:dyDescent="0.2">
      <c r="E11890" s="7"/>
      <c r="F11890" s="7"/>
    </row>
    <row r="11891" spans="5:6" ht="15" customHeight="1" x14ac:dyDescent="0.2">
      <c r="E11891" s="7"/>
      <c r="F11891" s="7"/>
    </row>
    <row r="11892" spans="5:6" ht="15" customHeight="1" x14ac:dyDescent="0.2">
      <c r="E11892" s="7"/>
      <c r="F11892" s="7"/>
    </row>
    <row r="11893" spans="5:6" ht="15" customHeight="1" x14ac:dyDescent="0.2">
      <c r="E11893" s="7"/>
      <c r="F11893" s="7"/>
    </row>
    <row r="11894" spans="5:6" ht="15" customHeight="1" x14ac:dyDescent="0.2">
      <c r="E11894" s="7"/>
      <c r="F11894" s="7"/>
    </row>
    <row r="11895" spans="5:6" ht="15" customHeight="1" x14ac:dyDescent="0.2">
      <c r="E11895" s="7"/>
      <c r="F11895" s="7"/>
    </row>
    <row r="11896" spans="5:6" ht="15" customHeight="1" x14ac:dyDescent="0.2">
      <c r="E11896" s="7"/>
      <c r="F11896" s="7"/>
    </row>
    <row r="11897" spans="5:6" ht="15" customHeight="1" x14ac:dyDescent="0.2">
      <c r="E11897" s="7"/>
      <c r="F11897" s="7"/>
    </row>
    <row r="11898" spans="5:6" ht="15" customHeight="1" x14ac:dyDescent="0.2">
      <c r="E11898" s="7"/>
      <c r="F11898" s="7"/>
    </row>
    <row r="11899" spans="5:6" ht="15" customHeight="1" x14ac:dyDescent="0.2">
      <c r="E11899" s="7"/>
      <c r="F11899" s="7"/>
    </row>
    <row r="11900" spans="5:6" ht="15" customHeight="1" x14ac:dyDescent="0.2">
      <c r="E11900" s="7"/>
      <c r="F11900" s="7"/>
    </row>
    <row r="11901" spans="5:6" ht="15" customHeight="1" x14ac:dyDescent="0.2">
      <c r="E11901" s="7"/>
      <c r="F11901" s="7"/>
    </row>
    <row r="11902" spans="5:6" ht="15" customHeight="1" x14ac:dyDescent="0.2">
      <c r="E11902" s="7"/>
      <c r="F11902" s="7"/>
    </row>
    <row r="11903" spans="5:6" ht="15" customHeight="1" x14ac:dyDescent="0.2">
      <c r="E11903" s="7"/>
      <c r="F11903" s="7"/>
    </row>
    <row r="11904" spans="5:6" ht="15" customHeight="1" x14ac:dyDescent="0.2">
      <c r="E11904" s="7"/>
      <c r="F11904" s="7"/>
    </row>
    <row r="11905" spans="5:6" ht="15" customHeight="1" x14ac:dyDescent="0.2">
      <c r="E11905" s="7"/>
      <c r="F11905" s="7"/>
    </row>
    <row r="11906" spans="5:6" ht="15" customHeight="1" x14ac:dyDescent="0.2">
      <c r="E11906" s="7"/>
      <c r="F11906" s="7"/>
    </row>
    <row r="11907" spans="5:6" ht="15" customHeight="1" x14ac:dyDescent="0.2">
      <c r="E11907" s="7"/>
      <c r="F11907" s="7"/>
    </row>
    <row r="11908" spans="5:6" ht="15" customHeight="1" x14ac:dyDescent="0.2">
      <c r="E11908" s="7"/>
      <c r="F11908" s="7"/>
    </row>
    <row r="11909" spans="5:6" ht="15" customHeight="1" x14ac:dyDescent="0.2">
      <c r="E11909" s="7"/>
      <c r="F11909" s="7"/>
    </row>
    <row r="11910" spans="5:6" ht="15" customHeight="1" x14ac:dyDescent="0.2">
      <c r="E11910" s="7"/>
      <c r="F11910" s="7"/>
    </row>
    <row r="11911" spans="5:6" ht="15" customHeight="1" x14ac:dyDescent="0.2">
      <c r="E11911" s="7"/>
      <c r="F11911" s="7"/>
    </row>
    <row r="11912" spans="5:6" ht="15" customHeight="1" x14ac:dyDescent="0.2">
      <c r="E11912" s="7"/>
      <c r="F11912" s="7"/>
    </row>
    <row r="11913" spans="5:6" ht="15" customHeight="1" x14ac:dyDescent="0.2">
      <c r="E11913" s="7"/>
      <c r="F11913" s="7"/>
    </row>
    <row r="11914" spans="5:6" ht="15" customHeight="1" x14ac:dyDescent="0.2">
      <c r="E11914" s="7"/>
      <c r="F11914" s="7"/>
    </row>
    <row r="11915" spans="5:6" ht="15" customHeight="1" x14ac:dyDescent="0.2">
      <c r="E11915" s="7"/>
      <c r="F11915" s="7"/>
    </row>
    <row r="11916" spans="5:6" ht="15" customHeight="1" x14ac:dyDescent="0.2">
      <c r="E11916" s="7"/>
      <c r="F11916" s="7"/>
    </row>
    <row r="11917" spans="5:6" ht="15" customHeight="1" x14ac:dyDescent="0.2">
      <c r="E11917" s="7"/>
      <c r="F11917" s="7"/>
    </row>
    <row r="11918" spans="5:6" ht="15" customHeight="1" x14ac:dyDescent="0.2">
      <c r="E11918" s="7"/>
      <c r="F11918" s="7"/>
    </row>
    <row r="11919" spans="5:6" ht="15" customHeight="1" x14ac:dyDescent="0.2">
      <c r="E11919" s="7"/>
      <c r="F11919" s="7"/>
    </row>
    <row r="11920" spans="5:6" ht="15" customHeight="1" x14ac:dyDescent="0.2">
      <c r="E11920" s="7"/>
      <c r="F11920" s="7"/>
    </row>
    <row r="11921" spans="5:6" ht="15" customHeight="1" x14ac:dyDescent="0.2">
      <c r="E11921" s="7"/>
      <c r="F11921" s="7"/>
    </row>
    <row r="11922" spans="5:6" ht="15" customHeight="1" x14ac:dyDescent="0.2">
      <c r="E11922" s="7"/>
      <c r="F11922" s="7"/>
    </row>
    <row r="11923" spans="5:6" ht="15" customHeight="1" x14ac:dyDescent="0.2">
      <c r="E11923" s="7"/>
      <c r="F11923" s="7"/>
    </row>
    <row r="11924" spans="5:6" ht="15" customHeight="1" x14ac:dyDescent="0.2">
      <c r="E11924" s="7"/>
      <c r="F11924" s="7"/>
    </row>
    <row r="11925" spans="5:6" ht="15" customHeight="1" x14ac:dyDescent="0.2">
      <c r="E11925" s="7"/>
      <c r="F11925" s="7"/>
    </row>
    <row r="11926" spans="5:6" ht="15" customHeight="1" x14ac:dyDescent="0.2">
      <c r="E11926" s="7"/>
      <c r="F11926" s="7"/>
    </row>
    <row r="11927" spans="5:6" ht="15" customHeight="1" x14ac:dyDescent="0.2">
      <c r="E11927" s="7"/>
      <c r="F11927" s="7"/>
    </row>
    <row r="11928" spans="5:6" ht="15" customHeight="1" x14ac:dyDescent="0.2">
      <c r="E11928" s="7"/>
      <c r="F11928" s="7"/>
    </row>
    <row r="11929" spans="5:6" ht="15" customHeight="1" x14ac:dyDescent="0.2">
      <c r="E11929" s="7"/>
      <c r="F11929" s="7"/>
    </row>
    <row r="11930" spans="5:6" ht="15" customHeight="1" x14ac:dyDescent="0.2">
      <c r="E11930" s="7"/>
      <c r="F11930" s="7"/>
    </row>
    <row r="11931" spans="5:6" ht="15" customHeight="1" x14ac:dyDescent="0.2">
      <c r="E11931" s="7"/>
      <c r="F11931" s="7"/>
    </row>
    <row r="11932" spans="5:6" ht="15" customHeight="1" x14ac:dyDescent="0.2">
      <c r="E11932" s="7"/>
      <c r="F11932" s="7"/>
    </row>
    <row r="11933" spans="5:6" ht="15" customHeight="1" x14ac:dyDescent="0.2">
      <c r="E11933" s="7"/>
      <c r="F11933" s="7"/>
    </row>
    <row r="11934" spans="5:6" ht="15" customHeight="1" x14ac:dyDescent="0.2">
      <c r="E11934" s="7"/>
      <c r="F11934" s="7"/>
    </row>
    <row r="11935" spans="5:6" ht="15" customHeight="1" x14ac:dyDescent="0.2">
      <c r="E11935" s="7"/>
      <c r="F11935" s="7"/>
    </row>
    <row r="11936" spans="5:6" ht="15" customHeight="1" x14ac:dyDescent="0.2">
      <c r="E11936" s="7"/>
      <c r="F11936" s="7"/>
    </row>
    <row r="11937" spans="5:6" ht="15" customHeight="1" x14ac:dyDescent="0.2">
      <c r="E11937" s="7"/>
      <c r="F11937" s="7"/>
    </row>
    <row r="11938" spans="5:6" ht="15" customHeight="1" x14ac:dyDescent="0.2">
      <c r="E11938" s="7"/>
      <c r="F11938" s="7"/>
    </row>
    <row r="11939" spans="5:6" ht="15" customHeight="1" x14ac:dyDescent="0.2">
      <c r="E11939" s="7"/>
      <c r="F11939" s="7"/>
    </row>
    <row r="11940" spans="5:6" ht="15" customHeight="1" x14ac:dyDescent="0.2">
      <c r="E11940" s="7"/>
      <c r="F11940" s="7"/>
    </row>
    <row r="11941" spans="5:6" ht="15" customHeight="1" x14ac:dyDescent="0.2">
      <c r="E11941" s="7"/>
      <c r="F11941" s="7"/>
    </row>
    <row r="11942" spans="5:6" ht="15" customHeight="1" x14ac:dyDescent="0.2">
      <c r="E11942" s="7"/>
      <c r="F11942" s="7"/>
    </row>
    <row r="11943" spans="5:6" ht="15" customHeight="1" x14ac:dyDescent="0.2">
      <c r="E11943" s="7"/>
      <c r="F11943" s="7"/>
    </row>
    <row r="11944" spans="5:6" ht="15" customHeight="1" x14ac:dyDescent="0.2">
      <c r="E11944" s="7"/>
      <c r="F11944" s="7"/>
    </row>
    <row r="11945" spans="5:6" ht="15" customHeight="1" x14ac:dyDescent="0.2">
      <c r="E11945" s="7"/>
      <c r="F11945" s="7"/>
    </row>
    <row r="11946" spans="5:6" ht="15" customHeight="1" x14ac:dyDescent="0.2">
      <c r="E11946" s="7"/>
      <c r="F11946" s="7"/>
    </row>
    <row r="11947" spans="5:6" ht="15" customHeight="1" x14ac:dyDescent="0.2">
      <c r="E11947" s="7"/>
      <c r="F11947" s="7"/>
    </row>
    <row r="11948" spans="5:6" ht="15" customHeight="1" x14ac:dyDescent="0.2">
      <c r="E11948" s="7"/>
      <c r="F11948" s="7"/>
    </row>
    <row r="11949" spans="5:6" ht="15" customHeight="1" x14ac:dyDescent="0.2">
      <c r="E11949" s="7"/>
      <c r="F11949" s="7"/>
    </row>
    <row r="11950" spans="5:6" ht="15" customHeight="1" x14ac:dyDescent="0.2">
      <c r="E11950" s="7"/>
      <c r="F11950" s="7"/>
    </row>
    <row r="11951" spans="5:6" ht="15" customHeight="1" x14ac:dyDescent="0.2">
      <c r="E11951" s="7"/>
      <c r="F11951" s="7"/>
    </row>
    <row r="11952" spans="5:6" ht="15" customHeight="1" x14ac:dyDescent="0.2">
      <c r="E11952" s="7"/>
      <c r="F11952" s="7"/>
    </row>
    <row r="11953" spans="5:6" ht="15" customHeight="1" x14ac:dyDescent="0.2">
      <c r="E11953" s="7"/>
      <c r="F11953" s="7"/>
    </row>
    <row r="11954" spans="5:6" ht="15" customHeight="1" x14ac:dyDescent="0.2">
      <c r="E11954" s="7"/>
      <c r="F11954" s="7"/>
    </row>
    <row r="11955" spans="5:6" ht="15" customHeight="1" x14ac:dyDescent="0.2">
      <c r="E11955" s="7"/>
      <c r="F11955" s="7"/>
    </row>
    <row r="11956" spans="5:6" ht="15" customHeight="1" x14ac:dyDescent="0.2">
      <c r="E11956" s="7"/>
      <c r="F11956" s="7"/>
    </row>
    <row r="11957" spans="5:6" ht="15" customHeight="1" x14ac:dyDescent="0.2">
      <c r="E11957" s="7"/>
      <c r="F11957" s="7"/>
    </row>
    <row r="11958" spans="5:6" ht="15" customHeight="1" x14ac:dyDescent="0.2">
      <c r="E11958" s="7"/>
      <c r="F11958" s="7"/>
    </row>
    <row r="11959" spans="5:6" ht="15" customHeight="1" x14ac:dyDescent="0.2">
      <c r="E11959" s="7"/>
      <c r="F11959" s="7"/>
    </row>
    <row r="11960" spans="5:6" ht="15" customHeight="1" x14ac:dyDescent="0.2">
      <c r="E11960" s="7"/>
      <c r="F11960" s="7"/>
    </row>
    <row r="11961" spans="5:6" ht="15" customHeight="1" x14ac:dyDescent="0.2">
      <c r="E11961" s="7"/>
      <c r="F11961" s="7"/>
    </row>
    <row r="11962" spans="5:6" ht="15" customHeight="1" x14ac:dyDescent="0.2">
      <c r="E11962" s="7"/>
      <c r="F11962" s="7"/>
    </row>
    <row r="11963" spans="5:6" ht="15" customHeight="1" x14ac:dyDescent="0.2">
      <c r="E11963" s="7"/>
      <c r="F11963" s="7"/>
    </row>
    <row r="11964" spans="5:6" ht="15" customHeight="1" x14ac:dyDescent="0.2">
      <c r="E11964" s="7"/>
      <c r="F11964" s="7"/>
    </row>
    <row r="11965" spans="5:6" ht="15" customHeight="1" x14ac:dyDescent="0.2">
      <c r="E11965" s="7"/>
      <c r="F11965" s="7"/>
    </row>
    <row r="11966" spans="5:6" ht="15" customHeight="1" x14ac:dyDescent="0.2">
      <c r="E11966" s="7"/>
      <c r="F11966" s="7"/>
    </row>
    <row r="11967" spans="5:6" ht="15" customHeight="1" x14ac:dyDescent="0.2">
      <c r="E11967" s="7"/>
      <c r="F11967" s="7"/>
    </row>
    <row r="11968" spans="5:6" ht="15" customHeight="1" x14ac:dyDescent="0.2">
      <c r="E11968" s="7"/>
      <c r="F11968" s="7"/>
    </row>
    <row r="11969" spans="5:6" ht="15" customHeight="1" x14ac:dyDescent="0.2">
      <c r="E11969" s="7"/>
      <c r="F11969" s="7"/>
    </row>
    <row r="11970" spans="5:6" ht="15" customHeight="1" x14ac:dyDescent="0.2">
      <c r="E11970" s="7"/>
      <c r="F11970" s="7"/>
    </row>
    <row r="11971" spans="5:6" ht="15" customHeight="1" x14ac:dyDescent="0.2">
      <c r="E11971" s="7"/>
      <c r="F11971" s="7"/>
    </row>
    <row r="11972" spans="5:6" ht="15" customHeight="1" x14ac:dyDescent="0.2">
      <c r="E11972" s="7"/>
      <c r="F11972" s="7"/>
    </row>
    <row r="11973" spans="5:6" ht="15" customHeight="1" x14ac:dyDescent="0.2">
      <c r="E11973" s="7"/>
      <c r="F11973" s="7"/>
    </row>
    <row r="11974" spans="5:6" ht="15" customHeight="1" x14ac:dyDescent="0.2">
      <c r="E11974" s="7"/>
      <c r="F11974" s="7"/>
    </row>
    <row r="11975" spans="5:6" ht="15" customHeight="1" x14ac:dyDescent="0.2">
      <c r="E11975" s="7"/>
      <c r="F11975" s="7"/>
    </row>
    <row r="11976" spans="5:6" ht="15" customHeight="1" x14ac:dyDescent="0.2">
      <c r="E11976" s="7"/>
      <c r="F11976" s="7"/>
    </row>
    <row r="11977" spans="5:6" ht="15" customHeight="1" x14ac:dyDescent="0.2">
      <c r="E11977" s="7"/>
      <c r="F11977" s="7"/>
    </row>
    <row r="11978" spans="5:6" ht="15" customHeight="1" x14ac:dyDescent="0.2">
      <c r="E11978" s="7"/>
      <c r="F11978" s="7"/>
    </row>
    <row r="11979" spans="5:6" ht="15" customHeight="1" x14ac:dyDescent="0.2">
      <c r="E11979" s="7"/>
      <c r="F11979" s="7"/>
    </row>
    <row r="11980" spans="5:6" ht="15" customHeight="1" x14ac:dyDescent="0.2">
      <c r="E11980" s="7"/>
      <c r="F11980" s="7"/>
    </row>
    <row r="11981" spans="5:6" ht="15" customHeight="1" x14ac:dyDescent="0.2">
      <c r="E11981" s="7"/>
      <c r="F11981" s="7"/>
    </row>
    <row r="11982" spans="5:6" ht="15" customHeight="1" x14ac:dyDescent="0.2">
      <c r="E11982" s="7"/>
      <c r="F11982" s="7"/>
    </row>
    <row r="11983" spans="5:6" ht="15" customHeight="1" x14ac:dyDescent="0.2">
      <c r="E11983" s="7"/>
      <c r="F11983" s="7"/>
    </row>
    <row r="11984" spans="5:6" ht="15" customHeight="1" x14ac:dyDescent="0.2">
      <c r="E11984" s="7"/>
      <c r="F11984" s="7"/>
    </row>
    <row r="11985" spans="5:6" ht="15" customHeight="1" x14ac:dyDescent="0.2">
      <c r="E11985" s="7"/>
      <c r="F11985" s="7"/>
    </row>
    <row r="11986" spans="5:6" ht="15" customHeight="1" x14ac:dyDescent="0.2">
      <c r="E11986" s="7"/>
      <c r="F11986" s="7"/>
    </row>
    <row r="11987" spans="5:6" ht="15" customHeight="1" x14ac:dyDescent="0.2">
      <c r="E11987" s="7"/>
      <c r="F11987" s="7"/>
    </row>
    <row r="11988" spans="5:6" ht="15" customHeight="1" x14ac:dyDescent="0.2">
      <c r="E11988" s="7"/>
      <c r="F11988" s="7"/>
    </row>
    <row r="11989" spans="5:6" ht="15" customHeight="1" x14ac:dyDescent="0.2">
      <c r="E11989" s="7"/>
      <c r="F11989" s="7"/>
    </row>
    <row r="11990" spans="5:6" ht="15" customHeight="1" x14ac:dyDescent="0.2">
      <c r="E11990" s="7"/>
      <c r="F11990" s="7"/>
    </row>
    <row r="11991" spans="5:6" ht="15" customHeight="1" x14ac:dyDescent="0.2">
      <c r="E11991" s="7"/>
      <c r="F11991" s="7"/>
    </row>
    <row r="11992" spans="5:6" ht="15" customHeight="1" x14ac:dyDescent="0.2">
      <c r="E11992" s="7"/>
      <c r="F11992" s="7"/>
    </row>
    <row r="11993" spans="5:6" ht="15" customHeight="1" x14ac:dyDescent="0.2">
      <c r="E11993" s="7"/>
      <c r="F11993" s="7"/>
    </row>
    <row r="11994" spans="5:6" ht="15" customHeight="1" x14ac:dyDescent="0.2">
      <c r="E11994" s="7"/>
      <c r="F11994" s="7"/>
    </row>
    <row r="11995" spans="5:6" ht="15" customHeight="1" x14ac:dyDescent="0.2">
      <c r="E11995" s="7"/>
      <c r="F11995" s="7"/>
    </row>
    <row r="11996" spans="5:6" ht="15" customHeight="1" x14ac:dyDescent="0.2">
      <c r="E11996" s="7"/>
      <c r="F11996" s="7"/>
    </row>
    <row r="11997" spans="5:6" ht="15" customHeight="1" x14ac:dyDescent="0.2">
      <c r="E11997" s="7"/>
      <c r="F11997" s="7"/>
    </row>
    <row r="11998" spans="5:6" ht="15" customHeight="1" x14ac:dyDescent="0.2">
      <c r="E11998" s="7"/>
      <c r="F11998" s="7"/>
    </row>
    <row r="11999" spans="5:6" ht="15" customHeight="1" x14ac:dyDescent="0.2">
      <c r="E11999" s="7"/>
      <c r="F11999" s="7"/>
    </row>
    <row r="12000" spans="5:6" ht="15" customHeight="1" x14ac:dyDescent="0.2">
      <c r="E12000" s="7"/>
      <c r="F12000" s="7"/>
    </row>
    <row r="12001" spans="5:6" ht="15" customHeight="1" x14ac:dyDescent="0.2">
      <c r="E12001" s="7"/>
      <c r="F12001" s="7"/>
    </row>
    <row r="12002" spans="5:6" ht="15" customHeight="1" x14ac:dyDescent="0.2">
      <c r="E12002" s="7"/>
      <c r="F12002" s="7"/>
    </row>
    <row r="12003" spans="5:6" ht="15" customHeight="1" x14ac:dyDescent="0.2">
      <c r="E12003" s="7"/>
      <c r="F12003" s="7"/>
    </row>
    <row r="12004" spans="5:6" ht="15" customHeight="1" x14ac:dyDescent="0.2">
      <c r="E12004" s="7"/>
      <c r="F12004" s="7"/>
    </row>
    <row r="12005" spans="5:6" ht="15" customHeight="1" x14ac:dyDescent="0.2">
      <c r="E12005" s="7"/>
      <c r="F12005" s="7"/>
    </row>
    <row r="12006" spans="5:6" ht="15" customHeight="1" x14ac:dyDescent="0.2">
      <c r="E12006" s="7"/>
      <c r="F12006" s="7"/>
    </row>
    <row r="12007" spans="5:6" ht="15" customHeight="1" x14ac:dyDescent="0.2">
      <c r="E12007" s="7"/>
      <c r="F12007" s="7"/>
    </row>
    <row r="12008" spans="5:6" ht="15" customHeight="1" x14ac:dyDescent="0.2">
      <c r="E12008" s="7"/>
      <c r="F12008" s="7"/>
    </row>
    <row r="12009" spans="5:6" ht="15" customHeight="1" x14ac:dyDescent="0.2">
      <c r="E12009" s="7"/>
      <c r="F12009" s="7"/>
    </row>
    <row r="12010" spans="5:6" ht="15" customHeight="1" x14ac:dyDescent="0.2">
      <c r="E12010" s="7"/>
      <c r="F12010" s="7"/>
    </row>
    <row r="12011" spans="5:6" ht="15" customHeight="1" x14ac:dyDescent="0.2">
      <c r="E12011" s="7"/>
      <c r="F12011" s="7"/>
    </row>
    <row r="12012" spans="5:6" ht="15" customHeight="1" x14ac:dyDescent="0.2">
      <c r="E12012" s="7"/>
      <c r="F12012" s="7"/>
    </row>
    <row r="12013" spans="5:6" ht="15" customHeight="1" x14ac:dyDescent="0.2">
      <c r="E12013" s="7"/>
      <c r="F12013" s="7"/>
    </row>
    <row r="12014" spans="5:6" ht="15" customHeight="1" x14ac:dyDescent="0.2">
      <c r="E12014" s="7"/>
      <c r="F12014" s="7"/>
    </row>
    <row r="12015" spans="5:6" ht="15" customHeight="1" x14ac:dyDescent="0.2">
      <c r="E12015" s="7"/>
      <c r="F12015" s="7"/>
    </row>
    <row r="12016" spans="5:6" ht="15" customHeight="1" x14ac:dyDescent="0.2">
      <c r="E12016" s="7"/>
      <c r="F12016" s="7"/>
    </row>
    <row r="12017" spans="5:6" ht="15" customHeight="1" x14ac:dyDescent="0.2">
      <c r="E12017" s="7"/>
      <c r="F12017" s="7"/>
    </row>
    <row r="12018" spans="5:6" ht="15" customHeight="1" x14ac:dyDescent="0.2">
      <c r="E12018" s="7"/>
      <c r="F12018" s="7"/>
    </row>
    <row r="12019" spans="5:6" ht="15" customHeight="1" x14ac:dyDescent="0.2">
      <c r="E12019" s="7"/>
      <c r="F12019" s="7"/>
    </row>
    <row r="12020" spans="5:6" ht="15" customHeight="1" x14ac:dyDescent="0.2">
      <c r="E12020" s="7"/>
      <c r="F12020" s="7"/>
    </row>
    <row r="12021" spans="5:6" ht="15" customHeight="1" x14ac:dyDescent="0.2">
      <c r="E12021" s="7"/>
      <c r="F12021" s="7"/>
    </row>
    <row r="12022" spans="5:6" ht="15" customHeight="1" x14ac:dyDescent="0.2">
      <c r="E12022" s="7"/>
      <c r="F12022" s="7"/>
    </row>
    <row r="12023" spans="5:6" ht="15" customHeight="1" x14ac:dyDescent="0.2">
      <c r="E12023" s="7"/>
      <c r="F12023" s="7"/>
    </row>
    <row r="12024" spans="5:6" ht="15" customHeight="1" x14ac:dyDescent="0.2">
      <c r="E12024" s="7"/>
      <c r="F12024" s="7"/>
    </row>
    <row r="12025" spans="5:6" ht="15" customHeight="1" x14ac:dyDescent="0.2">
      <c r="E12025" s="7"/>
      <c r="F12025" s="7"/>
    </row>
    <row r="12026" spans="5:6" ht="15" customHeight="1" x14ac:dyDescent="0.2">
      <c r="E12026" s="7"/>
      <c r="F12026" s="7"/>
    </row>
    <row r="12027" spans="5:6" ht="15" customHeight="1" x14ac:dyDescent="0.2">
      <c r="E12027" s="7"/>
      <c r="F12027" s="7"/>
    </row>
    <row r="12028" spans="5:6" ht="15" customHeight="1" x14ac:dyDescent="0.2">
      <c r="E12028" s="7"/>
      <c r="F12028" s="7"/>
    </row>
    <row r="12029" spans="5:6" ht="15" customHeight="1" x14ac:dyDescent="0.2">
      <c r="E12029" s="7"/>
      <c r="F12029" s="7"/>
    </row>
    <row r="12030" spans="5:6" ht="15" customHeight="1" x14ac:dyDescent="0.2">
      <c r="E12030" s="7"/>
      <c r="F12030" s="7"/>
    </row>
    <row r="12031" spans="5:6" ht="15" customHeight="1" x14ac:dyDescent="0.2">
      <c r="E12031" s="7"/>
      <c r="F12031" s="7"/>
    </row>
    <row r="12032" spans="5:6" ht="15" customHeight="1" x14ac:dyDescent="0.2">
      <c r="E12032" s="7"/>
      <c r="F12032" s="7"/>
    </row>
    <row r="12033" spans="5:6" ht="15" customHeight="1" x14ac:dyDescent="0.2">
      <c r="E12033" s="7"/>
      <c r="F12033" s="7"/>
    </row>
    <row r="12034" spans="5:6" ht="15" customHeight="1" x14ac:dyDescent="0.2">
      <c r="E12034" s="7"/>
      <c r="F12034" s="7"/>
    </row>
    <row r="12035" spans="5:6" ht="15" customHeight="1" x14ac:dyDescent="0.2">
      <c r="E12035" s="7"/>
      <c r="F12035" s="7"/>
    </row>
    <row r="12036" spans="5:6" ht="15" customHeight="1" x14ac:dyDescent="0.2">
      <c r="E12036" s="7"/>
      <c r="F12036" s="7"/>
    </row>
    <row r="12037" spans="5:6" ht="15" customHeight="1" x14ac:dyDescent="0.2">
      <c r="E12037" s="7"/>
      <c r="F12037" s="7"/>
    </row>
    <row r="12038" spans="5:6" ht="15" customHeight="1" x14ac:dyDescent="0.2">
      <c r="E12038" s="7"/>
      <c r="F12038" s="7"/>
    </row>
    <row r="12039" spans="5:6" ht="15" customHeight="1" x14ac:dyDescent="0.2">
      <c r="E12039" s="7"/>
      <c r="F12039" s="7"/>
    </row>
    <row r="12040" spans="5:6" ht="15" customHeight="1" x14ac:dyDescent="0.2">
      <c r="E12040" s="7"/>
      <c r="F12040" s="7"/>
    </row>
    <row r="12041" spans="5:6" ht="15" customHeight="1" x14ac:dyDescent="0.2">
      <c r="E12041" s="7"/>
      <c r="F12041" s="7"/>
    </row>
    <row r="12042" spans="5:6" ht="15" customHeight="1" x14ac:dyDescent="0.2">
      <c r="E12042" s="7"/>
      <c r="F12042" s="7"/>
    </row>
    <row r="12043" spans="5:6" ht="15" customHeight="1" x14ac:dyDescent="0.2">
      <c r="E12043" s="7"/>
      <c r="F12043" s="7"/>
    </row>
    <row r="12044" spans="5:6" ht="15" customHeight="1" x14ac:dyDescent="0.2">
      <c r="E12044" s="7"/>
      <c r="F12044" s="7"/>
    </row>
    <row r="12045" spans="5:6" ht="15" customHeight="1" x14ac:dyDescent="0.2">
      <c r="E12045" s="7"/>
      <c r="F12045" s="7"/>
    </row>
    <row r="12046" spans="5:6" ht="15" customHeight="1" x14ac:dyDescent="0.2">
      <c r="E12046" s="7"/>
      <c r="F12046" s="7"/>
    </row>
    <row r="12047" spans="5:6" ht="15" customHeight="1" x14ac:dyDescent="0.2">
      <c r="E12047" s="7"/>
      <c r="F12047" s="7"/>
    </row>
    <row r="12048" spans="5:6" ht="15" customHeight="1" x14ac:dyDescent="0.2">
      <c r="E12048" s="7"/>
      <c r="F12048" s="7"/>
    </row>
    <row r="12049" spans="5:6" ht="15" customHeight="1" x14ac:dyDescent="0.2">
      <c r="E12049" s="7"/>
      <c r="F12049" s="7"/>
    </row>
    <row r="12050" spans="5:6" ht="15" customHeight="1" x14ac:dyDescent="0.2">
      <c r="E12050" s="7"/>
      <c r="F12050" s="7"/>
    </row>
    <row r="12051" spans="5:6" ht="15" customHeight="1" x14ac:dyDescent="0.2">
      <c r="E12051" s="7"/>
      <c r="F12051" s="7"/>
    </row>
    <row r="12052" spans="5:6" ht="15" customHeight="1" x14ac:dyDescent="0.2">
      <c r="E12052" s="7"/>
      <c r="F12052" s="7"/>
    </row>
    <row r="12053" spans="5:6" ht="15" customHeight="1" x14ac:dyDescent="0.2">
      <c r="E12053" s="7"/>
      <c r="F12053" s="7"/>
    </row>
    <row r="12054" spans="5:6" ht="15" customHeight="1" x14ac:dyDescent="0.2">
      <c r="E12054" s="7"/>
      <c r="F12054" s="7"/>
    </row>
    <row r="12055" spans="5:6" ht="15" customHeight="1" x14ac:dyDescent="0.2">
      <c r="E12055" s="7"/>
      <c r="F12055" s="7"/>
    </row>
    <row r="12056" spans="5:6" ht="15" customHeight="1" x14ac:dyDescent="0.2">
      <c r="E12056" s="7"/>
      <c r="F12056" s="7"/>
    </row>
    <row r="12057" spans="5:6" ht="15" customHeight="1" x14ac:dyDescent="0.2">
      <c r="E12057" s="7"/>
      <c r="F12057" s="7"/>
    </row>
    <row r="12058" spans="5:6" ht="15" customHeight="1" x14ac:dyDescent="0.2">
      <c r="E12058" s="7"/>
      <c r="F12058" s="7"/>
    </row>
    <row r="12059" spans="5:6" ht="15" customHeight="1" x14ac:dyDescent="0.2">
      <c r="E12059" s="7"/>
      <c r="F12059" s="7"/>
    </row>
    <row r="12060" spans="5:6" ht="15" customHeight="1" x14ac:dyDescent="0.2">
      <c r="E12060" s="7"/>
      <c r="F12060" s="7"/>
    </row>
    <row r="12061" spans="5:6" ht="15" customHeight="1" x14ac:dyDescent="0.2">
      <c r="E12061" s="7"/>
      <c r="F12061" s="7"/>
    </row>
    <row r="12062" spans="5:6" ht="15" customHeight="1" x14ac:dyDescent="0.2">
      <c r="E12062" s="7"/>
      <c r="F12062" s="7"/>
    </row>
    <row r="12063" spans="5:6" ht="15" customHeight="1" x14ac:dyDescent="0.2">
      <c r="E12063" s="7"/>
      <c r="F12063" s="7"/>
    </row>
    <row r="12064" spans="5:6" ht="15" customHeight="1" x14ac:dyDescent="0.2">
      <c r="E12064" s="7"/>
      <c r="F12064" s="7"/>
    </row>
    <row r="12065" spans="5:6" ht="15" customHeight="1" x14ac:dyDescent="0.2">
      <c r="E12065" s="7"/>
      <c r="F12065" s="7"/>
    </row>
    <row r="12066" spans="5:6" ht="15" customHeight="1" x14ac:dyDescent="0.2">
      <c r="E12066" s="7"/>
      <c r="F12066" s="7"/>
    </row>
    <row r="12067" spans="5:6" ht="15" customHeight="1" x14ac:dyDescent="0.2">
      <c r="E12067" s="7"/>
      <c r="F12067" s="7"/>
    </row>
    <row r="12068" spans="5:6" ht="15" customHeight="1" x14ac:dyDescent="0.2">
      <c r="E12068" s="7"/>
      <c r="F12068" s="7"/>
    </row>
    <row r="12069" spans="5:6" ht="15" customHeight="1" x14ac:dyDescent="0.2">
      <c r="E12069" s="7"/>
      <c r="F12069" s="7"/>
    </row>
    <row r="12070" spans="5:6" ht="15" customHeight="1" x14ac:dyDescent="0.2">
      <c r="E12070" s="7"/>
      <c r="F12070" s="7"/>
    </row>
    <row r="12071" spans="5:6" ht="15" customHeight="1" x14ac:dyDescent="0.2">
      <c r="E12071" s="7"/>
      <c r="F12071" s="7"/>
    </row>
    <row r="12072" spans="5:6" ht="15" customHeight="1" x14ac:dyDescent="0.2">
      <c r="E12072" s="7"/>
      <c r="F12072" s="7"/>
    </row>
    <row r="12073" spans="5:6" ht="15" customHeight="1" x14ac:dyDescent="0.2">
      <c r="E12073" s="7"/>
      <c r="F12073" s="7"/>
    </row>
    <row r="12074" spans="5:6" ht="15" customHeight="1" x14ac:dyDescent="0.2">
      <c r="E12074" s="7"/>
      <c r="F12074" s="7"/>
    </row>
    <row r="12075" spans="5:6" ht="15" customHeight="1" x14ac:dyDescent="0.2">
      <c r="E12075" s="7"/>
      <c r="F12075" s="7"/>
    </row>
    <row r="12076" spans="5:6" ht="15" customHeight="1" x14ac:dyDescent="0.2">
      <c r="E12076" s="7"/>
      <c r="F12076" s="7"/>
    </row>
    <row r="12077" spans="5:6" ht="15" customHeight="1" x14ac:dyDescent="0.2">
      <c r="E12077" s="7"/>
      <c r="F12077" s="7"/>
    </row>
    <row r="12078" spans="5:6" ht="15" customHeight="1" x14ac:dyDescent="0.2">
      <c r="E12078" s="7"/>
      <c r="F12078" s="7"/>
    </row>
    <row r="12079" spans="5:6" ht="15" customHeight="1" x14ac:dyDescent="0.2">
      <c r="E12079" s="7"/>
      <c r="F12079" s="7"/>
    </row>
    <row r="12080" spans="5:6" ht="15" customHeight="1" x14ac:dyDescent="0.2">
      <c r="E12080" s="7"/>
      <c r="F12080" s="7"/>
    </row>
    <row r="12081" spans="5:6" ht="15" customHeight="1" x14ac:dyDescent="0.2">
      <c r="E12081" s="7"/>
      <c r="F12081" s="7"/>
    </row>
    <row r="12082" spans="5:6" ht="15" customHeight="1" x14ac:dyDescent="0.2">
      <c r="E12082" s="7"/>
      <c r="F12082" s="7"/>
    </row>
    <row r="12083" spans="5:6" ht="15" customHeight="1" x14ac:dyDescent="0.2">
      <c r="E12083" s="7"/>
      <c r="F12083" s="7"/>
    </row>
    <row r="12084" spans="5:6" ht="15" customHeight="1" x14ac:dyDescent="0.2">
      <c r="E12084" s="7"/>
      <c r="F12084" s="7"/>
    </row>
    <row r="12085" spans="5:6" ht="15" customHeight="1" x14ac:dyDescent="0.2">
      <c r="E12085" s="7"/>
      <c r="F12085" s="7"/>
    </row>
    <row r="12086" spans="5:6" ht="15" customHeight="1" x14ac:dyDescent="0.2">
      <c r="E12086" s="7"/>
      <c r="F12086" s="7"/>
    </row>
    <row r="12087" spans="5:6" ht="15" customHeight="1" x14ac:dyDescent="0.2">
      <c r="E12087" s="7"/>
      <c r="F12087" s="7"/>
    </row>
    <row r="12088" spans="5:6" ht="15" customHeight="1" x14ac:dyDescent="0.2">
      <c r="E12088" s="7"/>
      <c r="F12088" s="7"/>
    </row>
    <row r="12089" spans="5:6" ht="15" customHeight="1" x14ac:dyDescent="0.2">
      <c r="E12089" s="7"/>
      <c r="F12089" s="7"/>
    </row>
    <row r="12090" spans="5:6" ht="15" customHeight="1" x14ac:dyDescent="0.2">
      <c r="E12090" s="7"/>
      <c r="F12090" s="7"/>
    </row>
    <row r="12091" spans="5:6" ht="15" customHeight="1" x14ac:dyDescent="0.2">
      <c r="E12091" s="7"/>
      <c r="F12091" s="7"/>
    </row>
    <row r="12092" spans="5:6" ht="15" customHeight="1" x14ac:dyDescent="0.2">
      <c r="E12092" s="7"/>
      <c r="F12092" s="7"/>
    </row>
    <row r="12093" spans="5:6" ht="15" customHeight="1" x14ac:dyDescent="0.2">
      <c r="E12093" s="7"/>
      <c r="F12093" s="7"/>
    </row>
    <row r="12094" spans="5:6" ht="15" customHeight="1" x14ac:dyDescent="0.2">
      <c r="E12094" s="7"/>
      <c r="F12094" s="7"/>
    </row>
    <row r="12095" spans="5:6" ht="15" customHeight="1" x14ac:dyDescent="0.2">
      <c r="E12095" s="7"/>
      <c r="F12095" s="7"/>
    </row>
    <row r="12096" spans="5:6" ht="15" customHeight="1" x14ac:dyDescent="0.2">
      <c r="E12096" s="7"/>
      <c r="F12096" s="7"/>
    </row>
    <row r="12097" spans="5:6" ht="15" customHeight="1" x14ac:dyDescent="0.2">
      <c r="E12097" s="7"/>
      <c r="F12097" s="7"/>
    </row>
    <row r="12098" spans="5:6" ht="15" customHeight="1" x14ac:dyDescent="0.2">
      <c r="E12098" s="7"/>
      <c r="F12098" s="7"/>
    </row>
    <row r="12099" spans="5:6" ht="15" customHeight="1" x14ac:dyDescent="0.2">
      <c r="E12099" s="7"/>
      <c r="F12099" s="7"/>
    </row>
    <row r="12100" spans="5:6" ht="15" customHeight="1" x14ac:dyDescent="0.2">
      <c r="E12100" s="7"/>
      <c r="F12100" s="7"/>
    </row>
    <row r="12101" spans="5:6" ht="15" customHeight="1" x14ac:dyDescent="0.2">
      <c r="E12101" s="7"/>
      <c r="F12101" s="7"/>
    </row>
    <row r="12102" spans="5:6" ht="15" customHeight="1" x14ac:dyDescent="0.2">
      <c r="E12102" s="7"/>
      <c r="F12102" s="7"/>
    </row>
    <row r="12103" spans="5:6" ht="15" customHeight="1" x14ac:dyDescent="0.2">
      <c r="E12103" s="7"/>
      <c r="F12103" s="7"/>
    </row>
    <row r="12104" spans="5:6" ht="15" customHeight="1" x14ac:dyDescent="0.2">
      <c r="E12104" s="7"/>
      <c r="F12104" s="7"/>
    </row>
    <row r="12105" spans="5:6" ht="15" customHeight="1" x14ac:dyDescent="0.2">
      <c r="E12105" s="7"/>
      <c r="F12105" s="7"/>
    </row>
    <row r="12106" spans="5:6" ht="15" customHeight="1" x14ac:dyDescent="0.2">
      <c r="E12106" s="7"/>
      <c r="F12106" s="7"/>
    </row>
    <row r="12107" spans="5:6" ht="15" customHeight="1" x14ac:dyDescent="0.2">
      <c r="E12107" s="7"/>
      <c r="F12107" s="7"/>
    </row>
    <row r="12108" spans="5:6" ht="15" customHeight="1" x14ac:dyDescent="0.2">
      <c r="E12108" s="7"/>
      <c r="F12108" s="7"/>
    </row>
    <row r="12109" spans="5:6" ht="15" customHeight="1" x14ac:dyDescent="0.2">
      <c r="E12109" s="7"/>
      <c r="F12109" s="7"/>
    </row>
    <row r="12110" spans="5:6" ht="15" customHeight="1" x14ac:dyDescent="0.2">
      <c r="E12110" s="7"/>
      <c r="F12110" s="7"/>
    </row>
    <row r="12111" spans="5:6" ht="15" customHeight="1" x14ac:dyDescent="0.2">
      <c r="E12111" s="7"/>
      <c r="F12111" s="7"/>
    </row>
    <row r="12112" spans="5:6" ht="15" customHeight="1" x14ac:dyDescent="0.2">
      <c r="E12112" s="7"/>
      <c r="F12112" s="7"/>
    </row>
    <row r="12113" spans="5:6" ht="15" customHeight="1" x14ac:dyDescent="0.2">
      <c r="E12113" s="7"/>
      <c r="F12113" s="7"/>
    </row>
    <row r="12114" spans="5:6" ht="15" customHeight="1" x14ac:dyDescent="0.2">
      <c r="E12114" s="7"/>
      <c r="F12114" s="7"/>
    </row>
    <row r="12115" spans="5:6" ht="15" customHeight="1" x14ac:dyDescent="0.2">
      <c r="E12115" s="7"/>
      <c r="F12115" s="7"/>
    </row>
    <row r="12116" spans="5:6" ht="15" customHeight="1" x14ac:dyDescent="0.2">
      <c r="E12116" s="7"/>
      <c r="F12116" s="7"/>
    </row>
    <row r="12117" spans="5:6" ht="15" customHeight="1" x14ac:dyDescent="0.2">
      <c r="E12117" s="7"/>
      <c r="F12117" s="7"/>
    </row>
    <row r="12118" spans="5:6" ht="15" customHeight="1" x14ac:dyDescent="0.2">
      <c r="E12118" s="7"/>
      <c r="F12118" s="7"/>
    </row>
    <row r="12119" spans="5:6" ht="15" customHeight="1" x14ac:dyDescent="0.2">
      <c r="E12119" s="7"/>
      <c r="F12119" s="7"/>
    </row>
    <row r="12120" spans="5:6" ht="15" customHeight="1" x14ac:dyDescent="0.2">
      <c r="E12120" s="7"/>
      <c r="F12120" s="7"/>
    </row>
    <row r="12121" spans="5:6" ht="15" customHeight="1" x14ac:dyDescent="0.2">
      <c r="E12121" s="7"/>
      <c r="F12121" s="7"/>
    </row>
    <row r="12122" spans="5:6" ht="15" customHeight="1" x14ac:dyDescent="0.2">
      <c r="E12122" s="7"/>
      <c r="F12122" s="7"/>
    </row>
    <row r="12123" spans="5:6" ht="15" customHeight="1" x14ac:dyDescent="0.2">
      <c r="E12123" s="7"/>
      <c r="F12123" s="7"/>
    </row>
    <row r="12124" spans="5:6" ht="15" customHeight="1" x14ac:dyDescent="0.2">
      <c r="E12124" s="7"/>
      <c r="F12124" s="7"/>
    </row>
    <row r="12125" spans="5:6" ht="15" customHeight="1" x14ac:dyDescent="0.2">
      <c r="E12125" s="7"/>
      <c r="F12125" s="7"/>
    </row>
    <row r="12126" spans="5:6" ht="15" customHeight="1" x14ac:dyDescent="0.2">
      <c r="E12126" s="7"/>
      <c r="F12126" s="7"/>
    </row>
    <row r="12127" spans="5:6" ht="15" customHeight="1" x14ac:dyDescent="0.2">
      <c r="E12127" s="7"/>
      <c r="F12127" s="7"/>
    </row>
    <row r="12128" spans="5:6" ht="15" customHeight="1" x14ac:dyDescent="0.2">
      <c r="E12128" s="7"/>
      <c r="F12128" s="7"/>
    </row>
    <row r="12129" spans="5:6" ht="15" customHeight="1" x14ac:dyDescent="0.2">
      <c r="E12129" s="7"/>
      <c r="F12129" s="7"/>
    </row>
    <row r="12130" spans="5:6" ht="15" customHeight="1" x14ac:dyDescent="0.2">
      <c r="E12130" s="7"/>
      <c r="F12130" s="7"/>
    </row>
    <row r="12131" spans="5:6" ht="15" customHeight="1" x14ac:dyDescent="0.2">
      <c r="E12131" s="7"/>
      <c r="F12131" s="7"/>
    </row>
    <row r="12132" spans="5:6" ht="15" customHeight="1" x14ac:dyDescent="0.2">
      <c r="E12132" s="7"/>
      <c r="F12132" s="7"/>
    </row>
    <row r="12133" spans="5:6" ht="15" customHeight="1" x14ac:dyDescent="0.2">
      <c r="E12133" s="7"/>
      <c r="F12133" s="7"/>
    </row>
    <row r="12134" spans="5:6" ht="15" customHeight="1" x14ac:dyDescent="0.2">
      <c r="E12134" s="7"/>
      <c r="F12134" s="7"/>
    </row>
    <row r="12135" spans="5:6" ht="15" customHeight="1" x14ac:dyDescent="0.2">
      <c r="E12135" s="7"/>
      <c r="F12135" s="7"/>
    </row>
    <row r="12136" spans="5:6" ht="15" customHeight="1" x14ac:dyDescent="0.2">
      <c r="E12136" s="7"/>
      <c r="F12136" s="7"/>
    </row>
    <row r="12137" spans="5:6" ht="15" customHeight="1" x14ac:dyDescent="0.2">
      <c r="E12137" s="7"/>
      <c r="F12137" s="7"/>
    </row>
    <row r="12138" spans="5:6" ht="15" customHeight="1" x14ac:dyDescent="0.2">
      <c r="E12138" s="7"/>
      <c r="F12138" s="7"/>
    </row>
    <row r="12139" spans="5:6" ht="15" customHeight="1" x14ac:dyDescent="0.2">
      <c r="E12139" s="7"/>
      <c r="F12139" s="7"/>
    </row>
    <row r="12140" spans="5:6" ht="15" customHeight="1" x14ac:dyDescent="0.2">
      <c r="E12140" s="7"/>
      <c r="F12140" s="7"/>
    </row>
    <row r="12141" spans="5:6" ht="15" customHeight="1" x14ac:dyDescent="0.2">
      <c r="E12141" s="7"/>
      <c r="F12141" s="7"/>
    </row>
    <row r="12142" spans="5:6" ht="15" customHeight="1" x14ac:dyDescent="0.2">
      <c r="E12142" s="7"/>
      <c r="F12142" s="7"/>
    </row>
    <row r="12143" spans="5:6" ht="15" customHeight="1" x14ac:dyDescent="0.2">
      <c r="E12143" s="7"/>
      <c r="F12143" s="7"/>
    </row>
    <row r="12144" spans="5:6" ht="15" customHeight="1" x14ac:dyDescent="0.2">
      <c r="E12144" s="7"/>
      <c r="F12144" s="7"/>
    </row>
    <row r="12145" spans="5:6" ht="15" customHeight="1" x14ac:dyDescent="0.2">
      <c r="E12145" s="7"/>
      <c r="F12145" s="7"/>
    </row>
    <row r="12146" spans="5:6" ht="15" customHeight="1" x14ac:dyDescent="0.2">
      <c r="E12146" s="7"/>
      <c r="F12146" s="7"/>
    </row>
    <row r="12147" spans="5:6" ht="15" customHeight="1" x14ac:dyDescent="0.2">
      <c r="E12147" s="7"/>
      <c r="F12147" s="7"/>
    </row>
    <row r="12148" spans="5:6" ht="15" customHeight="1" x14ac:dyDescent="0.2">
      <c r="E12148" s="7"/>
      <c r="F12148" s="7"/>
    </row>
    <row r="12149" spans="5:6" ht="15" customHeight="1" x14ac:dyDescent="0.2">
      <c r="E12149" s="7"/>
      <c r="F12149" s="7"/>
    </row>
    <row r="12150" spans="5:6" ht="15" customHeight="1" x14ac:dyDescent="0.2">
      <c r="E12150" s="7"/>
      <c r="F12150" s="7"/>
    </row>
    <row r="12151" spans="5:6" ht="15" customHeight="1" x14ac:dyDescent="0.2">
      <c r="E12151" s="7"/>
      <c r="F12151" s="7"/>
    </row>
    <row r="12152" spans="5:6" ht="15" customHeight="1" x14ac:dyDescent="0.2">
      <c r="E12152" s="7"/>
      <c r="F12152" s="7"/>
    </row>
    <row r="12153" spans="5:6" ht="15" customHeight="1" x14ac:dyDescent="0.2">
      <c r="E12153" s="7"/>
      <c r="F12153" s="7"/>
    </row>
    <row r="12154" spans="5:6" ht="15" customHeight="1" x14ac:dyDescent="0.2">
      <c r="E12154" s="7"/>
      <c r="F12154" s="7"/>
    </row>
    <row r="12155" spans="5:6" ht="15" customHeight="1" x14ac:dyDescent="0.2">
      <c r="E12155" s="7"/>
      <c r="F12155" s="7"/>
    </row>
    <row r="12156" spans="5:6" ht="15" customHeight="1" x14ac:dyDescent="0.2">
      <c r="E12156" s="7"/>
      <c r="F12156" s="7"/>
    </row>
    <row r="12157" spans="5:6" ht="15" customHeight="1" x14ac:dyDescent="0.2">
      <c r="E12157" s="7"/>
      <c r="F12157" s="7"/>
    </row>
    <row r="12158" spans="5:6" ht="15" customHeight="1" x14ac:dyDescent="0.2">
      <c r="E12158" s="7"/>
      <c r="F12158" s="7"/>
    </row>
    <row r="12159" spans="5:6" ht="15" customHeight="1" x14ac:dyDescent="0.2">
      <c r="E12159" s="7"/>
      <c r="F12159" s="7"/>
    </row>
    <row r="12160" spans="5:6" ht="15" customHeight="1" x14ac:dyDescent="0.2">
      <c r="E12160" s="7"/>
      <c r="F12160" s="7"/>
    </row>
    <row r="12161" spans="5:6" ht="15" customHeight="1" x14ac:dyDescent="0.2">
      <c r="E12161" s="7"/>
      <c r="F12161" s="7"/>
    </row>
    <row r="12162" spans="5:6" ht="15" customHeight="1" x14ac:dyDescent="0.2">
      <c r="E12162" s="7"/>
      <c r="F12162" s="7"/>
    </row>
    <row r="12163" spans="5:6" ht="15" customHeight="1" x14ac:dyDescent="0.2">
      <c r="E12163" s="7"/>
      <c r="F12163" s="7"/>
    </row>
    <row r="12164" spans="5:6" ht="15" customHeight="1" x14ac:dyDescent="0.2">
      <c r="E12164" s="7"/>
      <c r="F12164" s="7"/>
    </row>
    <row r="12165" spans="5:6" ht="15" customHeight="1" x14ac:dyDescent="0.2">
      <c r="E12165" s="7"/>
      <c r="F12165" s="7"/>
    </row>
    <row r="12166" spans="5:6" ht="15" customHeight="1" x14ac:dyDescent="0.2">
      <c r="E12166" s="7"/>
      <c r="F12166" s="7"/>
    </row>
    <row r="12167" spans="5:6" ht="15" customHeight="1" x14ac:dyDescent="0.2">
      <c r="E12167" s="7"/>
      <c r="F12167" s="7"/>
    </row>
    <row r="12168" spans="5:6" ht="15" customHeight="1" x14ac:dyDescent="0.2">
      <c r="E12168" s="7"/>
      <c r="F12168" s="7"/>
    </row>
    <row r="12169" spans="5:6" ht="15" customHeight="1" x14ac:dyDescent="0.2">
      <c r="E12169" s="7"/>
      <c r="F12169" s="7"/>
    </row>
    <row r="12170" spans="5:6" ht="15" customHeight="1" x14ac:dyDescent="0.2">
      <c r="E12170" s="7"/>
      <c r="F12170" s="7"/>
    </row>
    <row r="12171" spans="5:6" ht="15" customHeight="1" x14ac:dyDescent="0.2">
      <c r="E12171" s="7"/>
      <c r="F12171" s="7"/>
    </row>
    <row r="12172" spans="5:6" ht="15" customHeight="1" x14ac:dyDescent="0.2">
      <c r="E12172" s="7"/>
      <c r="F12172" s="7"/>
    </row>
    <row r="12173" spans="5:6" ht="15" customHeight="1" x14ac:dyDescent="0.2">
      <c r="E12173" s="7"/>
      <c r="F12173" s="7"/>
    </row>
    <row r="12174" spans="5:6" ht="15" customHeight="1" x14ac:dyDescent="0.2">
      <c r="E12174" s="7"/>
      <c r="F12174" s="7"/>
    </row>
    <row r="12175" spans="5:6" ht="15" customHeight="1" x14ac:dyDescent="0.2">
      <c r="E12175" s="7"/>
      <c r="F12175" s="7"/>
    </row>
    <row r="12176" spans="5:6" ht="15" customHeight="1" x14ac:dyDescent="0.2">
      <c r="E12176" s="7"/>
      <c r="F12176" s="7"/>
    </row>
    <row r="12177" spans="5:6" ht="15" customHeight="1" x14ac:dyDescent="0.2">
      <c r="E12177" s="7"/>
      <c r="F12177" s="7"/>
    </row>
    <row r="12178" spans="5:6" ht="15" customHeight="1" x14ac:dyDescent="0.2">
      <c r="E12178" s="7"/>
      <c r="F12178" s="7"/>
    </row>
    <row r="12179" spans="5:6" ht="15" customHeight="1" x14ac:dyDescent="0.2">
      <c r="E12179" s="7"/>
      <c r="F12179" s="7"/>
    </row>
    <row r="12180" spans="5:6" ht="15" customHeight="1" x14ac:dyDescent="0.2">
      <c r="E12180" s="7"/>
      <c r="F12180" s="7"/>
    </row>
    <row r="12181" spans="5:6" ht="15" customHeight="1" x14ac:dyDescent="0.2">
      <c r="E12181" s="7"/>
      <c r="F12181" s="7"/>
    </row>
    <row r="12182" spans="5:6" ht="15" customHeight="1" x14ac:dyDescent="0.2">
      <c r="E12182" s="7"/>
      <c r="F12182" s="7"/>
    </row>
    <row r="12183" spans="5:6" ht="15" customHeight="1" x14ac:dyDescent="0.2">
      <c r="E12183" s="7"/>
      <c r="F12183" s="7"/>
    </row>
    <row r="12184" spans="5:6" ht="15" customHeight="1" x14ac:dyDescent="0.2">
      <c r="E12184" s="7"/>
      <c r="F12184" s="7"/>
    </row>
    <row r="12185" spans="5:6" ht="15" customHeight="1" x14ac:dyDescent="0.2">
      <c r="E12185" s="7"/>
      <c r="F12185" s="7"/>
    </row>
    <row r="12186" spans="5:6" ht="15" customHeight="1" x14ac:dyDescent="0.2">
      <c r="E12186" s="7"/>
      <c r="F12186" s="7"/>
    </row>
    <row r="12187" spans="5:6" ht="15" customHeight="1" x14ac:dyDescent="0.2">
      <c r="E12187" s="7"/>
      <c r="F12187" s="7"/>
    </row>
    <row r="12188" spans="5:6" ht="15" customHeight="1" x14ac:dyDescent="0.2">
      <c r="E12188" s="7"/>
      <c r="F12188" s="7"/>
    </row>
    <row r="12189" spans="5:6" ht="15" customHeight="1" x14ac:dyDescent="0.2">
      <c r="E12189" s="7"/>
      <c r="F12189" s="7"/>
    </row>
    <row r="12190" spans="5:6" ht="15" customHeight="1" x14ac:dyDescent="0.2">
      <c r="E12190" s="7"/>
      <c r="F12190" s="7"/>
    </row>
    <row r="12191" spans="5:6" ht="15" customHeight="1" x14ac:dyDescent="0.2">
      <c r="E12191" s="7"/>
      <c r="F12191" s="7"/>
    </row>
    <row r="12192" spans="5:6" ht="15" customHeight="1" x14ac:dyDescent="0.2">
      <c r="E12192" s="7"/>
      <c r="F12192" s="7"/>
    </row>
    <row r="12193" spans="5:6" ht="15" customHeight="1" x14ac:dyDescent="0.2">
      <c r="E12193" s="7"/>
      <c r="F12193" s="7"/>
    </row>
    <row r="12194" spans="5:6" ht="15" customHeight="1" x14ac:dyDescent="0.2">
      <c r="E12194" s="7"/>
      <c r="F12194" s="7"/>
    </row>
    <row r="12195" spans="5:6" ht="15" customHeight="1" x14ac:dyDescent="0.2">
      <c r="E12195" s="7"/>
      <c r="F12195" s="7"/>
    </row>
    <row r="12196" spans="5:6" ht="15" customHeight="1" x14ac:dyDescent="0.2">
      <c r="E12196" s="7"/>
      <c r="F12196" s="7"/>
    </row>
    <row r="12197" spans="5:6" ht="15" customHeight="1" x14ac:dyDescent="0.2">
      <c r="E12197" s="7"/>
      <c r="F12197" s="7"/>
    </row>
    <row r="12198" spans="5:6" ht="15" customHeight="1" x14ac:dyDescent="0.2">
      <c r="E12198" s="7"/>
      <c r="F12198" s="7"/>
    </row>
    <row r="12199" spans="5:6" ht="15" customHeight="1" x14ac:dyDescent="0.2">
      <c r="E12199" s="7"/>
      <c r="F12199" s="7"/>
    </row>
    <row r="12200" spans="5:6" ht="15" customHeight="1" x14ac:dyDescent="0.2">
      <c r="E12200" s="7"/>
      <c r="F12200" s="7"/>
    </row>
    <row r="12201" spans="5:6" ht="15" customHeight="1" x14ac:dyDescent="0.2">
      <c r="E12201" s="7"/>
      <c r="F12201" s="7"/>
    </row>
    <row r="12202" spans="5:6" ht="15" customHeight="1" x14ac:dyDescent="0.2">
      <c r="E12202" s="7"/>
      <c r="F12202" s="7"/>
    </row>
    <row r="12203" spans="5:6" ht="15" customHeight="1" x14ac:dyDescent="0.2">
      <c r="E12203" s="7"/>
      <c r="F12203" s="7"/>
    </row>
    <row r="12204" spans="5:6" ht="15" customHeight="1" x14ac:dyDescent="0.2">
      <c r="E12204" s="7"/>
      <c r="F12204" s="7"/>
    </row>
    <row r="12205" spans="5:6" ht="15" customHeight="1" x14ac:dyDescent="0.2">
      <c r="E12205" s="7"/>
      <c r="F12205" s="7"/>
    </row>
    <row r="12206" spans="5:6" ht="15" customHeight="1" x14ac:dyDescent="0.2">
      <c r="E12206" s="7"/>
      <c r="F12206" s="7"/>
    </row>
    <row r="12207" spans="5:6" ht="15" customHeight="1" x14ac:dyDescent="0.2">
      <c r="E12207" s="7"/>
      <c r="F12207" s="7"/>
    </row>
    <row r="12208" spans="5:6" ht="15" customHeight="1" x14ac:dyDescent="0.2">
      <c r="E12208" s="7"/>
      <c r="F12208" s="7"/>
    </row>
    <row r="12209" spans="5:6" ht="15" customHeight="1" x14ac:dyDescent="0.2">
      <c r="E12209" s="7"/>
      <c r="F12209" s="7"/>
    </row>
    <row r="12210" spans="5:6" ht="15" customHeight="1" x14ac:dyDescent="0.2">
      <c r="E12210" s="7"/>
      <c r="F12210" s="7"/>
    </row>
    <row r="12211" spans="5:6" ht="15" customHeight="1" x14ac:dyDescent="0.2">
      <c r="E12211" s="7"/>
      <c r="F12211" s="7"/>
    </row>
    <row r="12212" spans="5:6" ht="15" customHeight="1" x14ac:dyDescent="0.2">
      <c r="E12212" s="7"/>
      <c r="F12212" s="7"/>
    </row>
    <row r="12213" spans="5:6" ht="15" customHeight="1" x14ac:dyDescent="0.2">
      <c r="E12213" s="7"/>
      <c r="F12213" s="7"/>
    </row>
    <row r="12214" spans="5:6" ht="15" customHeight="1" x14ac:dyDescent="0.2">
      <c r="E12214" s="7"/>
      <c r="F12214" s="7"/>
    </row>
    <row r="12215" spans="5:6" ht="15" customHeight="1" x14ac:dyDescent="0.2">
      <c r="E12215" s="7"/>
      <c r="F12215" s="7"/>
    </row>
    <row r="12216" spans="5:6" ht="15" customHeight="1" x14ac:dyDescent="0.2">
      <c r="E12216" s="7"/>
      <c r="F12216" s="7"/>
    </row>
    <row r="12217" spans="5:6" ht="15" customHeight="1" x14ac:dyDescent="0.2">
      <c r="E12217" s="7"/>
      <c r="F12217" s="7"/>
    </row>
    <row r="12218" spans="5:6" ht="15" customHeight="1" x14ac:dyDescent="0.2">
      <c r="E12218" s="7"/>
      <c r="F12218" s="7"/>
    </row>
    <row r="12219" spans="5:6" ht="15" customHeight="1" x14ac:dyDescent="0.2">
      <c r="E12219" s="7"/>
      <c r="F12219" s="7"/>
    </row>
    <row r="12220" spans="5:6" ht="15" customHeight="1" x14ac:dyDescent="0.2">
      <c r="E12220" s="7"/>
      <c r="F12220" s="7"/>
    </row>
    <row r="12221" spans="5:6" ht="15" customHeight="1" x14ac:dyDescent="0.2">
      <c r="E12221" s="7"/>
      <c r="F12221" s="7"/>
    </row>
    <row r="12222" spans="5:6" ht="15" customHeight="1" x14ac:dyDescent="0.2">
      <c r="E12222" s="7"/>
      <c r="F12222" s="7"/>
    </row>
    <row r="12223" spans="5:6" ht="15" customHeight="1" x14ac:dyDescent="0.2">
      <c r="E12223" s="7"/>
      <c r="F12223" s="7"/>
    </row>
    <row r="12224" spans="5:6" ht="15" customHeight="1" x14ac:dyDescent="0.2">
      <c r="E12224" s="7"/>
      <c r="F12224" s="7"/>
    </row>
    <row r="12225" spans="5:6" ht="15" customHeight="1" x14ac:dyDescent="0.2">
      <c r="E12225" s="7"/>
      <c r="F12225" s="7"/>
    </row>
    <row r="12226" spans="5:6" ht="15" customHeight="1" x14ac:dyDescent="0.2">
      <c r="E12226" s="7"/>
      <c r="F12226" s="7"/>
    </row>
    <row r="12227" spans="5:6" ht="15" customHeight="1" x14ac:dyDescent="0.2">
      <c r="E12227" s="7"/>
      <c r="F12227" s="7"/>
    </row>
    <row r="12228" spans="5:6" ht="15" customHeight="1" x14ac:dyDescent="0.2">
      <c r="E12228" s="7"/>
      <c r="F12228" s="7"/>
    </row>
    <row r="12229" spans="5:6" ht="15" customHeight="1" x14ac:dyDescent="0.2">
      <c r="E12229" s="7"/>
      <c r="F12229" s="7"/>
    </row>
    <row r="12230" spans="5:6" ht="15" customHeight="1" x14ac:dyDescent="0.2">
      <c r="E12230" s="7"/>
      <c r="F12230" s="7"/>
    </row>
    <row r="12231" spans="5:6" ht="15" customHeight="1" x14ac:dyDescent="0.2">
      <c r="E12231" s="7"/>
      <c r="F12231" s="7"/>
    </row>
    <row r="12232" spans="5:6" ht="15" customHeight="1" x14ac:dyDescent="0.2">
      <c r="E12232" s="7"/>
      <c r="F12232" s="7"/>
    </row>
    <row r="12233" spans="5:6" ht="15" customHeight="1" x14ac:dyDescent="0.2">
      <c r="E12233" s="7"/>
      <c r="F12233" s="7"/>
    </row>
    <row r="12234" spans="5:6" ht="15" customHeight="1" x14ac:dyDescent="0.2">
      <c r="E12234" s="7"/>
      <c r="F12234" s="7"/>
    </row>
    <row r="12235" spans="5:6" ht="15" customHeight="1" x14ac:dyDescent="0.2">
      <c r="E12235" s="7"/>
      <c r="F12235" s="7"/>
    </row>
    <row r="12236" spans="5:6" ht="15" customHeight="1" x14ac:dyDescent="0.2">
      <c r="E12236" s="7"/>
      <c r="F12236" s="7"/>
    </row>
    <row r="12237" spans="5:6" ht="15" customHeight="1" x14ac:dyDescent="0.2">
      <c r="E12237" s="7"/>
      <c r="F12237" s="7"/>
    </row>
    <row r="12238" spans="5:6" ht="15" customHeight="1" x14ac:dyDescent="0.2">
      <c r="E12238" s="7"/>
      <c r="F12238" s="7"/>
    </row>
    <row r="12239" spans="5:6" ht="15" customHeight="1" x14ac:dyDescent="0.2">
      <c r="E12239" s="7"/>
      <c r="F12239" s="7"/>
    </row>
    <row r="12240" spans="5:6" ht="15" customHeight="1" x14ac:dyDescent="0.2">
      <c r="E12240" s="7"/>
      <c r="F12240" s="7"/>
    </row>
    <row r="12241" spans="5:6" ht="15" customHeight="1" x14ac:dyDescent="0.2">
      <c r="E12241" s="7"/>
      <c r="F12241" s="7"/>
    </row>
    <row r="12242" spans="5:6" ht="15" customHeight="1" x14ac:dyDescent="0.2">
      <c r="E12242" s="7"/>
      <c r="F12242" s="7"/>
    </row>
    <row r="12243" spans="5:6" ht="15" customHeight="1" x14ac:dyDescent="0.2">
      <c r="E12243" s="7"/>
      <c r="F12243" s="7"/>
    </row>
    <row r="12244" spans="5:6" ht="15" customHeight="1" x14ac:dyDescent="0.2">
      <c r="E12244" s="7"/>
      <c r="F12244" s="7"/>
    </row>
    <row r="12245" spans="5:6" ht="15" customHeight="1" x14ac:dyDescent="0.2">
      <c r="E12245" s="7"/>
      <c r="F12245" s="7"/>
    </row>
    <row r="12246" spans="5:6" ht="15" customHeight="1" x14ac:dyDescent="0.2">
      <c r="E12246" s="7"/>
      <c r="F12246" s="7"/>
    </row>
    <row r="12247" spans="5:6" ht="15" customHeight="1" x14ac:dyDescent="0.2">
      <c r="E12247" s="7"/>
      <c r="F12247" s="7"/>
    </row>
    <row r="12248" spans="5:6" ht="15" customHeight="1" x14ac:dyDescent="0.2">
      <c r="E12248" s="7"/>
      <c r="F12248" s="7"/>
    </row>
    <row r="12249" spans="5:6" ht="15" customHeight="1" x14ac:dyDescent="0.2">
      <c r="E12249" s="7"/>
      <c r="F12249" s="7"/>
    </row>
    <row r="12250" spans="5:6" ht="15" customHeight="1" x14ac:dyDescent="0.2">
      <c r="E12250" s="7"/>
      <c r="F12250" s="7"/>
    </row>
    <row r="12251" spans="5:6" ht="15" customHeight="1" x14ac:dyDescent="0.2">
      <c r="E12251" s="7"/>
      <c r="F12251" s="7"/>
    </row>
    <row r="12252" spans="5:6" ht="15" customHeight="1" x14ac:dyDescent="0.2">
      <c r="E12252" s="7"/>
      <c r="F12252" s="7"/>
    </row>
    <row r="12253" spans="5:6" ht="15" customHeight="1" x14ac:dyDescent="0.2">
      <c r="E12253" s="7"/>
      <c r="F12253" s="7"/>
    </row>
    <row r="12254" spans="5:6" ht="15" customHeight="1" x14ac:dyDescent="0.2">
      <c r="E12254" s="7"/>
      <c r="F12254" s="7"/>
    </row>
    <row r="12255" spans="5:6" ht="15" customHeight="1" x14ac:dyDescent="0.2">
      <c r="E12255" s="7"/>
      <c r="F12255" s="7"/>
    </row>
    <row r="12256" spans="5:6" ht="15" customHeight="1" x14ac:dyDescent="0.2">
      <c r="E12256" s="7"/>
      <c r="F12256" s="7"/>
    </row>
    <row r="12257" spans="5:6" ht="15" customHeight="1" x14ac:dyDescent="0.2">
      <c r="E12257" s="7"/>
      <c r="F12257" s="7"/>
    </row>
    <row r="12258" spans="5:6" ht="15" customHeight="1" x14ac:dyDescent="0.2">
      <c r="E12258" s="7"/>
      <c r="F12258" s="7"/>
    </row>
    <row r="12259" spans="5:6" ht="15" customHeight="1" x14ac:dyDescent="0.2">
      <c r="E12259" s="7"/>
      <c r="F12259" s="7"/>
    </row>
    <row r="12260" spans="5:6" ht="15" customHeight="1" x14ac:dyDescent="0.2">
      <c r="E12260" s="7"/>
      <c r="F12260" s="7"/>
    </row>
    <row r="12261" spans="5:6" ht="15" customHeight="1" x14ac:dyDescent="0.2">
      <c r="E12261" s="7"/>
      <c r="F12261" s="7"/>
    </row>
    <row r="12262" spans="5:6" ht="15" customHeight="1" x14ac:dyDescent="0.2">
      <c r="E12262" s="7"/>
      <c r="F12262" s="7"/>
    </row>
    <row r="12263" spans="5:6" ht="15" customHeight="1" x14ac:dyDescent="0.2">
      <c r="E12263" s="7"/>
      <c r="F12263" s="7"/>
    </row>
    <row r="12264" spans="5:6" ht="15" customHeight="1" x14ac:dyDescent="0.2">
      <c r="E12264" s="7"/>
      <c r="F12264" s="7"/>
    </row>
    <row r="12265" spans="5:6" ht="15" customHeight="1" x14ac:dyDescent="0.2">
      <c r="E12265" s="7"/>
      <c r="F12265" s="7"/>
    </row>
    <row r="12266" spans="5:6" ht="15" customHeight="1" x14ac:dyDescent="0.2">
      <c r="E12266" s="7"/>
      <c r="F12266" s="7"/>
    </row>
    <row r="12267" spans="5:6" ht="15" customHeight="1" x14ac:dyDescent="0.2">
      <c r="E12267" s="7"/>
      <c r="F12267" s="7"/>
    </row>
    <row r="12268" spans="5:6" ht="15" customHeight="1" x14ac:dyDescent="0.2">
      <c r="E12268" s="7"/>
      <c r="F12268" s="7"/>
    </row>
    <row r="12269" spans="5:6" ht="15" customHeight="1" x14ac:dyDescent="0.2">
      <c r="E12269" s="7"/>
      <c r="F12269" s="7"/>
    </row>
    <row r="12270" spans="5:6" ht="15" customHeight="1" x14ac:dyDescent="0.2">
      <c r="E12270" s="7"/>
      <c r="F12270" s="7"/>
    </row>
    <row r="12271" spans="5:6" ht="15" customHeight="1" x14ac:dyDescent="0.2">
      <c r="E12271" s="7"/>
      <c r="F12271" s="7"/>
    </row>
    <row r="12272" spans="5:6" ht="15" customHeight="1" x14ac:dyDescent="0.2">
      <c r="E12272" s="7"/>
      <c r="F12272" s="7"/>
    </row>
    <row r="12273" spans="5:6" ht="15" customHeight="1" x14ac:dyDescent="0.2">
      <c r="E12273" s="7"/>
      <c r="F12273" s="7"/>
    </row>
    <row r="12274" spans="5:6" ht="15" customHeight="1" x14ac:dyDescent="0.2">
      <c r="E12274" s="7"/>
      <c r="F12274" s="7"/>
    </row>
    <row r="12275" spans="5:6" ht="15" customHeight="1" x14ac:dyDescent="0.2">
      <c r="E12275" s="7"/>
      <c r="F12275" s="7"/>
    </row>
    <row r="12276" spans="5:6" ht="15" customHeight="1" x14ac:dyDescent="0.2">
      <c r="E12276" s="7"/>
      <c r="F12276" s="7"/>
    </row>
    <row r="12277" spans="5:6" ht="15" customHeight="1" x14ac:dyDescent="0.2">
      <c r="E12277" s="7"/>
      <c r="F12277" s="7"/>
    </row>
    <row r="12278" spans="5:6" ht="15" customHeight="1" x14ac:dyDescent="0.2">
      <c r="E12278" s="7"/>
      <c r="F12278" s="7"/>
    </row>
    <row r="12279" spans="5:6" ht="15" customHeight="1" x14ac:dyDescent="0.2">
      <c r="E12279" s="7"/>
      <c r="F12279" s="7"/>
    </row>
    <row r="12280" spans="5:6" ht="15" customHeight="1" x14ac:dyDescent="0.2">
      <c r="E12280" s="7"/>
      <c r="F12280" s="7"/>
    </row>
    <row r="12281" spans="5:6" ht="15" customHeight="1" x14ac:dyDescent="0.2">
      <c r="E12281" s="7"/>
      <c r="F12281" s="7"/>
    </row>
    <row r="12282" spans="5:6" ht="15" customHeight="1" x14ac:dyDescent="0.2">
      <c r="E12282" s="7"/>
      <c r="F12282" s="7"/>
    </row>
    <row r="12283" spans="5:6" ht="15" customHeight="1" x14ac:dyDescent="0.2">
      <c r="E12283" s="7"/>
      <c r="F12283" s="7"/>
    </row>
    <row r="12284" spans="5:6" ht="15" customHeight="1" x14ac:dyDescent="0.2">
      <c r="E12284" s="7"/>
      <c r="F12284" s="7"/>
    </row>
    <row r="12285" spans="5:6" ht="15" customHeight="1" x14ac:dyDescent="0.2">
      <c r="E12285" s="7"/>
      <c r="F12285" s="7"/>
    </row>
    <row r="12286" spans="5:6" ht="15" customHeight="1" x14ac:dyDescent="0.2">
      <c r="E12286" s="7"/>
      <c r="F12286" s="7"/>
    </row>
    <row r="12287" spans="5:6" ht="15" customHeight="1" x14ac:dyDescent="0.2">
      <c r="E12287" s="7"/>
      <c r="F12287" s="7"/>
    </row>
    <row r="12288" spans="5:6" ht="15" customHeight="1" x14ac:dyDescent="0.2">
      <c r="E12288" s="7"/>
      <c r="F12288" s="7"/>
    </row>
    <row r="12289" spans="5:6" ht="15" customHeight="1" x14ac:dyDescent="0.2">
      <c r="E12289" s="7"/>
      <c r="F12289" s="7"/>
    </row>
    <row r="12290" spans="5:6" ht="15" customHeight="1" x14ac:dyDescent="0.2">
      <c r="E12290" s="7"/>
      <c r="F12290" s="7"/>
    </row>
    <row r="12291" spans="5:6" ht="15" customHeight="1" x14ac:dyDescent="0.2">
      <c r="E12291" s="7"/>
      <c r="F12291" s="7"/>
    </row>
    <row r="12292" spans="5:6" ht="15" customHeight="1" x14ac:dyDescent="0.2">
      <c r="E12292" s="7"/>
      <c r="F12292" s="7"/>
    </row>
    <row r="12293" spans="5:6" ht="15" customHeight="1" x14ac:dyDescent="0.2">
      <c r="E12293" s="7"/>
      <c r="F12293" s="7"/>
    </row>
    <row r="12294" spans="5:6" ht="15" customHeight="1" x14ac:dyDescent="0.2">
      <c r="E12294" s="7"/>
      <c r="F12294" s="7"/>
    </row>
    <row r="12295" spans="5:6" ht="15" customHeight="1" x14ac:dyDescent="0.2">
      <c r="E12295" s="7"/>
      <c r="F12295" s="7"/>
    </row>
    <row r="12296" spans="5:6" ht="15" customHeight="1" x14ac:dyDescent="0.2">
      <c r="E12296" s="7"/>
      <c r="F12296" s="7"/>
    </row>
    <row r="12297" spans="5:6" ht="15" customHeight="1" x14ac:dyDescent="0.2">
      <c r="E12297" s="7"/>
      <c r="F12297" s="7"/>
    </row>
    <row r="12298" spans="5:6" ht="15" customHeight="1" x14ac:dyDescent="0.2">
      <c r="E12298" s="7"/>
      <c r="F12298" s="7"/>
    </row>
    <row r="12299" spans="5:6" ht="15" customHeight="1" x14ac:dyDescent="0.2">
      <c r="E12299" s="7"/>
      <c r="F12299" s="7"/>
    </row>
    <row r="12300" spans="5:6" ht="15" customHeight="1" x14ac:dyDescent="0.2">
      <c r="E12300" s="7"/>
      <c r="F12300" s="7"/>
    </row>
    <row r="12301" spans="5:6" ht="15" customHeight="1" x14ac:dyDescent="0.2">
      <c r="E12301" s="7"/>
      <c r="F12301" s="7"/>
    </row>
    <row r="12302" spans="5:6" ht="15" customHeight="1" x14ac:dyDescent="0.2">
      <c r="E12302" s="7"/>
      <c r="F12302" s="7"/>
    </row>
    <row r="12303" spans="5:6" ht="15" customHeight="1" x14ac:dyDescent="0.2">
      <c r="E12303" s="7"/>
      <c r="F12303" s="7"/>
    </row>
    <row r="12304" spans="5:6" ht="15" customHeight="1" x14ac:dyDescent="0.2">
      <c r="E12304" s="7"/>
      <c r="F12304" s="7"/>
    </row>
    <row r="12305" spans="5:6" ht="15" customHeight="1" x14ac:dyDescent="0.2">
      <c r="E12305" s="7"/>
      <c r="F12305" s="7"/>
    </row>
    <row r="12306" spans="5:6" ht="15" customHeight="1" x14ac:dyDescent="0.2">
      <c r="E12306" s="7"/>
      <c r="F12306" s="7"/>
    </row>
    <row r="12307" spans="5:6" ht="15" customHeight="1" x14ac:dyDescent="0.2">
      <c r="E12307" s="7"/>
      <c r="F12307" s="7"/>
    </row>
    <row r="12308" spans="5:6" ht="15" customHeight="1" x14ac:dyDescent="0.2">
      <c r="E12308" s="7"/>
      <c r="F12308" s="7"/>
    </row>
    <row r="12309" spans="5:6" ht="15" customHeight="1" x14ac:dyDescent="0.2">
      <c r="E12309" s="7"/>
      <c r="F12309" s="7"/>
    </row>
    <row r="12310" spans="5:6" ht="15" customHeight="1" x14ac:dyDescent="0.2">
      <c r="E12310" s="7"/>
      <c r="F12310" s="7"/>
    </row>
    <row r="12311" spans="5:6" ht="15" customHeight="1" x14ac:dyDescent="0.2">
      <c r="E12311" s="7"/>
      <c r="F12311" s="7"/>
    </row>
    <row r="12312" spans="5:6" ht="15" customHeight="1" x14ac:dyDescent="0.2">
      <c r="E12312" s="7"/>
      <c r="F12312" s="7"/>
    </row>
    <row r="12313" spans="5:6" ht="15" customHeight="1" x14ac:dyDescent="0.2">
      <c r="E12313" s="7"/>
      <c r="F12313" s="7"/>
    </row>
    <row r="12314" spans="5:6" ht="15" customHeight="1" x14ac:dyDescent="0.2">
      <c r="E12314" s="7"/>
      <c r="F12314" s="7"/>
    </row>
    <row r="12315" spans="5:6" ht="15" customHeight="1" x14ac:dyDescent="0.2">
      <c r="E12315" s="7"/>
      <c r="F12315" s="7"/>
    </row>
    <row r="12316" spans="5:6" ht="15" customHeight="1" x14ac:dyDescent="0.2">
      <c r="E12316" s="7"/>
      <c r="F12316" s="7"/>
    </row>
    <row r="12317" spans="5:6" ht="15" customHeight="1" x14ac:dyDescent="0.2">
      <c r="E12317" s="7"/>
      <c r="F12317" s="7"/>
    </row>
    <row r="12318" spans="5:6" ht="15" customHeight="1" x14ac:dyDescent="0.2">
      <c r="E12318" s="7"/>
      <c r="F12318" s="7"/>
    </row>
    <row r="12319" spans="5:6" ht="15" customHeight="1" x14ac:dyDescent="0.2">
      <c r="E12319" s="7"/>
      <c r="F12319" s="7"/>
    </row>
    <row r="12320" spans="5:6" ht="15" customHeight="1" x14ac:dyDescent="0.2">
      <c r="E12320" s="7"/>
      <c r="F12320" s="7"/>
    </row>
    <row r="12321" spans="5:6" ht="15" customHeight="1" x14ac:dyDescent="0.2">
      <c r="E12321" s="7"/>
      <c r="F12321" s="7"/>
    </row>
    <row r="12322" spans="5:6" ht="15" customHeight="1" x14ac:dyDescent="0.2">
      <c r="E12322" s="7"/>
      <c r="F12322" s="7"/>
    </row>
    <row r="12323" spans="5:6" ht="15" customHeight="1" x14ac:dyDescent="0.2">
      <c r="E12323" s="7"/>
      <c r="F12323" s="7"/>
    </row>
    <row r="12324" spans="5:6" ht="15" customHeight="1" x14ac:dyDescent="0.2">
      <c r="E12324" s="7"/>
      <c r="F12324" s="7"/>
    </row>
    <row r="12325" spans="5:6" ht="15" customHeight="1" x14ac:dyDescent="0.2">
      <c r="E12325" s="7"/>
      <c r="F12325" s="7"/>
    </row>
    <row r="12326" spans="5:6" ht="15" customHeight="1" x14ac:dyDescent="0.2">
      <c r="E12326" s="7"/>
      <c r="F12326" s="7"/>
    </row>
    <row r="12327" spans="5:6" ht="15" customHeight="1" x14ac:dyDescent="0.2">
      <c r="E12327" s="7"/>
      <c r="F12327" s="7"/>
    </row>
    <row r="12328" spans="5:6" ht="15" customHeight="1" x14ac:dyDescent="0.2">
      <c r="E12328" s="7"/>
      <c r="F12328" s="7"/>
    </row>
    <row r="12329" spans="5:6" ht="15" customHeight="1" x14ac:dyDescent="0.2">
      <c r="E12329" s="7"/>
      <c r="F12329" s="7"/>
    </row>
    <row r="12330" spans="5:6" ht="15" customHeight="1" x14ac:dyDescent="0.2">
      <c r="E12330" s="7"/>
      <c r="F12330" s="7"/>
    </row>
    <row r="12331" spans="5:6" ht="15" customHeight="1" x14ac:dyDescent="0.2">
      <c r="E12331" s="7"/>
      <c r="F12331" s="7"/>
    </row>
    <row r="12332" spans="5:6" ht="15" customHeight="1" x14ac:dyDescent="0.2">
      <c r="E12332" s="7"/>
      <c r="F12332" s="7"/>
    </row>
    <row r="12333" spans="5:6" ht="15" customHeight="1" x14ac:dyDescent="0.2">
      <c r="E12333" s="7"/>
      <c r="F12333" s="7"/>
    </row>
    <row r="12334" spans="5:6" ht="15" customHeight="1" x14ac:dyDescent="0.2">
      <c r="E12334" s="7"/>
      <c r="F12334" s="7"/>
    </row>
    <row r="12335" spans="5:6" ht="15" customHeight="1" x14ac:dyDescent="0.2">
      <c r="E12335" s="7"/>
      <c r="F12335" s="7"/>
    </row>
    <row r="12336" spans="5:6" ht="15" customHeight="1" x14ac:dyDescent="0.2">
      <c r="E12336" s="7"/>
      <c r="F12336" s="7"/>
    </row>
    <row r="12337" spans="5:6" ht="15" customHeight="1" x14ac:dyDescent="0.2">
      <c r="E12337" s="7"/>
      <c r="F12337" s="7"/>
    </row>
    <row r="12338" spans="5:6" ht="15" customHeight="1" x14ac:dyDescent="0.2">
      <c r="E12338" s="7"/>
      <c r="F12338" s="7"/>
    </row>
    <row r="12339" spans="5:6" ht="15" customHeight="1" x14ac:dyDescent="0.2">
      <c r="E12339" s="7"/>
      <c r="F12339" s="7"/>
    </row>
    <row r="12340" spans="5:6" ht="15" customHeight="1" x14ac:dyDescent="0.2">
      <c r="E12340" s="7"/>
      <c r="F12340" s="7"/>
    </row>
    <row r="12341" spans="5:6" ht="15" customHeight="1" x14ac:dyDescent="0.2">
      <c r="E12341" s="7"/>
      <c r="F12341" s="7"/>
    </row>
    <row r="12342" spans="5:6" ht="15" customHeight="1" x14ac:dyDescent="0.2">
      <c r="E12342" s="7"/>
      <c r="F12342" s="7"/>
    </row>
    <row r="12343" spans="5:6" ht="15" customHeight="1" x14ac:dyDescent="0.2">
      <c r="E12343" s="7"/>
      <c r="F12343" s="7"/>
    </row>
    <row r="12344" spans="5:6" ht="15" customHeight="1" x14ac:dyDescent="0.2">
      <c r="E12344" s="7"/>
      <c r="F12344" s="7"/>
    </row>
    <row r="12345" spans="5:6" ht="15" customHeight="1" x14ac:dyDescent="0.2">
      <c r="E12345" s="7"/>
      <c r="F12345" s="7"/>
    </row>
    <row r="12346" spans="5:6" ht="15" customHeight="1" x14ac:dyDescent="0.2">
      <c r="E12346" s="7"/>
      <c r="F12346" s="7"/>
    </row>
    <row r="12347" spans="5:6" ht="15" customHeight="1" x14ac:dyDescent="0.2">
      <c r="E12347" s="7"/>
      <c r="F12347" s="7"/>
    </row>
    <row r="12348" spans="5:6" ht="15" customHeight="1" x14ac:dyDescent="0.2">
      <c r="E12348" s="7"/>
      <c r="F12348" s="7"/>
    </row>
    <row r="12349" spans="5:6" ht="15" customHeight="1" x14ac:dyDescent="0.2">
      <c r="E12349" s="7"/>
      <c r="F12349" s="7"/>
    </row>
    <row r="12350" spans="5:6" ht="15" customHeight="1" x14ac:dyDescent="0.2">
      <c r="E12350" s="7"/>
      <c r="F12350" s="7"/>
    </row>
    <row r="12351" spans="5:6" ht="15" customHeight="1" x14ac:dyDescent="0.2">
      <c r="E12351" s="7"/>
      <c r="F12351" s="7"/>
    </row>
    <row r="12352" spans="5:6" ht="15" customHeight="1" x14ac:dyDescent="0.2">
      <c r="E12352" s="7"/>
      <c r="F12352" s="7"/>
    </row>
    <row r="12353" spans="5:6" ht="15" customHeight="1" x14ac:dyDescent="0.2">
      <c r="E12353" s="7"/>
      <c r="F12353" s="7"/>
    </row>
    <row r="12354" spans="5:6" ht="15" customHeight="1" x14ac:dyDescent="0.2">
      <c r="E12354" s="7"/>
      <c r="F12354" s="7"/>
    </row>
    <row r="12355" spans="5:6" ht="15" customHeight="1" x14ac:dyDescent="0.2">
      <c r="E12355" s="7"/>
      <c r="F12355" s="7"/>
    </row>
    <row r="12356" spans="5:6" ht="15" customHeight="1" x14ac:dyDescent="0.2">
      <c r="E12356" s="7"/>
      <c r="F12356" s="7"/>
    </row>
    <row r="12357" spans="5:6" ht="15" customHeight="1" x14ac:dyDescent="0.2">
      <c r="E12357" s="7"/>
      <c r="F12357" s="7"/>
    </row>
    <row r="12358" spans="5:6" ht="15" customHeight="1" x14ac:dyDescent="0.2">
      <c r="E12358" s="7"/>
      <c r="F12358" s="7"/>
    </row>
    <row r="12359" spans="5:6" ht="15" customHeight="1" x14ac:dyDescent="0.2">
      <c r="E12359" s="7"/>
      <c r="F12359" s="7"/>
    </row>
    <row r="12360" spans="5:6" ht="15" customHeight="1" x14ac:dyDescent="0.2">
      <c r="E12360" s="7"/>
      <c r="F12360" s="7"/>
    </row>
    <row r="12361" spans="5:6" ht="15" customHeight="1" x14ac:dyDescent="0.2">
      <c r="E12361" s="7"/>
      <c r="F12361" s="7"/>
    </row>
    <row r="12362" spans="5:6" ht="15" customHeight="1" x14ac:dyDescent="0.2">
      <c r="E12362" s="7"/>
      <c r="F12362" s="7"/>
    </row>
    <row r="12363" spans="5:6" ht="15" customHeight="1" x14ac:dyDescent="0.2">
      <c r="E12363" s="7"/>
      <c r="F12363" s="7"/>
    </row>
    <row r="12364" spans="5:6" ht="15" customHeight="1" x14ac:dyDescent="0.2">
      <c r="E12364" s="7"/>
      <c r="F12364" s="7"/>
    </row>
    <row r="12365" spans="5:6" ht="15" customHeight="1" x14ac:dyDescent="0.2">
      <c r="E12365" s="7"/>
      <c r="F12365" s="7"/>
    </row>
    <row r="12366" spans="5:6" ht="15" customHeight="1" x14ac:dyDescent="0.2">
      <c r="E12366" s="7"/>
      <c r="F12366" s="7"/>
    </row>
    <row r="12367" spans="5:6" ht="15" customHeight="1" x14ac:dyDescent="0.2">
      <c r="E12367" s="7"/>
      <c r="F12367" s="7"/>
    </row>
    <row r="12368" spans="5:6" ht="15" customHeight="1" x14ac:dyDescent="0.2">
      <c r="E12368" s="7"/>
      <c r="F12368" s="7"/>
    </row>
    <row r="12369" spans="5:6" ht="15" customHeight="1" x14ac:dyDescent="0.2">
      <c r="E12369" s="7"/>
      <c r="F12369" s="7"/>
    </row>
    <row r="12370" spans="5:6" ht="15" customHeight="1" x14ac:dyDescent="0.2">
      <c r="E12370" s="7"/>
      <c r="F12370" s="7"/>
    </row>
    <row r="12371" spans="5:6" ht="15" customHeight="1" x14ac:dyDescent="0.2">
      <c r="E12371" s="7"/>
      <c r="F12371" s="7"/>
    </row>
    <row r="12372" spans="5:6" ht="15" customHeight="1" x14ac:dyDescent="0.2">
      <c r="E12372" s="7"/>
      <c r="F12372" s="7"/>
    </row>
    <row r="12373" spans="5:6" ht="15" customHeight="1" x14ac:dyDescent="0.2">
      <c r="E12373" s="7"/>
      <c r="F12373" s="7"/>
    </row>
    <row r="12374" spans="5:6" ht="15" customHeight="1" x14ac:dyDescent="0.2">
      <c r="E12374" s="7"/>
      <c r="F12374" s="7"/>
    </row>
    <row r="12375" spans="5:6" ht="15" customHeight="1" x14ac:dyDescent="0.2">
      <c r="E12375" s="7"/>
      <c r="F12375" s="7"/>
    </row>
    <row r="12376" spans="5:6" ht="15" customHeight="1" x14ac:dyDescent="0.2">
      <c r="E12376" s="7"/>
      <c r="F12376" s="7"/>
    </row>
    <row r="12377" spans="5:6" ht="15" customHeight="1" x14ac:dyDescent="0.2">
      <c r="E12377" s="7"/>
      <c r="F12377" s="7"/>
    </row>
    <row r="12378" spans="5:6" ht="15" customHeight="1" x14ac:dyDescent="0.2">
      <c r="E12378" s="7"/>
      <c r="F12378" s="7"/>
    </row>
    <row r="12379" spans="5:6" ht="15" customHeight="1" x14ac:dyDescent="0.2">
      <c r="E12379" s="7"/>
      <c r="F12379" s="7"/>
    </row>
    <row r="12380" spans="5:6" ht="15" customHeight="1" x14ac:dyDescent="0.2">
      <c r="E12380" s="7"/>
      <c r="F12380" s="7"/>
    </row>
    <row r="12381" spans="5:6" ht="15" customHeight="1" x14ac:dyDescent="0.2">
      <c r="E12381" s="7"/>
      <c r="F12381" s="7"/>
    </row>
    <row r="12382" spans="5:6" ht="15" customHeight="1" x14ac:dyDescent="0.2">
      <c r="E12382" s="7"/>
      <c r="F12382" s="7"/>
    </row>
    <row r="12383" spans="5:6" ht="15" customHeight="1" x14ac:dyDescent="0.2">
      <c r="E12383" s="7"/>
      <c r="F12383" s="7"/>
    </row>
    <row r="12384" spans="5:6" ht="15" customHeight="1" x14ac:dyDescent="0.2">
      <c r="E12384" s="7"/>
      <c r="F12384" s="7"/>
    </row>
    <row r="12385" spans="5:6" ht="15" customHeight="1" x14ac:dyDescent="0.2">
      <c r="E12385" s="7"/>
      <c r="F12385" s="7"/>
    </row>
    <row r="12386" spans="5:6" ht="15" customHeight="1" x14ac:dyDescent="0.2">
      <c r="E12386" s="7"/>
      <c r="F12386" s="7"/>
    </row>
    <row r="12387" spans="5:6" ht="15" customHeight="1" x14ac:dyDescent="0.2">
      <c r="E12387" s="7"/>
      <c r="F12387" s="7"/>
    </row>
    <row r="12388" spans="5:6" ht="15" customHeight="1" x14ac:dyDescent="0.2">
      <c r="E12388" s="7"/>
      <c r="F12388" s="7"/>
    </row>
    <row r="12389" spans="5:6" ht="15" customHeight="1" x14ac:dyDescent="0.2">
      <c r="E12389" s="7"/>
      <c r="F12389" s="7"/>
    </row>
    <row r="12390" spans="5:6" ht="15" customHeight="1" x14ac:dyDescent="0.2">
      <c r="E12390" s="7"/>
      <c r="F12390" s="7"/>
    </row>
    <row r="12391" spans="5:6" ht="15" customHeight="1" x14ac:dyDescent="0.2">
      <c r="E12391" s="7"/>
      <c r="F12391" s="7"/>
    </row>
    <row r="12392" spans="5:6" ht="15" customHeight="1" x14ac:dyDescent="0.2">
      <c r="E12392" s="7"/>
      <c r="F12392" s="7"/>
    </row>
    <row r="12393" spans="5:6" ht="15" customHeight="1" x14ac:dyDescent="0.2">
      <c r="E12393" s="7"/>
      <c r="F12393" s="7"/>
    </row>
    <row r="12394" spans="5:6" ht="15" customHeight="1" x14ac:dyDescent="0.2">
      <c r="E12394" s="7"/>
      <c r="F12394" s="7"/>
    </row>
    <row r="12395" spans="5:6" ht="15" customHeight="1" x14ac:dyDescent="0.2">
      <c r="E12395" s="7"/>
      <c r="F12395" s="7"/>
    </row>
    <row r="12396" spans="5:6" ht="15" customHeight="1" x14ac:dyDescent="0.2">
      <c r="E12396" s="7"/>
      <c r="F12396" s="7"/>
    </row>
    <row r="12397" spans="5:6" ht="15" customHeight="1" x14ac:dyDescent="0.2">
      <c r="E12397" s="7"/>
      <c r="F12397" s="7"/>
    </row>
    <row r="12398" spans="5:6" ht="15" customHeight="1" x14ac:dyDescent="0.2">
      <c r="E12398" s="7"/>
      <c r="F12398" s="7"/>
    </row>
    <row r="12399" spans="5:6" ht="15" customHeight="1" x14ac:dyDescent="0.2">
      <c r="E12399" s="7"/>
      <c r="F12399" s="7"/>
    </row>
    <row r="12400" spans="5:6" ht="15" customHeight="1" x14ac:dyDescent="0.2">
      <c r="E12400" s="7"/>
      <c r="F12400" s="7"/>
    </row>
    <row r="12401" spans="5:6" ht="15" customHeight="1" x14ac:dyDescent="0.2">
      <c r="E12401" s="7"/>
      <c r="F12401" s="7"/>
    </row>
    <row r="12402" spans="5:6" ht="15" customHeight="1" x14ac:dyDescent="0.2">
      <c r="E12402" s="7"/>
      <c r="F12402" s="7"/>
    </row>
    <row r="12403" spans="5:6" ht="15" customHeight="1" x14ac:dyDescent="0.2">
      <c r="E12403" s="7"/>
      <c r="F12403" s="7"/>
    </row>
    <row r="12404" spans="5:6" ht="15" customHeight="1" x14ac:dyDescent="0.2">
      <c r="E12404" s="7"/>
      <c r="F12404" s="7"/>
    </row>
    <row r="12405" spans="5:6" ht="15" customHeight="1" x14ac:dyDescent="0.2">
      <c r="E12405" s="7"/>
      <c r="F12405" s="7"/>
    </row>
    <row r="12406" spans="5:6" ht="15" customHeight="1" x14ac:dyDescent="0.2">
      <c r="E12406" s="7"/>
      <c r="F12406" s="7"/>
    </row>
    <row r="12407" spans="5:6" ht="15" customHeight="1" x14ac:dyDescent="0.2">
      <c r="E12407" s="7"/>
      <c r="F12407" s="7"/>
    </row>
    <row r="12408" spans="5:6" ht="15" customHeight="1" x14ac:dyDescent="0.2">
      <c r="E12408" s="7"/>
      <c r="F12408" s="7"/>
    </row>
    <row r="12409" spans="5:6" ht="15" customHeight="1" x14ac:dyDescent="0.2">
      <c r="E12409" s="7"/>
      <c r="F12409" s="7"/>
    </row>
    <row r="12410" spans="5:6" ht="15" customHeight="1" x14ac:dyDescent="0.2">
      <c r="E12410" s="7"/>
      <c r="F12410" s="7"/>
    </row>
    <row r="12411" spans="5:6" ht="15" customHeight="1" x14ac:dyDescent="0.2">
      <c r="E12411" s="7"/>
      <c r="F12411" s="7"/>
    </row>
    <row r="12412" spans="5:6" ht="15" customHeight="1" x14ac:dyDescent="0.2">
      <c r="E12412" s="7"/>
      <c r="F12412" s="7"/>
    </row>
    <row r="12413" spans="5:6" ht="15" customHeight="1" x14ac:dyDescent="0.2">
      <c r="E12413" s="7"/>
      <c r="F12413" s="7"/>
    </row>
    <row r="12414" spans="5:6" ht="15" customHeight="1" x14ac:dyDescent="0.2">
      <c r="E12414" s="7"/>
      <c r="F12414" s="7"/>
    </row>
    <row r="12415" spans="5:6" ht="15" customHeight="1" x14ac:dyDescent="0.2">
      <c r="E12415" s="7"/>
      <c r="F12415" s="7"/>
    </row>
    <row r="12416" spans="5:6" ht="15" customHeight="1" x14ac:dyDescent="0.2">
      <c r="E12416" s="7"/>
      <c r="F12416" s="7"/>
    </row>
    <row r="12417" spans="5:6" ht="15" customHeight="1" x14ac:dyDescent="0.2">
      <c r="E12417" s="7"/>
      <c r="F12417" s="7"/>
    </row>
    <row r="12418" spans="5:6" ht="15" customHeight="1" x14ac:dyDescent="0.2">
      <c r="E12418" s="7"/>
      <c r="F12418" s="7"/>
    </row>
    <row r="12419" spans="5:6" ht="15" customHeight="1" x14ac:dyDescent="0.2">
      <c r="E12419" s="7"/>
      <c r="F12419" s="7"/>
    </row>
    <row r="12420" spans="5:6" ht="15" customHeight="1" x14ac:dyDescent="0.2">
      <c r="E12420" s="7"/>
      <c r="F12420" s="7"/>
    </row>
    <row r="12421" spans="5:6" ht="15" customHeight="1" x14ac:dyDescent="0.2">
      <c r="E12421" s="7"/>
      <c r="F12421" s="7"/>
    </row>
    <row r="12422" spans="5:6" ht="15" customHeight="1" x14ac:dyDescent="0.2">
      <c r="E12422" s="7"/>
      <c r="F12422" s="7"/>
    </row>
    <row r="12423" spans="5:6" ht="15" customHeight="1" x14ac:dyDescent="0.2">
      <c r="E12423" s="7"/>
      <c r="F12423" s="7"/>
    </row>
    <row r="12424" spans="5:6" ht="15" customHeight="1" x14ac:dyDescent="0.2">
      <c r="E12424" s="7"/>
      <c r="F12424" s="7"/>
    </row>
    <row r="12425" spans="5:6" ht="15" customHeight="1" x14ac:dyDescent="0.2">
      <c r="E12425" s="7"/>
      <c r="F12425" s="7"/>
    </row>
    <row r="12426" spans="5:6" ht="15" customHeight="1" x14ac:dyDescent="0.2">
      <c r="E12426" s="7"/>
      <c r="F12426" s="7"/>
    </row>
    <row r="12427" spans="5:6" ht="15" customHeight="1" x14ac:dyDescent="0.2">
      <c r="E12427" s="7"/>
      <c r="F12427" s="7"/>
    </row>
    <row r="12428" spans="5:6" ht="15" customHeight="1" x14ac:dyDescent="0.2">
      <c r="E12428" s="7"/>
      <c r="F12428" s="7"/>
    </row>
    <row r="12429" spans="5:6" ht="15" customHeight="1" x14ac:dyDescent="0.2">
      <c r="E12429" s="7"/>
      <c r="F12429" s="7"/>
    </row>
    <row r="12430" spans="5:6" ht="15" customHeight="1" x14ac:dyDescent="0.2">
      <c r="E12430" s="7"/>
      <c r="F12430" s="7"/>
    </row>
    <row r="12431" spans="5:6" ht="15" customHeight="1" x14ac:dyDescent="0.2">
      <c r="E12431" s="7"/>
      <c r="F12431" s="7"/>
    </row>
    <row r="12432" spans="5:6" ht="15" customHeight="1" x14ac:dyDescent="0.2">
      <c r="E12432" s="7"/>
      <c r="F12432" s="7"/>
    </row>
    <row r="12433" spans="5:6" ht="15" customHeight="1" x14ac:dyDescent="0.2">
      <c r="E12433" s="7"/>
      <c r="F12433" s="7"/>
    </row>
    <row r="12434" spans="5:6" ht="15" customHeight="1" x14ac:dyDescent="0.2">
      <c r="E12434" s="7"/>
      <c r="F12434" s="7"/>
    </row>
    <row r="12435" spans="5:6" ht="15" customHeight="1" x14ac:dyDescent="0.2">
      <c r="E12435" s="7"/>
      <c r="F12435" s="7"/>
    </row>
    <row r="12436" spans="5:6" ht="15" customHeight="1" x14ac:dyDescent="0.2">
      <c r="E12436" s="7"/>
      <c r="F12436" s="7"/>
    </row>
    <row r="12437" spans="5:6" ht="15" customHeight="1" x14ac:dyDescent="0.2">
      <c r="E12437" s="7"/>
      <c r="F12437" s="7"/>
    </row>
    <row r="12438" spans="5:6" ht="15" customHeight="1" x14ac:dyDescent="0.2">
      <c r="E12438" s="7"/>
      <c r="F12438" s="7"/>
    </row>
    <row r="12439" spans="5:6" ht="15" customHeight="1" x14ac:dyDescent="0.2">
      <c r="E12439" s="7"/>
      <c r="F12439" s="7"/>
    </row>
    <row r="12440" spans="5:6" ht="15" customHeight="1" x14ac:dyDescent="0.2">
      <c r="E12440" s="7"/>
      <c r="F12440" s="7"/>
    </row>
    <row r="12441" spans="5:6" ht="15" customHeight="1" x14ac:dyDescent="0.2">
      <c r="E12441" s="7"/>
      <c r="F12441" s="7"/>
    </row>
    <row r="12442" spans="5:6" ht="15" customHeight="1" x14ac:dyDescent="0.2">
      <c r="E12442" s="7"/>
      <c r="F12442" s="7"/>
    </row>
    <row r="12443" spans="5:6" ht="15" customHeight="1" x14ac:dyDescent="0.2">
      <c r="E12443" s="7"/>
      <c r="F12443" s="7"/>
    </row>
    <row r="12444" spans="5:6" ht="15" customHeight="1" x14ac:dyDescent="0.2">
      <c r="E12444" s="7"/>
      <c r="F12444" s="7"/>
    </row>
    <row r="12445" spans="5:6" ht="15" customHeight="1" x14ac:dyDescent="0.2">
      <c r="E12445" s="7"/>
      <c r="F12445" s="7"/>
    </row>
    <row r="12446" spans="5:6" ht="15" customHeight="1" x14ac:dyDescent="0.2">
      <c r="E12446" s="7"/>
      <c r="F12446" s="7"/>
    </row>
    <row r="12447" spans="5:6" ht="15" customHeight="1" x14ac:dyDescent="0.2">
      <c r="E12447" s="7"/>
      <c r="F12447" s="7"/>
    </row>
    <row r="12448" spans="5:6" ht="15" customHeight="1" x14ac:dyDescent="0.2">
      <c r="E12448" s="7"/>
      <c r="F12448" s="7"/>
    </row>
    <row r="12449" spans="5:6" ht="15" customHeight="1" x14ac:dyDescent="0.2">
      <c r="E12449" s="7"/>
      <c r="F12449" s="7"/>
    </row>
    <row r="12450" spans="5:6" ht="15" customHeight="1" x14ac:dyDescent="0.2">
      <c r="E12450" s="7"/>
      <c r="F12450" s="7"/>
    </row>
    <row r="12451" spans="5:6" ht="15" customHeight="1" x14ac:dyDescent="0.2">
      <c r="E12451" s="7"/>
      <c r="F12451" s="7"/>
    </row>
    <row r="12452" spans="5:6" ht="15" customHeight="1" x14ac:dyDescent="0.2">
      <c r="E12452" s="7"/>
      <c r="F12452" s="7"/>
    </row>
    <row r="12453" spans="5:6" ht="15" customHeight="1" x14ac:dyDescent="0.2">
      <c r="E12453" s="7"/>
      <c r="F12453" s="7"/>
    </row>
    <row r="12454" spans="5:6" ht="15" customHeight="1" x14ac:dyDescent="0.2">
      <c r="E12454" s="7"/>
      <c r="F12454" s="7"/>
    </row>
    <row r="12455" spans="5:6" ht="15" customHeight="1" x14ac:dyDescent="0.2">
      <c r="E12455" s="7"/>
      <c r="F12455" s="7"/>
    </row>
    <row r="12456" spans="5:6" ht="15" customHeight="1" x14ac:dyDescent="0.2">
      <c r="E12456" s="7"/>
      <c r="F12456" s="7"/>
    </row>
    <row r="12457" spans="5:6" ht="15" customHeight="1" x14ac:dyDescent="0.2">
      <c r="E12457" s="7"/>
      <c r="F12457" s="7"/>
    </row>
    <row r="12458" spans="5:6" ht="15" customHeight="1" x14ac:dyDescent="0.2">
      <c r="E12458" s="7"/>
      <c r="F12458" s="7"/>
    </row>
    <row r="12459" spans="5:6" ht="15" customHeight="1" x14ac:dyDescent="0.2">
      <c r="E12459" s="7"/>
      <c r="F12459" s="7"/>
    </row>
    <row r="12460" spans="5:6" ht="15" customHeight="1" x14ac:dyDescent="0.2">
      <c r="E12460" s="7"/>
      <c r="F12460" s="7"/>
    </row>
    <row r="12461" spans="5:6" ht="15" customHeight="1" x14ac:dyDescent="0.2">
      <c r="E12461" s="7"/>
      <c r="F12461" s="7"/>
    </row>
    <row r="12462" spans="5:6" ht="15" customHeight="1" x14ac:dyDescent="0.2">
      <c r="E12462" s="7"/>
      <c r="F12462" s="7"/>
    </row>
    <row r="12463" spans="5:6" ht="15" customHeight="1" x14ac:dyDescent="0.2">
      <c r="E12463" s="7"/>
      <c r="F12463" s="7"/>
    </row>
    <row r="12464" spans="5:6" ht="15" customHeight="1" x14ac:dyDescent="0.2">
      <c r="E12464" s="7"/>
      <c r="F12464" s="7"/>
    </row>
    <row r="12465" spans="5:6" ht="15" customHeight="1" x14ac:dyDescent="0.2">
      <c r="E12465" s="7"/>
      <c r="F12465" s="7"/>
    </row>
    <row r="12466" spans="5:6" ht="15" customHeight="1" x14ac:dyDescent="0.2">
      <c r="E12466" s="7"/>
      <c r="F12466" s="7"/>
    </row>
    <row r="12467" spans="5:6" ht="15" customHeight="1" x14ac:dyDescent="0.2">
      <c r="E12467" s="7"/>
      <c r="F12467" s="7"/>
    </row>
    <row r="12468" spans="5:6" ht="15" customHeight="1" x14ac:dyDescent="0.2">
      <c r="E12468" s="7"/>
      <c r="F12468" s="7"/>
    </row>
    <row r="12469" spans="5:6" ht="15" customHeight="1" x14ac:dyDescent="0.2">
      <c r="E12469" s="7"/>
      <c r="F12469" s="7"/>
    </row>
    <row r="12470" spans="5:6" ht="15" customHeight="1" x14ac:dyDescent="0.2">
      <c r="E12470" s="7"/>
      <c r="F12470" s="7"/>
    </row>
    <row r="12471" spans="5:6" ht="15" customHeight="1" x14ac:dyDescent="0.2">
      <c r="E12471" s="7"/>
      <c r="F12471" s="7"/>
    </row>
    <row r="12472" spans="5:6" ht="15" customHeight="1" x14ac:dyDescent="0.2">
      <c r="E12472" s="7"/>
      <c r="F12472" s="7"/>
    </row>
    <row r="12473" spans="5:6" ht="15" customHeight="1" x14ac:dyDescent="0.2">
      <c r="E12473" s="7"/>
      <c r="F12473" s="7"/>
    </row>
    <row r="12474" spans="5:6" ht="15" customHeight="1" x14ac:dyDescent="0.2">
      <c r="E12474" s="7"/>
      <c r="F12474" s="7"/>
    </row>
    <row r="12475" spans="5:6" ht="15" customHeight="1" x14ac:dyDescent="0.2">
      <c r="E12475" s="7"/>
      <c r="F12475" s="7"/>
    </row>
    <row r="12476" spans="5:6" ht="15" customHeight="1" x14ac:dyDescent="0.2">
      <c r="E12476" s="7"/>
      <c r="F12476" s="7"/>
    </row>
    <row r="12477" spans="5:6" ht="15" customHeight="1" x14ac:dyDescent="0.2">
      <c r="E12477" s="7"/>
      <c r="F12477" s="7"/>
    </row>
    <row r="12478" spans="5:6" ht="15" customHeight="1" x14ac:dyDescent="0.2">
      <c r="E12478" s="7"/>
      <c r="F12478" s="7"/>
    </row>
    <row r="12479" spans="5:6" ht="15" customHeight="1" x14ac:dyDescent="0.2">
      <c r="E12479" s="7"/>
      <c r="F12479" s="7"/>
    </row>
    <row r="12480" spans="5:6" ht="15" customHeight="1" x14ac:dyDescent="0.2">
      <c r="E12480" s="7"/>
      <c r="F12480" s="7"/>
    </row>
    <row r="12481" spans="5:6" ht="15" customHeight="1" x14ac:dyDescent="0.2">
      <c r="E12481" s="7"/>
      <c r="F12481" s="7"/>
    </row>
    <row r="12482" spans="5:6" ht="15" customHeight="1" x14ac:dyDescent="0.2">
      <c r="E12482" s="7"/>
      <c r="F12482" s="7"/>
    </row>
    <row r="12483" spans="5:6" ht="15" customHeight="1" x14ac:dyDescent="0.2">
      <c r="E12483" s="7"/>
      <c r="F12483" s="7"/>
    </row>
    <row r="12484" spans="5:6" ht="15" customHeight="1" x14ac:dyDescent="0.2">
      <c r="E12484" s="7"/>
      <c r="F12484" s="7"/>
    </row>
    <row r="12485" spans="5:6" ht="15" customHeight="1" x14ac:dyDescent="0.2">
      <c r="E12485" s="7"/>
      <c r="F12485" s="7"/>
    </row>
    <row r="12486" spans="5:6" ht="15" customHeight="1" x14ac:dyDescent="0.2">
      <c r="E12486" s="7"/>
      <c r="F12486" s="7"/>
    </row>
    <row r="12487" spans="5:6" ht="15" customHeight="1" x14ac:dyDescent="0.2">
      <c r="E12487" s="7"/>
      <c r="F12487" s="7"/>
    </row>
    <row r="12488" spans="5:6" ht="15" customHeight="1" x14ac:dyDescent="0.2">
      <c r="E12488" s="7"/>
      <c r="F12488" s="7"/>
    </row>
    <row r="12489" spans="5:6" ht="15" customHeight="1" x14ac:dyDescent="0.2">
      <c r="E12489" s="7"/>
      <c r="F12489" s="7"/>
    </row>
    <row r="12490" spans="5:6" ht="15" customHeight="1" x14ac:dyDescent="0.2">
      <c r="E12490" s="7"/>
      <c r="F12490" s="7"/>
    </row>
    <row r="12491" spans="5:6" ht="15" customHeight="1" x14ac:dyDescent="0.2">
      <c r="E12491" s="7"/>
      <c r="F12491" s="7"/>
    </row>
    <row r="12492" spans="5:6" ht="15" customHeight="1" x14ac:dyDescent="0.2">
      <c r="E12492" s="7"/>
      <c r="F12492" s="7"/>
    </row>
    <row r="12493" spans="5:6" ht="15" customHeight="1" x14ac:dyDescent="0.2">
      <c r="E12493" s="7"/>
      <c r="F12493" s="7"/>
    </row>
    <row r="12494" spans="5:6" ht="15" customHeight="1" x14ac:dyDescent="0.2">
      <c r="E12494" s="7"/>
      <c r="F12494" s="7"/>
    </row>
    <row r="12495" spans="5:6" ht="15" customHeight="1" x14ac:dyDescent="0.2">
      <c r="E12495" s="7"/>
      <c r="F12495" s="7"/>
    </row>
    <row r="12496" spans="5:6" ht="15" customHeight="1" x14ac:dyDescent="0.2">
      <c r="E12496" s="7"/>
      <c r="F12496" s="7"/>
    </row>
    <row r="12497" spans="5:6" ht="15" customHeight="1" x14ac:dyDescent="0.2">
      <c r="E12497" s="7"/>
      <c r="F12497" s="7"/>
    </row>
    <row r="12498" spans="5:6" ht="15" customHeight="1" x14ac:dyDescent="0.2">
      <c r="E12498" s="7"/>
      <c r="F12498" s="7"/>
    </row>
    <row r="12499" spans="5:6" ht="15" customHeight="1" x14ac:dyDescent="0.2">
      <c r="E12499" s="7"/>
      <c r="F12499" s="7"/>
    </row>
    <row r="12500" spans="5:6" ht="15" customHeight="1" x14ac:dyDescent="0.2">
      <c r="E12500" s="7"/>
      <c r="F12500" s="7"/>
    </row>
    <row r="12501" spans="5:6" ht="15" customHeight="1" x14ac:dyDescent="0.2">
      <c r="E12501" s="7"/>
      <c r="F12501" s="7"/>
    </row>
    <row r="12502" spans="5:6" ht="15" customHeight="1" x14ac:dyDescent="0.2">
      <c r="E12502" s="7"/>
      <c r="F12502" s="7"/>
    </row>
    <row r="12503" spans="5:6" ht="15" customHeight="1" x14ac:dyDescent="0.2">
      <c r="E12503" s="7"/>
      <c r="F12503" s="7"/>
    </row>
    <row r="12504" spans="5:6" ht="15" customHeight="1" x14ac:dyDescent="0.2">
      <c r="E12504" s="7"/>
      <c r="F12504" s="7"/>
    </row>
    <row r="12505" spans="5:6" ht="15" customHeight="1" x14ac:dyDescent="0.2">
      <c r="E12505" s="7"/>
      <c r="F12505" s="7"/>
    </row>
    <row r="12506" spans="5:6" ht="15" customHeight="1" x14ac:dyDescent="0.2">
      <c r="E12506" s="7"/>
      <c r="F12506" s="7"/>
    </row>
    <row r="12507" spans="5:6" ht="15" customHeight="1" x14ac:dyDescent="0.2">
      <c r="E12507" s="7"/>
      <c r="F12507" s="7"/>
    </row>
    <row r="12508" spans="5:6" ht="15" customHeight="1" x14ac:dyDescent="0.2">
      <c r="E12508" s="7"/>
      <c r="F12508" s="7"/>
    </row>
    <row r="12509" spans="5:6" ht="15" customHeight="1" x14ac:dyDescent="0.2">
      <c r="E12509" s="7"/>
      <c r="F12509" s="7"/>
    </row>
    <row r="12510" spans="5:6" ht="15" customHeight="1" x14ac:dyDescent="0.2">
      <c r="E12510" s="7"/>
      <c r="F12510" s="7"/>
    </row>
    <row r="12511" spans="5:6" ht="15" customHeight="1" x14ac:dyDescent="0.2">
      <c r="E12511" s="7"/>
      <c r="F12511" s="7"/>
    </row>
    <row r="12512" spans="5:6" ht="15" customHeight="1" x14ac:dyDescent="0.2">
      <c r="E12512" s="7"/>
      <c r="F12512" s="7"/>
    </row>
    <row r="12513" spans="5:6" ht="15" customHeight="1" x14ac:dyDescent="0.2">
      <c r="E12513" s="7"/>
      <c r="F12513" s="7"/>
    </row>
    <row r="12514" spans="5:6" ht="15" customHeight="1" x14ac:dyDescent="0.2">
      <c r="E12514" s="7"/>
      <c r="F12514" s="7"/>
    </row>
    <row r="12515" spans="5:6" ht="15" customHeight="1" x14ac:dyDescent="0.2">
      <c r="E12515" s="7"/>
      <c r="F12515" s="7"/>
    </row>
    <row r="12516" spans="5:6" ht="15" customHeight="1" x14ac:dyDescent="0.2">
      <c r="E12516" s="7"/>
      <c r="F12516" s="7"/>
    </row>
    <row r="12517" spans="5:6" ht="15" customHeight="1" x14ac:dyDescent="0.2">
      <c r="E12517" s="7"/>
      <c r="F12517" s="7"/>
    </row>
    <row r="12518" spans="5:6" ht="15" customHeight="1" x14ac:dyDescent="0.2">
      <c r="E12518" s="7"/>
      <c r="F12518" s="7"/>
    </row>
    <row r="12519" spans="5:6" ht="15" customHeight="1" x14ac:dyDescent="0.2">
      <c r="E12519" s="7"/>
      <c r="F12519" s="7"/>
    </row>
    <row r="12520" spans="5:6" ht="15" customHeight="1" x14ac:dyDescent="0.2">
      <c r="E12520" s="7"/>
      <c r="F12520" s="7"/>
    </row>
    <row r="12521" spans="5:6" ht="15" customHeight="1" x14ac:dyDescent="0.2">
      <c r="E12521" s="7"/>
      <c r="F12521" s="7"/>
    </row>
    <row r="12522" spans="5:6" ht="15" customHeight="1" x14ac:dyDescent="0.2">
      <c r="E12522" s="7"/>
      <c r="F12522" s="7"/>
    </row>
    <row r="12523" spans="5:6" ht="15" customHeight="1" x14ac:dyDescent="0.2">
      <c r="E12523" s="7"/>
      <c r="F12523" s="7"/>
    </row>
    <row r="12524" spans="5:6" ht="15" customHeight="1" x14ac:dyDescent="0.2">
      <c r="E12524" s="7"/>
      <c r="F12524" s="7"/>
    </row>
    <row r="12525" spans="5:6" ht="15" customHeight="1" x14ac:dyDescent="0.2">
      <c r="E12525" s="7"/>
      <c r="F12525" s="7"/>
    </row>
    <row r="12526" spans="5:6" ht="15" customHeight="1" x14ac:dyDescent="0.2">
      <c r="E12526" s="7"/>
      <c r="F12526" s="7"/>
    </row>
    <row r="12527" spans="5:6" ht="15" customHeight="1" x14ac:dyDescent="0.2">
      <c r="E12527" s="7"/>
      <c r="F12527" s="7"/>
    </row>
    <row r="12528" spans="5:6" ht="15" customHeight="1" x14ac:dyDescent="0.2">
      <c r="E12528" s="7"/>
      <c r="F12528" s="7"/>
    </row>
    <row r="12529" spans="5:6" ht="15" customHeight="1" x14ac:dyDescent="0.2">
      <c r="E12529" s="7"/>
      <c r="F12529" s="7"/>
    </row>
    <row r="12530" spans="5:6" ht="15" customHeight="1" x14ac:dyDescent="0.2">
      <c r="E12530" s="7"/>
      <c r="F12530" s="7"/>
    </row>
    <row r="12531" spans="5:6" ht="15" customHeight="1" x14ac:dyDescent="0.2">
      <c r="E12531" s="7"/>
      <c r="F12531" s="7"/>
    </row>
    <row r="12532" spans="5:6" ht="15" customHeight="1" x14ac:dyDescent="0.2">
      <c r="E12532" s="7"/>
      <c r="F12532" s="7"/>
    </row>
    <row r="12533" spans="5:6" ht="15" customHeight="1" x14ac:dyDescent="0.2">
      <c r="E12533" s="7"/>
      <c r="F12533" s="7"/>
    </row>
    <row r="12534" spans="5:6" ht="15" customHeight="1" x14ac:dyDescent="0.2">
      <c r="E12534" s="7"/>
      <c r="F12534" s="7"/>
    </row>
    <row r="12535" spans="5:6" ht="15" customHeight="1" x14ac:dyDescent="0.2">
      <c r="E12535" s="7"/>
      <c r="F12535" s="7"/>
    </row>
    <row r="12536" spans="5:6" ht="15" customHeight="1" x14ac:dyDescent="0.2">
      <c r="E12536" s="7"/>
      <c r="F12536" s="7"/>
    </row>
    <row r="12537" spans="5:6" ht="15" customHeight="1" x14ac:dyDescent="0.2">
      <c r="E12537" s="7"/>
      <c r="F12537" s="7"/>
    </row>
    <row r="12538" spans="5:6" ht="15" customHeight="1" x14ac:dyDescent="0.2">
      <c r="E12538" s="7"/>
      <c r="F12538" s="7"/>
    </row>
    <row r="12539" spans="5:6" ht="15" customHeight="1" x14ac:dyDescent="0.2">
      <c r="E12539" s="7"/>
      <c r="F12539" s="7"/>
    </row>
    <row r="12540" spans="5:6" ht="15" customHeight="1" x14ac:dyDescent="0.2">
      <c r="E12540" s="7"/>
      <c r="F12540" s="7"/>
    </row>
    <row r="12541" spans="5:6" ht="15" customHeight="1" x14ac:dyDescent="0.2">
      <c r="E12541" s="7"/>
      <c r="F12541" s="7"/>
    </row>
    <row r="12542" spans="5:6" ht="15" customHeight="1" x14ac:dyDescent="0.2">
      <c r="E12542" s="7"/>
      <c r="F12542" s="7"/>
    </row>
    <row r="12543" spans="5:6" ht="15" customHeight="1" x14ac:dyDescent="0.2">
      <c r="E12543" s="7"/>
      <c r="F12543" s="7"/>
    </row>
    <row r="12544" spans="5:6" ht="15" customHeight="1" x14ac:dyDescent="0.2">
      <c r="E12544" s="7"/>
      <c r="F12544" s="7"/>
    </row>
    <row r="12545" spans="5:6" ht="15" customHeight="1" x14ac:dyDescent="0.2">
      <c r="E12545" s="7"/>
      <c r="F12545" s="7"/>
    </row>
    <row r="12546" spans="5:6" ht="15" customHeight="1" x14ac:dyDescent="0.2">
      <c r="E12546" s="7"/>
      <c r="F12546" s="7"/>
    </row>
    <row r="12547" spans="5:6" ht="15" customHeight="1" x14ac:dyDescent="0.2">
      <c r="E12547" s="7"/>
      <c r="F12547" s="7"/>
    </row>
    <row r="12548" spans="5:6" ht="15" customHeight="1" x14ac:dyDescent="0.2">
      <c r="E12548" s="7"/>
      <c r="F12548" s="7"/>
    </row>
    <row r="12549" spans="5:6" ht="15" customHeight="1" x14ac:dyDescent="0.2">
      <c r="E12549" s="7"/>
      <c r="F12549" s="7"/>
    </row>
    <row r="12550" spans="5:6" ht="15" customHeight="1" x14ac:dyDescent="0.2">
      <c r="E12550" s="7"/>
      <c r="F12550" s="7"/>
    </row>
    <row r="12551" spans="5:6" ht="15" customHeight="1" x14ac:dyDescent="0.2">
      <c r="E12551" s="7"/>
      <c r="F12551" s="7"/>
    </row>
    <row r="12552" spans="5:6" ht="15" customHeight="1" x14ac:dyDescent="0.2">
      <c r="E12552" s="7"/>
      <c r="F12552" s="7"/>
    </row>
    <row r="12553" spans="5:6" ht="15" customHeight="1" x14ac:dyDescent="0.2">
      <c r="E12553" s="7"/>
      <c r="F12553" s="7"/>
    </row>
    <row r="12554" spans="5:6" ht="15" customHeight="1" x14ac:dyDescent="0.2">
      <c r="E12554" s="7"/>
      <c r="F12554" s="7"/>
    </row>
    <row r="12555" spans="5:6" ht="15" customHeight="1" x14ac:dyDescent="0.2">
      <c r="E12555" s="7"/>
      <c r="F12555" s="7"/>
    </row>
    <row r="12556" spans="5:6" ht="15" customHeight="1" x14ac:dyDescent="0.2">
      <c r="E12556" s="7"/>
      <c r="F12556" s="7"/>
    </row>
    <row r="12557" spans="5:6" ht="15" customHeight="1" x14ac:dyDescent="0.2">
      <c r="E12557" s="7"/>
      <c r="F12557" s="7"/>
    </row>
    <row r="12558" spans="5:6" ht="15" customHeight="1" x14ac:dyDescent="0.2">
      <c r="E12558" s="7"/>
      <c r="F12558" s="7"/>
    </row>
    <row r="12559" spans="5:6" ht="15" customHeight="1" x14ac:dyDescent="0.2">
      <c r="E12559" s="7"/>
      <c r="F12559" s="7"/>
    </row>
    <row r="12560" spans="5:6" ht="15" customHeight="1" x14ac:dyDescent="0.2">
      <c r="E12560" s="7"/>
      <c r="F12560" s="7"/>
    </row>
    <row r="12561" spans="5:6" ht="15" customHeight="1" x14ac:dyDescent="0.2">
      <c r="E12561" s="7"/>
      <c r="F12561" s="7"/>
    </row>
    <row r="12562" spans="5:6" ht="15" customHeight="1" x14ac:dyDescent="0.2">
      <c r="E12562" s="7"/>
      <c r="F12562" s="7"/>
    </row>
    <row r="12563" spans="5:6" ht="15" customHeight="1" x14ac:dyDescent="0.2">
      <c r="E12563" s="7"/>
      <c r="F12563" s="7"/>
    </row>
    <row r="12564" spans="5:6" ht="15" customHeight="1" x14ac:dyDescent="0.2">
      <c r="E12564" s="7"/>
      <c r="F12564" s="7"/>
    </row>
    <row r="12565" spans="5:6" ht="15" customHeight="1" x14ac:dyDescent="0.2">
      <c r="E12565" s="7"/>
      <c r="F12565" s="7"/>
    </row>
    <row r="12566" spans="5:6" ht="15" customHeight="1" x14ac:dyDescent="0.2">
      <c r="E12566" s="7"/>
      <c r="F12566" s="7"/>
    </row>
    <row r="12567" spans="5:6" ht="15" customHeight="1" x14ac:dyDescent="0.2">
      <c r="E12567" s="7"/>
      <c r="F12567" s="7"/>
    </row>
    <row r="12568" spans="5:6" ht="15" customHeight="1" x14ac:dyDescent="0.2">
      <c r="E12568" s="7"/>
      <c r="F12568" s="7"/>
    </row>
    <row r="12569" spans="5:6" ht="15" customHeight="1" x14ac:dyDescent="0.2">
      <c r="E12569" s="7"/>
      <c r="F12569" s="7"/>
    </row>
    <row r="12570" spans="5:6" ht="15" customHeight="1" x14ac:dyDescent="0.2">
      <c r="E12570" s="7"/>
      <c r="F12570" s="7"/>
    </row>
    <row r="12571" spans="5:6" ht="15" customHeight="1" x14ac:dyDescent="0.2">
      <c r="E12571" s="7"/>
      <c r="F12571" s="7"/>
    </row>
    <row r="12572" spans="5:6" ht="15" customHeight="1" x14ac:dyDescent="0.2">
      <c r="E12572" s="7"/>
      <c r="F12572" s="7"/>
    </row>
    <row r="12573" spans="5:6" ht="15" customHeight="1" x14ac:dyDescent="0.2">
      <c r="E12573" s="7"/>
      <c r="F12573" s="7"/>
    </row>
    <row r="12574" spans="5:6" ht="15" customHeight="1" x14ac:dyDescent="0.2">
      <c r="E12574" s="7"/>
      <c r="F12574" s="7"/>
    </row>
    <row r="12575" spans="5:6" ht="15" customHeight="1" x14ac:dyDescent="0.2">
      <c r="E12575" s="7"/>
      <c r="F12575" s="7"/>
    </row>
    <row r="12576" spans="5:6" ht="15" customHeight="1" x14ac:dyDescent="0.2">
      <c r="E12576" s="7"/>
      <c r="F12576" s="7"/>
    </row>
    <row r="12577" spans="5:6" ht="15" customHeight="1" x14ac:dyDescent="0.2">
      <c r="E12577" s="7"/>
      <c r="F12577" s="7"/>
    </row>
    <row r="12578" spans="5:6" ht="15" customHeight="1" x14ac:dyDescent="0.2">
      <c r="E12578" s="7"/>
      <c r="F12578" s="7"/>
    </row>
    <row r="12579" spans="5:6" ht="15" customHeight="1" x14ac:dyDescent="0.2">
      <c r="E12579" s="7"/>
      <c r="F12579" s="7"/>
    </row>
    <row r="12580" spans="5:6" ht="15" customHeight="1" x14ac:dyDescent="0.2">
      <c r="E12580" s="7"/>
      <c r="F12580" s="7"/>
    </row>
    <row r="12581" spans="5:6" ht="15" customHeight="1" x14ac:dyDescent="0.2">
      <c r="E12581" s="7"/>
      <c r="F12581" s="7"/>
    </row>
    <row r="12582" spans="5:6" ht="15" customHeight="1" x14ac:dyDescent="0.2">
      <c r="E12582" s="7"/>
      <c r="F12582" s="7"/>
    </row>
    <row r="12583" spans="5:6" ht="15" customHeight="1" x14ac:dyDescent="0.2">
      <c r="E12583" s="7"/>
      <c r="F12583" s="7"/>
    </row>
    <row r="12584" spans="5:6" ht="15" customHeight="1" x14ac:dyDescent="0.2">
      <c r="E12584" s="7"/>
      <c r="F12584" s="7"/>
    </row>
    <row r="12585" spans="5:6" ht="15" customHeight="1" x14ac:dyDescent="0.2">
      <c r="E12585" s="7"/>
      <c r="F12585" s="7"/>
    </row>
    <row r="12586" spans="5:6" ht="15" customHeight="1" x14ac:dyDescent="0.2">
      <c r="E12586" s="7"/>
      <c r="F12586" s="7"/>
    </row>
    <row r="12587" spans="5:6" ht="15" customHeight="1" x14ac:dyDescent="0.2">
      <c r="E12587" s="7"/>
      <c r="F12587" s="7"/>
    </row>
    <row r="12588" spans="5:6" ht="15" customHeight="1" x14ac:dyDescent="0.2">
      <c r="E12588" s="7"/>
      <c r="F12588" s="7"/>
    </row>
    <row r="12589" spans="5:6" ht="15" customHeight="1" x14ac:dyDescent="0.2">
      <c r="E12589" s="7"/>
      <c r="F12589" s="7"/>
    </row>
    <row r="12590" spans="5:6" ht="15" customHeight="1" x14ac:dyDescent="0.2">
      <c r="E12590" s="7"/>
      <c r="F12590" s="7"/>
    </row>
    <row r="12591" spans="5:6" ht="15" customHeight="1" x14ac:dyDescent="0.2">
      <c r="E12591" s="7"/>
      <c r="F12591" s="7"/>
    </row>
    <row r="12592" spans="5:6" ht="15" customHeight="1" x14ac:dyDescent="0.2">
      <c r="E12592" s="7"/>
      <c r="F12592" s="7"/>
    </row>
    <row r="12593" spans="5:6" ht="15" customHeight="1" x14ac:dyDescent="0.2">
      <c r="E12593" s="7"/>
      <c r="F12593" s="7"/>
    </row>
    <row r="12594" spans="5:6" ht="15" customHeight="1" x14ac:dyDescent="0.2">
      <c r="E12594" s="7"/>
      <c r="F12594" s="7"/>
    </row>
    <row r="12595" spans="5:6" ht="15" customHeight="1" x14ac:dyDescent="0.2">
      <c r="E12595" s="7"/>
      <c r="F12595" s="7"/>
    </row>
    <row r="12596" spans="5:6" ht="15" customHeight="1" x14ac:dyDescent="0.2">
      <c r="E12596" s="7"/>
      <c r="F12596" s="7"/>
    </row>
    <row r="12597" spans="5:6" ht="15" customHeight="1" x14ac:dyDescent="0.2">
      <c r="E12597" s="7"/>
      <c r="F12597" s="7"/>
    </row>
    <row r="12598" spans="5:6" ht="15" customHeight="1" x14ac:dyDescent="0.2">
      <c r="E12598" s="7"/>
      <c r="F12598" s="7"/>
    </row>
    <row r="12599" spans="5:6" ht="15" customHeight="1" x14ac:dyDescent="0.2">
      <c r="E12599" s="7"/>
      <c r="F12599" s="7"/>
    </row>
    <row r="12600" spans="5:6" ht="15" customHeight="1" x14ac:dyDescent="0.2">
      <c r="E12600" s="7"/>
      <c r="F12600" s="7"/>
    </row>
    <row r="12601" spans="5:6" ht="15" customHeight="1" x14ac:dyDescent="0.2">
      <c r="E12601" s="7"/>
      <c r="F12601" s="7"/>
    </row>
    <row r="12602" spans="5:6" ht="15" customHeight="1" x14ac:dyDescent="0.2">
      <c r="E12602" s="7"/>
      <c r="F12602" s="7"/>
    </row>
    <row r="12603" spans="5:6" ht="15" customHeight="1" x14ac:dyDescent="0.2">
      <c r="E12603" s="7"/>
      <c r="F12603" s="7"/>
    </row>
    <row r="12604" spans="5:6" ht="15" customHeight="1" x14ac:dyDescent="0.2">
      <c r="E12604" s="7"/>
      <c r="F12604" s="7"/>
    </row>
    <row r="12605" spans="5:6" ht="15" customHeight="1" x14ac:dyDescent="0.2">
      <c r="E12605" s="7"/>
      <c r="F12605" s="7"/>
    </row>
    <row r="12606" spans="5:6" ht="15" customHeight="1" x14ac:dyDescent="0.2">
      <c r="E12606" s="7"/>
      <c r="F12606" s="7"/>
    </row>
    <row r="12607" spans="5:6" ht="15" customHeight="1" x14ac:dyDescent="0.2">
      <c r="E12607" s="7"/>
      <c r="F12607" s="7"/>
    </row>
    <row r="12608" spans="5:6" ht="15" customHeight="1" x14ac:dyDescent="0.2">
      <c r="E12608" s="7"/>
      <c r="F12608" s="7"/>
    </row>
    <row r="12609" spans="5:6" ht="15" customHeight="1" x14ac:dyDescent="0.2">
      <c r="E12609" s="7"/>
      <c r="F12609" s="7"/>
    </row>
    <row r="12610" spans="5:6" ht="15" customHeight="1" x14ac:dyDescent="0.2">
      <c r="E12610" s="7"/>
      <c r="F12610" s="7"/>
    </row>
    <row r="12611" spans="5:6" ht="15" customHeight="1" x14ac:dyDescent="0.2">
      <c r="E12611" s="7"/>
      <c r="F12611" s="7"/>
    </row>
    <row r="12612" spans="5:6" ht="15" customHeight="1" x14ac:dyDescent="0.2">
      <c r="E12612" s="7"/>
      <c r="F12612" s="7"/>
    </row>
    <row r="12613" spans="5:6" ht="15" customHeight="1" x14ac:dyDescent="0.2">
      <c r="E12613" s="7"/>
      <c r="F12613" s="7"/>
    </row>
    <row r="12614" spans="5:6" ht="15" customHeight="1" x14ac:dyDescent="0.2">
      <c r="E12614" s="7"/>
      <c r="F12614" s="7"/>
    </row>
    <row r="12615" spans="5:6" ht="15" customHeight="1" x14ac:dyDescent="0.2">
      <c r="E12615" s="7"/>
      <c r="F12615" s="7"/>
    </row>
    <row r="12616" spans="5:6" ht="15" customHeight="1" x14ac:dyDescent="0.2">
      <c r="E12616" s="7"/>
      <c r="F12616" s="7"/>
    </row>
    <row r="12617" spans="5:6" ht="15" customHeight="1" x14ac:dyDescent="0.2">
      <c r="E12617" s="7"/>
      <c r="F12617" s="7"/>
    </row>
    <row r="12618" spans="5:6" ht="15" customHeight="1" x14ac:dyDescent="0.2">
      <c r="E12618" s="7"/>
      <c r="F12618" s="7"/>
    </row>
    <row r="12619" spans="5:6" ht="15" customHeight="1" x14ac:dyDescent="0.2">
      <c r="E12619" s="7"/>
      <c r="F12619" s="7"/>
    </row>
    <row r="12620" spans="5:6" ht="15" customHeight="1" x14ac:dyDescent="0.2">
      <c r="E12620" s="7"/>
      <c r="F12620" s="7"/>
    </row>
    <row r="12621" spans="5:6" ht="15" customHeight="1" x14ac:dyDescent="0.2">
      <c r="E12621" s="7"/>
      <c r="F12621" s="7"/>
    </row>
    <row r="12622" spans="5:6" ht="15" customHeight="1" x14ac:dyDescent="0.2">
      <c r="E12622" s="7"/>
      <c r="F12622" s="7"/>
    </row>
    <row r="12623" spans="5:6" ht="15" customHeight="1" x14ac:dyDescent="0.2">
      <c r="E12623" s="7"/>
      <c r="F12623" s="7"/>
    </row>
    <row r="12624" spans="5:6" ht="15" customHeight="1" x14ac:dyDescent="0.2">
      <c r="E12624" s="7"/>
      <c r="F12624" s="7"/>
    </row>
    <row r="12625" spans="5:6" ht="15" customHeight="1" x14ac:dyDescent="0.2">
      <c r="E12625" s="7"/>
      <c r="F12625" s="7"/>
    </row>
    <row r="12626" spans="5:6" ht="15" customHeight="1" x14ac:dyDescent="0.2">
      <c r="E12626" s="7"/>
      <c r="F12626" s="7"/>
    </row>
    <row r="12627" spans="5:6" ht="15" customHeight="1" x14ac:dyDescent="0.2">
      <c r="E12627" s="7"/>
      <c r="F12627" s="7"/>
    </row>
    <row r="12628" spans="5:6" ht="15" customHeight="1" x14ac:dyDescent="0.2">
      <c r="E12628" s="7"/>
      <c r="F12628" s="7"/>
    </row>
    <row r="12629" spans="5:6" ht="15" customHeight="1" x14ac:dyDescent="0.2">
      <c r="E12629" s="7"/>
      <c r="F12629" s="7"/>
    </row>
    <row r="12630" spans="5:6" ht="15" customHeight="1" x14ac:dyDescent="0.2">
      <c r="E12630" s="7"/>
      <c r="F12630" s="7"/>
    </row>
    <row r="12631" spans="5:6" ht="15" customHeight="1" x14ac:dyDescent="0.2">
      <c r="E12631" s="7"/>
      <c r="F12631" s="7"/>
    </row>
    <row r="12632" spans="5:6" ht="15" customHeight="1" x14ac:dyDescent="0.2">
      <c r="E12632" s="7"/>
      <c r="F12632" s="7"/>
    </row>
    <row r="12633" spans="5:6" ht="15" customHeight="1" x14ac:dyDescent="0.2">
      <c r="E12633" s="7"/>
      <c r="F12633" s="7"/>
    </row>
    <row r="12634" spans="5:6" ht="15" customHeight="1" x14ac:dyDescent="0.2">
      <c r="E12634" s="7"/>
      <c r="F12634" s="7"/>
    </row>
    <row r="12635" spans="5:6" ht="15" customHeight="1" x14ac:dyDescent="0.2">
      <c r="E12635" s="7"/>
      <c r="F12635" s="7"/>
    </row>
    <row r="12636" spans="5:6" ht="15" customHeight="1" x14ac:dyDescent="0.2">
      <c r="E12636" s="7"/>
      <c r="F12636" s="7"/>
    </row>
    <row r="12637" spans="5:6" ht="15" customHeight="1" x14ac:dyDescent="0.2">
      <c r="E12637" s="7"/>
      <c r="F12637" s="7"/>
    </row>
    <row r="12638" spans="5:6" ht="15" customHeight="1" x14ac:dyDescent="0.2">
      <c r="E12638" s="7"/>
      <c r="F12638" s="7"/>
    </row>
    <row r="12639" spans="5:6" ht="15" customHeight="1" x14ac:dyDescent="0.2">
      <c r="E12639" s="7"/>
      <c r="F12639" s="7"/>
    </row>
    <row r="12640" spans="5:6" ht="15" customHeight="1" x14ac:dyDescent="0.2">
      <c r="E12640" s="7"/>
      <c r="F12640" s="7"/>
    </row>
    <row r="12641" spans="5:6" ht="15" customHeight="1" x14ac:dyDescent="0.2">
      <c r="E12641" s="7"/>
      <c r="F12641" s="7"/>
    </row>
    <row r="12642" spans="5:6" ht="15" customHeight="1" x14ac:dyDescent="0.2">
      <c r="E12642" s="7"/>
      <c r="F12642" s="7"/>
    </row>
    <row r="12643" spans="5:6" ht="15" customHeight="1" x14ac:dyDescent="0.2">
      <c r="E12643" s="7"/>
      <c r="F12643" s="7"/>
    </row>
    <row r="12644" spans="5:6" ht="15" customHeight="1" x14ac:dyDescent="0.2">
      <c r="E12644" s="7"/>
      <c r="F12644" s="7"/>
    </row>
    <row r="12645" spans="5:6" ht="15" customHeight="1" x14ac:dyDescent="0.2">
      <c r="E12645" s="7"/>
      <c r="F12645" s="7"/>
    </row>
    <row r="12646" spans="5:6" ht="15" customHeight="1" x14ac:dyDescent="0.2">
      <c r="E12646" s="7"/>
      <c r="F12646" s="7"/>
    </row>
    <row r="12647" spans="5:6" ht="15" customHeight="1" x14ac:dyDescent="0.2">
      <c r="E12647" s="7"/>
      <c r="F12647" s="7"/>
    </row>
    <row r="12648" spans="5:6" ht="15" customHeight="1" x14ac:dyDescent="0.2">
      <c r="E12648" s="7"/>
      <c r="F12648" s="7"/>
    </row>
    <row r="12649" spans="5:6" ht="15" customHeight="1" x14ac:dyDescent="0.2">
      <c r="E12649" s="7"/>
      <c r="F12649" s="7"/>
    </row>
    <row r="12650" spans="5:6" ht="15" customHeight="1" x14ac:dyDescent="0.2">
      <c r="E12650" s="7"/>
      <c r="F12650" s="7"/>
    </row>
    <row r="12651" spans="5:6" ht="15" customHeight="1" x14ac:dyDescent="0.2">
      <c r="E12651" s="7"/>
      <c r="F12651" s="7"/>
    </row>
    <row r="12652" spans="5:6" ht="15" customHeight="1" x14ac:dyDescent="0.2">
      <c r="E12652" s="7"/>
      <c r="F12652" s="7"/>
    </row>
    <row r="12653" spans="5:6" ht="15" customHeight="1" x14ac:dyDescent="0.2">
      <c r="E12653" s="7"/>
      <c r="F12653" s="7"/>
    </row>
    <row r="12654" spans="5:6" ht="15" customHeight="1" x14ac:dyDescent="0.2">
      <c r="E12654" s="7"/>
      <c r="F12654" s="7"/>
    </row>
    <row r="12655" spans="5:6" ht="15" customHeight="1" x14ac:dyDescent="0.2">
      <c r="E12655" s="7"/>
      <c r="F12655" s="7"/>
    </row>
    <row r="12656" spans="5:6" ht="15" customHeight="1" x14ac:dyDescent="0.2">
      <c r="E12656" s="7"/>
      <c r="F12656" s="7"/>
    </row>
    <row r="12657" spans="5:6" ht="15" customHeight="1" x14ac:dyDescent="0.2">
      <c r="E12657" s="7"/>
      <c r="F12657" s="7"/>
    </row>
    <row r="12658" spans="5:6" ht="15" customHeight="1" x14ac:dyDescent="0.2">
      <c r="E12658" s="7"/>
      <c r="F12658" s="7"/>
    </row>
    <row r="12659" spans="5:6" ht="15" customHeight="1" x14ac:dyDescent="0.2">
      <c r="E12659" s="7"/>
      <c r="F12659" s="7"/>
    </row>
    <row r="12660" spans="5:6" ht="15" customHeight="1" x14ac:dyDescent="0.2">
      <c r="E12660" s="7"/>
      <c r="F12660" s="7"/>
    </row>
    <row r="12661" spans="5:6" ht="15" customHeight="1" x14ac:dyDescent="0.2">
      <c r="E12661" s="7"/>
      <c r="F12661" s="7"/>
    </row>
    <row r="12662" spans="5:6" ht="15" customHeight="1" x14ac:dyDescent="0.2">
      <c r="E12662" s="7"/>
      <c r="F12662" s="7"/>
    </row>
    <row r="12663" spans="5:6" ht="15" customHeight="1" x14ac:dyDescent="0.2">
      <c r="E12663" s="7"/>
      <c r="F12663" s="7"/>
    </row>
    <row r="12664" spans="5:6" ht="15" customHeight="1" x14ac:dyDescent="0.2">
      <c r="E12664" s="7"/>
      <c r="F12664" s="7"/>
    </row>
    <row r="12665" spans="5:6" ht="15" customHeight="1" x14ac:dyDescent="0.2">
      <c r="E12665" s="7"/>
      <c r="F12665" s="7"/>
    </row>
    <row r="12666" spans="5:6" ht="15" customHeight="1" x14ac:dyDescent="0.2">
      <c r="E12666" s="7"/>
      <c r="F12666" s="7"/>
    </row>
    <row r="12667" spans="5:6" ht="15" customHeight="1" x14ac:dyDescent="0.2">
      <c r="E12667" s="7"/>
      <c r="F12667" s="7"/>
    </row>
    <row r="12668" spans="5:6" ht="15" customHeight="1" x14ac:dyDescent="0.2">
      <c r="E12668" s="7"/>
      <c r="F12668" s="7"/>
    </row>
    <row r="12669" spans="5:6" ht="15" customHeight="1" x14ac:dyDescent="0.2">
      <c r="E12669" s="7"/>
      <c r="F12669" s="7"/>
    </row>
    <row r="12670" spans="5:6" ht="15" customHeight="1" x14ac:dyDescent="0.2">
      <c r="E12670" s="7"/>
      <c r="F12670" s="7"/>
    </row>
    <row r="12671" spans="5:6" ht="15" customHeight="1" x14ac:dyDescent="0.2">
      <c r="E12671" s="7"/>
      <c r="F12671" s="7"/>
    </row>
    <row r="12672" spans="5:6" ht="15" customHeight="1" x14ac:dyDescent="0.2">
      <c r="E12672" s="7"/>
      <c r="F12672" s="7"/>
    </row>
    <row r="12673" spans="5:6" ht="15" customHeight="1" x14ac:dyDescent="0.2">
      <c r="E12673" s="7"/>
      <c r="F12673" s="7"/>
    </row>
    <row r="12674" spans="5:6" ht="15" customHeight="1" x14ac:dyDescent="0.2">
      <c r="E12674" s="7"/>
      <c r="F12674" s="7"/>
    </row>
    <row r="12675" spans="5:6" ht="15" customHeight="1" x14ac:dyDescent="0.2">
      <c r="E12675" s="7"/>
      <c r="F12675" s="7"/>
    </row>
    <row r="12676" spans="5:6" ht="15" customHeight="1" x14ac:dyDescent="0.2">
      <c r="E12676" s="7"/>
      <c r="F12676" s="7"/>
    </row>
    <row r="12677" spans="5:6" ht="15" customHeight="1" x14ac:dyDescent="0.2">
      <c r="E12677" s="7"/>
      <c r="F12677" s="7"/>
    </row>
    <row r="12678" spans="5:6" ht="15" customHeight="1" x14ac:dyDescent="0.2">
      <c r="E12678" s="7"/>
      <c r="F12678" s="7"/>
    </row>
    <row r="12679" spans="5:6" ht="15" customHeight="1" x14ac:dyDescent="0.2">
      <c r="E12679" s="7"/>
      <c r="F12679" s="7"/>
    </row>
    <row r="12680" spans="5:6" ht="15" customHeight="1" x14ac:dyDescent="0.2">
      <c r="E12680" s="7"/>
      <c r="F12680" s="7"/>
    </row>
    <row r="12681" spans="5:6" ht="15" customHeight="1" x14ac:dyDescent="0.2">
      <c r="E12681" s="7"/>
      <c r="F12681" s="7"/>
    </row>
    <row r="12682" spans="5:6" ht="15" customHeight="1" x14ac:dyDescent="0.2">
      <c r="E12682" s="7"/>
      <c r="F12682" s="7"/>
    </row>
    <row r="12683" spans="5:6" ht="15" customHeight="1" x14ac:dyDescent="0.2">
      <c r="E12683" s="7"/>
      <c r="F12683" s="7"/>
    </row>
    <row r="12684" spans="5:6" ht="15" customHeight="1" x14ac:dyDescent="0.2">
      <c r="E12684" s="7"/>
      <c r="F12684" s="7"/>
    </row>
    <row r="12685" spans="5:6" ht="15" customHeight="1" x14ac:dyDescent="0.2">
      <c r="E12685" s="7"/>
      <c r="F12685" s="7"/>
    </row>
    <row r="12686" spans="5:6" ht="15" customHeight="1" x14ac:dyDescent="0.2">
      <c r="E12686" s="7"/>
      <c r="F12686" s="7"/>
    </row>
    <row r="12687" spans="5:6" ht="15" customHeight="1" x14ac:dyDescent="0.2">
      <c r="E12687" s="7"/>
      <c r="F12687" s="7"/>
    </row>
    <row r="12688" spans="5:6" ht="15" customHeight="1" x14ac:dyDescent="0.2">
      <c r="E12688" s="7"/>
      <c r="F12688" s="7"/>
    </row>
    <row r="12689" spans="5:6" ht="15" customHeight="1" x14ac:dyDescent="0.2">
      <c r="E12689" s="7"/>
      <c r="F12689" s="7"/>
    </row>
    <row r="12690" spans="5:6" ht="15" customHeight="1" x14ac:dyDescent="0.2">
      <c r="E12690" s="7"/>
      <c r="F12690" s="7"/>
    </row>
    <row r="12691" spans="5:6" ht="15" customHeight="1" x14ac:dyDescent="0.2">
      <c r="E12691" s="7"/>
      <c r="F12691" s="7"/>
    </row>
    <row r="12692" spans="5:6" ht="15" customHeight="1" x14ac:dyDescent="0.2">
      <c r="E12692" s="7"/>
      <c r="F12692" s="7"/>
    </row>
    <row r="12693" spans="5:6" ht="15" customHeight="1" x14ac:dyDescent="0.2">
      <c r="E12693" s="7"/>
      <c r="F12693" s="7"/>
    </row>
    <row r="12694" spans="5:6" ht="15" customHeight="1" x14ac:dyDescent="0.2">
      <c r="E12694" s="7"/>
      <c r="F12694" s="7"/>
    </row>
    <row r="12695" spans="5:6" ht="15" customHeight="1" x14ac:dyDescent="0.2">
      <c r="E12695" s="7"/>
      <c r="F12695" s="7"/>
    </row>
    <row r="12696" spans="5:6" ht="15" customHeight="1" x14ac:dyDescent="0.2">
      <c r="E12696" s="7"/>
      <c r="F12696" s="7"/>
    </row>
    <row r="12697" spans="5:6" ht="15" customHeight="1" x14ac:dyDescent="0.2">
      <c r="E12697" s="7"/>
      <c r="F12697" s="7"/>
    </row>
    <row r="12698" spans="5:6" ht="15" customHeight="1" x14ac:dyDescent="0.2">
      <c r="E12698" s="7"/>
      <c r="F12698" s="7"/>
    </row>
    <row r="12699" spans="5:6" ht="15" customHeight="1" x14ac:dyDescent="0.2">
      <c r="E12699" s="7"/>
      <c r="F12699" s="7"/>
    </row>
    <row r="12700" spans="5:6" ht="15" customHeight="1" x14ac:dyDescent="0.2">
      <c r="E12700" s="7"/>
      <c r="F12700" s="7"/>
    </row>
    <row r="12701" spans="5:6" ht="15" customHeight="1" x14ac:dyDescent="0.2">
      <c r="E12701" s="7"/>
      <c r="F12701" s="7"/>
    </row>
    <row r="12702" spans="5:6" ht="15" customHeight="1" x14ac:dyDescent="0.2">
      <c r="E12702" s="7"/>
      <c r="F12702" s="7"/>
    </row>
    <row r="12703" spans="5:6" ht="15" customHeight="1" x14ac:dyDescent="0.2">
      <c r="E12703" s="7"/>
      <c r="F12703" s="7"/>
    </row>
    <row r="12704" spans="5:6" ht="15" customHeight="1" x14ac:dyDescent="0.2">
      <c r="E12704" s="7"/>
      <c r="F12704" s="7"/>
    </row>
    <row r="12705" spans="5:6" ht="15" customHeight="1" x14ac:dyDescent="0.2">
      <c r="E12705" s="7"/>
      <c r="F12705" s="7"/>
    </row>
    <row r="12706" spans="5:6" ht="15" customHeight="1" x14ac:dyDescent="0.2">
      <c r="E12706" s="7"/>
      <c r="F12706" s="7"/>
    </row>
    <row r="12707" spans="5:6" ht="15" customHeight="1" x14ac:dyDescent="0.2">
      <c r="E12707" s="7"/>
      <c r="F12707" s="7"/>
    </row>
    <row r="12708" spans="5:6" ht="15" customHeight="1" x14ac:dyDescent="0.2">
      <c r="E12708" s="7"/>
      <c r="F12708" s="7"/>
    </row>
    <row r="12709" spans="5:6" ht="15" customHeight="1" x14ac:dyDescent="0.2">
      <c r="E12709" s="7"/>
      <c r="F12709" s="7"/>
    </row>
    <row r="12710" spans="5:6" ht="15" customHeight="1" x14ac:dyDescent="0.2">
      <c r="E12710" s="7"/>
      <c r="F12710" s="7"/>
    </row>
    <row r="12711" spans="5:6" ht="15" customHeight="1" x14ac:dyDescent="0.2">
      <c r="E12711" s="7"/>
      <c r="F12711" s="7"/>
    </row>
    <row r="12712" spans="5:6" ht="15" customHeight="1" x14ac:dyDescent="0.2">
      <c r="E12712" s="7"/>
      <c r="F12712" s="7"/>
    </row>
    <row r="12713" spans="5:6" ht="15" customHeight="1" x14ac:dyDescent="0.2">
      <c r="E12713" s="7"/>
      <c r="F12713" s="7"/>
    </row>
    <row r="12714" spans="5:6" ht="15" customHeight="1" x14ac:dyDescent="0.2">
      <c r="E12714" s="7"/>
      <c r="F12714" s="7"/>
    </row>
    <row r="12715" spans="5:6" ht="15" customHeight="1" x14ac:dyDescent="0.2">
      <c r="E12715" s="7"/>
      <c r="F12715" s="7"/>
    </row>
    <row r="12716" spans="5:6" ht="15" customHeight="1" x14ac:dyDescent="0.2">
      <c r="E12716" s="7"/>
      <c r="F12716" s="7"/>
    </row>
    <row r="12717" spans="5:6" ht="15" customHeight="1" x14ac:dyDescent="0.2">
      <c r="E12717" s="7"/>
      <c r="F12717" s="7"/>
    </row>
    <row r="12718" spans="5:6" ht="15" customHeight="1" x14ac:dyDescent="0.2">
      <c r="E12718" s="7"/>
      <c r="F12718" s="7"/>
    </row>
    <row r="12719" spans="5:6" ht="15" customHeight="1" x14ac:dyDescent="0.2">
      <c r="E12719" s="7"/>
      <c r="F12719" s="7"/>
    </row>
    <row r="12720" spans="5:6" ht="15" customHeight="1" x14ac:dyDescent="0.2">
      <c r="E12720" s="7"/>
      <c r="F12720" s="7"/>
    </row>
    <row r="12721" spans="5:6" ht="15" customHeight="1" x14ac:dyDescent="0.2">
      <c r="E12721" s="7"/>
      <c r="F12721" s="7"/>
    </row>
    <row r="12722" spans="5:6" ht="15" customHeight="1" x14ac:dyDescent="0.2">
      <c r="E12722" s="7"/>
      <c r="F12722" s="7"/>
    </row>
    <row r="12723" spans="5:6" ht="15" customHeight="1" x14ac:dyDescent="0.2">
      <c r="E12723" s="7"/>
      <c r="F12723" s="7"/>
    </row>
    <row r="12724" spans="5:6" ht="15" customHeight="1" x14ac:dyDescent="0.2">
      <c r="E12724" s="7"/>
      <c r="F12724" s="7"/>
    </row>
    <row r="12725" spans="5:6" ht="15" customHeight="1" x14ac:dyDescent="0.2">
      <c r="E12725" s="7"/>
      <c r="F12725" s="7"/>
    </row>
    <row r="12726" spans="5:6" ht="15" customHeight="1" x14ac:dyDescent="0.2">
      <c r="E12726" s="7"/>
      <c r="F12726" s="7"/>
    </row>
    <row r="12727" spans="5:6" ht="15" customHeight="1" x14ac:dyDescent="0.2">
      <c r="E12727" s="7"/>
      <c r="F12727" s="7"/>
    </row>
    <row r="12728" spans="5:6" ht="15" customHeight="1" x14ac:dyDescent="0.2">
      <c r="E12728" s="7"/>
      <c r="F12728" s="7"/>
    </row>
    <row r="12729" spans="5:6" ht="15" customHeight="1" x14ac:dyDescent="0.2">
      <c r="E12729" s="7"/>
      <c r="F12729" s="7"/>
    </row>
    <row r="12730" spans="5:6" ht="15" customHeight="1" x14ac:dyDescent="0.2">
      <c r="E12730" s="7"/>
      <c r="F12730" s="7"/>
    </row>
    <row r="12731" spans="5:6" ht="15" customHeight="1" x14ac:dyDescent="0.2">
      <c r="E12731" s="7"/>
      <c r="F12731" s="7"/>
    </row>
    <row r="12732" spans="5:6" ht="15" customHeight="1" x14ac:dyDescent="0.2">
      <c r="E12732" s="7"/>
      <c r="F12732" s="7"/>
    </row>
    <row r="12733" spans="5:6" ht="15" customHeight="1" x14ac:dyDescent="0.2">
      <c r="E12733" s="7"/>
      <c r="F12733" s="7"/>
    </row>
    <row r="12734" spans="5:6" ht="15" customHeight="1" x14ac:dyDescent="0.2">
      <c r="E12734" s="7"/>
      <c r="F12734" s="7"/>
    </row>
    <row r="12735" spans="5:6" ht="15" customHeight="1" x14ac:dyDescent="0.2">
      <c r="E12735" s="7"/>
      <c r="F12735" s="7"/>
    </row>
    <row r="12736" spans="5:6" ht="15" customHeight="1" x14ac:dyDescent="0.2">
      <c r="E12736" s="7"/>
      <c r="F12736" s="7"/>
    </row>
    <row r="12737" spans="5:6" ht="15" customHeight="1" x14ac:dyDescent="0.2">
      <c r="E12737" s="7"/>
      <c r="F12737" s="7"/>
    </row>
    <row r="12738" spans="5:6" ht="15" customHeight="1" x14ac:dyDescent="0.2">
      <c r="E12738" s="7"/>
      <c r="F12738" s="7"/>
    </row>
    <row r="12739" spans="5:6" ht="15" customHeight="1" x14ac:dyDescent="0.2">
      <c r="E12739" s="7"/>
      <c r="F12739" s="7"/>
    </row>
    <row r="12740" spans="5:6" ht="15" customHeight="1" x14ac:dyDescent="0.2">
      <c r="E12740" s="7"/>
      <c r="F12740" s="7"/>
    </row>
    <row r="12741" spans="5:6" ht="15" customHeight="1" x14ac:dyDescent="0.2">
      <c r="E12741" s="7"/>
      <c r="F12741" s="7"/>
    </row>
    <row r="12742" spans="5:6" ht="15" customHeight="1" x14ac:dyDescent="0.2">
      <c r="E12742" s="7"/>
      <c r="F12742" s="7"/>
    </row>
    <row r="12743" spans="5:6" ht="15" customHeight="1" x14ac:dyDescent="0.2">
      <c r="E12743" s="7"/>
      <c r="F12743" s="7"/>
    </row>
    <row r="12744" spans="5:6" ht="15" customHeight="1" x14ac:dyDescent="0.2">
      <c r="E12744" s="7"/>
      <c r="F12744" s="7"/>
    </row>
    <row r="12745" spans="5:6" ht="15" customHeight="1" x14ac:dyDescent="0.2">
      <c r="E12745" s="7"/>
      <c r="F12745" s="7"/>
    </row>
    <row r="12746" spans="5:6" ht="15" customHeight="1" x14ac:dyDescent="0.2">
      <c r="E12746" s="7"/>
      <c r="F12746" s="7"/>
    </row>
    <row r="12747" spans="5:6" ht="15" customHeight="1" x14ac:dyDescent="0.2">
      <c r="E12747" s="7"/>
      <c r="F12747" s="7"/>
    </row>
    <row r="12748" spans="5:6" ht="15" customHeight="1" x14ac:dyDescent="0.2">
      <c r="E12748" s="7"/>
      <c r="F12748" s="7"/>
    </row>
    <row r="12749" spans="5:6" ht="15" customHeight="1" x14ac:dyDescent="0.2">
      <c r="E12749" s="7"/>
      <c r="F12749" s="7"/>
    </row>
    <row r="12750" spans="5:6" ht="15" customHeight="1" x14ac:dyDescent="0.2">
      <c r="E12750" s="7"/>
      <c r="F12750" s="7"/>
    </row>
    <row r="12751" spans="5:6" ht="15" customHeight="1" x14ac:dyDescent="0.2">
      <c r="E12751" s="7"/>
      <c r="F12751" s="7"/>
    </row>
    <row r="12752" spans="5:6" ht="15" customHeight="1" x14ac:dyDescent="0.2">
      <c r="E12752" s="7"/>
      <c r="F12752" s="7"/>
    </row>
    <row r="12753" spans="5:6" ht="15" customHeight="1" x14ac:dyDescent="0.2">
      <c r="E12753" s="7"/>
      <c r="F12753" s="7"/>
    </row>
    <row r="12754" spans="5:6" ht="15" customHeight="1" x14ac:dyDescent="0.2">
      <c r="E12754" s="7"/>
      <c r="F12754" s="7"/>
    </row>
    <row r="12755" spans="5:6" ht="15" customHeight="1" x14ac:dyDescent="0.2">
      <c r="E12755" s="7"/>
      <c r="F12755" s="7"/>
    </row>
    <row r="12756" spans="5:6" ht="15" customHeight="1" x14ac:dyDescent="0.2">
      <c r="E12756" s="7"/>
      <c r="F12756" s="7"/>
    </row>
    <row r="12757" spans="5:6" ht="15" customHeight="1" x14ac:dyDescent="0.2">
      <c r="E12757" s="7"/>
      <c r="F12757" s="7"/>
    </row>
    <row r="12758" spans="5:6" ht="15" customHeight="1" x14ac:dyDescent="0.2">
      <c r="E12758" s="7"/>
      <c r="F12758" s="7"/>
    </row>
    <row r="12759" spans="5:6" ht="15" customHeight="1" x14ac:dyDescent="0.2">
      <c r="E12759" s="7"/>
      <c r="F12759" s="7"/>
    </row>
    <row r="12760" spans="5:6" ht="15" customHeight="1" x14ac:dyDescent="0.2">
      <c r="E12760" s="7"/>
      <c r="F12760" s="7"/>
    </row>
    <row r="12761" spans="5:6" ht="15" customHeight="1" x14ac:dyDescent="0.2">
      <c r="E12761" s="7"/>
      <c r="F12761" s="7"/>
    </row>
    <row r="12762" spans="5:6" ht="15" customHeight="1" x14ac:dyDescent="0.2">
      <c r="E12762" s="7"/>
      <c r="F12762" s="7"/>
    </row>
    <row r="12763" spans="5:6" ht="15" customHeight="1" x14ac:dyDescent="0.2">
      <c r="E12763" s="7"/>
      <c r="F12763" s="7"/>
    </row>
    <row r="12764" spans="5:6" ht="15" customHeight="1" x14ac:dyDescent="0.2">
      <c r="E12764" s="7"/>
      <c r="F12764" s="7"/>
    </row>
    <row r="12765" spans="5:6" ht="15" customHeight="1" x14ac:dyDescent="0.2">
      <c r="E12765" s="7"/>
      <c r="F12765" s="7"/>
    </row>
    <row r="12766" spans="5:6" ht="15" customHeight="1" x14ac:dyDescent="0.2">
      <c r="E12766" s="7"/>
      <c r="F12766" s="7"/>
    </row>
    <row r="12767" spans="5:6" ht="15" customHeight="1" x14ac:dyDescent="0.2">
      <c r="E12767" s="7"/>
      <c r="F12767" s="7"/>
    </row>
    <row r="12768" spans="5:6" ht="15" customHeight="1" x14ac:dyDescent="0.2">
      <c r="E12768" s="7"/>
      <c r="F12768" s="7"/>
    </row>
    <row r="12769" spans="5:6" ht="15" customHeight="1" x14ac:dyDescent="0.2">
      <c r="E12769" s="7"/>
      <c r="F12769" s="7"/>
    </row>
    <row r="12770" spans="5:6" ht="15" customHeight="1" x14ac:dyDescent="0.2">
      <c r="E12770" s="7"/>
      <c r="F12770" s="7"/>
    </row>
    <row r="12771" spans="5:6" ht="15" customHeight="1" x14ac:dyDescent="0.2">
      <c r="E12771" s="7"/>
      <c r="F12771" s="7"/>
    </row>
    <row r="12772" spans="5:6" ht="15" customHeight="1" x14ac:dyDescent="0.2">
      <c r="E12772" s="7"/>
      <c r="F12772" s="7"/>
    </row>
    <row r="12773" spans="5:6" ht="15" customHeight="1" x14ac:dyDescent="0.2">
      <c r="E12773" s="7"/>
      <c r="F12773" s="7"/>
    </row>
    <row r="12774" spans="5:6" ht="15" customHeight="1" x14ac:dyDescent="0.2">
      <c r="E12774" s="7"/>
      <c r="F12774" s="7"/>
    </row>
    <row r="12775" spans="5:6" ht="15" customHeight="1" x14ac:dyDescent="0.2">
      <c r="E12775" s="7"/>
      <c r="F12775" s="7"/>
    </row>
    <row r="12776" spans="5:6" ht="15" customHeight="1" x14ac:dyDescent="0.2">
      <c r="E12776" s="7"/>
      <c r="F12776" s="7"/>
    </row>
    <row r="12777" spans="5:6" ht="15" customHeight="1" x14ac:dyDescent="0.2">
      <c r="E12777" s="7"/>
      <c r="F12777" s="7"/>
    </row>
    <row r="12778" spans="5:6" ht="15" customHeight="1" x14ac:dyDescent="0.2">
      <c r="E12778" s="7"/>
      <c r="F12778" s="7"/>
    </row>
    <row r="12779" spans="5:6" ht="15" customHeight="1" x14ac:dyDescent="0.2">
      <c r="E12779" s="7"/>
      <c r="F12779" s="7"/>
    </row>
    <row r="12780" spans="5:6" ht="15" customHeight="1" x14ac:dyDescent="0.2">
      <c r="E12780" s="7"/>
      <c r="F12780" s="7"/>
    </row>
    <row r="12781" spans="5:6" ht="15" customHeight="1" x14ac:dyDescent="0.2">
      <c r="E12781" s="7"/>
      <c r="F12781" s="7"/>
    </row>
    <row r="12782" spans="5:6" ht="15" customHeight="1" x14ac:dyDescent="0.2">
      <c r="E12782" s="7"/>
      <c r="F12782" s="7"/>
    </row>
    <row r="12783" spans="5:6" ht="15" customHeight="1" x14ac:dyDescent="0.2">
      <c r="E12783" s="7"/>
      <c r="F12783" s="7"/>
    </row>
    <row r="12784" spans="5:6" ht="15" customHeight="1" x14ac:dyDescent="0.2">
      <c r="E12784" s="7"/>
      <c r="F12784" s="7"/>
    </row>
    <row r="12785" spans="5:6" ht="15" customHeight="1" x14ac:dyDescent="0.2">
      <c r="E12785" s="7"/>
      <c r="F12785" s="7"/>
    </row>
    <row r="12786" spans="5:6" ht="15" customHeight="1" x14ac:dyDescent="0.2">
      <c r="E12786" s="7"/>
      <c r="F12786" s="7"/>
    </row>
    <row r="12787" spans="5:6" ht="15" customHeight="1" x14ac:dyDescent="0.2">
      <c r="E12787" s="7"/>
      <c r="F12787" s="7"/>
    </row>
    <row r="12788" spans="5:6" ht="15" customHeight="1" x14ac:dyDescent="0.2">
      <c r="E12788" s="7"/>
      <c r="F12788" s="7"/>
    </row>
    <row r="12789" spans="5:6" ht="15" customHeight="1" x14ac:dyDescent="0.2">
      <c r="E12789" s="7"/>
      <c r="F12789" s="7"/>
    </row>
    <row r="12790" spans="5:6" ht="15" customHeight="1" x14ac:dyDescent="0.2">
      <c r="E12790" s="7"/>
      <c r="F12790" s="7"/>
    </row>
    <row r="12791" spans="5:6" ht="15" customHeight="1" x14ac:dyDescent="0.2">
      <c r="E12791" s="7"/>
      <c r="F12791" s="7"/>
    </row>
    <row r="12792" spans="5:6" ht="15" customHeight="1" x14ac:dyDescent="0.2">
      <c r="E12792" s="7"/>
      <c r="F12792" s="7"/>
    </row>
    <row r="12793" spans="5:6" ht="15" customHeight="1" x14ac:dyDescent="0.2">
      <c r="E12793" s="7"/>
      <c r="F12793" s="7"/>
    </row>
    <row r="12794" spans="5:6" ht="15" customHeight="1" x14ac:dyDescent="0.2">
      <c r="E12794" s="7"/>
      <c r="F12794" s="7"/>
    </row>
    <row r="12795" spans="5:6" ht="15" customHeight="1" x14ac:dyDescent="0.2">
      <c r="E12795" s="7"/>
      <c r="F12795" s="7"/>
    </row>
    <row r="12796" spans="5:6" ht="15" customHeight="1" x14ac:dyDescent="0.2">
      <c r="E12796" s="7"/>
      <c r="F12796" s="7"/>
    </row>
    <row r="12797" spans="5:6" ht="15" customHeight="1" x14ac:dyDescent="0.2">
      <c r="E12797" s="7"/>
      <c r="F12797" s="7"/>
    </row>
    <row r="12798" spans="5:6" ht="15" customHeight="1" x14ac:dyDescent="0.2">
      <c r="E12798" s="7"/>
      <c r="F12798" s="7"/>
    </row>
    <row r="12799" spans="5:6" ht="15" customHeight="1" x14ac:dyDescent="0.2">
      <c r="E12799" s="7"/>
      <c r="F12799" s="7"/>
    </row>
    <row r="12800" spans="5:6" ht="15" customHeight="1" x14ac:dyDescent="0.2">
      <c r="E12800" s="7"/>
      <c r="F12800" s="7"/>
    </row>
    <row r="12801" spans="5:6" ht="15" customHeight="1" x14ac:dyDescent="0.2">
      <c r="E12801" s="7"/>
      <c r="F12801" s="7"/>
    </row>
    <row r="12802" spans="5:6" ht="15" customHeight="1" x14ac:dyDescent="0.2">
      <c r="E12802" s="7"/>
      <c r="F12802" s="7"/>
    </row>
    <row r="12803" spans="5:6" ht="15" customHeight="1" x14ac:dyDescent="0.2">
      <c r="E12803" s="7"/>
      <c r="F12803" s="7"/>
    </row>
    <row r="12804" spans="5:6" ht="15" customHeight="1" x14ac:dyDescent="0.2">
      <c r="E12804" s="7"/>
      <c r="F12804" s="7"/>
    </row>
    <row r="12805" spans="5:6" ht="15" customHeight="1" x14ac:dyDescent="0.2">
      <c r="E12805" s="7"/>
      <c r="F12805" s="7"/>
    </row>
    <row r="12806" spans="5:6" ht="15" customHeight="1" x14ac:dyDescent="0.2">
      <c r="E12806" s="7"/>
      <c r="F12806" s="7"/>
    </row>
    <row r="12807" spans="5:6" ht="15" customHeight="1" x14ac:dyDescent="0.2">
      <c r="E12807" s="7"/>
      <c r="F12807" s="7"/>
    </row>
    <row r="12808" spans="5:6" ht="15" customHeight="1" x14ac:dyDescent="0.2">
      <c r="E12808" s="7"/>
      <c r="F12808" s="7"/>
    </row>
    <row r="12809" spans="5:6" ht="15" customHeight="1" x14ac:dyDescent="0.2">
      <c r="E12809" s="7"/>
      <c r="F12809" s="7"/>
    </row>
    <row r="12810" spans="5:6" ht="15" customHeight="1" x14ac:dyDescent="0.2">
      <c r="E12810" s="7"/>
      <c r="F12810" s="7"/>
    </row>
    <row r="12811" spans="5:6" ht="15" customHeight="1" x14ac:dyDescent="0.2">
      <c r="E12811" s="7"/>
      <c r="F12811" s="7"/>
    </row>
    <row r="12812" spans="5:6" ht="15" customHeight="1" x14ac:dyDescent="0.2">
      <c r="E12812" s="7"/>
      <c r="F12812" s="7"/>
    </row>
    <row r="12813" spans="5:6" ht="15" customHeight="1" x14ac:dyDescent="0.2">
      <c r="E12813" s="7"/>
      <c r="F12813" s="7"/>
    </row>
    <row r="12814" spans="5:6" ht="15" customHeight="1" x14ac:dyDescent="0.2">
      <c r="E12814" s="7"/>
      <c r="F12814" s="7"/>
    </row>
    <row r="12815" spans="5:6" ht="15" customHeight="1" x14ac:dyDescent="0.2">
      <c r="E12815" s="7"/>
      <c r="F12815" s="7"/>
    </row>
    <row r="12816" spans="5:6" ht="15" customHeight="1" x14ac:dyDescent="0.2">
      <c r="E12816" s="7"/>
      <c r="F12816" s="7"/>
    </row>
    <row r="12817" spans="5:6" ht="15" customHeight="1" x14ac:dyDescent="0.2">
      <c r="E12817" s="7"/>
      <c r="F12817" s="7"/>
    </row>
    <row r="12818" spans="5:6" ht="15" customHeight="1" x14ac:dyDescent="0.2">
      <c r="E12818" s="7"/>
      <c r="F12818" s="7"/>
    </row>
    <row r="12819" spans="5:6" ht="15" customHeight="1" x14ac:dyDescent="0.2">
      <c r="E12819" s="7"/>
      <c r="F12819" s="7"/>
    </row>
    <row r="12820" spans="5:6" ht="15" customHeight="1" x14ac:dyDescent="0.2">
      <c r="E12820" s="7"/>
      <c r="F12820" s="7"/>
    </row>
    <row r="12821" spans="5:6" ht="15" customHeight="1" x14ac:dyDescent="0.2">
      <c r="E12821" s="7"/>
      <c r="F12821" s="7"/>
    </row>
    <row r="12822" spans="5:6" ht="15" customHeight="1" x14ac:dyDescent="0.2">
      <c r="E12822" s="7"/>
      <c r="F12822" s="7"/>
    </row>
    <row r="12823" spans="5:6" ht="15" customHeight="1" x14ac:dyDescent="0.2">
      <c r="E12823" s="7"/>
      <c r="F12823" s="7"/>
    </row>
    <row r="12824" spans="5:6" ht="15" customHeight="1" x14ac:dyDescent="0.2">
      <c r="E12824" s="7"/>
      <c r="F12824" s="7"/>
    </row>
    <row r="12825" spans="5:6" ht="15" customHeight="1" x14ac:dyDescent="0.2">
      <c r="E12825" s="7"/>
      <c r="F12825" s="7"/>
    </row>
    <row r="12826" spans="5:6" ht="15" customHeight="1" x14ac:dyDescent="0.2">
      <c r="E12826" s="7"/>
      <c r="F12826" s="7"/>
    </row>
    <row r="12827" spans="5:6" ht="15" customHeight="1" x14ac:dyDescent="0.2">
      <c r="E12827" s="7"/>
      <c r="F12827" s="7"/>
    </row>
    <row r="12828" spans="5:6" ht="15" customHeight="1" x14ac:dyDescent="0.2">
      <c r="E12828" s="7"/>
      <c r="F12828" s="7"/>
    </row>
    <row r="12829" spans="5:6" ht="15" customHeight="1" x14ac:dyDescent="0.2">
      <c r="E12829" s="7"/>
      <c r="F12829" s="7"/>
    </row>
    <row r="12830" spans="5:6" ht="15" customHeight="1" x14ac:dyDescent="0.2">
      <c r="E12830" s="7"/>
      <c r="F12830" s="7"/>
    </row>
    <row r="12831" spans="5:6" ht="15" customHeight="1" x14ac:dyDescent="0.2">
      <c r="E12831" s="7"/>
      <c r="F12831" s="7"/>
    </row>
    <row r="12832" spans="5:6" ht="15" customHeight="1" x14ac:dyDescent="0.2">
      <c r="E12832" s="7"/>
      <c r="F12832" s="7"/>
    </row>
    <row r="12833" spans="5:6" ht="15" customHeight="1" x14ac:dyDescent="0.2">
      <c r="E12833" s="7"/>
      <c r="F12833" s="7"/>
    </row>
    <row r="12834" spans="5:6" ht="15" customHeight="1" x14ac:dyDescent="0.2">
      <c r="E12834" s="7"/>
      <c r="F12834" s="7"/>
    </row>
    <row r="12835" spans="5:6" ht="15" customHeight="1" x14ac:dyDescent="0.2">
      <c r="E12835" s="7"/>
      <c r="F12835" s="7"/>
    </row>
    <row r="12836" spans="5:6" ht="15" customHeight="1" x14ac:dyDescent="0.2">
      <c r="E12836" s="7"/>
      <c r="F12836" s="7"/>
    </row>
    <row r="12837" spans="5:6" ht="15" customHeight="1" x14ac:dyDescent="0.2">
      <c r="E12837" s="7"/>
      <c r="F12837" s="7"/>
    </row>
    <row r="12838" spans="5:6" ht="15" customHeight="1" x14ac:dyDescent="0.2">
      <c r="E12838" s="7"/>
      <c r="F12838" s="7"/>
    </row>
    <row r="12839" spans="5:6" ht="15" customHeight="1" x14ac:dyDescent="0.2">
      <c r="E12839" s="7"/>
      <c r="F12839" s="7"/>
    </row>
    <row r="12840" spans="5:6" ht="15" customHeight="1" x14ac:dyDescent="0.2">
      <c r="E12840" s="7"/>
      <c r="F12840" s="7"/>
    </row>
    <row r="12841" spans="5:6" ht="15" customHeight="1" x14ac:dyDescent="0.2">
      <c r="E12841" s="7"/>
      <c r="F12841" s="7"/>
    </row>
    <row r="12842" spans="5:6" ht="15" customHeight="1" x14ac:dyDescent="0.2">
      <c r="E12842" s="7"/>
      <c r="F12842" s="7"/>
    </row>
    <row r="12843" spans="5:6" ht="15" customHeight="1" x14ac:dyDescent="0.2">
      <c r="E12843" s="7"/>
      <c r="F12843" s="7"/>
    </row>
    <row r="12844" spans="5:6" ht="15" customHeight="1" x14ac:dyDescent="0.2">
      <c r="E12844" s="7"/>
      <c r="F12844" s="7"/>
    </row>
    <row r="12845" spans="5:6" ht="15" customHeight="1" x14ac:dyDescent="0.2">
      <c r="E12845" s="7"/>
      <c r="F12845" s="7"/>
    </row>
    <row r="12846" spans="5:6" ht="15" customHeight="1" x14ac:dyDescent="0.2">
      <c r="E12846" s="7"/>
      <c r="F12846" s="7"/>
    </row>
    <row r="12847" spans="5:6" ht="15" customHeight="1" x14ac:dyDescent="0.2">
      <c r="E12847" s="7"/>
      <c r="F12847" s="7"/>
    </row>
    <row r="12848" spans="5:6" ht="15" customHeight="1" x14ac:dyDescent="0.2">
      <c r="E12848" s="7"/>
      <c r="F12848" s="7"/>
    </row>
    <row r="12849" spans="5:6" ht="15" customHeight="1" x14ac:dyDescent="0.2">
      <c r="E12849" s="7"/>
      <c r="F12849" s="7"/>
    </row>
    <row r="12850" spans="5:6" ht="15" customHeight="1" x14ac:dyDescent="0.2">
      <c r="E12850" s="7"/>
      <c r="F12850" s="7"/>
    </row>
    <row r="12851" spans="5:6" ht="15" customHeight="1" x14ac:dyDescent="0.2">
      <c r="E12851" s="7"/>
      <c r="F12851" s="7"/>
    </row>
    <row r="12852" spans="5:6" ht="15" customHeight="1" x14ac:dyDescent="0.2">
      <c r="E12852" s="7"/>
      <c r="F12852" s="7"/>
    </row>
    <row r="12853" spans="5:6" ht="15" customHeight="1" x14ac:dyDescent="0.2">
      <c r="E12853" s="7"/>
      <c r="F12853" s="7"/>
    </row>
    <row r="12854" spans="5:6" ht="15" customHeight="1" x14ac:dyDescent="0.2">
      <c r="E12854" s="7"/>
      <c r="F12854" s="7"/>
    </row>
    <row r="12855" spans="5:6" ht="15" customHeight="1" x14ac:dyDescent="0.2">
      <c r="E12855" s="7"/>
      <c r="F12855" s="7"/>
    </row>
    <row r="12856" spans="5:6" ht="15" customHeight="1" x14ac:dyDescent="0.2">
      <c r="E12856" s="7"/>
      <c r="F12856" s="7"/>
    </row>
    <row r="12857" spans="5:6" ht="15" customHeight="1" x14ac:dyDescent="0.2">
      <c r="E12857" s="7"/>
      <c r="F12857" s="7"/>
    </row>
    <row r="12858" spans="5:6" ht="15" customHeight="1" x14ac:dyDescent="0.2">
      <c r="E12858" s="7"/>
      <c r="F12858" s="7"/>
    </row>
    <row r="12859" spans="5:6" ht="15" customHeight="1" x14ac:dyDescent="0.2">
      <c r="E12859" s="7"/>
      <c r="F12859" s="7"/>
    </row>
    <row r="12860" spans="5:6" ht="15" customHeight="1" x14ac:dyDescent="0.2">
      <c r="E12860" s="7"/>
      <c r="F12860" s="7"/>
    </row>
    <row r="12861" spans="5:6" ht="15" customHeight="1" x14ac:dyDescent="0.2">
      <c r="E12861" s="7"/>
      <c r="F12861" s="7"/>
    </row>
    <row r="12862" spans="5:6" ht="15" customHeight="1" x14ac:dyDescent="0.2">
      <c r="E12862" s="7"/>
      <c r="F12862" s="7"/>
    </row>
    <row r="12863" spans="5:6" ht="15" customHeight="1" x14ac:dyDescent="0.2">
      <c r="E12863" s="7"/>
      <c r="F12863" s="7"/>
    </row>
    <row r="12864" spans="5:6" ht="15" customHeight="1" x14ac:dyDescent="0.2">
      <c r="E12864" s="7"/>
      <c r="F12864" s="7"/>
    </row>
    <row r="12865" spans="5:6" ht="15" customHeight="1" x14ac:dyDescent="0.2">
      <c r="E12865" s="7"/>
      <c r="F12865" s="7"/>
    </row>
    <row r="12866" spans="5:6" ht="15" customHeight="1" x14ac:dyDescent="0.2">
      <c r="E12866" s="7"/>
      <c r="F12866" s="7"/>
    </row>
    <row r="12867" spans="5:6" ht="15" customHeight="1" x14ac:dyDescent="0.2">
      <c r="E12867" s="7"/>
      <c r="F12867" s="7"/>
    </row>
    <row r="12868" spans="5:6" ht="15" customHeight="1" x14ac:dyDescent="0.2">
      <c r="E12868" s="7"/>
      <c r="F12868" s="7"/>
    </row>
    <row r="12869" spans="5:6" ht="15" customHeight="1" x14ac:dyDescent="0.2">
      <c r="E12869" s="7"/>
      <c r="F12869" s="7"/>
    </row>
    <row r="12870" spans="5:6" ht="15" customHeight="1" x14ac:dyDescent="0.2">
      <c r="E12870" s="7"/>
      <c r="F12870" s="7"/>
    </row>
    <row r="12871" spans="5:6" ht="15" customHeight="1" x14ac:dyDescent="0.2">
      <c r="E12871" s="7"/>
      <c r="F12871" s="7"/>
    </row>
    <row r="12872" spans="5:6" ht="15" customHeight="1" x14ac:dyDescent="0.2">
      <c r="E12872" s="7"/>
      <c r="F12872" s="7"/>
    </row>
    <row r="12873" spans="5:6" ht="15" customHeight="1" x14ac:dyDescent="0.2">
      <c r="E12873" s="7"/>
      <c r="F12873" s="7"/>
    </row>
    <row r="12874" spans="5:6" ht="15" customHeight="1" x14ac:dyDescent="0.2">
      <c r="E12874" s="7"/>
      <c r="F12874" s="7"/>
    </row>
    <row r="12875" spans="5:6" ht="15" customHeight="1" x14ac:dyDescent="0.2">
      <c r="E12875" s="7"/>
      <c r="F12875" s="7"/>
    </row>
    <row r="12876" spans="5:6" ht="15" customHeight="1" x14ac:dyDescent="0.2">
      <c r="E12876" s="7"/>
      <c r="F12876" s="7"/>
    </row>
    <row r="12877" spans="5:6" ht="15" customHeight="1" x14ac:dyDescent="0.2">
      <c r="E12877" s="7"/>
      <c r="F12877" s="7"/>
    </row>
    <row r="12878" spans="5:6" ht="15" customHeight="1" x14ac:dyDescent="0.2">
      <c r="E12878" s="7"/>
      <c r="F12878" s="7"/>
    </row>
    <row r="12879" spans="5:6" ht="15" customHeight="1" x14ac:dyDescent="0.2">
      <c r="E12879" s="7"/>
      <c r="F12879" s="7"/>
    </row>
    <row r="12880" spans="5:6" ht="15" customHeight="1" x14ac:dyDescent="0.2">
      <c r="E12880" s="7"/>
      <c r="F12880" s="7"/>
    </row>
    <row r="12881" spans="5:6" ht="15" customHeight="1" x14ac:dyDescent="0.2">
      <c r="E12881" s="7"/>
      <c r="F12881" s="7"/>
    </row>
    <row r="12882" spans="5:6" ht="15" customHeight="1" x14ac:dyDescent="0.2">
      <c r="E12882" s="7"/>
      <c r="F12882" s="7"/>
    </row>
    <row r="12883" spans="5:6" ht="15" customHeight="1" x14ac:dyDescent="0.2">
      <c r="E12883" s="7"/>
      <c r="F12883" s="7"/>
    </row>
    <row r="12884" spans="5:6" ht="15" customHeight="1" x14ac:dyDescent="0.2">
      <c r="E12884" s="7"/>
      <c r="F12884" s="7"/>
    </row>
    <row r="12885" spans="5:6" ht="15" customHeight="1" x14ac:dyDescent="0.2">
      <c r="E12885" s="7"/>
      <c r="F12885" s="7"/>
    </row>
    <row r="12886" spans="5:6" ht="15" customHeight="1" x14ac:dyDescent="0.2">
      <c r="E12886" s="7"/>
      <c r="F12886" s="7"/>
    </row>
    <row r="12887" spans="5:6" ht="15" customHeight="1" x14ac:dyDescent="0.2">
      <c r="E12887" s="7"/>
      <c r="F12887" s="7"/>
    </row>
    <row r="12888" spans="5:6" ht="15" customHeight="1" x14ac:dyDescent="0.2">
      <c r="E12888" s="7"/>
      <c r="F12888" s="7"/>
    </row>
    <row r="12889" spans="5:6" ht="15" customHeight="1" x14ac:dyDescent="0.2">
      <c r="E12889" s="7"/>
      <c r="F12889" s="7"/>
    </row>
    <row r="12890" spans="5:6" ht="15" customHeight="1" x14ac:dyDescent="0.2">
      <c r="E12890" s="7"/>
      <c r="F12890" s="7"/>
    </row>
    <row r="12891" spans="5:6" ht="15" customHeight="1" x14ac:dyDescent="0.2">
      <c r="E12891" s="7"/>
      <c r="F12891" s="7"/>
    </row>
    <row r="12892" spans="5:6" ht="15" customHeight="1" x14ac:dyDescent="0.2">
      <c r="E12892" s="7"/>
      <c r="F12892" s="7"/>
    </row>
    <row r="12893" spans="5:6" ht="15" customHeight="1" x14ac:dyDescent="0.2">
      <c r="E12893" s="7"/>
      <c r="F12893" s="7"/>
    </row>
    <row r="12894" spans="5:6" ht="15" customHeight="1" x14ac:dyDescent="0.2">
      <c r="E12894" s="7"/>
      <c r="F12894" s="7"/>
    </row>
    <row r="12895" spans="5:6" ht="15" customHeight="1" x14ac:dyDescent="0.2">
      <c r="E12895" s="7"/>
      <c r="F12895" s="7"/>
    </row>
    <row r="12896" spans="5:6" ht="15" customHeight="1" x14ac:dyDescent="0.2">
      <c r="E12896" s="7"/>
      <c r="F12896" s="7"/>
    </row>
    <row r="12897" spans="5:6" ht="15" customHeight="1" x14ac:dyDescent="0.2">
      <c r="E12897" s="7"/>
      <c r="F12897" s="7"/>
    </row>
    <row r="12898" spans="5:6" ht="15" customHeight="1" x14ac:dyDescent="0.2">
      <c r="E12898" s="7"/>
      <c r="F12898" s="7"/>
    </row>
    <row r="12899" spans="5:6" ht="15" customHeight="1" x14ac:dyDescent="0.2">
      <c r="E12899" s="7"/>
      <c r="F12899" s="7"/>
    </row>
    <row r="12900" spans="5:6" ht="15" customHeight="1" x14ac:dyDescent="0.2">
      <c r="E12900" s="7"/>
      <c r="F12900" s="7"/>
    </row>
    <row r="12901" spans="5:6" ht="15" customHeight="1" x14ac:dyDescent="0.2">
      <c r="E12901" s="7"/>
      <c r="F12901" s="7"/>
    </row>
    <row r="12902" spans="5:6" ht="15" customHeight="1" x14ac:dyDescent="0.2">
      <c r="E12902" s="7"/>
      <c r="F12902" s="7"/>
    </row>
    <row r="12903" spans="5:6" ht="15" customHeight="1" x14ac:dyDescent="0.2">
      <c r="E12903" s="7"/>
      <c r="F12903" s="7"/>
    </row>
    <row r="12904" spans="5:6" ht="15" customHeight="1" x14ac:dyDescent="0.2">
      <c r="E12904" s="7"/>
      <c r="F12904" s="7"/>
    </row>
    <row r="12905" spans="5:6" ht="15" customHeight="1" x14ac:dyDescent="0.2">
      <c r="E12905" s="7"/>
      <c r="F12905" s="7"/>
    </row>
    <row r="12906" spans="5:6" ht="15" customHeight="1" x14ac:dyDescent="0.2">
      <c r="E12906" s="7"/>
      <c r="F12906" s="7"/>
    </row>
    <row r="12907" spans="5:6" ht="15" customHeight="1" x14ac:dyDescent="0.2">
      <c r="E12907" s="7"/>
      <c r="F12907" s="7"/>
    </row>
    <row r="12908" spans="5:6" ht="15" customHeight="1" x14ac:dyDescent="0.2">
      <c r="E12908" s="7"/>
      <c r="F12908" s="7"/>
    </row>
    <row r="12909" spans="5:6" ht="15" customHeight="1" x14ac:dyDescent="0.2">
      <c r="E12909" s="7"/>
      <c r="F12909" s="7"/>
    </row>
    <row r="12910" spans="5:6" ht="15" customHeight="1" x14ac:dyDescent="0.2">
      <c r="E12910" s="7"/>
      <c r="F12910" s="7"/>
    </row>
    <row r="12911" spans="5:6" ht="15" customHeight="1" x14ac:dyDescent="0.2">
      <c r="E12911" s="7"/>
      <c r="F12911" s="7"/>
    </row>
    <row r="12912" spans="5:6" ht="15" customHeight="1" x14ac:dyDescent="0.2">
      <c r="E12912" s="7"/>
      <c r="F12912" s="7"/>
    </row>
    <row r="12913" spans="5:6" ht="15" customHeight="1" x14ac:dyDescent="0.2">
      <c r="E12913" s="7"/>
      <c r="F12913" s="7"/>
    </row>
    <row r="12914" spans="5:6" ht="15" customHeight="1" x14ac:dyDescent="0.2">
      <c r="E12914" s="7"/>
      <c r="F12914" s="7"/>
    </row>
    <row r="12915" spans="5:6" ht="15" customHeight="1" x14ac:dyDescent="0.2">
      <c r="E12915" s="7"/>
      <c r="F12915" s="7"/>
    </row>
    <row r="12916" spans="5:6" ht="15" customHeight="1" x14ac:dyDescent="0.2">
      <c r="E12916" s="7"/>
      <c r="F12916" s="7"/>
    </row>
    <row r="12917" spans="5:6" ht="15" customHeight="1" x14ac:dyDescent="0.2">
      <c r="E12917" s="7"/>
      <c r="F12917" s="7"/>
    </row>
    <row r="12918" spans="5:6" ht="15" customHeight="1" x14ac:dyDescent="0.2">
      <c r="E12918" s="7"/>
      <c r="F12918" s="7"/>
    </row>
    <row r="12919" spans="5:6" ht="15" customHeight="1" x14ac:dyDescent="0.2">
      <c r="E12919" s="7"/>
      <c r="F12919" s="7"/>
    </row>
    <row r="12920" spans="5:6" ht="15" customHeight="1" x14ac:dyDescent="0.2">
      <c r="E12920" s="7"/>
      <c r="F12920" s="7"/>
    </row>
    <row r="12921" spans="5:6" ht="15" customHeight="1" x14ac:dyDescent="0.2">
      <c r="E12921" s="7"/>
      <c r="F12921" s="7"/>
    </row>
    <row r="12922" spans="5:6" ht="15" customHeight="1" x14ac:dyDescent="0.2">
      <c r="E12922" s="7"/>
      <c r="F12922" s="7"/>
    </row>
    <row r="12923" spans="5:6" ht="15" customHeight="1" x14ac:dyDescent="0.2">
      <c r="E12923" s="7"/>
      <c r="F12923" s="7"/>
    </row>
    <row r="12924" spans="5:6" ht="15" customHeight="1" x14ac:dyDescent="0.2">
      <c r="E12924" s="7"/>
      <c r="F12924" s="7"/>
    </row>
    <row r="12925" spans="5:6" ht="15" customHeight="1" x14ac:dyDescent="0.2">
      <c r="E12925" s="7"/>
      <c r="F12925" s="7"/>
    </row>
    <row r="12926" spans="5:6" ht="15" customHeight="1" x14ac:dyDescent="0.2">
      <c r="E12926" s="7"/>
      <c r="F12926" s="7"/>
    </row>
    <row r="12927" spans="5:6" ht="15" customHeight="1" x14ac:dyDescent="0.2">
      <c r="E12927" s="7"/>
      <c r="F12927" s="7"/>
    </row>
    <row r="12928" spans="5:6" ht="15" customHeight="1" x14ac:dyDescent="0.2">
      <c r="E12928" s="7"/>
      <c r="F12928" s="7"/>
    </row>
    <row r="12929" spans="5:6" ht="15" customHeight="1" x14ac:dyDescent="0.2">
      <c r="E12929" s="7"/>
      <c r="F12929" s="7"/>
    </row>
    <row r="12930" spans="5:6" ht="15" customHeight="1" x14ac:dyDescent="0.2">
      <c r="E12930" s="7"/>
      <c r="F12930" s="7"/>
    </row>
    <row r="12931" spans="5:6" ht="15" customHeight="1" x14ac:dyDescent="0.2">
      <c r="E12931" s="7"/>
      <c r="F12931" s="7"/>
    </row>
    <row r="12932" spans="5:6" ht="15" customHeight="1" x14ac:dyDescent="0.2">
      <c r="E12932" s="7"/>
      <c r="F12932" s="7"/>
    </row>
    <row r="12933" spans="5:6" ht="15" customHeight="1" x14ac:dyDescent="0.2">
      <c r="E12933" s="7"/>
      <c r="F12933" s="7"/>
    </row>
    <row r="12934" spans="5:6" ht="15" customHeight="1" x14ac:dyDescent="0.2">
      <c r="E12934" s="7"/>
      <c r="F12934" s="7"/>
    </row>
    <row r="12935" spans="5:6" ht="15" customHeight="1" x14ac:dyDescent="0.2">
      <c r="E12935" s="7"/>
      <c r="F12935" s="7"/>
    </row>
    <row r="12936" spans="5:6" ht="15" customHeight="1" x14ac:dyDescent="0.2">
      <c r="E12936" s="7"/>
      <c r="F12936" s="7"/>
    </row>
    <row r="12937" spans="5:6" ht="15" customHeight="1" x14ac:dyDescent="0.2">
      <c r="E12937" s="7"/>
      <c r="F12937" s="7"/>
    </row>
    <row r="12938" spans="5:6" ht="15" customHeight="1" x14ac:dyDescent="0.2">
      <c r="E12938" s="7"/>
      <c r="F12938" s="7"/>
    </row>
    <row r="12939" spans="5:6" ht="15" customHeight="1" x14ac:dyDescent="0.2">
      <c r="E12939" s="7"/>
      <c r="F12939" s="7"/>
    </row>
    <row r="12940" spans="5:6" ht="15" customHeight="1" x14ac:dyDescent="0.2">
      <c r="E12940" s="7"/>
      <c r="F12940" s="7"/>
    </row>
    <row r="12941" spans="5:6" ht="15" customHeight="1" x14ac:dyDescent="0.2">
      <c r="E12941" s="7"/>
      <c r="F12941" s="7"/>
    </row>
    <row r="12942" spans="5:6" ht="15" customHeight="1" x14ac:dyDescent="0.2">
      <c r="E12942" s="7"/>
      <c r="F12942" s="7"/>
    </row>
    <row r="12943" spans="5:6" ht="15" customHeight="1" x14ac:dyDescent="0.2">
      <c r="E12943" s="7"/>
      <c r="F12943" s="7"/>
    </row>
    <row r="12944" spans="5:6" ht="15" customHeight="1" x14ac:dyDescent="0.2">
      <c r="E12944" s="7"/>
      <c r="F12944" s="7"/>
    </row>
    <row r="12945" spans="5:6" ht="15" customHeight="1" x14ac:dyDescent="0.2">
      <c r="E12945" s="7"/>
      <c r="F12945" s="7"/>
    </row>
    <row r="12946" spans="5:6" ht="15" customHeight="1" x14ac:dyDescent="0.2">
      <c r="E12946" s="7"/>
      <c r="F12946" s="7"/>
    </row>
    <row r="12947" spans="5:6" ht="15" customHeight="1" x14ac:dyDescent="0.2">
      <c r="E12947" s="7"/>
      <c r="F12947" s="7"/>
    </row>
    <row r="12948" spans="5:6" ht="15" customHeight="1" x14ac:dyDescent="0.2">
      <c r="E12948" s="7"/>
      <c r="F12948" s="7"/>
    </row>
    <row r="12949" spans="5:6" ht="15" customHeight="1" x14ac:dyDescent="0.2">
      <c r="E12949" s="7"/>
      <c r="F12949" s="7"/>
    </row>
    <row r="12950" spans="5:6" ht="15" customHeight="1" x14ac:dyDescent="0.2">
      <c r="E12950" s="7"/>
      <c r="F12950" s="7"/>
    </row>
    <row r="12951" spans="5:6" ht="15" customHeight="1" x14ac:dyDescent="0.2">
      <c r="E12951" s="7"/>
      <c r="F12951" s="7"/>
    </row>
    <row r="12952" spans="5:6" ht="15" customHeight="1" x14ac:dyDescent="0.2">
      <c r="E12952" s="7"/>
      <c r="F12952" s="7"/>
    </row>
    <row r="12953" spans="5:6" ht="15" customHeight="1" x14ac:dyDescent="0.2">
      <c r="E12953" s="7"/>
      <c r="F12953" s="7"/>
    </row>
    <row r="12954" spans="5:6" ht="15" customHeight="1" x14ac:dyDescent="0.2">
      <c r="E12954" s="7"/>
      <c r="F12954" s="7"/>
    </row>
    <row r="12955" spans="5:6" ht="15" customHeight="1" x14ac:dyDescent="0.2">
      <c r="E12955" s="7"/>
      <c r="F12955" s="7"/>
    </row>
    <row r="12956" spans="5:6" ht="15" customHeight="1" x14ac:dyDescent="0.2">
      <c r="E12956" s="7"/>
      <c r="F12956" s="7"/>
    </row>
    <row r="12957" spans="5:6" ht="15" customHeight="1" x14ac:dyDescent="0.2">
      <c r="E12957" s="7"/>
      <c r="F12957" s="7"/>
    </row>
    <row r="12958" spans="5:6" ht="15" customHeight="1" x14ac:dyDescent="0.2">
      <c r="E12958" s="7"/>
      <c r="F12958" s="7"/>
    </row>
    <row r="12959" spans="5:6" ht="15" customHeight="1" x14ac:dyDescent="0.2">
      <c r="E12959" s="7"/>
      <c r="F12959" s="7"/>
    </row>
    <row r="12960" spans="5:6" ht="15" customHeight="1" x14ac:dyDescent="0.2">
      <c r="E12960" s="7"/>
      <c r="F12960" s="7"/>
    </row>
    <row r="12961" spans="5:6" ht="15" customHeight="1" x14ac:dyDescent="0.2">
      <c r="E12961" s="7"/>
      <c r="F12961" s="7"/>
    </row>
    <row r="12962" spans="5:6" ht="15" customHeight="1" x14ac:dyDescent="0.2">
      <c r="E12962" s="7"/>
      <c r="F12962" s="7"/>
    </row>
    <row r="12963" spans="5:6" ht="15" customHeight="1" x14ac:dyDescent="0.2">
      <c r="E12963" s="7"/>
      <c r="F12963" s="7"/>
    </row>
    <row r="12964" spans="5:6" ht="15" customHeight="1" x14ac:dyDescent="0.2">
      <c r="E12964" s="7"/>
      <c r="F12964" s="7"/>
    </row>
    <row r="12965" spans="5:6" ht="15" customHeight="1" x14ac:dyDescent="0.2">
      <c r="E12965" s="7"/>
      <c r="F12965" s="7"/>
    </row>
    <row r="12966" spans="5:6" ht="15" customHeight="1" x14ac:dyDescent="0.2">
      <c r="E12966" s="7"/>
      <c r="F12966" s="7"/>
    </row>
    <row r="12967" spans="5:6" ht="15" customHeight="1" x14ac:dyDescent="0.2">
      <c r="E12967" s="7"/>
      <c r="F12967" s="7"/>
    </row>
    <row r="12968" spans="5:6" ht="15" customHeight="1" x14ac:dyDescent="0.2">
      <c r="E12968" s="7"/>
      <c r="F12968" s="7"/>
    </row>
    <row r="12969" spans="5:6" ht="15" customHeight="1" x14ac:dyDescent="0.2">
      <c r="E12969" s="7"/>
      <c r="F12969" s="7"/>
    </row>
    <row r="12970" spans="5:6" ht="15" customHeight="1" x14ac:dyDescent="0.2">
      <c r="E12970" s="7"/>
      <c r="F12970" s="7"/>
    </row>
    <row r="12971" spans="5:6" ht="15" customHeight="1" x14ac:dyDescent="0.2">
      <c r="E12971" s="7"/>
      <c r="F12971" s="7"/>
    </row>
    <row r="12972" spans="5:6" ht="15" customHeight="1" x14ac:dyDescent="0.2">
      <c r="E12972" s="7"/>
      <c r="F12972" s="7"/>
    </row>
    <row r="12973" spans="5:6" ht="15" customHeight="1" x14ac:dyDescent="0.2">
      <c r="E12973" s="7"/>
      <c r="F12973" s="7"/>
    </row>
    <row r="12974" spans="5:6" ht="15" customHeight="1" x14ac:dyDescent="0.2">
      <c r="E12974" s="7"/>
      <c r="F12974" s="7"/>
    </row>
    <row r="12975" spans="5:6" ht="15" customHeight="1" x14ac:dyDescent="0.2">
      <c r="E12975" s="7"/>
      <c r="F12975" s="7"/>
    </row>
    <row r="12976" spans="5:6" ht="15" customHeight="1" x14ac:dyDescent="0.2">
      <c r="E12976" s="7"/>
      <c r="F12976" s="7"/>
    </row>
    <row r="12977" spans="5:6" ht="15" customHeight="1" x14ac:dyDescent="0.2">
      <c r="E12977" s="7"/>
      <c r="F12977" s="7"/>
    </row>
    <row r="12978" spans="5:6" ht="15" customHeight="1" x14ac:dyDescent="0.2">
      <c r="E12978" s="7"/>
      <c r="F12978" s="7"/>
    </row>
    <row r="12979" spans="5:6" ht="15" customHeight="1" x14ac:dyDescent="0.2">
      <c r="E12979" s="7"/>
      <c r="F12979" s="7"/>
    </row>
    <row r="12980" spans="5:6" ht="15" customHeight="1" x14ac:dyDescent="0.2">
      <c r="E12980" s="7"/>
      <c r="F12980" s="7"/>
    </row>
    <row r="12981" spans="5:6" ht="15" customHeight="1" x14ac:dyDescent="0.2">
      <c r="E12981" s="7"/>
      <c r="F12981" s="7"/>
    </row>
    <row r="12982" spans="5:6" ht="15" customHeight="1" x14ac:dyDescent="0.2">
      <c r="E12982" s="7"/>
      <c r="F12982" s="7"/>
    </row>
    <row r="12983" spans="5:6" ht="15" customHeight="1" x14ac:dyDescent="0.2">
      <c r="E12983" s="7"/>
      <c r="F12983" s="7"/>
    </row>
    <row r="12984" spans="5:6" ht="15" customHeight="1" x14ac:dyDescent="0.2">
      <c r="E12984" s="7"/>
      <c r="F12984" s="7"/>
    </row>
    <row r="12985" spans="5:6" ht="15" customHeight="1" x14ac:dyDescent="0.2">
      <c r="E12985" s="7"/>
      <c r="F12985" s="7"/>
    </row>
    <row r="12986" spans="5:6" ht="15" customHeight="1" x14ac:dyDescent="0.2">
      <c r="E12986" s="7"/>
      <c r="F12986" s="7"/>
    </row>
    <row r="12987" spans="5:6" ht="15" customHeight="1" x14ac:dyDescent="0.2">
      <c r="E12987" s="7"/>
      <c r="F12987" s="7"/>
    </row>
    <row r="12988" spans="5:6" ht="15" customHeight="1" x14ac:dyDescent="0.2">
      <c r="E12988" s="7"/>
      <c r="F12988" s="7"/>
    </row>
    <row r="12989" spans="5:6" ht="15" customHeight="1" x14ac:dyDescent="0.2">
      <c r="E12989" s="7"/>
      <c r="F12989" s="7"/>
    </row>
    <row r="12990" spans="5:6" ht="15" customHeight="1" x14ac:dyDescent="0.2">
      <c r="E12990" s="7"/>
      <c r="F12990" s="7"/>
    </row>
    <row r="12991" spans="5:6" ht="15" customHeight="1" x14ac:dyDescent="0.2">
      <c r="E12991" s="7"/>
      <c r="F12991" s="7"/>
    </row>
    <row r="12992" spans="5:6" ht="15" customHeight="1" x14ac:dyDescent="0.2">
      <c r="E12992" s="7"/>
      <c r="F12992" s="7"/>
    </row>
    <row r="12993" spans="5:6" ht="15" customHeight="1" x14ac:dyDescent="0.2">
      <c r="E12993" s="7"/>
      <c r="F12993" s="7"/>
    </row>
    <row r="12994" spans="5:6" ht="15" customHeight="1" x14ac:dyDescent="0.2">
      <c r="E12994" s="7"/>
      <c r="F12994" s="7"/>
    </row>
    <row r="12995" spans="5:6" ht="15" customHeight="1" x14ac:dyDescent="0.2">
      <c r="E12995" s="7"/>
      <c r="F12995" s="7"/>
    </row>
    <row r="12996" spans="5:6" ht="15" customHeight="1" x14ac:dyDescent="0.2">
      <c r="E12996" s="7"/>
      <c r="F12996" s="7"/>
    </row>
    <row r="12997" spans="5:6" ht="15" customHeight="1" x14ac:dyDescent="0.2">
      <c r="E12997" s="7"/>
      <c r="F12997" s="7"/>
    </row>
    <row r="12998" spans="5:6" ht="15" customHeight="1" x14ac:dyDescent="0.2">
      <c r="E12998" s="7"/>
      <c r="F12998" s="7"/>
    </row>
    <row r="12999" spans="5:6" ht="15" customHeight="1" x14ac:dyDescent="0.2">
      <c r="E12999" s="7"/>
      <c r="F12999" s="7"/>
    </row>
    <row r="13000" spans="5:6" ht="15" customHeight="1" x14ac:dyDescent="0.2">
      <c r="E13000" s="7"/>
      <c r="F13000" s="7"/>
    </row>
    <row r="13001" spans="5:6" ht="15" customHeight="1" x14ac:dyDescent="0.2">
      <c r="E13001" s="7"/>
      <c r="F13001" s="7"/>
    </row>
    <row r="13002" spans="5:6" ht="15" customHeight="1" x14ac:dyDescent="0.2">
      <c r="E13002" s="7"/>
      <c r="F13002" s="7"/>
    </row>
    <row r="13003" spans="5:6" ht="15" customHeight="1" x14ac:dyDescent="0.2">
      <c r="E13003" s="7"/>
      <c r="F13003" s="7"/>
    </row>
    <row r="13004" spans="5:6" ht="15" customHeight="1" x14ac:dyDescent="0.2">
      <c r="E13004" s="7"/>
      <c r="F13004" s="7"/>
    </row>
    <row r="13005" spans="5:6" ht="15" customHeight="1" x14ac:dyDescent="0.2">
      <c r="E13005" s="7"/>
      <c r="F13005" s="7"/>
    </row>
    <row r="13006" spans="5:6" ht="15" customHeight="1" x14ac:dyDescent="0.2">
      <c r="E13006" s="7"/>
      <c r="F13006" s="7"/>
    </row>
    <row r="13007" spans="5:6" ht="15" customHeight="1" x14ac:dyDescent="0.2">
      <c r="E13007" s="7"/>
      <c r="F13007" s="7"/>
    </row>
    <row r="13008" spans="5:6" ht="15" customHeight="1" x14ac:dyDescent="0.2">
      <c r="E13008" s="7"/>
      <c r="F13008" s="7"/>
    </row>
    <row r="13009" spans="5:6" ht="15" customHeight="1" x14ac:dyDescent="0.2">
      <c r="E13009" s="7"/>
      <c r="F13009" s="7"/>
    </row>
    <row r="13010" spans="5:6" ht="15" customHeight="1" x14ac:dyDescent="0.2">
      <c r="E13010" s="7"/>
      <c r="F13010" s="7"/>
    </row>
    <row r="13011" spans="5:6" ht="15" customHeight="1" x14ac:dyDescent="0.2">
      <c r="E13011" s="7"/>
      <c r="F13011" s="7"/>
    </row>
    <row r="13012" spans="5:6" ht="15" customHeight="1" x14ac:dyDescent="0.2">
      <c r="E13012" s="7"/>
      <c r="F13012" s="7"/>
    </row>
    <row r="13013" spans="5:6" ht="15" customHeight="1" x14ac:dyDescent="0.2">
      <c r="E13013" s="7"/>
      <c r="F13013" s="7"/>
    </row>
    <row r="13014" spans="5:6" ht="15" customHeight="1" x14ac:dyDescent="0.2">
      <c r="E13014" s="7"/>
      <c r="F13014" s="7"/>
    </row>
    <row r="13015" spans="5:6" ht="15" customHeight="1" x14ac:dyDescent="0.2">
      <c r="E13015" s="7"/>
      <c r="F13015" s="7"/>
    </row>
    <row r="13016" spans="5:6" ht="15" customHeight="1" x14ac:dyDescent="0.2">
      <c r="E13016" s="7"/>
      <c r="F13016" s="7"/>
    </row>
    <row r="13017" spans="5:6" ht="15" customHeight="1" x14ac:dyDescent="0.2">
      <c r="E13017" s="7"/>
      <c r="F13017" s="7"/>
    </row>
    <row r="13018" spans="5:6" ht="15" customHeight="1" x14ac:dyDescent="0.2">
      <c r="E13018" s="7"/>
      <c r="F13018" s="7"/>
    </row>
    <row r="13019" spans="5:6" ht="15" customHeight="1" x14ac:dyDescent="0.2">
      <c r="E13019" s="7"/>
      <c r="F13019" s="7"/>
    </row>
    <row r="13020" spans="5:6" ht="15" customHeight="1" x14ac:dyDescent="0.2">
      <c r="E13020" s="7"/>
      <c r="F13020" s="7"/>
    </row>
    <row r="13021" spans="5:6" ht="15" customHeight="1" x14ac:dyDescent="0.2">
      <c r="E13021" s="7"/>
      <c r="F13021" s="7"/>
    </row>
    <row r="13022" spans="5:6" ht="15" customHeight="1" x14ac:dyDescent="0.2">
      <c r="E13022" s="7"/>
      <c r="F13022" s="7"/>
    </row>
    <row r="13023" spans="5:6" ht="15" customHeight="1" x14ac:dyDescent="0.2">
      <c r="E13023" s="7"/>
      <c r="F13023" s="7"/>
    </row>
    <row r="13024" spans="5:6" ht="15" customHeight="1" x14ac:dyDescent="0.2">
      <c r="E13024" s="7"/>
      <c r="F13024" s="7"/>
    </row>
    <row r="13025" spans="5:6" ht="15" customHeight="1" x14ac:dyDescent="0.2">
      <c r="E13025" s="7"/>
      <c r="F13025" s="7"/>
    </row>
    <row r="13026" spans="5:6" ht="15" customHeight="1" x14ac:dyDescent="0.2">
      <c r="E13026" s="7"/>
      <c r="F13026" s="7"/>
    </row>
    <row r="13027" spans="5:6" ht="15" customHeight="1" x14ac:dyDescent="0.2">
      <c r="E13027" s="7"/>
      <c r="F13027" s="7"/>
    </row>
    <row r="13028" spans="5:6" ht="15" customHeight="1" x14ac:dyDescent="0.2">
      <c r="E13028" s="7"/>
      <c r="F13028" s="7"/>
    </row>
    <row r="13029" spans="5:6" ht="15" customHeight="1" x14ac:dyDescent="0.2">
      <c r="E13029" s="7"/>
      <c r="F13029" s="7"/>
    </row>
    <row r="13030" spans="5:6" ht="15" customHeight="1" x14ac:dyDescent="0.2">
      <c r="E13030" s="7"/>
      <c r="F13030" s="7"/>
    </row>
    <row r="13031" spans="5:6" ht="15" customHeight="1" x14ac:dyDescent="0.2">
      <c r="E13031" s="7"/>
      <c r="F13031" s="7"/>
    </row>
    <row r="13032" spans="5:6" ht="15" customHeight="1" x14ac:dyDescent="0.2">
      <c r="E13032" s="7"/>
      <c r="F13032" s="7"/>
    </row>
    <row r="13033" spans="5:6" ht="15" customHeight="1" x14ac:dyDescent="0.2">
      <c r="E13033" s="7"/>
      <c r="F13033" s="7"/>
    </row>
    <row r="13034" spans="5:6" ht="15" customHeight="1" x14ac:dyDescent="0.2">
      <c r="E13034" s="7"/>
      <c r="F13034" s="7"/>
    </row>
    <row r="13035" spans="5:6" ht="15" customHeight="1" x14ac:dyDescent="0.2">
      <c r="E13035" s="7"/>
      <c r="F13035" s="7"/>
    </row>
    <row r="13036" spans="5:6" ht="15" customHeight="1" x14ac:dyDescent="0.2">
      <c r="E13036" s="7"/>
      <c r="F13036" s="7"/>
    </row>
    <row r="13037" spans="5:6" ht="15" customHeight="1" x14ac:dyDescent="0.2">
      <c r="E13037" s="7"/>
      <c r="F13037" s="7"/>
    </row>
    <row r="13038" spans="5:6" ht="15" customHeight="1" x14ac:dyDescent="0.2">
      <c r="E13038" s="7"/>
      <c r="F13038" s="7"/>
    </row>
    <row r="13039" spans="5:6" ht="15" customHeight="1" x14ac:dyDescent="0.2">
      <c r="E13039" s="7"/>
      <c r="F13039" s="7"/>
    </row>
    <row r="13040" spans="5:6" ht="15" customHeight="1" x14ac:dyDescent="0.2">
      <c r="E13040" s="7"/>
      <c r="F13040" s="7"/>
    </row>
    <row r="13041" spans="5:6" ht="15" customHeight="1" x14ac:dyDescent="0.2">
      <c r="E13041" s="7"/>
      <c r="F13041" s="7"/>
    </row>
    <row r="13042" spans="5:6" ht="15" customHeight="1" x14ac:dyDescent="0.2">
      <c r="E13042" s="7"/>
      <c r="F13042" s="7"/>
    </row>
    <row r="13043" spans="5:6" ht="15" customHeight="1" x14ac:dyDescent="0.2">
      <c r="E13043" s="7"/>
      <c r="F13043" s="7"/>
    </row>
    <row r="13044" spans="5:6" ht="15" customHeight="1" x14ac:dyDescent="0.2">
      <c r="E13044" s="7"/>
      <c r="F13044" s="7"/>
    </row>
    <row r="13045" spans="5:6" ht="15" customHeight="1" x14ac:dyDescent="0.2">
      <c r="E13045" s="7"/>
      <c r="F13045" s="7"/>
    </row>
    <row r="13046" spans="5:6" ht="15" customHeight="1" x14ac:dyDescent="0.2">
      <c r="E13046" s="7"/>
      <c r="F13046" s="7"/>
    </row>
    <row r="13047" spans="5:6" ht="15" customHeight="1" x14ac:dyDescent="0.2">
      <c r="E13047" s="7"/>
      <c r="F13047" s="7"/>
    </row>
    <row r="13048" spans="5:6" ht="15" customHeight="1" x14ac:dyDescent="0.2">
      <c r="E13048" s="7"/>
      <c r="F13048" s="7"/>
    </row>
    <row r="13049" spans="5:6" ht="15" customHeight="1" x14ac:dyDescent="0.2">
      <c r="E13049" s="7"/>
      <c r="F13049" s="7"/>
    </row>
    <row r="13050" spans="5:6" ht="15" customHeight="1" x14ac:dyDescent="0.2">
      <c r="E13050" s="7"/>
      <c r="F13050" s="7"/>
    </row>
    <row r="13051" spans="5:6" ht="15" customHeight="1" x14ac:dyDescent="0.2">
      <c r="E13051" s="7"/>
      <c r="F13051" s="7"/>
    </row>
    <row r="13052" spans="5:6" ht="15" customHeight="1" x14ac:dyDescent="0.2">
      <c r="E13052" s="7"/>
      <c r="F13052" s="7"/>
    </row>
    <row r="13053" spans="5:6" ht="15" customHeight="1" x14ac:dyDescent="0.2">
      <c r="E13053" s="7"/>
      <c r="F13053" s="7"/>
    </row>
    <row r="13054" spans="5:6" ht="15" customHeight="1" x14ac:dyDescent="0.2">
      <c r="E13054" s="7"/>
      <c r="F13054" s="7"/>
    </row>
    <row r="13055" spans="5:6" ht="15" customHeight="1" x14ac:dyDescent="0.2">
      <c r="E13055" s="7"/>
      <c r="F13055" s="7"/>
    </row>
    <row r="13056" spans="5:6" ht="15" customHeight="1" x14ac:dyDescent="0.2">
      <c r="E13056" s="7"/>
      <c r="F13056" s="7"/>
    </row>
    <row r="13057" spans="5:6" ht="15" customHeight="1" x14ac:dyDescent="0.2">
      <c r="E13057" s="7"/>
      <c r="F13057" s="7"/>
    </row>
    <row r="13058" spans="5:6" ht="15" customHeight="1" x14ac:dyDescent="0.2">
      <c r="E13058" s="7"/>
      <c r="F13058" s="7"/>
    </row>
    <row r="13059" spans="5:6" ht="15" customHeight="1" x14ac:dyDescent="0.2">
      <c r="E13059" s="7"/>
      <c r="F13059" s="7"/>
    </row>
    <row r="13060" spans="5:6" ht="15" customHeight="1" x14ac:dyDescent="0.2">
      <c r="E13060" s="7"/>
      <c r="F13060" s="7"/>
    </row>
    <row r="13061" spans="5:6" ht="15" customHeight="1" x14ac:dyDescent="0.2">
      <c r="E13061" s="7"/>
      <c r="F13061" s="7"/>
    </row>
    <row r="13062" spans="5:6" ht="15" customHeight="1" x14ac:dyDescent="0.2">
      <c r="E13062" s="7"/>
      <c r="F13062" s="7"/>
    </row>
    <row r="13063" spans="5:6" ht="15" customHeight="1" x14ac:dyDescent="0.2">
      <c r="E13063" s="7"/>
      <c r="F13063" s="7"/>
    </row>
    <row r="13064" spans="5:6" ht="15" customHeight="1" x14ac:dyDescent="0.2">
      <c r="E13064" s="7"/>
      <c r="F13064" s="7"/>
    </row>
    <row r="13065" spans="5:6" ht="15" customHeight="1" x14ac:dyDescent="0.2">
      <c r="E13065" s="7"/>
      <c r="F13065" s="7"/>
    </row>
    <row r="13066" spans="5:6" ht="15" customHeight="1" x14ac:dyDescent="0.2">
      <c r="E13066" s="7"/>
      <c r="F13066" s="7"/>
    </row>
    <row r="13067" spans="5:6" ht="15" customHeight="1" x14ac:dyDescent="0.2">
      <c r="E13067" s="7"/>
      <c r="F13067" s="7"/>
    </row>
    <row r="13068" spans="5:6" ht="15" customHeight="1" x14ac:dyDescent="0.2">
      <c r="E13068" s="7"/>
      <c r="F13068" s="7"/>
    </row>
    <row r="13069" spans="5:6" ht="15" customHeight="1" x14ac:dyDescent="0.2">
      <c r="E13069" s="7"/>
      <c r="F13069" s="7"/>
    </row>
    <row r="13070" spans="5:6" ht="15" customHeight="1" x14ac:dyDescent="0.2">
      <c r="E13070" s="7"/>
      <c r="F13070" s="7"/>
    </row>
    <row r="13071" spans="5:6" ht="15" customHeight="1" x14ac:dyDescent="0.2">
      <c r="E13071" s="7"/>
      <c r="F13071" s="7"/>
    </row>
    <row r="13072" spans="5:6" ht="15" customHeight="1" x14ac:dyDescent="0.2">
      <c r="E13072" s="7"/>
      <c r="F13072" s="7"/>
    </row>
    <row r="13073" spans="5:6" ht="15" customHeight="1" x14ac:dyDescent="0.2">
      <c r="E13073" s="7"/>
      <c r="F13073" s="7"/>
    </row>
    <row r="13074" spans="5:6" ht="15" customHeight="1" x14ac:dyDescent="0.2">
      <c r="E13074" s="7"/>
      <c r="F13074" s="7"/>
    </row>
    <row r="13075" spans="5:6" ht="15" customHeight="1" x14ac:dyDescent="0.2">
      <c r="E13075" s="7"/>
      <c r="F13075" s="7"/>
    </row>
    <row r="13076" spans="5:6" ht="15" customHeight="1" x14ac:dyDescent="0.2">
      <c r="E13076" s="7"/>
      <c r="F13076" s="7"/>
    </row>
    <row r="13077" spans="5:6" ht="15" customHeight="1" x14ac:dyDescent="0.2">
      <c r="E13077" s="7"/>
      <c r="F13077" s="7"/>
    </row>
    <row r="13078" spans="5:6" ht="15" customHeight="1" x14ac:dyDescent="0.2">
      <c r="E13078" s="7"/>
      <c r="F13078" s="7"/>
    </row>
    <row r="13079" spans="5:6" ht="15" customHeight="1" x14ac:dyDescent="0.2">
      <c r="E13079" s="7"/>
      <c r="F13079" s="7"/>
    </row>
    <row r="13080" spans="5:6" ht="15" customHeight="1" x14ac:dyDescent="0.2">
      <c r="E13080" s="7"/>
      <c r="F13080" s="7"/>
    </row>
    <row r="13081" spans="5:6" ht="15" customHeight="1" x14ac:dyDescent="0.2">
      <c r="E13081" s="7"/>
      <c r="F13081" s="7"/>
    </row>
    <row r="13082" spans="5:6" ht="15" customHeight="1" x14ac:dyDescent="0.2">
      <c r="E13082" s="7"/>
      <c r="F13082" s="7"/>
    </row>
    <row r="13083" spans="5:6" ht="15" customHeight="1" x14ac:dyDescent="0.2">
      <c r="E13083" s="7"/>
      <c r="F13083" s="7"/>
    </row>
    <row r="13084" spans="5:6" ht="15" customHeight="1" x14ac:dyDescent="0.2">
      <c r="E13084" s="7"/>
      <c r="F13084" s="7"/>
    </row>
    <row r="13085" spans="5:6" ht="15" customHeight="1" x14ac:dyDescent="0.2">
      <c r="E13085" s="7"/>
      <c r="F13085" s="7"/>
    </row>
    <row r="13086" spans="5:6" ht="15" customHeight="1" x14ac:dyDescent="0.2">
      <c r="E13086" s="7"/>
      <c r="F13086" s="7"/>
    </row>
    <row r="13087" spans="5:6" ht="15" customHeight="1" x14ac:dyDescent="0.2">
      <c r="E13087" s="7"/>
      <c r="F13087" s="7"/>
    </row>
    <row r="13088" spans="5:6" ht="15" customHeight="1" x14ac:dyDescent="0.2">
      <c r="E13088" s="7"/>
      <c r="F13088" s="7"/>
    </row>
    <row r="13089" spans="5:6" ht="15" customHeight="1" x14ac:dyDescent="0.2">
      <c r="E13089" s="7"/>
      <c r="F13089" s="7"/>
    </row>
    <row r="13090" spans="5:6" ht="15" customHeight="1" x14ac:dyDescent="0.2">
      <c r="E13090" s="7"/>
      <c r="F13090" s="7"/>
    </row>
    <row r="13091" spans="5:6" ht="15" customHeight="1" x14ac:dyDescent="0.2">
      <c r="E13091" s="7"/>
      <c r="F13091" s="7"/>
    </row>
    <row r="13092" spans="5:6" ht="15" customHeight="1" x14ac:dyDescent="0.2">
      <c r="E13092" s="7"/>
      <c r="F13092" s="7"/>
    </row>
    <row r="13093" spans="5:6" ht="15" customHeight="1" x14ac:dyDescent="0.2">
      <c r="E13093" s="7"/>
      <c r="F13093" s="7"/>
    </row>
    <row r="13094" spans="5:6" ht="15" customHeight="1" x14ac:dyDescent="0.2">
      <c r="E13094" s="7"/>
      <c r="F13094" s="7"/>
    </row>
    <row r="13095" spans="5:6" ht="15" customHeight="1" x14ac:dyDescent="0.2">
      <c r="E13095" s="7"/>
      <c r="F13095" s="7"/>
    </row>
    <row r="13096" spans="5:6" ht="15" customHeight="1" x14ac:dyDescent="0.2">
      <c r="E13096" s="7"/>
      <c r="F13096" s="7"/>
    </row>
    <row r="13097" spans="5:6" ht="15" customHeight="1" x14ac:dyDescent="0.2">
      <c r="E13097" s="7"/>
      <c r="F13097" s="7"/>
    </row>
    <row r="13098" spans="5:6" ht="15" customHeight="1" x14ac:dyDescent="0.2">
      <c r="E13098" s="7"/>
      <c r="F13098" s="7"/>
    </row>
    <row r="13099" spans="5:6" ht="15" customHeight="1" x14ac:dyDescent="0.2">
      <c r="E13099" s="7"/>
      <c r="F13099" s="7"/>
    </row>
    <row r="13100" spans="5:6" ht="15" customHeight="1" x14ac:dyDescent="0.2">
      <c r="E13100" s="7"/>
      <c r="F13100" s="7"/>
    </row>
    <row r="13101" spans="5:6" ht="15" customHeight="1" x14ac:dyDescent="0.2">
      <c r="E13101" s="7"/>
      <c r="F13101" s="7"/>
    </row>
    <row r="13102" spans="5:6" ht="15" customHeight="1" x14ac:dyDescent="0.2">
      <c r="E13102" s="7"/>
      <c r="F13102" s="7"/>
    </row>
    <row r="13103" spans="5:6" ht="15" customHeight="1" x14ac:dyDescent="0.2">
      <c r="E13103" s="7"/>
      <c r="F13103" s="7"/>
    </row>
    <row r="13104" spans="5:6" ht="15" customHeight="1" x14ac:dyDescent="0.2">
      <c r="E13104" s="7"/>
      <c r="F13104" s="7"/>
    </row>
    <row r="13105" spans="5:6" ht="15" customHeight="1" x14ac:dyDescent="0.2">
      <c r="E13105" s="7"/>
      <c r="F13105" s="7"/>
    </row>
    <row r="13106" spans="5:6" ht="15" customHeight="1" x14ac:dyDescent="0.2">
      <c r="E13106" s="7"/>
      <c r="F13106" s="7"/>
    </row>
    <row r="13107" spans="5:6" ht="15" customHeight="1" x14ac:dyDescent="0.2">
      <c r="E13107" s="7"/>
      <c r="F13107" s="7"/>
    </row>
    <row r="13108" spans="5:6" ht="15" customHeight="1" x14ac:dyDescent="0.2">
      <c r="E13108" s="7"/>
      <c r="F13108" s="7"/>
    </row>
    <row r="13109" spans="5:6" ht="15" customHeight="1" x14ac:dyDescent="0.2">
      <c r="E13109" s="7"/>
      <c r="F13109" s="7"/>
    </row>
    <row r="13110" spans="5:6" ht="15" customHeight="1" x14ac:dyDescent="0.2">
      <c r="E13110" s="7"/>
      <c r="F13110" s="7"/>
    </row>
    <row r="13111" spans="5:6" ht="15" customHeight="1" x14ac:dyDescent="0.2">
      <c r="E13111" s="7"/>
      <c r="F13111" s="7"/>
    </row>
    <row r="13112" spans="5:6" ht="15" customHeight="1" x14ac:dyDescent="0.2">
      <c r="E13112" s="7"/>
      <c r="F13112" s="7"/>
    </row>
    <row r="13113" spans="5:6" ht="15" customHeight="1" x14ac:dyDescent="0.2">
      <c r="E13113" s="7"/>
      <c r="F13113" s="7"/>
    </row>
    <row r="13114" spans="5:6" ht="15" customHeight="1" x14ac:dyDescent="0.2">
      <c r="E13114" s="7"/>
      <c r="F13114" s="7"/>
    </row>
    <row r="13115" spans="5:6" ht="15" customHeight="1" x14ac:dyDescent="0.2">
      <c r="E13115" s="7"/>
      <c r="F13115" s="7"/>
    </row>
    <row r="13116" spans="5:6" ht="15" customHeight="1" x14ac:dyDescent="0.2">
      <c r="E13116" s="7"/>
      <c r="F13116" s="7"/>
    </row>
    <row r="13117" spans="5:6" ht="15" customHeight="1" x14ac:dyDescent="0.2">
      <c r="E13117" s="7"/>
      <c r="F13117" s="7"/>
    </row>
    <row r="13118" spans="5:6" ht="15" customHeight="1" x14ac:dyDescent="0.2">
      <c r="E13118" s="7"/>
      <c r="F13118" s="7"/>
    </row>
    <row r="13119" spans="5:6" ht="15" customHeight="1" x14ac:dyDescent="0.2">
      <c r="E13119" s="7"/>
      <c r="F13119" s="7"/>
    </row>
    <row r="13120" spans="5:6" ht="15" customHeight="1" x14ac:dyDescent="0.2">
      <c r="E13120" s="7"/>
      <c r="F13120" s="7"/>
    </row>
    <row r="13121" spans="5:6" ht="15" customHeight="1" x14ac:dyDescent="0.2">
      <c r="E13121" s="7"/>
      <c r="F13121" s="7"/>
    </row>
    <row r="13122" spans="5:6" ht="15" customHeight="1" x14ac:dyDescent="0.2">
      <c r="E13122" s="7"/>
      <c r="F13122" s="7"/>
    </row>
    <row r="13123" spans="5:6" ht="15" customHeight="1" x14ac:dyDescent="0.2">
      <c r="E13123" s="7"/>
      <c r="F13123" s="7"/>
    </row>
    <row r="13124" spans="5:6" ht="15" customHeight="1" x14ac:dyDescent="0.2">
      <c r="E13124" s="7"/>
      <c r="F13124" s="7"/>
    </row>
    <row r="13125" spans="5:6" ht="15" customHeight="1" x14ac:dyDescent="0.2">
      <c r="E13125" s="7"/>
      <c r="F13125" s="7"/>
    </row>
    <row r="13126" spans="5:6" ht="15" customHeight="1" x14ac:dyDescent="0.2">
      <c r="E13126" s="7"/>
      <c r="F13126" s="7"/>
    </row>
    <row r="13127" spans="5:6" ht="15" customHeight="1" x14ac:dyDescent="0.2">
      <c r="E13127" s="7"/>
      <c r="F13127" s="7"/>
    </row>
    <row r="13128" spans="5:6" ht="15" customHeight="1" x14ac:dyDescent="0.2">
      <c r="E13128" s="7"/>
      <c r="F13128" s="7"/>
    </row>
    <row r="13129" spans="5:6" ht="15" customHeight="1" x14ac:dyDescent="0.2">
      <c r="E13129" s="7"/>
      <c r="F13129" s="7"/>
    </row>
    <row r="13130" spans="5:6" ht="15" customHeight="1" x14ac:dyDescent="0.2">
      <c r="E13130" s="7"/>
      <c r="F13130" s="7"/>
    </row>
    <row r="13131" spans="5:6" ht="15" customHeight="1" x14ac:dyDescent="0.2">
      <c r="E13131" s="7"/>
      <c r="F13131" s="7"/>
    </row>
    <row r="13132" spans="5:6" ht="15" customHeight="1" x14ac:dyDescent="0.2">
      <c r="E13132" s="7"/>
      <c r="F13132" s="7"/>
    </row>
    <row r="13133" spans="5:6" ht="15" customHeight="1" x14ac:dyDescent="0.2">
      <c r="E13133" s="7"/>
      <c r="F13133" s="7"/>
    </row>
    <row r="13134" spans="5:6" ht="15" customHeight="1" x14ac:dyDescent="0.2">
      <c r="E13134" s="7"/>
      <c r="F13134" s="7"/>
    </row>
    <row r="13135" spans="5:6" ht="15" customHeight="1" x14ac:dyDescent="0.2">
      <c r="E13135" s="7"/>
      <c r="F13135" s="7"/>
    </row>
    <row r="13136" spans="5:6" ht="15" customHeight="1" x14ac:dyDescent="0.2">
      <c r="E13136" s="7"/>
      <c r="F13136" s="7"/>
    </row>
    <row r="13137" spans="5:6" ht="15" customHeight="1" x14ac:dyDescent="0.2">
      <c r="E13137" s="7"/>
      <c r="F13137" s="7"/>
    </row>
    <row r="13138" spans="5:6" ht="15" customHeight="1" x14ac:dyDescent="0.2">
      <c r="E13138" s="7"/>
      <c r="F13138" s="7"/>
    </row>
    <row r="13139" spans="5:6" ht="15" customHeight="1" x14ac:dyDescent="0.2">
      <c r="E13139" s="7"/>
      <c r="F13139" s="7"/>
    </row>
    <row r="13140" spans="5:6" ht="15" customHeight="1" x14ac:dyDescent="0.2">
      <c r="E13140" s="7"/>
      <c r="F13140" s="7"/>
    </row>
    <row r="13141" spans="5:6" ht="15" customHeight="1" x14ac:dyDescent="0.2">
      <c r="E13141" s="7"/>
      <c r="F13141" s="7"/>
    </row>
    <row r="13142" spans="5:6" ht="15" customHeight="1" x14ac:dyDescent="0.2">
      <c r="E13142" s="7"/>
      <c r="F13142" s="7"/>
    </row>
    <row r="13143" spans="5:6" ht="15" customHeight="1" x14ac:dyDescent="0.2">
      <c r="E13143" s="7"/>
      <c r="F13143" s="7"/>
    </row>
    <row r="13144" spans="5:6" ht="15" customHeight="1" x14ac:dyDescent="0.2">
      <c r="E13144" s="7"/>
      <c r="F13144" s="7"/>
    </row>
    <row r="13145" spans="5:6" ht="15" customHeight="1" x14ac:dyDescent="0.2">
      <c r="E13145" s="7"/>
      <c r="F13145" s="7"/>
    </row>
    <row r="13146" spans="5:6" ht="15" customHeight="1" x14ac:dyDescent="0.2">
      <c r="E13146" s="7"/>
      <c r="F13146" s="7"/>
    </row>
    <row r="13147" spans="5:6" ht="15" customHeight="1" x14ac:dyDescent="0.2">
      <c r="E13147" s="7"/>
      <c r="F13147" s="7"/>
    </row>
    <row r="13148" spans="5:6" ht="15" customHeight="1" x14ac:dyDescent="0.2">
      <c r="E13148" s="7"/>
      <c r="F13148" s="7"/>
    </row>
    <row r="13149" spans="5:6" ht="15" customHeight="1" x14ac:dyDescent="0.2">
      <c r="E13149" s="7"/>
      <c r="F13149" s="7"/>
    </row>
    <row r="13150" spans="5:6" ht="15" customHeight="1" x14ac:dyDescent="0.2">
      <c r="E13150" s="7"/>
      <c r="F13150" s="7"/>
    </row>
    <row r="13151" spans="5:6" ht="15" customHeight="1" x14ac:dyDescent="0.2">
      <c r="E13151" s="7"/>
      <c r="F13151" s="7"/>
    </row>
    <row r="13152" spans="5:6" ht="15" customHeight="1" x14ac:dyDescent="0.2">
      <c r="E13152" s="7"/>
      <c r="F13152" s="7"/>
    </row>
    <row r="13153" spans="5:6" ht="15" customHeight="1" x14ac:dyDescent="0.2">
      <c r="E13153" s="7"/>
      <c r="F13153" s="7"/>
    </row>
    <row r="13154" spans="5:6" ht="15" customHeight="1" x14ac:dyDescent="0.2">
      <c r="E13154" s="7"/>
      <c r="F13154" s="7"/>
    </row>
    <row r="13155" spans="5:6" ht="15" customHeight="1" x14ac:dyDescent="0.2">
      <c r="E13155" s="7"/>
      <c r="F13155" s="7"/>
    </row>
    <row r="13156" spans="5:6" ht="15" customHeight="1" x14ac:dyDescent="0.2">
      <c r="E13156" s="7"/>
      <c r="F13156" s="7"/>
    </row>
    <row r="13157" spans="5:6" ht="15" customHeight="1" x14ac:dyDescent="0.2">
      <c r="E13157" s="7"/>
      <c r="F13157" s="7"/>
    </row>
    <row r="13158" spans="5:6" ht="15" customHeight="1" x14ac:dyDescent="0.2">
      <c r="E13158" s="7"/>
      <c r="F13158" s="7"/>
    </row>
    <row r="13159" spans="5:6" ht="15" customHeight="1" x14ac:dyDescent="0.2">
      <c r="E13159" s="7"/>
      <c r="F13159" s="7"/>
    </row>
    <row r="13160" spans="5:6" ht="15" customHeight="1" x14ac:dyDescent="0.2">
      <c r="E13160" s="7"/>
      <c r="F13160" s="7"/>
    </row>
    <row r="13161" spans="5:6" ht="15" customHeight="1" x14ac:dyDescent="0.2">
      <c r="E13161" s="7"/>
      <c r="F13161" s="7"/>
    </row>
    <row r="13162" spans="5:6" ht="15" customHeight="1" x14ac:dyDescent="0.2">
      <c r="E13162" s="7"/>
      <c r="F13162" s="7"/>
    </row>
    <row r="13163" spans="5:6" ht="15" customHeight="1" x14ac:dyDescent="0.2">
      <c r="E13163" s="7"/>
      <c r="F13163" s="7"/>
    </row>
    <row r="13164" spans="5:6" ht="15" customHeight="1" x14ac:dyDescent="0.2">
      <c r="E13164" s="7"/>
      <c r="F13164" s="7"/>
    </row>
    <row r="13165" spans="5:6" ht="15" customHeight="1" x14ac:dyDescent="0.2">
      <c r="E13165" s="7"/>
      <c r="F13165" s="7"/>
    </row>
    <row r="13166" spans="5:6" ht="15" customHeight="1" x14ac:dyDescent="0.2">
      <c r="E13166" s="7"/>
      <c r="F13166" s="7"/>
    </row>
    <row r="13167" spans="5:6" ht="15" customHeight="1" x14ac:dyDescent="0.2">
      <c r="E13167" s="7"/>
      <c r="F13167" s="7"/>
    </row>
    <row r="13168" spans="5:6" ht="15" customHeight="1" x14ac:dyDescent="0.2">
      <c r="E13168" s="7"/>
      <c r="F13168" s="7"/>
    </row>
    <row r="13169" spans="5:6" ht="15" customHeight="1" x14ac:dyDescent="0.2">
      <c r="E13169" s="7"/>
      <c r="F13169" s="7"/>
    </row>
    <row r="13170" spans="5:6" ht="15" customHeight="1" x14ac:dyDescent="0.2">
      <c r="E13170" s="7"/>
      <c r="F13170" s="7"/>
    </row>
    <row r="13171" spans="5:6" ht="15" customHeight="1" x14ac:dyDescent="0.2">
      <c r="E13171" s="7"/>
      <c r="F13171" s="7"/>
    </row>
    <row r="13172" spans="5:6" ht="15" customHeight="1" x14ac:dyDescent="0.2">
      <c r="E13172" s="7"/>
      <c r="F13172" s="7"/>
    </row>
    <row r="13173" spans="5:6" ht="15" customHeight="1" x14ac:dyDescent="0.2">
      <c r="E13173" s="7"/>
      <c r="F13173" s="7"/>
    </row>
    <row r="13174" spans="5:6" ht="15" customHeight="1" x14ac:dyDescent="0.2">
      <c r="E13174" s="7"/>
      <c r="F13174" s="7"/>
    </row>
    <row r="13175" spans="5:6" ht="15" customHeight="1" x14ac:dyDescent="0.2">
      <c r="E13175" s="7"/>
      <c r="F13175" s="7"/>
    </row>
    <row r="13176" spans="5:6" ht="15" customHeight="1" x14ac:dyDescent="0.2">
      <c r="E13176" s="7"/>
      <c r="F13176" s="7"/>
    </row>
    <row r="13177" spans="5:6" ht="15" customHeight="1" x14ac:dyDescent="0.2">
      <c r="E13177" s="7"/>
      <c r="F13177" s="7"/>
    </row>
    <row r="13178" spans="5:6" ht="15" customHeight="1" x14ac:dyDescent="0.2">
      <c r="E13178" s="7"/>
      <c r="F13178" s="7"/>
    </row>
    <row r="13179" spans="5:6" ht="15" customHeight="1" x14ac:dyDescent="0.2">
      <c r="E13179" s="7"/>
      <c r="F13179" s="7"/>
    </row>
    <row r="13180" spans="5:6" ht="15" customHeight="1" x14ac:dyDescent="0.2">
      <c r="E13180" s="7"/>
      <c r="F13180" s="7"/>
    </row>
    <row r="13181" spans="5:6" ht="15" customHeight="1" x14ac:dyDescent="0.2">
      <c r="E13181" s="7"/>
      <c r="F13181" s="7"/>
    </row>
    <row r="13182" spans="5:6" ht="15" customHeight="1" x14ac:dyDescent="0.2">
      <c r="E13182" s="7"/>
      <c r="F13182" s="7"/>
    </row>
    <row r="13183" spans="5:6" ht="15" customHeight="1" x14ac:dyDescent="0.2">
      <c r="E13183" s="7"/>
      <c r="F13183" s="7"/>
    </row>
    <row r="13184" spans="5:6" ht="15" customHeight="1" x14ac:dyDescent="0.2">
      <c r="E13184" s="7"/>
      <c r="F13184" s="7"/>
    </row>
    <row r="13185" spans="5:6" ht="15" customHeight="1" x14ac:dyDescent="0.2">
      <c r="E13185" s="7"/>
      <c r="F13185" s="7"/>
    </row>
    <row r="13186" spans="5:6" ht="15" customHeight="1" x14ac:dyDescent="0.2">
      <c r="E13186" s="7"/>
      <c r="F13186" s="7"/>
    </row>
    <row r="13187" spans="5:6" ht="15" customHeight="1" x14ac:dyDescent="0.2">
      <c r="E13187" s="7"/>
      <c r="F13187" s="7"/>
    </row>
    <row r="13188" spans="5:6" ht="15" customHeight="1" x14ac:dyDescent="0.2">
      <c r="E13188" s="7"/>
      <c r="F13188" s="7"/>
    </row>
    <row r="13189" spans="5:6" ht="15" customHeight="1" x14ac:dyDescent="0.2">
      <c r="E13189" s="7"/>
      <c r="F13189" s="7"/>
    </row>
    <row r="13190" spans="5:6" ht="15" customHeight="1" x14ac:dyDescent="0.2">
      <c r="E13190" s="7"/>
      <c r="F13190" s="7"/>
    </row>
    <row r="13191" spans="5:6" ht="15" customHeight="1" x14ac:dyDescent="0.2">
      <c r="E13191" s="7"/>
      <c r="F13191" s="7"/>
    </row>
    <row r="13192" spans="5:6" ht="15" customHeight="1" x14ac:dyDescent="0.2">
      <c r="E13192" s="7"/>
      <c r="F13192" s="7"/>
    </row>
    <row r="13193" spans="5:6" ht="15" customHeight="1" x14ac:dyDescent="0.2">
      <c r="E13193" s="7"/>
      <c r="F13193" s="7"/>
    </row>
    <row r="13194" spans="5:6" ht="15" customHeight="1" x14ac:dyDescent="0.2">
      <c r="E13194" s="7"/>
      <c r="F13194" s="7"/>
    </row>
    <row r="13195" spans="5:6" ht="15" customHeight="1" x14ac:dyDescent="0.2">
      <c r="E13195" s="7"/>
      <c r="F13195" s="7"/>
    </row>
    <row r="13196" spans="5:6" ht="15" customHeight="1" x14ac:dyDescent="0.2">
      <c r="E13196" s="7"/>
      <c r="F13196" s="7"/>
    </row>
    <row r="13197" spans="5:6" ht="15" customHeight="1" x14ac:dyDescent="0.2">
      <c r="E13197" s="7"/>
      <c r="F13197" s="7"/>
    </row>
    <row r="13198" spans="5:6" ht="15" customHeight="1" x14ac:dyDescent="0.2">
      <c r="E13198" s="7"/>
      <c r="F13198" s="7"/>
    </row>
    <row r="13199" spans="5:6" ht="15" customHeight="1" x14ac:dyDescent="0.2">
      <c r="E13199" s="7"/>
      <c r="F13199" s="7"/>
    </row>
    <row r="13200" spans="5:6" ht="15" customHeight="1" x14ac:dyDescent="0.2">
      <c r="E13200" s="7"/>
      <c r="F13200" s="7"/>
    </row>
    <row r="13201" spans="5:6" ht="15" customHeight="1" x14ac:dyDescent="0.2">
      <c r="E13201" s="7"/>
      <c r="F13201" s="7"/>
    </row>
    <row r="13202" spans="5:6" ht="15" customHeight="1" x14ac:dyDescent="0.2">
      <c r="E13202" s="7"/>
      <c r="F13202" s="7"/>
    </row>
    <row r="13203" spans="5:6" ht="15" customHeight="1" x14ac:dyDescent="0.2">
      <c r="E13203" s="7"/>
      <c r="F13203" s="7"/>
    </row>
    <row r="13204" spans="5:6" ht="15" customHeight="1" x14ac:dyDescent="0.2">
      <c r="E13204" s="7"/>
      <c r="F13204" s="7"/>
    </row>
    <row r="13205" spans="5:6" ht="15" customHeight="1" x14ac:dyDescent="0.2">
      <c r="E13205" s="7"/>
      <c r="F13205" s="7"/>
    </row>
    <row r="13206" spans="5:6" ht="15" customHeight="1" x14ac:dyDescent="0.2">
      <c r="E13206" s="7"/>
      <c r="F13206" s="7"/>
    </row>
    <row r="13207" spans="5:6" ht="15" customHeight="1" x14ac:dyDescent="0.2">
      <c r="E13207" s="7"/>
      <c r="F13207" s="7"/>
    </row>
    <row r="13208" spans="5:6" ht="15" customHeight="1" x14ac:dyDescent="0.2">
      <c r="E13208" s="7"/>
      <c r="F13208" s="7"/>
    </row>
    <row r="13209" spans="5:6" ht="15" customHeight="1" x14ac:dyDescent="0.2">
      <c r="E13209" s="7"/>
      <c r="F13209" s="7"/>
    </row>
    <row r="13210" spans="5:6" ht="15" customHeight="1" x14ac:dyDescent="0.2">
      <c r="E13210" s="7"/>
      <c r="F13210" s="7"/>
    </row>
    <row r="13211" spans="5:6" ht="15" customHeight="1" x14ac:dyDescent="0.2">
      <c r="E13211" s="7"/>
      <c r="F13211" s="7"/>
    </row>
    <row r="13212" spans="5:6" ht="15" customHeight="1" x14ac:dyDescent="0.2">
      <c r="E13212" s="7"/>
      <c r="F13212" s="7"/>
    </row>
    <row r="13213" spans="5:6" ht="15" customHeight="1" x14ac:dyDescent="0.2">
      <c r="E13213" s="7"/>
      <c r="F13213" s="7"/>
    </row>
    <row r="13214" spans="5:6" ht="15" customHeight="1" x14ac:dyDescent="0.2">
      <c r="E13214" s="7"/>
      <c r="F13214" s="7"/>
    </row>
    <row r="13215" spans="5:6" ht="15" customHeight="1" x14ac:dyDescent="0.2">
      <c r="E13215" s="7"/>
      <c r="F13215" s="7"/>
    </row>
    <row r="13216" spans="5:6" ht="15" customHeight="1" x14ac:dyDescent="0.2">
      <c r="E13216" s="7"/>
      <c r="F13216" s="7"/>
    </row>
    <row r="13217" spans="5:6" ht="15" customHeight="1" x14ac:dyDescent="0.2">
      <c r="E13217" s="7"/>
      <c r="F13217" s="7"/>
    </row>
    <row r="13218" spans="5:6" ht="15" customHeight="1" x14ac:dyDescent="0.2">
      <c r="E13218" s="7"/>
      <c r="F13218" s="7"/>
    </row>
    <row r="13219" spans="5:6" ht="15" customHeight="1" x14ac:dyDescent="0.2">
      <c r="E13219" s="7"/>
      <c r="F13219" s="7"/>
    </row>
    <row r="13220" spans="5:6" ht="15" customHeight="1" x14ac:dyDescent="0.2">
      <c r="E13220" s="7"/>
      <c r="F13220" s="7"/>
    </row>
    <row r="13221" spans="5:6" ht="15" customHeight="1" x14ac:dyDescent="0.2">
      <c r="E13221" s="7"/>
      <c r="F13221" s="7"/>
    </row>
    <row r="13222" spans="5:6" ht="15" customHeight="1" x14ac:dyDescent="0.2">
      <c r="E13222" s="7"/>
      <c r="F13222" s="7"/>
    </row>
    <row r="13223" spans="5:6" ht="15" customHeight="1" x14ac:dyDescent="0.2">
      <c r="E13223" s="7"/>
      <c r="F13223" s="7"/>
    </row>
    <row r="13224" spans="5:6" ht="15" customHeight="1" x14ac:dyDescent="0.2">
      <c r="E13224" s="7"/>
      <c r="F13224" s="7"/>
    </row>
    <row r="13225" spans="5:6" ht="15" customHeight="1" x14ac:dyDescent="0.2">
      <c r="E13225" s="7"/>
      <c r="F13225" s="7"/>
    </row>
    <row r="13226" spans="5:6" ht="15" customHeight="1" x14ac:dyDescent="0.2">
      <c r="E13226" s="7"/>
      <c r="F13226" s="7"/>
    </row>
    <row r="13227" spans="5:6" ht="15" customHeight="1" x14ac:dyDescent="0.2">
      <c r="E13227" s="7"/>
      <c r="F13227" s="7"/>
    </row>
    <row r="13228" spans="5:6" ht="15" customHeight="1" x14ac:dyDescent="0.2">
      <c r="E13228" s="7"/>
      <c r="F13228" s="7"/>
    </row>
    <row r="13229" spans="5:6" ht="15" customHeight="1" x14ac:dyDescent="0.2">
      <c r="E13229" s="7"/>
      <c r="F13229" s="7"/>
    </row>
    <row r="13230" spans="5:6" ht="15" customHeight="1" x14ac:dyDescent="0.2">
      <c r="E13230" s="7"/>
      <c r="F13230" s="7"/>
    </row>
    <row r="13231" spans="5:6" ht="15" customHeight="1" x14ac:dyDescent="0.2">
      <c r="E13231" s="7"/>
      <c r="F13231" s="7"/>
    </row>
    <row r="13232" spans="5:6" ht="15" customHeight="1" x14ac:dyDescent="0.2">
      <c r="E13232" s="7"/>
      <c r="F13232" s="7"/>
    </row>
    <row r="13233" spans="5:6" ht="15" customHeight="1" x14ac:dyDescent="0.2">
      <c r="E13233" s="7"/>
      <c r="F13233" s="7"/>
    </row>
    <row r="13234" spans="5:6" ht="15" customHeight="1" x14ac:dyDescent="0.2">
      <c r="E13234" s="7"/>
      <c r="F13234" s="7"/>
    </row>
    <row r="13235" spans="5:6" ht="15" customHeight="1" x14ac:dyDescent="0.2">
      <c r="E13235" s="7"/>
      <c r="F13235" s="7"/>
    </row>
    <row r="13236" spans="5:6" ht="15" customHeight="1" x14ac:dyDescent="0.2">
      <c r="E13236" s="7"/>
      <c r="F13236" s="7"/>
    </row>
    <row r="13237" spans="5:6" ht="15" customHeight="1" x14ac:dyDescent="0.2">
      <c r="E13237" s="7"/>
      <c r="F13237" s="7"/>
    </row>
    <row r="13238" spans="5:6" ht="15" customHeight="1" x14ac:dyDescent="0.2">
      <c r="E13238" s="7"/>
      <c r="F13238" s="7"/>
    </row>
    <row r="13239" spans="5:6" ht="15" customHeight="1" x14ac:dyDescent="0.2">
      <c r="E13239" s="7"/>
      <c r="F13239" s="7"/>
    </row>
    <row r="13240" spans="5:6" ht="15" customHeight="1" x14ac:dyDescent="0.2">
      <c r="E13240" s="7"/>
      <c r="F13240" s="7"/>
    </row>
    <row r="13241" spans="5:6" ht="15" customHeight="1" x14ac:dyDescent="0.2">
      <c r="E13241" s="7"/>
      <c r="F13241" s="7"/>
    </row>
    <row r="13242" spans="5:6" ht="15" customHeight="1" x14ac:dyDescent="0.2">
      <c r="E13242" s="7"/>
      <c r="F13242" s="7"/>
    </row>
    <row r="13243" spans="5:6" ht="15" customHeight="1" x14ac:dyDescent="0.2">
      <c r="E13243" s="7"/>
      <c r="F13243" s="7"/>
    </row>
    <row r="13244" spans="5:6" ht="15" customHeight="1" x14ac:dyDescent="0.2">
      <c r="E13244" s="7"/>
      <c r="F13244" s="7"/>
    </row>
    <row r="13245" spans="5:6" ht="15" customHeight="1" x14ac:dyDescent="0.2">
      <c r="E13245" s="7"/>
      <c r="F13245" s="7"/>
    </row>
    <row r="13246" spans="5:6" ht="15" customHeight="1" x14ac:dyDescent="0.2">
      <c r="E13246" s="7"/>
      <c r="F13246" s="7"/>
    </row>
    <row r="13247" spans="5:6" ht="15" customHeight="1" x14ac:dyDescent="0.2">
      <c r="E13247" s="7"/>
      <c r="F13247" s="7"/>
    </row>
    <row r="13248" spans="5:6" ht="15" customHeight="1" x14ac:dyDescent="0.2">
      <c r="E13248" s="7"/>
      <c r="F13248" s="7"/>
    </row>
    <row r="13249" spans="5:6" ht="15" customHeight="1" x14ac:dyDescent="0.2">
      <c r="E13249" s="7"/>
      <c r="F13249" s="7"/>
    </row>
    <row r="13250" spans="5:6" ht="15" customHeight="1" x14ac:dyDescent="0.2">
      <c r="E13250" s="7"/>
      <c r="F13250" s="7"/>
    </row>
    <row r="13251" spans="5:6" ht="15" customHeight="1" x14ac:dyDescent="0.2">
      <c r="E13251" s="7"/>
      <c r="F13251" s="7"/>
    </row>
    <row r="13252" spans="5:6" ht="15" customHeight="1" x14ac:dyDescent="0.2">
      <c r="E13252" s="7"/>
      <c r="F13252" s="7"/>
    </row>
    <row r="13253" spans="5:6" ht="15" customHeight="1" x14ac:dyDescent="0.2">
      <c r="E13253" s="7"/>
      <c r="F13253" s="7"/>
    </row>
    <row r="13254" spans="5:6" ht="15" customHeight="1" x14ac:dyDescent="0.2">
      <c r="E13254" s="7"/>
      <c r="F13254" s="7"/>
    </row>
    <row r="13255" spans="5:6" ht="15" customHeight="1" x14ac:dyDescent="0.2">
      <c r="E13255" s="7"/>
      <c r="F13255" s="7"/>
    </row>
    <row r="13256" spans="5:6" ht="15" customHeight="1" x14ac:dyDescent="0.2">
      <c r="E13256" s="7"/>
      <c r="F13256" s="7"/>
    </row>
    <row r="13257" spans="5:6" ht="15" customHeight="1" x14ac:dyDescent="0.2">
      <c r="E13257" s="7"/>
      <c r="F13257" s="7"/>
    </row>
    <row r="13258" spans="5:6" ht="15" customHeight="1" x14ac:dyDescent="0.2">
      <c r="E13258" s="7"/>
      <c r="F13258" s="7"/>
    </row>
    <row r="13259" spans="5:6" ht="15" customHeight="1" x14ac:dyDescent="0.2">
      <c r="E13259" s="7"/>
      <c r="F13259" s="7"/>
    </row>
    <row r="13260" spans="5:6" ht="15" customHeight="1" x14ac:dyDescent="0.2">
      <c r="E13260" s="7"/>
      <c r="F13260" s="7"/>
    </row>
    <row r="13261" spans="5:6" ht="15" customHeight="1" x14ac:dyDescent="0.2">
      <c r="E13261" s="7"/>
      <c r="F13261" s="7"/>
    </row>
    <row r="13262" spans="5:6" ht="15" customHeight="1" x14ac:dyDescent="0.2">
      <c r="E13262" s="7"/>
      <c r="F13262" s="7"/>
    </row>
    <row r="13263" spans="5:6" ht="15" customHeight="1" x14ac:dyDescent="0.2">
      <c r="E13263" s="7"/>
      <c r="F13263" s="7"/>
    </row>
    <row r="13264" spans="5:6" ht="15" customHeight="1" x14ac:dyDescent="0.2">
      <c r="E13264" s="7"/>
      <c r="F13264" s="7"/>
    </row>
    <row r="13265" spans="5:6" ht="15" customHeight="1" x14ac:dyDescent="0.2">
      <c r="E13265" s="7"/>
      <c r="F13265" s="7"/>
    </row>
    <row r="13266" spans="5:6" ht="15" customHeight="1" x14ac:dyDescent="0.2">
      <c r="E13266" s="7"/>
      <c r="F13266" s="7"/>
    </row>
    <row r="13267" spans="5:6" ht="15" customHeight="1" x14ac:dyDescent="0.2">
      <c r="E13267" s="7"/>
      <c r="F13267" s="7"/>
    </row>
    <row r="13268" spans="5:6" ht="15" customHeight="1" x14ac:dyDescent="0.2">
      <c r="E13268" s="7"/>
      <c r="F13268" s="7"/>
    </row>
    <row r="13269" spans="5:6" ht="15" customHeight="1" x14ac:dyDescent="0.2">
      <c r="E13269" s="7"/>
      <c r="F13269" s="7"/>
    </row>
    <row r="13270" spans="5:6" ht="15" customHeight="1" x14ac:dyDescent="0.2">
      <c r="E13270" s="7"/>
      <c r="F13270" s="7"/>
    </row>
    <row r="13271" spans="5:6" ht="15" customHeight="1" x14ac:dyDescent="0.2">
      <c r="E13271" s="7"/>
      <c r="F13271" s="7"/>
    </row>
    <row r="13272" spans="5:6" ht="15" customHeight="1" x14ac:dyDescent="0.2">
      <c r="E13272" s="7"/>
      <c r="F13272" s="7"/>
    </row>
    <row r="13273" spans="5:6" ht="15" customHeight="1" x14ac:dyDescent="0.2">
      <c r="E13273" s="7"/>
      <c r="F13273" s="7"/>
    </row>
    <row r="13274" spans="5:6" ht="15" customHeight="1" x14ac:dyDescent="0.2">
      <c r="E13274" s="7"/>
      <c r="F13274" s="7"/>
    </row>
    <row r="13275" spans="5:6" ht="15" customHeight="1" x14ac:dyDescent="0.2">
      <c r="E13275" s="7"/>
      <c r="F13275" s="7"/>
    </row>
    <row r="13276" spans="5:6" ht="15" customHeight="1" x14ac:dyDescent="0.2">
      <c r="E13276" s="7"/>
      <c r="F13276" s="7"/>
    </row>
    <row r="13277" spans="5:6" ht="15" customHeight="1" x14ac:dyDescent="0.2">
      <c r="E13277" s="7"/>
      <c r="F13277" s="7"/>
    </row>
    <row r="13278" spans="5:6" ht="15" customHeight="1" x14ac:dyDescent="0.2">
      <c r="E13278" s="7"/>
      <c r="F13278" s="7"/>
    </row>
    <row r="13279" spans="5:6" ht="15" customHeight="1" x14ac:dyDescent="0.2">
      <c r="E13279" s="7"/>
      <c r="F13279" s="7"/>
    </row>
    <row r="13280" spans="5:6" ht="15" customHeight="1" x14ac:dyDescent="0.2">
      <c r="E13280" s="7"/>
      <c r="F13280" s="7"/>
    </row>
    <row r="13281" spans="5:6" ht="15" customHeight="1" x14ac:dyDescent="0.2">
      <c r="E13281" s="7"/>
      <c r="F13281" s="7"/>
    </row>
    <row r="13282" spans="5:6" ht="15" customHeight="1" x14ac:dyDescent="0.2">
      <c r="E13282" s="7"/>
      <c r="F13282" s="7"/>
    </row>
    <row r="13283" spans="5:6" ht="15" customHeight="1" x14ac:dyDescent="0.2">
      <c r="E13283" s="7"/>
      <c r="F13283" s="7"/>
    </row>
    <row r="13284" spans="5:6" ht="15" customHeight="1" x14ac:dyDescent="0.2">
      <c r="E13284" s="7"/>
      <c r="F13284" s="7"/>
    </row>
    <row r="13285" spans="5:6" ht="15" customHeight="1" x14ac:dyDescent="0.2">
      <c r="E13285" s="7"/>
      <c r="F13285" s="7"/>
    </row>
    <row r="13286" spans="5:6" ht="15" customHeight="1" x14ac:dyDescent="0.2">
      <c r="E13286" s="7"/>
      <c r="F13286" s="7"/>
    </row>
    <row r="13287" spans="5:6" ht="15" customHeight="1" x14ac:dyDescent="0.2">
      <c r="E13287" s="7"/>
      <c r="F13287" s="7"/>
    </row>
    <row r="13288" spans="5:6" ht="15" customHeight="1" x14ac:dyDescent="0.2">
      <c r="E13288" s="7"/>
      <c r="F13288" s="7"/>
    </row>
    <row r="13289" spans="5:6" ht="15" customHeight="1" x14ac:dyDescent="0.2">
      <c r="E13289" s="7"/>
      <c r="F13289" s="7"/>
    </row>
    <row r="13290" spans="5:6" ht="15" customHeight="1" x14ac:dyDescent="0.2">
      <c r="E13290" s="7"/>
      <c r="F13290" s="7"/>
    </row>
    <row r="13291" spans="5:6" ht="15" customHeight="1" x14ac:dyDescent="0.2">
      <c r="E13291" s="7"/>
      <c r="F13291" s="7"/>
    </row>
    <row r="13292" spans="5:6" ht="15" customHeight="1" x14ac:dyDescent="0.2">
      <c r="E13292" s="7"/>
      <c r="F13292" s="7"/>
    </row>
    <row r="13293" spans="5:6" ht="15" customHeight="1" x14ac:dyDescent="0.2">
      <c r="E13293" s="7"/>
      <c r="F13293" s="7"/>
    </row>
    <row r="13294" spans="5:6" ht="15" customHeight="1" x14ac:dyDescent="0.2">
      <c r="E13294" s="7"/>
      <c r="F13294" s="7"/>
    </row>
    <row r="13295" spans="5:6" ht="15" customHeight="1" x14ac:dyDescent="0.2">
      <c r="E13295" s="7"/>
      <c r="F13295" s="7"/>
    </row>
    <row r="13296" spans="5:6" ht="15" customHeight="1" x14ac:dyDescent="0.2">
      <c r="E13296" s="7"/>
      <c r="F13296" s="7"/>
    </row>
    <row r="13297" spans="5:6" ht="15" customHeight="1" x14ac:dyDescent="0.2">
      <c r="E13297" s="7"/>
      <c r="F13297" s="7"/>
    </row>
    <row r="13298" spans="5:6" ht="15" customHeight="1" x14ac:dyDescent="0.2">
      <c r="E13298" s="7"/>
      <c r="F13298" s="7"/>
    </row>
    <row r="13299" spans="5:6" ht="15" customHeight="1" x14ac:dyDescent="0.2">
      <c r="E13299" s="7"/>
      <c r="F13299" s="7"/>
    </row>
    <row r="13300" spans="5:6" ht="15" customHeight="1" x14ac:dyDescent="0.2">
      <c r="E13300" s="7"/>
      <c r="F13300" s="7"/>
    </row>
    <row r="13301" spans="5:6" ht="15" customHeight="1" x14ac:dyDescent="0.2">
      <c r="E13301" s="7"/>
      <c r="F13301" s="7"/>
    </row>
    <row r="13302" spans="5:6" ht="15" customHeight="1" x14ac:dyDescent="0.2">
      <c r="E13302" s="7"/>
      <c r="F13302" s="7"/>
    </row>
    <row r="13303" spans="5:6" ht="15" customHeight="1" x14ac:dyDescent="0.2">
      <c r="E13303" s="7"/>
      <c r="F13303" s="7"/>
    </row>
    <row r="13304" spans="5:6" ht="15" customHeight="1" x14ac:dyDescent="0.2">
      <c r="E13304" s="7"/>
      <c r="F13304" s="7"/>
    </row>
    <row r="13305" spans="5:6" ht="15" customHeight="1" x14ac:dyDescent="0.2">
      <c r="E13305" s="7"/>
      <c r="F13305" s="7"/>
    </row>
    <row r="13306" spans="5:6" ht="15" customHeight="1" x14ac:dyDescent="0.2">
      <c r="E13306" s="7"/>
      <c r="F13306" s="7"/>
    </row>
    <row r="13307" spans="5:6" ht="15" customHeight="1" x14ac:dyDescent="0.2">
      <c r="E13307" s="7"/>
      <c r="F13307" s="7"/>
    </row>
    <row r="13308" spans="5:6" ht="15" customHeight="1" x14ac:dyDescent="0.2">
      <c r="E13308" s="7"/>
      <c r="F13308" s="7"/>
    </row>
    <row r="13309" spans="5:6" ht="15" customHeight="1" x14ac:dyDescent="0.2">
      <c r="E13309" s="7"/>
      <c r="F13309" s="7"/>
    </row>
    <row r="13310" spans="5:6" ht="15" customHeight="1" x14ac:dyDescent="0.2">
      <c r="E13310" s="7"/>
      <c r="F13310" s="7"/>
    </row>
    <row r="13311" spans="5:6" ht="15" customHeight="1" x14ac:dyDescent="0.2">
      <c r="E13311" s="7"/>
      <c r="F13311" s="7"/>
    </row>
    <row r="13312" spans="5:6" ht="15" customHeight="1" x14ac:dyDescent="0.2">
      <c r="E13312" s="7"/>
      <c r="F13312" s="7"/>
    </row>
    <row r="13313" spans="5:6" ht="15" customHeight="1" x14ac:dyDescent="0.2">
      <c r="E13313" s="7"/>
      <c r="F13313" s="7"/>
    </row>
    <row r="13314" spans="5:6" ht="15" customHeight="1" x14ac:dyDescent="0.2">
      <c r="E13314" s="7"/>
      <c r="F13314" s="7"/>
    </row>
    <row r="13315" spans="5:6" ht="15" customHeight="1" x14ac:dyDescent="0.2">
      <c r="E13315" s="7"/>
      <c r="F13315" s="7"/>
    </row>
    <row r="13316" spans="5:6" ht="15" customHeight="1" x14ac:dyDescent="0.2">
      <c r="E13316" s="7"/>
      <c r="F13316" s="7"/>
    </row>
    <row r="13317" spans="5:6" ht="15" customHeight="1" x14ac:dyDescent="0.2">
      <c r="E13317" s="7"/>
      <c r="F13317" s="7"/>
    </row>
    <row r="13318" spans="5:6" ht="15" customHeight="1" x14ac:dyDescent="0.2">
      <c r="E13318" s="7"/>
      <c r="F13318" s="7"/>
    </row>
    <row r="13319" spans="5:6" ht="15" customHeight="1" x14ac:dyDescent="0.2">
      <c r="E13319" s="7"/>
      <c r="F13319" s="7"/>
    </row>
    <row r="13320" spans="5:6" ht="15" customHeight="1" x14ac:dyDescent="0.2">
      <c r="E13320" s="7"/>
      <c r="F13320" s="7"/>
    </row>
    <row r="13321" spans="5:6" ht="15" customHeight="1" x14ac:dyDescent="0.2">
      <c r="E13321" s="7"/>
      <c r="F13321" s="7"/>
    </row>
    <row r="13322" spans="5:6" ht="15" customHeight="1" x14ac:dyDescent="0.2">
      <c r="E13322" s="7"/>
      <c r="F13322" s="7"/>
    </row>
    <row r="13323" spans="5:6" ht="15" customHeight="1" x14ac:dyDescent="0.2">
      <c r="E13323" s="7"/>
      <c r="F13323" s="7"/>
    </row>
    <row r="13324" spans="5:6" ht="15" customHeight="1" x14ac:dyDescent="0.2">
      <c r="E13324" s="7"/>
      <c r="F13324" s="7"/>
    </row>
    <row r="13325" spans="5:6" ht="15" customHeight="1" x14ac:dyDescent="0.2">
      <c r="E13325" s="7"/>
      <c r="F13325" s="7"/>
    </row>
    <row r="13326" spans="5:6" ht="15" customHeight="1" x14ac:dyDescent="0.2">
      <c r="E13326" s="7"/>
      <c r="F13326" s="7"/>
    </row>
    <row r="13327" spans="5:6" ht="15" customHeight="1" x14ac:dyDescent="0.2">
      <c r="E13327" s="7"/>
      <c r="F13327" s="7"/>
    </row>
    <row r="13328" spans="5:6" ht="15" customHeight="1" x14ac:dyDescent="0.2">
      <c r="E13328" s="7"/>
      <c r="F13328" s="7"/>
    </row>
    <row r="13329" spans="5:6" ht="15" customHeight="1" x14ac:dyDescent="0.2">
      <c r="E13329" s="7"/>
      <c r="F13329" s="7"/>
    </row>
    <row r="13330" spans="5:6" ht="15" customHeight="1" x14ac:dyDescent="0.2">
      <c r="E13330" s="7"/>
      <c r="F13330" s="7"/>
    </row>
    <row r="13331" spans="5:6" ht="15" customHeight="1" x14ac:dyDescent="0.2">
      <c r="E13331" s="7"/>
      <c r="F13331" s="7"/>
    </row>
    <row r="13332" spans="5:6" ht="15" customHeight="1" x14ac:dyDescent="0.2">
      <c r="E13332" s="7"/>
      <c r="F13332" s="7"/>
    </row>
    <row r="13333" spans="5:6" ht="15" customHeight="1" x14ac:dyDescent="0.2">
      <c r="E13333" s="7"/>
      <c r="F13333" s="7"/>
    </row>
    <row r="13334" spans="5:6" ht="15" customHeight="1" x14ac:dyDescent="0.2">
      <c r="E13334" s="7"/>
      <c r="F13334" s="7"/>
    </row>
    <row r="13335" spans="5:6" ht="15" customHeight="1" x14ac:dyDescent="0.2">
      <c r="E13335" s="7"/>
      <c r="F13335" s="7"/>
    </row>
    <row r="13336" spans="5:6" ht="15" customHeight="1" x14ac:dyDescent="0.2">
      <c r="E13336" s="7"/>
      <c r="F13336" s="7"/>
    </row>
    <row r="13337" spans="5:6" ht="15" customHeight="1" x14ac:dyDescent="0.2">
      <c r="E13337" s="7"/>
      <c r="F13337" s="7"/>
    </row>
    <row r="13338" spans="5:6" ht="15" customHeight="1" x14ac:dyDescent="0.2">
      <c r="E13338" s="7"/>
      <c r="F13338" s="7"/>
    </row>
    <row r="13339" spans="5:6" ht="15" customHeight="1" x14ac:dyDescent="0.2">
      <c r="E13339" s="7"/>
      <c r="F13339" s="7"/>
    </row>
    <row r="13340" spans="5:6" ht="15" customHeight="1" x14ac:dyDescent="0.2">
      <c r="E13340" s="7"/>
      <c r="F13340" s="7"/>
    </row>
    <row r="13341" spans="5:6" ht="15" customHeight="1" x14ac:dyDescent="0.2">
      <c r="E13341" s="7"/>
      <c r="F13341" s="7"/>
    </row>
    <row r="13342" spans="5:6" ht="15" customHeight="1" x14ac:dyDescent="0.2">
      <c r="E13342" s="7"/>
      <c r="F13342" s="7"/>
    </row>
    <row r="13343" spans="5:6" ht="15" customHeight="1" x14ac:dyDescent="0.2">
      <c r="E13343" s="7"/>
      <c r="F13343" s="7"/>
    </row>
    <row r="13344" spans="5:6" ht="15" customHeight="1" x14ac:dyDescent="0.2">
      <c r="E13344" s="7"/>
      <c r="F13344" s="7"/>
    </row>
    <row r="13345" spans="5:6" ht="15" customHeight="1" x14ac:dyDescent="0.2">
      <c r="E13345" s="7"/>
      <c r="F13345" s="7"/>
    </row>
    <row r="13346" spans="5:6" ht="15" customHeight="1" x14ac:dyDescent="0.2">
      <c r="E13346" s="7"/>
      <c r="F13346" s="7"/>
    </row>
    <row r="13347" spans="5:6" ht="15" customHeight="1" x14ac:dyDescent="0.2">
      <c r="E13347" s="7"/>
      <c r="F13347" s="7"/>
    </row>
    <row r="13348" spans="5:6" ht="15" customHeight="1" x14ac:dyDescent="0.2">
      <c r="E13348" s="7"/>
      <c r="F13348" s="7"/>
    </row>
    <row r="13349" spans="5:6" ht="15" customHeight="1" x14ac:dyDescent="0.2">
      <c r="E13349" s="7"/>
      <c r="F13349" s="7"/>
    </row>
    <row r="13350" spans="5:6" ht="15" customHeight="1" x14ac:dyDescent="0.2">
      <c r="E13350" s="7"/>
      <c r="F13350" s="7"/>
    </row>
    <row r="13351" spans="5:6" ht="15" customHeight="1" x14ac:dyDescent="0.2">
      <c r="E13351" s="7"/>
      <c r="F13351" s="7"/>
    </row>
    <row r="13352" spans="5:6" ht="15" customHeight="1" x14ac:dyDescent="0.2">
      <c r="E13352" s="7"/>
      <c r="F13352" s="7"/>
    </row>
    <row r="13353" spans="5:6" ht="15" customHeight="1" x14ac:dyDescent="0.2">
      <c r="E13353" s="7"/>
      <c r="F13353" s="7"/>
    </row>
    <row r="13354" spans="5:6" ht="15" customHeight="1" x14ac:dyDescent="0.2">
      <c r="E13354" s="7"/>
      <c r="F13354" s="7"/>
    </row>
    <row r="13355" spans="5:6" ht="15" customHeight="1" x14ac:dyDescent="0.2">
      <c r="E13355" s="7"/>
      <c r="F13355" s="7"/>
    </row>
    <row r="13356" spans="5:6" ht="15" customHeight="1" x14ac:dyDescent="0.2">
      <c r="E13356" s="7"/>
      <c r="F13356" s="7"/>
    </row>
    <row r="13357" spans="5:6" ht="15" customHeight="1" x14ac:dyDescent="0.2">
      <c r="E13357" s="7"/>
      <c r="F13357" s="7"/>
    </row>
    <row r="13358" spans="5:6" ht="15" customHeight="1" x14ac:dyDescent="0.2">
      <c r="E13358" s="7"/>
      <c r="F13358" s="7"/>
    </row>
    <row r="13359" spans="5:6" ht="15" customHeight="1" x14ac:dyDescent="0.2">
      <c r="E13359" s="7"/>
      <c r="F13359" s="7"/>
    </row>
    <row r="13360" spans="5:6" ht="15" customHeight="1" x14ac:dyDescent="0.2">
      <c r="E13360" s="7"/>
      <c r="F13360" s="7"/>
    </row>
    <row r="13361" spans="5:6" ht="15" customHeight="1" x14ac:dyDescent="0.2">
      <c r="E13361" s="7"/>
      <c r="F13361" s="7"/>
    </row>
    <row r="13362" spans="5:6" ht="15" customHeight="1" x14ac:dyDescent="0.2">
      <c r="E13362" s="7"/>
      <c r="F13362" s="7"/>
    </row>
    <row r="13363" spans="5:6" ht="15" customHeight="1" x14ac:dyDescent="0.2">
      <c r="E13363" s="7"/>
      <c r="F13363" s="7"/>
    </row>
    <row r="13364" spans="5:6" ht="15" customHeight="1" x14ac:dyDescent="0.2">
      <c r="E13364" s="7"/>
      <c r="F13364" s="7"/>
    </row>
    <row r="13365" spans="5:6" ht="15" customHeight="1" x14ac:dyDescent="0.2">
      <c r="E13365" s="7"/>
      <c r="F13365" s="7"/>
    </row>
    <row r="13366" spans="5:6" ht="15" customHeight="1" x14ac:dyDescent="0.2">
      <c r="E13366" s="7"/>
      <c r="F13366" s="7"/>
    </row>
    <row r="13367" spans="5:6" ht="15" customHeight="1" x14ac:dyDescent="0.2">
      <c r="E13367" s="7"/>
      <c r="F13367" s="7"/>
    </row>
    <row r="13368" spans="5:6" ht="15" customHeight="1" x14ac:dyDescent="0.2">
      <c r="E13368" s="7"/>
      <c r="F13368" s="7"/>
    </row>
    <row r="13369" spans="5:6" ht="15" customHeight="1" x14ac:dyDescent="0.2">
      <c r="E13369" s="7"/>
      <c r="F13369" s="7"/>
    </row>
    <row r="13370" spans="5:6" ht="15" customHeight="1" x14ac:dyDescent="0.2">
      <c r="E13370" s="7"/>
      <c r="F13370" s="7"/>
    </row>
    <row r="13371" spans="5:6" ht="15" customHeight="1" x14ac:dyDescent="0.2">
      <c r="E13371" s="7"/>
      <c r="F13371" s="7"/>
    </row>
    <row r="13372" spans="5:6" ht="15" customHeight="1" x14ac:dyDescent="0.2">
      <c r="E13372" s="7"/>
      <c r="F13372" s="7"/>
    </row>
    <row r="13373" spans="5:6" ht="15" customHeight="1" x14ac:dyDescent="0.2">
      <c r="E13373" s="7"/>
      <c r="F13373" s="7"/>
    </row>
    <row r="13374" spans="5:6" ht="15" customHeight="1" x14ac:dyDescent="0.2">
      <c r="E13374" s="7"/>
      <c r="F13374" s="7"/>
    </row>
    <row r="13375" spans="5:6" ht="15" customHeight="1" x14ac:dyDescent="0.2">
      <c r="E13375" s="7"/>
      <c r="F13375" s="7"/>
    </row>
    <row r="13376" spans="5:6" ht="15" customHeight="1" x14ac:dyDescent="0.2">
      <c r="E13376" s="7"/>
      <c r="F13376" s="7"/>
    </row>
    <row r="13377" spans="5:6" ht="15" customHeight="1" x14ac:dyDescent="0.2">
      <c r="E13377" s="7"/>
      <c r="F13377" s="7"/>
    </row>
    <row r="13378" spans="5:6" ht="15" customHeight="1" x14ac:dyDescent="0.2">
      <c r="E13378" s="7"/>
      <c r="F13378" s="7"/>
    </row>
    <row r="13379" spans="5:6" ht="15" customHeight="1" x14ac:dyDescent="0.2">
      <c r="E13379" s="7"/>
      <c r="F13379" s="7"/>
    </row>
    <row r="13380" spans="5:6" ht="15" customHeight="1" x14ac:dyDescent="0.2">
      <c r="E13380" s="7"/>
      <c r="F13380" s="7"/>
    </row>
    <row r="13381" spans="5:6" ht="15" customHeight="1" x14ac:dyDescent="0.2">
      <c r="E13381" s="7"/>
      <c r="F13381" s="7"/>
    </row>
    <row r="13382" spans="5:6" ht="15" customHeight="1" x14ac:dyDescent="0.2">
      <c r="E13382" s="7"/>
      <c r="F13382" s="7"/>
    </row>
    <row r="13383" spans="5:6" ht="15" customHeight="1" x14ac:dyDescent="0.2">
      <c r="E13383" s="7"/>
      <c r="F13383" s="7"/>
    </row>
    <row r="13384" spans="5:6" ht="15" customHeight="1" x14ac:dyDescent="0.2">
      <c r="E13384" s="7"/>
      <c r="F13384" s="7"/>
    </row>
    <row r="13385" spans="5:6" ht="15" customHeight="1" x14ac:dyDescent="0.2">
      <c r="E13385" s="7"/>
      <c r="F13385" s="7"/>
    </row>
    <row r="13386" spans="5:6" ht="15" customHeight="1" x14ac:dyDescent="0.2">
      <c r="E13386" s="7"/>
      <c r="F13386" s="7"/>
    </row>
    <row r="13387" spans="5:6" ht="15" customHeight="1" x14ac:dyDescent="0.2">
      <c r="E13387" s="7"/>
      <c r="F13387" s="7"/>
    </row>
    <row r="13388" spans="5:6" ht="15" customHeight="1" x14ac:dyDescent="0.2">
      <c r="E13388" s="7"/>
      <c r="F13388" s="7"/>
    </row>
    <row r="13389" spans="5:6" ht="15" customHeight="1" x14ac:dyDescent="0.2">
      <c r="E13389" s="7"/>
      <c r="F13389" s="7"/>
    </row>
    <row r="13390" spans="5:6" ht="15" customHeight="1" x14ac:dyDescent="0.2">
      <c r="E13390" s="7"/>
      <c r="F13390" s="7"/>
    </row>
    <row r="13391" spans="5:6" ht="15" customHeight="1" x14ac:dyDescent="0.2">
      <c r="E13391" s="7"/>
      <c r="F13391" s="7"/>
    </row>
    <row r="13392" spans="5:6" ht="15" customHeight="1" x14ac:dyDescent="0.2">
      <c r="E13392" s="7"/>
      <c r="F13392" s="7"/>
    </row>
    <row r="13393" spans="5:6" ht="15" customHeight="1" x14ac:dyDescent="0.2">
      <c r="E13393" s="7"/>
      <c r="F13393" s="7"/>
    </row>
    <row r="13394" spans="5:6" ht="15" customHeight="1" x14ac:dyDescent="0.2">
      <c r="E13394" s="7"/>
      <c r="F13394" s="7"/>
    </row>
    <row r="13395" spans="5:6" ht="15" customHeight="1" x14ac:dyDescent="0.2">
      <c r="E13395" s="7"/>
      <c r="F13395" s="7"/>
    </row>
    <row r="13396" spans="5:6" ht="15" customHeight="1" x14ac:dyDescent="0.2">
      <c r="E13396" s="7"/>
      <c r="F13396" s="7"/>
    </row>
    <row r="13397" spans="5:6" ht="15" customHeight="1" x14ac:dyDescent="0.2">
      <c r="E13397" s="7"/>
      <c r="F13397" s="7"/>
    </row>
    <row r="13398" spans="5:6" ht="15" customHeight="1" x14ac:dyDescent="0.2">
      <c r="E13398" s="7"/>
      <c r="F13398" s="7"/>
    </row>
    <row r="13399" spans="5:6" ht="15" customHeight="1" x14ac:dyDescent="0.2">
      <c r="E13399" s="7"/>
      <c r="F13399" s="7"/>
    </row>
    <row r="13400" spans="5:6" ht="15" customHeight="1" x14ac:dyDescent="0.2">
      <c r="E13400" s="7"/>
      <c r="F13400" s="7"/>
    </row>
    <row r="13401" spans="5:6" ht="15" customHeight="1" x14ac:dyDescent="0.2">
      <c r="E13401" s="7"/>
      <c r="F13401" s="7"/>
    </row>
    <row r="13402" spans="5:6" ht="15" customHeight="1" x14ac:dyDescent="0.2">
      <c r="E13402" s="7"/>
      <c r="F13402" s="7"/>
    </row>
    <row r="13403" spans="5:6" ht="15" customHeight="1" x14ac:dyDescent="0.2">
      <c r="E13403" s="7"/>
      <c r="F13403" s="7"/>
    </row>
    <row r="13404" spans="5:6" ht="15" customHeight="1" x14ac:dyDescent="0.2">
      <c r="E13404" s="7"/>
      <c r="F13404" s="7"/>
    </row>
    <row r="13405" spans="5:6" ht="15" customHeight="1" x14ac:dyDescent="0.2">
      <c r="E13405" s="7"/>
      <c r="F13405" s="7"/>
    </row>
    <row r="13406" spans="5:6" ht="15" customHeight="1" x14ac:dyDescent="0.2">
      <c r="E13406" s="7"/>
      <c r="F13406" s="7"/>
    </row>
    <row r="13407" spans="5:6" ht="15" customHeight="1" x14ac:dyDescent="0.2">
      <c r="E13407" s="7"/>
      <c r="F13407" s="7"/>
    </row>
    <row r="13408" spans="5:6" ht="15" customHeight="1" x14ac:dyDescent="0.2">
      <c r="E13408" s="7"/>
      <c r="F13408" s="7"/>
    </row>
    <row r="13409" spans="5:6" ht="15" customHeight="1" x14ac:dyDescent="0.2">
      <c r="E13409" s="7"/>
      <c r="F13409" s="7"/>
    </row>
    <row r="13410" spans="5:6" ht="15" customHeight="1" x14ac:dyDescent="0.2">
      <c r="E13410" s="7"/>
      <c r="F13410" s="7"/>
    </row>
    <row r="13411" spans="5:6" ht="15" customHeight="1" x14ac:dyDescent="0.2">
      <c r="E13411" s="7"/>
      <c r="F13411" s="7"/>
    </row>
    <row r="13412" spans="5:6" ht="15" customHeight="1" x14ac:dyDescent="0.2">
      <c r="E13412" s="7"/>
      <c r="F13412" s="7"/>
    </row>
    <row r="13413" spans="5:6" ht="15" customHeight="1" x14ac:dyDescent="0.2">
      <c r="E13413" s="7"/>
      <c r="F13413" s="7"/>
    </row>
    <row r="13414" spans="5:6" ht="15" customHeight="1" x14ac:dyDescent="0.2">
      <c r="E13414" s="7"/>
      <c r="F13414" s="7"/>
    </row>
    <row r="13415" spans="5:6" ht="15" customHeight="1" x14ac:dyDescent="0.2">
      <c r="E13415" s="7"/>
      <c r="F13415" s="7"/>
    </row>
    <row r="13416" spans="5:6" ht="15" customHeight="1" x14ac:dyDescent="0.2">
      <c r="E13416" s="7"/>
      <c r="F13416" s="7"/>
    </row>
    <row r="13417" spans="5:6" ht="15" customHeight="1" x14ac:dyDescent="0.2">
      <c r="E13417" s="7"/>
      <c r="F13417" s="7"/>
    </row>
    <row r="13418" spans="5:6" ht="15" customHeight="1" x14ac:dyDescent="0.2">
      <c r="E13418" s="7"/>
      <c r="F13418" s="7"/>
    </row>
    <row r="13419" spans="5:6" ht="15" customHeight="1" x14ac:dyDescent="0.2">
      <c r="E13419" s="7"/>
      <c r="F13419" s="7"/>
    </row>
    <row r="13420" spans="5:6" ht="15" customHeight="1" x14ac:dyDescent="0.2">
      <c r="E13420" s="7"/>
      <c r="F13420" s="7"/>
    </row>
    <row r="13421" spans="5:6" ht="15" customHeight="1" x14ac:dyDescent="0.2">
      <c r="E13421" s="7"/>
      <c r="F13421" s="7"/>
    </row>
    <row r="13422" spans="5:6" ht="15" customHeight="1" x14ac:dyDescent="0.2">
      <c r="E13422" s="7"/>
      <c r="F13422" s="7"/>
    </row>
    <row r="13423" spans="5:6" ht="15" customHeight="1" x14ac:dyDescent="0.2">
      <c r="E13423" s="7"/>
      <c r="F13423" s="7"/>
    </row>
    <row r="13424" spans="5:6" ht="15" customHeight="1" x14ac:dyDescent="0.2">
      <c r="E13424" s="7"/>
      <c r="F13424" s="7"/>
    </row>
    <row r="13425" spans="5:6" ht="15" customHeight="1" x14ac:dyDescent="0.2">
      <c r="E13425" s="7"/>
      <c r="F13425" s="7"/>
    </row>
    <row r="13426" spans="5:6" ht="15" customHeight="1" x14ac:dyDescent="0.2">
      <c r="E13426" s="7"/>
      <c r="F13426" s="7"/>
    </row>
    <row r="13427" spans="5:6" ht="15" customHeight="1" x14ac:dyDescent="0.2">
      <c r="E13427" s="7"/>
      <c r="F13427" s="7"/>
    </row>
    <row r="13428" spans="5:6" ht="15" customHeight="1" x14ac:dyDescent="0.2">
      <c r="E13428" s="7"/>
      <c r="F13428" s="7"/>
    </row>
    <row r="13429" spans="5:6" ht="15" customHeight="1" x14ac:dyDescent="0.2">
      <c r="E13429" s="7"/>
      <c r="F13429" s="7"/>
    </row>
    <row r="13430" spans="5:6" ht="15" customHeight="1" x14ac:dyDescent="0.2">
      <c r="E13430" s="7"/>
      <c r="F13430" s="7"/>
    </row>
    <row r="13431" spans="5:6" ht="15" customHeight="1" x14ac:dyDescent="0.2">
      <c r="E13431" s="7"/>
      <c r="F13431" s="7"/>
    </row>
    <row r="13432" spans="5:6" ht="15" customHeight="1" x14ac:dyDescent="0.2">
      <c r="E13432" s="7"/>
      <c r="F13432" s="7"/>
    </row>
    <row r="13433" spans="5:6" ht="15" customHeight="1" x14ac:dyDescent="0.2">
      <c r="E13433" s="7"/>
      <c r="F13433" s="7"/>
    </row>
    <row r="13434" spans="5:6" ht="15" customHeight="1" x14ac:dyDescent="0.2">
      <c r="E13434" s="7"/>
      <c r="F13434" s="7"/>
    </row>
    <row r="13435" spans="5:6" ht="15" customHeight="1" x14ac:dyDescent="0.2">
      <c r="E13435" s="7"/>
      <c r="F13435" s="7"/>
    </row>
    <row r="13436" spans="5:6" ht="15" customHeight="1" x14ac:dyDescent="0.2">
      <c r="E13436" s="7"/>
      <c r="F13436" s="7"/>
    </row>
    <row r="13437" spans="5:6" ht="15" customHeight="1" x14ac:dyDescent="0.2">
      <c r="E13437" s="7"/>
      <c r="F13437" s="7"/>
    </row>
    <row r="13438" spans="5:6" ht="15" customHeight="1" x14ac:dyDescent="0.2">
      <c r="E13438" s="7"/>
      <c r="F13438" s="7"/>
    </row>
    <row r="13439" spans="5:6" ht="15" customHeight="1" x14ac:dyDescent="0.2">
      <c r="E13439" s="7"/>
      <c r="F13439" s="7"/>
    </row>
    <row r="13440" spans="5:6" ht="15" customHeight="1" x14ac:dyDescent="0.2">
      <c r="E13440" s="7"/>
      <c r="F13440" s="7"/>
    </row>
    <row r="13441" spans="5:6" ht="15" customHeight="1" x14ac:dyDescent="0.2">
      <c r="E13441" s="7"/>
      <c r="F13441" s="7"/>
    </row>
    <row r="13442" spans="5:6" ht="15" customHeight="1" x14ac:dyDescent="0.2">
      <c r="E13442" s="7"/>
      <c r="F13442" s="7"/>
    </row>
    <row r="13443" spans="5:6" ht="15" customHeight="1" x14ac:dyDescent="0.2">
      <c r="E13443" s="7"/>
      <c r="F13443" s="7"/>
    </row>
    <row r="13444" spans="5:6" ht="15" customHeight="1" x14ac:dyDescent="0.2">
      <c r="E13444" s="7"/>
      <c r="F13444" s="7"/>
    </row>
    <row r="13445" spans="5:6" ht="15" customHeight="1" x14ac:dyDescent="0.2">
      <c r="E13445" s="7"/>
      <c r="F13445" s="7"/>
    </row>
    <row r="13446" spans="5:6" ht="15" customHeight="1" x14ac:dyDescent="0.2">
      <c r="E13446" s="7"/>
      <c r="F13446" s="7"/>
    </row>
    <row r="13447" spans="5:6" ht="15" customHeight="1" x14ac:dyDescent="0.2">
      <c r="E13447" s="7"/>
      <c r="F13447" s="7"/>
    </row>
    <row r="13448" spans="5:6" ht="15" customHeight="1" x14ac:dyDescent="0.2">
      <c r="E13448" s="7"/>
      <c r="F13448" s="7"/>
    </row>
    <row r="13449" spans="5:6" ht="15" customHeight="1" x14ac:dyDescent="0.2">
      <c r="E13449" s="7"/>
      <c r="F13449" s="7"/>
    </row>
    <row r="13450" spans="5:6" ht="15" customHeight="1" x14ac:dyDescent="0.2">
      <c r="E13450" s="7"/>
      <c r="F13450" s="7"/>
    </row>
    <row r="13451" spans="5:6" ht="15" customHeight="1" x14ac:dyDescent="0.2">
      <c r="E13451" s="7"/>
      <c r="F13451" s="7"/>
    </row>
    <row r="13452" spans="5:6" ht="15" customHeight="1" x14ac:dyDescent="0.2">
      <c r="E13452" s="7"/>
      <c r="F13452" s="7"/>
    </row>
    <row r="13453" spans="5:6" ht="15" customHeight="1" x14ac:dyDescent="0.2">
      <c r="E13453" s="7"/>
      <c r="F13453" s="7"/>
    </row>
    <row r="13454" spans="5:6" ht="15" customHeight="1" x14ac:dyDescent="0.2">
      <c r="E13454" s="7"/>
      <c r="F13454" s="7"/>
    </row>
    <row r="13455" spans="5:6" ht="15" customHeight="1" x14ac:dyDescent="0.2">
      <c r="E13455" s="7"/>
      <c r="F13455" s="7"/>
    </row>
    <row r="13456" spans="5:6" ht="15" customHeight="1" x14ac:dyDescent="0.2">
      <c r="E13456" s="7"/>
      <c r="F13456" s="7"/>
    </row>
    <row r="13457" spans="5:6" ht="15" customHeight="1" x14ac:dyDescent="0.2">
      <c r="E13457" s="7"/>
      <c r="F13457" s="7"/>
    </row>
    <row r="13458" spans="5:6" ht="15" customHeight="1" x14ac:dyDescent="0.2">
      <c r="E13458" s="7"/>
      <c r="F13458" s="7"/>
    </row>
    <row r="13459" spans="5:6" ht="15" customHeight="1" x14ac:dyDescent="0.2">
      <c r="E13459" s="7"/>
      <c r="F13459" s="7"/>
    </row>
    <row r="13460" spans="5:6" ht="15" customHeight="1" x14ac:dyDescent="0.2">
      <c r="E13460" s="7"/>
      <c r="F13460" s="7"/>
    </row>
    <row r="13461" spans="5:6" ht="15" customHeight="1" x14ac:dyDescent="0.2">
      <c r="E13461" s="7"/>
      <c r="F13461" s="7"/>
    </row>
    <row r="13462" spans="5:6" ht="15" customHeight="1" x14ac:dyDescent="0.2">
      <c r="E13462" s="7"/>
      <c r="F13462" s="7"/>
    </row>
    <row r="13463" spans="5:6" ht="15" customHeight="1" x14ac:dyDescent="0.2">
      <c r="E13463" s="7"/>
      <c r="F13463" s="7"/>
    </row>
    <row r="13464" spans="5:6" ht="15" customHeight="1" x14ac:dyDescent="0.2">
      <c r="E13464" s="7"/>
      <c r="F13464" s="7"/>
    </row>
    <row r="13465" spans="5:6" ht="15" customHeight="1" x14ac:dyDescent="0.2">
      <c r="E13465" s="7"/>
      <c r="F13465" s="7"/>
    </row>
    <row r="13466" spans="5:6" ht="15" customHeight="1" x14ac:dyDescent="0.2">
      <c r="E13466" s="7"/>
      <c r="F13466" s="7"/>
    </row>
    <row r="13467" spans="5:6" ht="15" customHeight="1" x14ac:dyDescent="0.2">
      <c r="E13467" s="7"/>
      <c r="F13467" s="7"/>
    </row>
    <row r="13468" spans="5:6" ht="15" customHeight="1" x14ac:dyDescent="0.2">
      <c r="E13468" s="7"/>
      <c r="F13468" s="7"/>
    </row>
    <row r="13469" spans="5:6" ht="15" customHeight="1" x14ac:dyDescent="0.2">
      <c r="E13469" s="7"/>
      <c r="F13469" s="7"/>
    </row>
    <row r="13470" spans="5:6" ht="15" customHeight="1" x14ac:dyDescent="0.2">
      <c r="E13470" s="7"/>
      <c r="F13470" s="7"/>
    </row>
    <row r="13471" spans="5:6" ht="15" customHeight="1" x14ac:dyDescent="0.2">
      <c r="E13471" s="7"/>
      <c r="F13471" s="7"/>
    </row>
    <row r="13472" spans="5:6" ht="15" customHeight="1" x14ac:dyDescent="0.2">
      <c r="E13472" s="7"/>
      <c r="F13472" s="7"/>
    </row>
    <row r="13473" spans="5:6" ht="15" customHeight="1" x14ac:dyDescent="0.2">
      <c r="E13473" s="7"/>
      <c r="F13473" s="7"/>
    </row>
    <row r="13474" spans="5:6" ht="15" customHeight="1" x14ac:dyDescent="0.2">
      <c r="E13474" s="7"/>
      <c r="F13474" s="7"/>
    </row>
    <row r="13475" spans="5:6" ht="15" customHeight="1" x14ac:dyDescent="0.2">
      <c r="E13475" s="7"/>
      <c r="F13475" s="7"/>
    </row>
    <row r="13476" spans="5:6" ht="15" customHeight="1" x14ac:dyDescent="0.2">
      <c r="E13476" s="7"/>
      <c r="F13476" s="7"/>
    </row>
    <row r="13477" spans="5:6" ht="15" customHeight="1" x14ac:dyDescent="0.2">
      <c r="E13477" s="7"/>
      <c r="F13477" s="7"/>
    </row>
    <row r="13478" spans="5:6" ht="15" customHeight="1" x14ac:dyDescent="0.2">
      <c r="E13478" s="7"/>
      <c r="F13478" s="7"/>
    </row>
    <row r="13479" spans="5:6" ht="15" customHeight="1" x14ac:dyDescent="0.2">
      <c r="E13479" s="7"/>
      <c r="F13479" s="7"/>
    </row>
    <row r="13480" spans="5:6" ht="15" customHeight="1" x14ac:dyDescent="0.2">
      <c r="E13480" s="7"/>
      <c r="F13480" s="7"/>
    </row>
    <row r="13481" spans="5:6" ht="15" customHeight="1" x14ac:dyDescent="0.2">
      <c r="E13481" s="7"/>
      <c r="F13481" s="7"/>
    </row>
    <row r="13482" spans="5:6" ht="15" customHeight="1" x14ac:dyDescent="0.2">
      <c r="E13482" s="7"/>
      <c r="F13482" s="7"/>
    </row>
    <row r="13483" spans="5:6" ht="15" customHeight="1" x14ac:dyDescent="0.2">
      <c r="E13483" s="7"/>
      <c r="F13483" s="7"/>
    </row>
    <row r="13484" spans="5:6" ht="15" customHeight="1" x14ac:dyDescent="0.2">
      <c r="E13484" s="7"/>
      <c r="F13484" s="7"/>
    </row>
    <row r="13485" spans="5:6" ht="15" customHeight="1" x14ac:dyDescent="0.2">
      <c r="E13485" s="7"/>
      <c r="F13485" s="7"/>
    </row>
    <row r="13486" spans="5:6" ht="15" customHeight="1" x14ac:dyDescent="0.2">
      <c r="E13486" s="7"/>
      <c r="F13486" s="7"/>
    </row>
    <row r="13487" spans="5:6" ht="15" customHeight="1" x14ac:dyDescent="0.2">
      <c r="E13487" s="7"/>
      <c r="F13487" s="7"/>
    </row>
    <row r="13488" spans="5:6" ht="15" customHeight="1" x14ac:dyDescent="0.2">
      <c r="E13488" s="7"/>
      <c r="F13488" s="7"/>
    </row>
    <row r="13489" spans="5:6" ht="15" customHeight="1" x14ac:dyDescent="0.2">
      <c r="E13489" s="7"/>
      <c r="F13489" s="7"/>
    </row>
    <row r="13490" spans="5:6" ht="15" customHeight="1" x14ac:dyDescent="0.2">
      <c r="E13490" s="7"/>
      <c r="F13490" s="7"/>
    </row>
    <row r="13491" spans="5:6" ht="15" customHeight="1" x14ac:dyDescent="0.2">
      <c r="E13491" s="7"/>
      <c r="F13491" s="7"/>
    </row>
    <row r="13492" spans="5:6" ht="15" customHeight="1" x14ac:dyDescent="0.2">
      <c r="E13492" s="7"/>
      <c r="F13492" s="7"/>
    </row>
    <row r="13493" spans="5:6" ht="15" customHeight="1" x14ac:dyDescent="0.2">
      <c r="E13493" s="7"/>
      <c r="F13493" s="7"/>
    </row>
    <row r="13494" spans="5:6" ht="15" customHeight="1" x14ac:dyDescent="0.2">
      <c r="E13494" s="7"/>
      <c r="F13494" s="7"/>
    </row>
    <row r="13495" spans="5:6" ht="15" customHeight="1" x14ac:dyDescent="0.2">
      <c r="E13495" s="7"/>
      <c r="F13495" s="7"/>
    </row>
    <row r="13496" spans="5:6" ht="15" customHeight="1" x14ac:dyDescent="0.2">
      <c r="E13496" s="7"/>
      <c r="F13496" s="7"/>
    </row>
    <row r="13497" spans="5:6" ht="15" customHeight="1" x14ac:dyDescent="0.2">
      <c r="E13497" s="7"/>
      <c r="F13497" s="7"/>
    </row>
    <row r="13498" spans="5:6" ht="15" customHeight="1" x14ac:dyDescent="0.2">
      <c r="E13498" s="7"/>
      <c r="F13498" s="7"/>
    </row>
    <row r="13499" spans="5:6" ht="15" customHeight="1" x14ac:dyDescent="0.2">
      <c r="E13499" s="7"/>
      <c r="F13499" s="7"/>
    </row>
    <row r="13500" spans="5:6" ht="15" customHeight="1" x14ac:dyDescent="0.2">
      <c r="E13500" s="7"/>
      <c r="F13500" s="7"/>
    </row>
    <row r="13501" spans="5:6" ht="15" customHeight="1" x14ac:dyDescent="0.2">
      <c r="E13501" s="7"/>
      <c r="F13501" s="7"/>
    </row>
    <row r="13502" spans="5:6" ht="15" customHeight="1" x14ac:dyDescent="0.2">
      <c r="E13502" s="7"/>
      <c r="F13502" s="7"/>
    </row>
    <row r="13503" spans="5:6" ht="15" customHeight="1" x14ac:dyDescent="0.2">
      <c r="E13503" s="7"/>
      <c r="F13503" s="7"/>
    </row>
    <row r="13504" spans="5:6" ht="15" customHeight="1" x14ac:dyDescent="0.2">
      <c r="E13504" s="7"/>
      <c r="F13504" s="7"/>
    </row>
    <row r="13505" spans="5:6" ht="15" customHeight="1" x14ac:dyDescent="0.2">
      <c r="E13505" s="7"/>
      <c r="F13505" s="7"/>
    </row>
    <row r="13506" spans="5:6" ht="15" customHeight="1" x14ac:dyDescent="0.2">
      <c r="E13506" s="7"/>
      <c r="F13506" s="7"/>
    </row>
    <row r="13507" spans="5:6" ht="15" customHeight="1" x14ac:dyDescent="0.2">
      <c r="E13507" s="7"/>
      <c r="F13507" s="7"/>
    </row>
    <row r="13508" spans="5:6" ht="15" customHeight="1" x14ac:dyDescent="0.2">
      <c r="E13508" s="7"/>
      <c r="F13508" s="7"/>
    </row>
    <row r="13509" spans="5:6" ht="15" customHeight="1" x14ac:dyDescent="0.2">
      <c r="E13509" s="7"/>
      <c r="F13509" s="7"/>
    </row>
    <row r="13510" spans="5:6" ht="15" customHeight="1" x14ac:dyDescent="0.2">
      <c r="E13510" s="7"/>
      <c r="F13510" s="7"/>
    </row>
    <row r="13511" spans="5:6" ht="15" customHeight="1" x14ac:dyDescent="0.2">
      <c r="E13511" s="7"/>
      <c r="F13511" s="7"/>
    </row>
    <row r="13512" spans="5:6" ht="15" customHeight="1" x14ac:dyDescent="0.2">
      <c r="E13512" s="7"/>
      <c r="F13512" s="7"/>
    </row>
    <row r="13513" spans="5:6" ht="15" customHeight="1" x14ac:dyDescent="0.2">
      <c r="E13513" s="7"/>
      <c r="F13513" s="7"/>
    </row>
    <row r="13514" spans="5:6" ht="15" customHeight="1" x14ac:dyDescent="0.2">
      <c r="E13514" s="7"/>
      <c r="F13514" s="7"/>
    </row>
    <row r="13515" spans="5:6" ht="15" customHeight="1" x14ac:dyDescent="0.2">
      <c r="E13515" s="7"/>
      <c r="F13515" s="7"/>
    </row>
    <row r="13516" spans="5:6" ht="15" customHeight="1" x14ac:dyDescent="0.2">
      <c r="E13516" s="7"/>
      <c r="F13516" s="7"/>
    </row>
    <row r="13517" spans="5:6" ht="15" customHeight="1" x14ac:dyDescent="0.2">
      <c r="E13517" s="7"/>
      <c r="F13517" s="7"/>
    </row>
    <row r="13518" spans="5:6" ht="15" customHeight="1" x14ac:dyDescent="0.2">
      <c r="E13518" s="7"/>
      <c r="F13518" s="7"/>
    </row>
    <row r="13519" spans="5:6" ht="15" customHeight="1" x14ac:dyDescent="0.2">
      <c r="E13519" s="7"/>
      <c r="F13519" s="7"/>
    </row>
    <row r="13520" spans="5:6" ht="15" customHeight="1" x14ac:dyDescent="0.2">
      <c r="E13520" s="7"/>
      <c r="F13520" s="7"/>
    </row>
    <row r="13521" spans="5:6" ht="15" customHeight="1" x14ac:dyDescent="0.2">
      <c r="E13521" s="7"/>
      <c r="F13521" s="7"/>
    </row>
    <row r="13522" spans="5:6" ht="15" customHeight="1" x14ac:dyDescent="0.2">
      <c r="E13522" s="7"/>
      <c r="F13522" s="7"/>
    </row>
    <row r="13523" spans="5:6" ht="15" customHeight="1" x14ac:dyDescent="0.2">
      <c r="E13523" s="7"/>
      <c r="F13523" s="7"/>
    </row>
    <row r="13524" spans="5:6" ht="15" customHeight="1" x14ac:dyDescent="0.2">
      <c r="E13524" s="7"/>
      <c r="F13524" s="7"/>
    </row>
    <row r="13525" spans="5:6" ht="15" customHeight="1" x14ac:dyDescent="0.2">
      <c r="E13525" s="7"/>
      <c r="F13525" s="7"/>
    </row>
    <row r="13526" spans="5:6" ht="15" customHeight="1" x14ac:dyDescent="0.2">
      <c r="E13526" s="7"/>
      <c r="F13526" s="7"/>
    </row>
    <row r="13527" spans="5:6" ht="15" customHeight="1" x14ac:dyDescent="0.2">
      <c r="E13527" s="7"/>
      <c r="F13527" s="7"/>
    </row>
    <row r="13528" spans="5:6" ht="15" customHeight="1" x14ac:dyDescent="0.2">
      <c r="E13528" s="7"/>
      <c r="F13528" s="7"/>
    </row>
    <row r="13529" spans="5:6" ht="15" customHeight="1" x14ac:dyDescent="0.2">
      <c r="E13529" s="7"/>
      <c r="F13529" s="7"/>
    </row>
    <row r="13530" spans="5:6" ht="15" customHeight="1" x14ac:dyDescent="0.2">
      <c r="E13530" s="7"/>
      <c r="F13530" s="7"/>
    </row>
    <row r="13531" spans="5:6" ht="15" customHeight="1" x14ac:dyDescent="0.2">
      <c r="E13531" s="7"/>
      <c r="F13531" s="7"/>
    </row>
    <row r="13532" spans="5:6" ht="15" customHeight="1" x14ac:dyDescent="0.2">
      <c r="E13532" s="7"/>
      <c r="F13532" s="7"/>
    </row>
    <row r="13533" spans="5:6" ht="15" customHeight="1" x14ac:dyDescent="0.2">
      <c r="E13533" s="7"/>
      <c r="F13533" s="7"/>
    </row>
    <row r="13534" spans="5:6" ht="15" customHeight="1" x14ac:dyDescent="0.2">
      <c r="E13534" s="7"/>
      <c r="F13534" s="7"/>
    </row>
    <row r="13535" spans="5:6" ht="15" customHeight="1" x14ac:dyDescent="0.2">
      <c r="E13535" s="7"/>
      <c r="F13535" s="7"/>
    </row>
    <row r="13536" spans="5:6" ht="15" customHeight="1" x14ac:dyDescent="0.2">
      <c r="E13536" s="7"/>
      <c r="F13536" s="7"/>
    </row>
    <row r="13537" spans="5:6" ht="15" customHeight="1" x14ac:dyDescent="0.2">
      <c r="E13537" s="7"/>
      <c r="F13537" s="7"/>
    </row>
    <row r="13538" spans="5:6" ht="15" customHeight="1" x14ac:dyDescent="0.2">
      <c r="E13538" s="7"/>
      <c r="F13538" s="7"/>
    </row>
    <row r="13539" spans="5:6" ht="15" customHeight="1" x14ac:dyDescent="0.2">
      <c r="E13539" s="7"/>
      <c r="F13539" s="7"/>
    </row>
    <row r="13540" spans="5:6" ht="15" customHeight="1" x14ac:dyDescent="0.2">
      <c r="E13540" s="7"/>
      <c r="F13540" s="7"/>
    </row>
    <row r="13541" spans="5:6" ht="15" customHeight="1" x14ac:dyDescent="0.2">
      <c r="E13541" s="7"/>
      <c r="F13541" s="7"/>
    </row>
    <row r="13542" spans="5:6" ht="15" customHeight="1" x14ac:dyDescent="0.2">
      <c r="E13542" s="7"/>
      <c r="F13542" s="7"/>
    </row>
    <row r="13543" spans="5:6" ht="15" customHeight="1" x14ac:dyDescent="0.2">
      <c r="E13543" s="7"/>
      <c r="F13543" s="7"/>
    </row>
    <row r="13544" spans="5:6" ht="15" customHeight="1" x14ac:dyDescent="0.2">
      <c r="E13544" s="7"/>
      <c r="F13544" s="7"/>
    </row>
    <row r="13545" spans="5:6" ht="15" customHeight="1" x14ac:dyDescent="0.2">
      <c r="E13545" s="7"/>
      <c r="F13545" s="7"/>
    </row>
    <row r="13546" spans="5:6" ht="15" customHeight="1" x14ac:dyDescent="0.2">
      <c r="E13546" s="7"/>
      <c r="F13546" s="7"/>
    </row>
    <row r="13547" spans="5:6" ht="15" customHeight="1" x14ac:dyDescent="0.2">
      <c r="E13547" s="7"/>
      <c r="F13547" s="7"/>
    </row>
    <row r="13548" spans="5:6" ht="15" customHeight="1" x14ac:dyDescent="0.2">
      <c r="E13548" s="7"/>
      <c r="F13548" s="7"/>
    </row>
    <row r="13549" spans="5:6" ht="15" customHeight="1" x14ac:dyDescent="0.2">
      <c r="E13549" s="7"/>
      <c r="F13549" s="7"/>
    </row>
    <row r="13550" spans="5:6" ht="15" customHeight="1" x14ac:dyDescent="0.2">
      <c r="E13550" s="7"/>
      <c r="F13550" s="7"/>
    </row>
    <row r="13551" spans="5:6" ht="15" customHeight="1" x14ac:dyDescent="0.2">
      <c r="E13551" s="7"/>
      <c r="F13551" s="7"/>
    </row>
    <row r="13552" spans="5:6" ht="15" customHeight="1" x14ac:dyDescent="0.2">
      <c r="E13552" s="7"/>
      <c r="F13552" s="7"/>
    </row>
    <row r="13553" spans="5:6" ht="15" customHeight="1" x14ac:dyDescent="0.2">
      <c r="E13553" s="7"/>
      <c r="F13553" s="7"/>
    </row>
    <row r="13554" spans="5:6" ht="15" customHeight="1" x14ac:dyDescent="0.2">
      <c r="E13554" s="7"/>
      <c r="F13554" s="7"/>
    </row>
    <row r="13555" spans="5:6" ht="15" customHeight="1" x14ac:dyDescent="0.2">
      <c r="E13555" s="7"/>
      <c r="F13555" s="7"/>
    </row>
    <row r="13556" spans="5:6" ht="15" customHeight="1" x14ac:dyDescent="0.2">
      <c r="E13556" s="7"/>
      <c r="F13556" s="7"/>
    </row>
    <row r="13557" spans="5:6" ht="15" customHeight="1" x14ac:dyDescent="0.2">
      <c r="E13557" s="7"/>
      <c r="F13557" s="7"/>
    </row>
    <row r="13558" spans="5:6" ht="15" customHeight="1" x14ac:dyDescent="0.2">
      <c r="E13558" s="7"/>
      <c r="F13558" s="7"/>
    </row>
    <row r="13559" spans="5:6" ht="15" customHeight="1" x14ac:dyDescent="0.2">
      <c r="E13559" s="7"/>
      <c r="F13559" s="7"/>
    </row>
    <row r="13560" spans="5:6" ht="15" customHeight="1" x14ac:dyDescent="0.2">
      <c r="E13560" s="7"/>
      <c r="F13560" s="7"/>
    </row>
    <row r="13561" spans="5:6" ht="15" customHeight="1" x14ac:dyDescent="0.2">
      <c r="E13561" s="7"/>
      <c r="F13561" s="7"/>
    </row>
    <row r="13562" spans="5:6" ht="15" customHeight="1" x14ac:dyDescent="0.2">
      <c r="E13562" s="7"/>
      <c r="F13562" s="7"/>
    </row>
    <row r="13563" spans="5:6" ht="15" customHeight="1" x14ac:dyDescent="0.2">
      <c r="E13563" s="7"/>
      <c r="F13563" s="7"/>
    </row>
    <row r="13564" spans="5:6" ht="15" customHeight="1" x14ac:dyDescent="0.2">
      <c r="E13564" s="7"/>
      <c r="F13564" s="7"/>
    </row>
    <row r="13565" spans="5:6" ht="15" customHeight="1" x14ac:dyDescent="0.2">
      <c r="E13565" s="7"/>
      <c r="F13565" s="7"/>
    </row>
    <row r="13566" spans="5:6" ht="15" customHeight="1" x14ac:dyDescent="0.2">
      <c r="E13566" s="7"/>
      <c r="F13566" s="7"/>
    </row>
    <row r="13567" spans="5:6" ht="15" customHeight="1" x14ac:dyDescent="0.2">
      <c r="E13567" s="7"/>
      <c r="F13567" s="7"/>
    </row>
    <row r="13568" spans="5:6" ht="15" customHeight="1" x14ac:dyDescent="0.2">
      <c r="E13568" s="7"/>
      <c r="F13568" s="7"/>
    </row>
    <row r="13569" spans="5:6" ht="15" customHeight="1" x14ac:dyDescent="0.2">
      <c r="E13569" s="7"/>
      <c r="F13569" s="7"/>
    </row>
    <row r="13570" spans="5:6" ht="15" customHeight="1" x14ac:dyDescent="0.2">
      <c r="E13570" s="7"/>
      <c r="F13570" s="7"/>
    </row>
    <row r="13571" spans="5:6" ht="15" customHeight="1" x14ac:dyDescent="0.2">
      <c r="E13571" s="7"/>
      <c r="F13571" s="7"/>
    </row>
    <row r="13572" spans="5:6" ht="15" customHeight="1" x14ac:dyDescent="0.2">
      <c r="E13572" s="7"/>
      <c r="F13572" s="7"/>
    </row>
    <row r="13573" spans="5:6" ht="15" customHeight="1" x14ac:dyDescent="0.2">
      <c r="E13573" s="7"/>
      <c r="F13573" s="7"/>
    </row>
    <row r="13574" spans="5:6" ht="15" customHeight="1" x14ac:dyDescent="0.2">
      <c r="E13574" s="7"/>
      <c r="F13574" s="7"/>
    </row>
    <row r="13575" spans="5:6" ht="15" customHeight="1" x14ac:dyDescent="0.2">
      <c r="E13575" s="7"/>
      <c r="F13575" s="7"/>
    </row>
    <row r="13576" spans="5:6" ht="15" customHeight="1" x14ac:dyDescent="0.2">
      <c r="E13576" s="7"/>
      <c r="F13576" s="7"/>
    </row>
    <row r="13577" spans="5:6" ht="15" customHeight="1" x14ac:dyDescent="0.2">
      <c r="E13577" s="7"/>
      <c r="F13577" s="7"/>
    </row>
    <row r="13578" spans="5:6" ht="15" customHeight="1" x14ac:dyDescent="0.2">
      <c r="E13578" s="7"/>
      <c r="F13578" s="7"/>
    </row>
    <row r="13579" spans="5:6" ht="15" customHeight="1" x14ac:dyDescent="0.2">
      <c r="E13579" s="7"/>
      <c r="F13579" s="7"/>
    </row>
    <row r="13580" spans="5:6" ht="15" customHeight="1" x14ac:dyDescent="0.2">
      <c r="E13580" s="7"/>
      <c r="F13580" s="7"/>
    </row>
    <row r="13581" spans="5:6" ht="15" customHeight="1" x14ac:dyDescent="0.2">
      <c r="E13581" s="7"/>
      <c r="F13581" s="7"/>
    </row>
    <row r="13582" spans="5:6" ht="15" customHeight="1" x14ac:dyDescent="0.2">
      <c r="E13582" s="7"/>
      <c r="F13582" s="7"/>
    </row>
    <row r="13583" spans="5:6" ht="15" customHeight="1" x14ac:dyDescent="0.2">
      <c r="E13583" s="7"/>
      <c r="F13583" s="7"/>
    </row>
    <row r="13584" spans="5:6" ht="15" customHeight="1" x14ac:dyDescent="0.2">
      <c r="E13584" s="7"/>
      <c r="F13584" s="7"/>
    </row>
    <row r="13585" spans="5:6" ht="15" customHeight="1" x14ac:dyDescent="0.2">
      <c r="E13585" s="7"/>
      <c r="F13585" s="7"/>
    </row>
    <row r="13586" spans="5:6" ht="15" customHeight="1" x14ac:dyDescent="0.2">
      <c r="E13586" s="7"/>
      <c r="F13586" s="7"/>
    </row>
    <row r="13587" spans="5:6" ht="15" customHeight="1" x14ac:dyDescent="0.2">
      <c r="E13587" s="7"/>
      <c r="F13587" s="7"/>
    </row>
    <row r="13588" spans="5:6" ht="15" customHeight="1" x14ac:dyDescent="0.2">
      <c r="E13588" s="7"/>
      <c r="F13588" s="7"/>
    </row>
    <row r="13589" spans="5:6" ht="15" customHeight="1" x14ac:dyDescent="0.2">
      <c r="E13589" s="7"/>
      <c r="F13589" s="7"/>
    </row>
    <row r="13590" spans="5:6" ht="15" customHeight="1" x14ac:dyDescent="0.2">
      <c r="E13590" s="7"/>
      <c r="F13590" s="7"/>
    </row>
    <row r="13591" spans="5:6" ht="15" customHeight="1" x14ac:dyDescent="0.2">
      <c r="E13591" s="7"/>
      <c r="F13591" s="7"/>
    </row>
    <row r="13592" spans="5:6" ht="15" customHeight="1" x14ac:dyDescent="0.2">
      <c r="E13592" s="7"/>
      <c r="F13592" s="7"/>
    </row>
    <row r="13593" spans="5:6" ht="15" customHeight="1" x14ac:dyDescent="0.2">
      <c r="E13593" s="7"/>
      <c r="F13593" s="7"/>
    </row>
    <row r="13594" spans="5:6" ht="15" customHeight="1" x14ac:dyDescent="0.2">
      <c r="E13594" s="7"/>
      <c r="F13594" s="7"/>
    </row>
    <row r="13595" spans="5:6" ht="15" customHeight="1" x14ac:dyDescent="0.2">
      <c r="E13595" s="7"/>
      <c r="F13595" s="7"/>
    </row>
    <row r="13596" spans="5:6" ht="15" customHeight="1" x14ac:dyDescent="0.2">
      <c r="E13596" s="7"/>
      <c r="F13596" s="7"/>
    </row>
    <row r="13597" spans="5:6" ht="15" customHeight="1" x14ac:dyDescent="0.2">
      <c r="E13597" s="7"/>
      <c r="F13597" s="7"/>
    </row>
    <row r="13598" spans="5:6" ht="15" customHeight="1" x14ac:dyDescent="0.2">
      <c r="E13598" s="7"/>
      <c r="F13598" s="7"/>
    </row>
    <row r="13599" spans="5:6" ht="15" customHeight="1" x14ac:dyDescent="0.2">
      <c r="E13599" s="7"/>
      <c r="F13599" s="7"/>
    </row>
    <row r="13600" spans="5:6" ht="15" customHeight="1" x14ac:dyDescent="0.2">
      <c r="E13600" s="7"/>
      <c r="F13600" s="7"/>
    </row>
    <row r="13601" spans="5:6" ht="15" customHeight="1" x14ac:dyDescent="0.2">
      <c r="E13601" s="7"/>
      <c r="F13601" s="7"/>
    </row>
    <row r="13602" spans="5:6" ht="15" customHeight="1" x14ac:dyDescent="0.2">
      <c r="E13602" s="7"/>
      <c r="F13602" s="7"/>
    </row>
    <row r="13603" spans="5:6" ht="15" customHeight="1" x14ac:dyDescent="0.2">
      <c r="E13603" s="7"/>
      <c r="F13603" s="7"/>
    </row>
    <row r="13604" spans="5:6" ht="15" customHeight="1" x14ac:dyDescent="0.2">
      <c r="E13604" s="7"/>
      <c r="F13604" s="7"/>
    </row>
    <row r="13605" spans="5:6" ht="15" customHeight="1" x14ac:dyDescent="0.2">
      <c r="E13605" s="7"/>
      <c r="F13605" s="7"/>
    </row>
    <row r="13606" spans="5:6" ht="15" customHeight="1" x14ac:dyDescent="0.2">
      <c r="E13606" s="7"/>
      <c r="F13606" s="7"/>
    </row>
    <row r="13607" spans="5:6" ht="15" customHeight="1" x14ac:dyDescent="0.2">
      <c r="E13607" s="7"/>
      <c r="F13607" s="7"/>
    </row>
    <row r="13608" spans="5:6" ht="15" customHeight="1" x14ac:dyDescent="0.2">
      <c r="E13608" s="7"/>
      <c r="F13608" s="7"/>
    </row>
    <row r="13609" spans="5:6" ht="15" customHeight="1" x14ac:dyDescent="0.2">
      <c r="E13609" s="7"/>
      <c r="F13609" s="7"/>
    </row>
    <row r="13610" spans="5:6" ht="15" customHeight="1" x14ac:dyDescent="0.2">
      <c r="E13610" s="7"/>
      <c r="F13610" s="7"/>
    </row>
    <row r="13611" spans="5:6" ht="15" customHeight="1" x14ac:dyDescent="0.2">
      <c r="E13611" s="7"/>
      <c r="F13611" s="7"/>
    </row>
    <row r="13612" spans="5:6" ht="15" customHeight="1" x14ac:dyDescent="0.2">
      <c r="E13612" s="7"/>
      <c r="F13612" s="7"/>
    </row>
    <row r="13613" spans="5:6" ht="15" customHeight="1" x14ac:dyDescent="0.2">
      <c r="E13613" s="7"/>
      <c r="F13613" s="7"/>
    </row>
    <row r="13614" spans="5:6" ht="15" customHeight="1" x14ac:dyDescent="0.2">
      <c r="E13614" s="7"/>
      <c r="F13614" s="7"/>
    </row>
    <row r="13615" spans="5:6" ht="15" customHeight="1" x14ac:dyDescent="0.2">
      <c r="E13615" s="7"/>
      <c r="F13615" s="7"/>
    </row>
    <row r="13616" spans="5:6" ht="15" customHeight="1" x14ac:dyDescent="0.2">
      <c r="E13616" s="7"/>
      <c r="F13616" s="7"/>
    </row>
    <row r="13617" spans="5:6" ht="15" customHeight="1" x14ac:dyDescent="0.2">
      <c r="E13617" s="7"/>
      <c r="F13617" s="7"/>
    </row>
    <row r="13618" spans="5:6" ht="15" customHeight="1" x14ac:dyDescent="0.2">
      <c r="E13618" s="7"/>
      <c r="F13618" s="7"/>
    </row>
    <row r="13619" spans="5:6" ht="15" customHeight="1" x14ac:dyDescent="0.2">
      <c r="E13619" s="7"/>
      <c r="F13619" s="7"/>
    </row>
    <row r="13620" spans="5:6" ht="15" customHeight="1" x14ac:dyDescent="0.2">
      <c r="E13620" s="7"/>
      <c r="F13620" s="7"/>
    </row>
    <row r="13621" spans="5:6" ht="15" customHeight="1" x14ac:dyDescent="0.2">
      <c r="E13621" s="7"/>
      <c r="F13621" s="7"/>
    </row>
    <row r="13622" spans="5:6" ht="15" customHeight="1" x14ac:dyDescent="0.2">
      <c r="E13622" s="7"/>
      <c r="F13622" s="7"/>
    </row>
    <row r="13623" spans="5:6" ht="15" customHeight="1" x14ac:dyDescent="0.2">
      <c r="E13623" s="7"/>
      <c r="F13623" s="7"/>
    </row>
    <row r="13624" spans="5:6" ht="15" customHeight="1" x14ac:dyDescent="0.2">
      <c r="E13624" s="7"/>
      <c r="F13624" s="7"/>
    </row>
    <row r="13625" spans="5:6" ht="15" customHeight="1" x14ac:dyDescent="0.2">
      <c r="E13625" s="7"/>
      <c r="F13625" s="7"/>
    </row>
    <row r="13626" spans="5:6" ht="15" customHeight="1" x14ac:dyDescent="0.2">
      <c r="E13626" s="7"/>
      <c r="F13626" s="7"/>
    </row>
    <row r="13627" spans="5:6" ht="15" customHeight="1" x14ac:dyDescent="0.2">
      <c r="E13627" s="7"/>
      <c r="F13627" s="7"/>
    </row>
    <row r="13628" spans="5:6" ht="15" customHeight="1" x14ac:dyDescent="0.2">
      <c r="E13628" s="7"/>
      <c r="F13628" s="7"/>
    </row>
    <row r="13629" spans="5:6" ht="15" customHeight="1" x14ac:dyDescent="0.2">
      <c r="E13629" s="7"/>
      <c r="F13629" s="7"/>
    </row>
    <row r="13630" spans="5:6" ht="15" customHeight="1" x14ac:dyDescent="0.2">
      <c r="E13630" s="7"/>
      <c r="F13630" s="7"/>
    </row>
    <row r="13631" spans="5:6" ht="15" customHeight="1" x14ac:dyDescent="0.2">
      <c r="E13631" s="7"/>
      <c r="F13631" s="7"/>
    </row>
    <row r="13632" spans="5:6" ht="15" customHeight="1" x14ac:dyDescent="0.2">
      <c r="E13632" s="7"/>
      <c r="F13632" s="7"/>
    </row>
    <row r="13633" spans="5:6" ht="15" customHeight="1" x14ac:dyDescent="0.2">
      <c r="E13633" s="7"/>
      <c r="F13633" s="7"/>
    </row>
    <row r="13634" spans="5:6" ht="15" customHeight="1" x14ac:dyDescent="0.2">
      <c r="E13634" s="7"/>
      <c r="F13634" s="7"/>
    </row>
    <row r="13635" spans="5:6" ht="15" customHeight="1" x14ac:dyDescent="0.2">
      <c r="E13635" s="7"/>
      <c r="F13635" s="7"/>
    </row>
    <row r="13636" spans="5:6" ht="15" customHeight="1" x14ac:dyDescent="0.2">
      <c r="E13636" s="7"/>
      <c r="F13636" s="7"/>
    </row>
    <row r="13637" spans="5:6" ht="15" customHeight="1" x14ac:dyDescent="0.2">
      <c r="E13637" s="7"/>
      <c r="F13637" s="7"/>
    </row>
    <row r="13638" spans="5:6" ht="15" customHeight="1" x14ac:dyDescent="0.2">
      <c r="E13638" s="7"/>
      <c r="F13638" s="7"/>
    </row>
    <row r="13639" spans="5:6" ht="15" customHeight="1" x14ac:dyDescent="0.2">
      <c r="E13639" s="7"/>
      <c r="F13639" s="7"/>
    </row>
    <row r="13640" spans="5:6" ht="15" customHeight="1" x14ac:dyDescent="0.2">
      <c r="E13640" s="7"/>
      <c r="F13640" s="7"/>
    </row>
    <row r="13641" spans="5:6" ht="15" customHeight="1" x14ac:dyDescent="0.2">
      <c r="E13641" s="7"/>
      <c r="F13641" s="7"/>
    </row>
    <row r="13642" spans="5:6" ht="15" customHeight="1" x14ac:dyDescent="0.2">
      <c r="E13642" s="7"/>
      <c r="F13642" s="7"/>
    </row>
    <row r="13643" spans="5:6" ht="15" customHeight="1" x14ac:dyDescent="0.2">
      <c r="E13643" s="7"/>
      <c r="F13643" s="7"/>
    </row>
    <row r="13644" spans="5:6" ht="15" customHeight="1" x14ac:dyDescent="0.2">
      <c r="E13644" s="7"/>
      <c r="F13644" s="7"/>
    </row>
    <row r="13645" spans="5:6" ht="15" customHeight="1" x14ac:dyDescent="0.2">
      <c r="E13645" s="7"/>
      <c r="F13645" s="7"/>
    </row>
    <row r="13646" spans="5:6" ht="15" customHeight="1" x14ac:dyDescent="0.2">
      <c r="E13646" s="7"/>
      <c r="F13646" s="7"/>
    </row>
    <row r="13647" spans="5:6" ht="15" customHeight="1" x14ac:dyDescent="0.2">
      <c r="E13647" s="7"/>
      <c r="F13647" s="7"/>
    </row>
    <row r="13648" spans="5:6" ht="15" customHeight="1" x14ac:dyDescent="0.2">
      <c r="E13648" s="7"/>
      <c r="F13648" s="7"/>
    </row>
    <row r="13649" spans="5:6" ht="15" customHeight="1" x14ac:dyDescent="0.2">
      <c r="E13649" s="7"/>
      <c r="F13649" s="7"/>
    </row>
    <row r="13650" spans="5:6" ht="15" customHeight="1" x14ac:dyDescent="0.2">
      <c r="E13650" s="7"/>
      <c r="F13650" s="7"/>
    </row>
    <row r="13651" spans="5:6" ht="15" customHeight="1" x14ac:dyDescent="0.2">
      <c r="E13651" s="7"/>
      <c r="F13651" s="7"/>
    </row>
    <row r="13652" spans="5:6" ht="15" customHeight="1" x14ac:dyDescent="0.2">
      <c r="E13652" s="7"/>
      <c r="F13652" s="7"/>
    </row>
    <row r="13653" spans="5:6" ht="15" customHeight="1" x14ac:dyDescent="0.2">
      <c r="E13653" s="7"/>
      <c r="F13653" s="7"/>
    </row>
    <row r="13654" spans="5:6" ht="15" customHeight="1" x14ac:dyDescent="0.2">
      <c r="E13654" s="7"/>
      <c r="F13654" s="7"/>
    </row>
    <row r="13655" spans="5:6" ht="15" customHeight="1" x14ac:dyDescent="0.2">
      <c r="E13655" s="7"/>
      <c r="F13655" s="7"/>
    </row>
    <row r="13656" spans="5:6" ht="15" customHeight="1" x14ac:dyDescent="0.2">
      <c r="E13656" s="7"/>
      <c r="F13656" s="7"/>
    </row>
    <row r="13657" spans="5:6" ht="15" customHeight="1" x14ac:dyDescent="0.2">
      <c r="E13657" s="7"/>
      <c r="F13657" s="7"/>
    </row>
    <row r="13658" spans="5:6" ht="15" customHeight="1" x14ac:dyDescent="0.2">
      <c r="E13658" s="7"/>
      <c r="F13658" s="7"/>
    </row>
    <row r="13659" spans="5:6" ht="15" customHeight="1" x14ac:dyDescent="0.2">
      <c r="E13659" s="7"/>
      <c r="F13659" s="7"/>
    </row>
    <row r="13660" spans="5:6" ht="15" customHeight="1" x14ac:dyDescent="0.2">
      <c r="E13660" s="7"/>
      <c r="F13660" s="7"/>
    </row>
    <row r="13661" spans="5:6" ht="15" customHeight="1" x14ac:dyDescent="0.2">
      <c r="E13661" s="7"/>
      <c r="F13661" s="7"/>
    </row>
    <row r="13662" spans="5:6" ht="15" customHeight="1" x14ac:dyDescent="0.2">
      <c r="E13662" s="7"/>
      <c r="F13662" s="7"/>
    </row>
    <row r="13663" spans="5:6" ht="15" customHeight="1" x14ac:dyDescent="0.2">
      <c r="E13663" s="7"/>
      <c r="F13663" s="7"/>
    </row>
    <row r="13664" spans="5:6" ht="15" customHeight="1" x14ac:dyDescent="0.2">
      <c r="E13664" s="7"/>
      <c r="F13664" s="7"/>
    </row>
    <row r="13665" spans="5:6" ht="15" customHeight="1" x14ac:dyDescent="0.2">
      <c r="E13665" s="7"/>
      <c r="F13665" s="7"/>
    </row>
    <row r="13666" spans="5:6" ht="15" customHeight="1" x14ac:dyDescent="0.2">
      <c r="E13666" s="7"/>
      <c r="F13666" s="7"/>
    </row>
    <row r="13667" spans="5:6" ht="15" customHeight="1" x14ac:dyDescent="0.2">
      <c r="E13667" s="7"/>
      <c r="F13667" s="7"/>
    </row>
    <row r="13668" spans="5:6" ht="15" customHeight="1" x14ac:dyDescent="0.2">
      <c r="E13668" s="7"/>
      <c r="F13668" s="7"/>
    </row>
    <row r="13669" spans="5:6" ht="15" customHeight="1" x14ac:dyDescent="0.2">
      <c r="E13669" s="7"/>
      <c r="F13669" s="7"/>
    </row>
    <row r="13670" spans="5:6" ht="15" customHeight="1" x14ac:dyDescent="0.2">
      <c r="E13670" s="7"/>
      <c r="F13670" s="7"/>
    </row>
    <row r="13671" spans="5:6" ht="15" customHeight="1" x14ac:dyDescent="0.2">
      <c r="E13671" s="7"/>
      <c r="F13671" s="7"/>
    </row>
    <row r="13672" spans="5:6" ht="15" customHeight="1" x14ac:dyDescent="0.2">
      <c r="E13672" s="7"/>
      <c r="F13672" s="7"/>
    </row>
    <row r="13673" spans="5:6" ht="15" customHeight="1" x14ac:dyDescent="0.2">
      <c r="E13673" s="7"/>
      <c r="F13673" s="7"/>
    </row>
    <row r="13674" spans="5:6" ht="15" customHeight="1" x14ac:dyDescent="0.2">
      <c r="E13674" s="7"/>
      <c r="F13674" s="7"/>
    </row>
    <row r="13675" spans="5:6" ht="15" customHeight="1" x14ac:dyDescent="0.2">
      <c r="E13675" s="7"/>
      <c r="F13675" s="7"/>
    </row>
    <row r="13676" spans="5:6" ht="15" customHeight="1" x14ac:dyDescent="0.2">
      <c r="E13676" s="7"/>
      <c r="F13676" s="7"/>
    </row>
    <row r="13677" spans="5:6" ht="15" customHeight="1" x14ac:dyDescent="0.2">
      <c r="E13677" s="7"/>
      <c r="F13677" s="7"/>
    </row>
    <row r="13678" spans="5:6" ht="15" customHeight="1" x14ac:dyDescent="0.2">
      <c r="E13678" s="7"/>
      <c r="F13678" s="7"/>
    </row>
    <row r="13679" spans="5:6" ht="15" customHeight="1" x14ac:dyDescent="0.2">
      <c r="E13679" s="7"/>
      <c r="F13679" s="7"/>
    </row>
    <row r="13680" spans="5:6" ht="15" customHeight="1" x14ac:dyDescent="0.2">
      <c r="E13680" s="7"/>
      <c r="F13680" s="7"/>
    </row>
    <row r="13681" spans="5:6" ht="15" customHeight="1" x14ac:dyDescent="0.2">
      <c r="E13681" s="7"/>
      <c r="F13681" s="7"/>
    </row>
    <row r="13682" spans="5:6" ht="15" customHeight="1" x14ac:dyDescent="0.2">
      <c r="E13682" s="7"/>
      <c r="F13682" s="7"/>
    </row>
    <row r="13683" spans="5:6" ht="15" customHeight="1" x14ac:dyDescent="0.2">
      <c r="E13683" s="7"/>
      <c r="F13683" s="7"/>
    </row>
    <row r="13684" spans="5:6" ht="15" customHeight="1" x14ac:dyDescent="0.2">
      <c r="E13684" s="7"/>
      <c r="F13684" s="7"/>
    </row>
    <row r="13685" spans="5:6" ht="15" customHeight="1" x14ac:dyDescent="0.2">
      <c r="E13685" s="7"/>
      <c r="F13685" s="7"/>
    </row>
    <row r="13686" spans="5:6" ht="15" customHeight="1" x14ac:dyDescent="0.2">
      <c r="E13686" s="7"/>
      <c r="F13686" s="7"/>
    </row>
    <row r="13687" spans="5:6" ht="15" customHeight="1" x14ac:dyDescent="0.2">
      <c r="E13687" s="7"/>
      <c r="F13687" s="7"/>
    </row>
    <row r="13688" spans="5:6" ht="15" customHeight="1" x14ac:dyDescent="0.2">
      <c r="E13688" s="7"/>
      <c r="F13688" s="7"/>
    </row>
    <row r="13689" spans="5:6" ht="15" customHeight="1" x14ac:dyDescent="0.2">
      <c r="E13689" s="7"/>
      <c r="F13689" s="7"/>
    </row>
    <row r="13690" spans="5:6" ht="15" customHeight="1" x14ac:dyDescent="0.2">
      <c r="E13690" s="7"/>
      <c r="F13690" s="7"/>
    </row>
    <row r="13691" spans="5:6" ht="15" customHeight="1" x14ac:dyDescent="0.2">
      <c r="E13691" s="7"/>
      <c r="F13691" s="7"/>
    </row>
    <row r="13692" spans="5:6" ht="15" customHeight="1" x14ac:dyDescent="0.2">
      <c r="E13692" s="7"/>
      <c r="F13692" s="7"/>
    </row>
    <row r="13693" spans="5:6" ht="15" customHeight="1" x14ac:dyDescent="0.2">
      <c r="E13693" s="7"/>
      <c r="F13693" s="7"/>
    </row>
    <row r="13694" spans="5:6" ht="15" customHeight="1" x14ac:dyDescent="0.2">
      <c r="E13694" s="7"/>
      <c r="F13694" s="7"/>
    </row>
    <row r="13695" spans="5:6" ht="15" customHeight="1" x14ac:dyDescent="0.2">
      <c r="E13695" s="7"/>
      <c r="F13695" s="7"/>
    </row>
    <row r="13696" spans="5:6" ht="15" customHeight="1" x14ac:dyDescent="0.2">
      <c r="E13696" s="7"/>
      <c r="F13696" s="7"/>
    </row>
    <row r="13697" spans="5:6" ht="15" customHeight="1" x14ac:dyDescent="0.2">
      <c r="E13697" s="7"/>
      <c r="F13697" s="7"/>
    </row>
    <row r="13698" spans="5:6" ht="15" customHeight="1" x14ac:dyDescent="0.2">
      <c r="E13698" s="7"/>
      <c r="F13698" s="7"/>
    </row>
    <row r="13699" spans="5:6" ht="15" customHeight="1" x14ac:dyDescent="0.2">
      <c r="E13699" s="7"/>
      <c r="F13699" s="7"/>
    </row>
    <row r="13700" spans="5:6" ht="15" customHeight="1" x14ac:dyDescent="0.2">
      <c r="E13700" s="7"/>
      <c r="F13700" s="7"/>
    </row>
    <row r="13701" spans="5:6" ht="15" customHeight="1" x14ac:dyDescent="0.2">
      <c r="E13701" s="7"/>
      <c r="F13701" s="7"/>
    </row>
    <row r="13702" spans="5:6" ht="15" customHeight="1" x14ac:dyDescent="0.2">
      <c r="E13702" s="7"/>
      <c r="F13702" s="7"/>
    </row>
    <row r="13703" spans="5:6" ht="15" customHeight="1" x14ac:dyDescent="0.2">
      <c r="E13703" s="7"/>
      <c r="F13703" s="7"/>
    </row>
    <row r="13704" spans="5:6" ht="15" customHeight="1" x14ac:dyDescent="0.2">
      <c r="E13704" s="7"/>
      <c r="F13704" s="7"/>
    </row>
    <row r="13705" spans="5:6" ht="15" customHeight="1" x14ac:dyDescent="0.2">
      <c r="E13705" s="7"/>
      <c r="F13705" s="7"/>
    </row>
    <row r="13706" spans="5:6" ht="15" customHeight="1" x14ac:dyDescent="0.2">
      <c r="E13706" s="7"/>
      <c r="F13706" s="7"/>
    </row>
    <row r="13707" spans="5:6" ht="15" customHeight="1" x14ac:dyDescent="0.2">
      <c r="E13707" s="7"/>
      <c r="F13707" s="7"/>
    </row>
    <row r="13708" spans="5:6" ht="15" customHeight="1" x14ac:dyDescent="0.2">
      <c r="E13708" s="7"/>
      <c r="F13708" s="7"/>
    </row>
    <row r="13709" spans="5:6" ht="15" customHeight="1" x14ac:dyDescent="0.2">
      <c r="E13709" s="7"/>
      <c r="F13709" s="7"/>
    </row>
    <row r="13710" spans="5:6" ht="15" customHeight="1" x14ac:dyDescent="0.2">
      <c r="E13710" s="7"/>
      <c r="F13710" s="7"/>
    </row>
    <row r="13711" spans="5:6" ht="15" customHeight="1" x14ac:dyDescent="0.2">
      <c r="E13711" s="7"/>
      <c r="F13711" s="7"/>
    </row>
    <row r="13712" spans="5:6" ht="15" customHeight="1" x14ac:dyDescent="0.2">
      <c r="E13712" s="7"/>
      <c r="F13712" s="7"/>
    </row>
    <row r="13713" spans="5:6" ht="15" customHeight="1" x14ac:dyDescent="0.2">
      <c r="E13713" s="7"/>
      <c r="F13713" s="7"/>
    </row>
    <row r="13714" spans="5:6" ht="15" customHeight="1" x14ac:dyDescent="0.2">
      <c r="E13714" s="7"/>
      <c r="F13714" s="7"/>
    </row>
    <row r="13715" spans="5:6" ht="15" customHeight="1" x14ac:dyDescent="0.2">
      <c r="E13715" s="7"/>
      <c r="F13715" s="7"/>
    </row>
    <row r="13716" spans="5:6" ht="15" customHeight="1" x14ac:dyDescent="0.2">
      <c r="E13716" s="7"/>
      <c r="F13716" s="7"/>
    </row>
    <row r="13717" spans="5:6" ht="15" customHeight="1" x14ac:dyDescent="0.2">
      <c r="E13717" s="7"/>
      <c r="F13717" s="7"/>
    </row>
    <row r="13718" spans="5:6" ht="15" customHeight="1" x14ac:dyDescent="0.2">
      <c r="E13718" s="7"/>
      <c r="F13718" s="7"/>
    </row>
    <row r="13719" spans="5:6" ht="15" customHeight="1" x14ac:dyDescent="0.2">
      <c r="E13719" s="7"/>
      <c r="F13719" s="7"/>
    </row>
    <row r="13720" spans="5:6" ht="15" customHeight="1" x14ac:dyDescent="0.2">
      <c r="E13720" s="7"/>
      <c r="F13720" s="7"/>
    </row>
    <row r="13721" spans="5:6" ht="15" customHeight="1" x14ac:dyDescent="0.2">
      <c r="E13721" s="7"/>
      <c r="F13721" s="7"/>
    </row>
    <row r="13722" spans="5:6" ht="15" customHeight="1" x14ac:dyDescent="0.2">
      <c r="E13722" s="7"/>
      <c r="F13722" s="7"/>
    </row>
    <row r="13723" spans="5:6" ht="15" customHeight="1" x14ac:dyDescent="0.2">
      <c r="E13723" s="7"/>
      <c r="F13723" s="7"/>
    </row>
    <row r="13724" spans="5:6" ht="15" customHeight="1" x14ac:dyDescent="0.2">
      <c r="E13724" s="7"/>
      <c r="F13724" s="7"/>
    </row>
    <row r="13725" spans="5:6" ht="15" customHeight="1" x14ac:dyDescent="0.2">
      <c r="E13725" s="7"/>
      <c r="F13725" s="7"/>
    </row>
    <row r="13726" spans="5:6" ht="15" customHeight="1" x14ac:dyDescent="0.2">
      <c r="E13726" s="7"/>
      <c r="F13726" s="7"/>
    </row>
    <row r="13727" spans="5:6" ht="15" customHeight="1" x14ac:dyDescent="0.2">
      <c r="E13727" s="7"/>
      <c r="F13727" s="7"/>
    </row>
    <row r="13728" spans="5:6" ht="15" customHeight="1" x14ac:dyDescent="0.2">
      <c r="E13728" s="7"/>
      <c r="F13728" s="7"/>
    </row>
    <row r="13729" spans="5:6" ht="15" customHeight="1" x14ac:dyDescent="0.2">
      <c r="E13729" s="7"/>
      <c r="F13729" s="7"/>
    </row>
    <row r="13730" spans="5:6" ht="15" customHeight="1" x14ac:dyDescent="0.2">
      <c r="E13730" s="7"/>
      <c r="F13730" s="7"/>
    </row>
    <row r="13731" spans="5:6" ht="15" customHeight="1" x14ac:dyDescent="0.2">
      <c r="E13731" s="7"/>
      <c r="F13731" s="7"/>
    </row>
    <row r="13732" spans="5:6" ht="15" customHeight="1" x14ac:dyDescent="0.2">
      <c r="E13732" s="7"/>
      <c r="F13732" s="7"/>
    </row>
    <row r="13733" spans="5:6" ht="15" customHeight="1" x14ac:dyDescent="0.2">
      <c r="E13733" s="7"/>
      <c r="F13733" s="7"/>
    </row>
    <row r="13734" spans="5:6" ht="15" customHeight="1" x14ac:dyDescent="0.2">
      <c r="E13734" s="7"/>
      <c r="F13734" s="7"/>
    </row>
    <row r="13735" spans="5:6" ht="15" customHeight="1" x14ac:dyDescent="0.2">
      <c r="E13735" s="7"/>
      <c r="F13735" s="7"/>
    </row>
    <row r="13736" spans="5:6" ht="15" customHeight="1" x14ac:dyDescent="0.2">
      <c r="E13736" s="7"/>
      <c r="F13736" s="7"/>
    </row>
    <row r="13737" spans="5:6" ht="15" customHeight="1" x14ac:dyDescent="0.2">
      <c r="E13737" s="7"/>
      <c r="F13737" s="7"/>
    </row>
    <row r="13738" spans="5:6" ht="15" customHeight="1" x14ac:dyDescent="0.2">
      <c r="E13738" s="7"/>
      <c r="F13738" s="7"/>
    </row>
    <row r="13739" spans="5:6" ht="15" customHeight="1" x14ac:dyDescent="0.2">
      <c r="E13739" s="7"/>
      <c r="F13739" s="7"/>
    </row>
    <row r="13740" spans="5:6" ht="15" customHeight="1" x14ac:dyDescent="0.2">
      <c r="E13740" s="7"/>
      <c r="F13740" s="7"/>
    </row>
    <row r="13741" spans="5:6" ht="15" customHeight="1" x14ac:dyDescent="0.2">
      <c r="E13741" s="7"/>
      <c r="F13741" s="7"/>
    </row>
    <row r="13742" spans="5:6" ht="15" customHeight="1" x14ac:dyDescent="0.2">
      <c r="E13742" s="7"/>
      <c r="F13742" s="7"/>
    </row>
    <row r="13743" spans="5:6" ht="15" customHeight="1" x14ac:dyDescent="0.2">
      <c r="E13743" s="7"/>
      <c r="F13743" s="7"/>
    </row>
    <row r="13744" spans="5:6" ht="15" customHeight="1" x14ac:dyDescent="0.2">
      <c r="E13744" s="7"/>
      <c r="F13744" s="7"/>
    </row>
    <row r="13745" spans="5:6" ht="15" customHeight="1" x14ac:dyDescent="0.2">
      <c r="E13745" s="7"/>
      <c r="F13745" s="7"/>
    </row>
    <row r="13746" spans="5:6" ht="15" customHeight="1" x14ac:dyDescent="0.2">
      <c r="E13746" s="7"/>
      <c r="F13746" s="7"/>
    </row>
    <row r="13747" spans="5:6" ht="15" customHeight="1" x14ac:dyDescent="0.2">
      <c r="E13747" s="7"/>
      <c r="F13747" s="7"/>
    </row>
    <row r="13748" spans="5:6" ht="15" customHeight="1" x14ac:dyDescent="0.2">
      <c r="E13748" s="7"/>
      <c r="F13748" s="7"/>
    </row>
    <row r="13749" spans="5:6" ht="15" customHeight="1" x14ac:dyDescent="0.2">
      <c r="E13749" s="7"/>
      <c r="F13749" s="7"/>
    </row>
    <row r="13750" spans="5:6" ht="15" customHeight="1" x14ac:dyDescent="0.2">
      <c r="E13750" s="7"/>
      <c r="F13750" s="7"/>
    </row>
    <row r="13751" spans="5:6" ht="15" customHeight="1" x14ac:dyDescent="0.2">
      <c r="E13751" s="7"/>
      <c r="F13751" s="7"/>
    </row>
    <row r="13752" spans="5:6" ht="15" customHeight="1" x14ac:dyDescent="0.2">
      <c r="E13752" s="7"/>
      <c r="F13752" s="7"/>
    </row>
    <row r="13753" spans="5:6" ht="15" customHeight="1" x14ac:dyDescent="0.2">
      <c r="E13753" s="7"/>
      <c r="F13753" s="7"/>
    </row>
    <row r="13754" spans="5:6" ht="15" customHeight="1" x14ac:dyDescent="0.2">
      <c r="E13754" s="7"/>
      <c r="F13754" s="7"/>
    </row>
    <row r="13755" spans="5:6" ht="15" customHeight="1" x14ac:dyDescent="0.2">
      <c r="E13755" s="7"/>
      <c r="F13755" s="7"/>
    </row>
    <row r="13756" spans="5:6" ht="15" customHeight="1" x14ac:dyDescent="0.2">
      <c r="E13756" s="7"/>
      <c r="F13756" s="7"/>
    </row>
    <row r="13757" spans="5:6" ht="15" customHeight="1" x14ac:dyDescent="0.2">
      <c r="E13757" s="7"/>
      <c r="F13757" s="7"/>
    </row>
    <row r="13758" spans="5:6" ht="15" customHeight="1" x14ac:dyDescent="0.2">
      <c r="E13758" s="7"/>
      <c r="F13758" s="7"/>
    </row>
    <row r="13759" spans="5:6" ht="15" customHeight="1" x14ac:dyDescent="0.2">
      <c r="E13759" s="7"/>
      <c r="F13759" s="7"/>
    </row>
    <row r="13760" spans="5:6" ht="15" customHeight="1" x14ac:dyDescent="0.2">
      <c r="E13760" s="7"/>
      <c r="F13760" s="7"/>
    </row>
    <row r="13761" spans="5:6" ht="15" customHeight="1" x14ac:dyDescent="0.2">
      <c r="E13761" s="7"/>
      <c r="F13761" s="7"/>
    </row>
    <row r="13762" spans="5:6" ht="15" customHeight="1" x14ac:dyDescent="0.2">
      <c r="E13762" s="7"/>
      <c r="F13762" s="7"/>
    </row>
    <row r="13763" spans="5:6" ht="15" customHeight="1" x14ac:dyDescent="0.2">
      <c r="E13763" s="7"/>
      <c r="F13763" s="7"/>
    </row>
    <row r="13764" spans="5:6" ht="15" customHeight="1" x14ac:dyDescent="0.2">
      <c r="E13764" s="7"/>
      <c r="F13764" s="7"/>
    </row>
    <row r="13765" spans="5:6" ht="15" customHeight="1" x14ac:dyDescent="0.2">
      <c r="E13765" s="7"/>
      <c r="F13765" s="7"/>
    </row>
    <row r="13766" spans="5:6" ht="15" customHeight="1" x14ac:dyDescent="0.2">
      <c r="E13766" s="7"/>
      <c r="F13766" s="7"/>
    </row>
    <row r="13767" spans="5:6" ht="15" customHeight="1" x14ac:dyDescent="0.2">
      <c r="E13767" s="7"/>
      <c r="F13767" s="7"/>
    </row>
    <row r="13768" spans="5:6" ht="15" customHeight="1" x14ac:dyDescent="0.2">
      <c r="E13768" s="7"/>
      <c r="F13768" s="7"/>
    </row>
    <row r="13769" spans="5:6" ht="15" customHeight="1" x14ac:dyDescent="0.2">
      <c r="E13769" s="7"/>
      <c r="F13769" s="7"/>
    </row>
    <row r="13770" spans="5:6" ht="15" customHeight="1" x14ac:dyDescent="0.2">
      <c r="E13770" s="7"/>
      <c r="F13770" s="7"/>
    </row>
    <row r="13771" spans="5:6" ht="15" customHeight="1" x14ac:dyDescent="0.2">
      <c r="E13771" s="7"/>
      <c r="F13771" s="7"/>
    </row>
    <row r="13772" spans="5:6" ht="15" customHeight="1" x14ac:dyDescent="0.2">
      <c r="E13772" s="7"/>
      <c r="F13772" s="7"/>
    </row>
    <row r="13773" spans="5:6" ht="15" customHeight="1" x14ac:dyDescent="0.2">
      <c r="E13773" s="7"/>
      <c r="F13773" s="7"/>
    </row>
    <row r="13774" spans="5:6" ht="15" customHeight="1" x14ac:dyDescent="0.2">
      <c r="E13774" s="7"/>
      <c r="F13774" s="7"/>
    </row>
    <row r="13775" spans="5:6" ht="15" customHeight="1" x14ac:dyDescent="0.2">
      <c r="E13775" s="7"/>
      <c r="F13775" s="7"/>
    </row>
    <row r="13776" spans="5:6" ht="15" customHeight="1" x14ac:dyDescent="0.2">
      <c r="E13776" s="7"/>
      <c r="F13776" s="7"/>
    </row>
    <row r="13777" spans="5:6" ht="15" customHeight="1" x14ac:dyDescent="0.2">
      <c r="E13777" s="7"/>
      <c r="F13777" s="7"/>
    </row>
    <row r="13778" spans="5:6" ht="15" customHeight="1" x14ac:dyDescent="0.2">
      <c r="E13778" s="7"/>
      <c r="F13778" s="7"/>
    </row>
    <row r="13779" spans="5:6" ht="15" customHeight="1" x14ac:dyDescent="0.2">
      <c r="E13779" s="7"/>
      <c r="F13779" s="7"/>
    </row>
    <row r="13780" spans="5:6" ht="15" customHeight="1" x14ac:dyDescent="0.2">
      <c r="E13780" s="7"/>
      <c r="F13780" s="7"/>
    </row>
    <row r="13781" spans="5:6" ht="15" customHeight="1" x14ac:dyDescent="0.2">
      <c r="E13781" s="7"/>
      <c r="F13781" s="7"/>
    </row>
    <row r="13782" spans="5:6" ht="15" customHeight="1" x14ac:dyDescent="0.2">
      <c r="E13782" s="7"/>
      <c r="F13782" s="7"/>
    </row>
    <row r="13783" spans="5:6" ht="15" customHeight="1" x14ac:dyDescent="0.2">
      <c r="E13783" s="7"/>
      <c r="F13783" s="7"/>
    </row>
    <row r="13784" spans="5:6" ht="15" customHeight="1" x14ac:dyDescent="0.2">
      <c r="E13784" s="7"/>
      <c r="F13784" s="7"/>
    </row>
    <row r="13785" spans="5:6" ht="15" customHeight="1" x14ac:dyDescent="0.2">
      <c r="E13785" s="7"/>
      <c r="F13785" s="7"/>
    </row>
    <row r="13786" spans="5:6" ht="15" customHeight="1" x14ac:dyDescent="0.2">
      <c r="E13786" s="7"/>
      <c r="F13786" s="7"/>
    </row>
    <row r="13787" spans="5:6" ht="15" customHeight="1" x14ac:dyDescent="0.2">
      <c r="E13787" s="7"/>
      <c r="F13787" s="7"/>
    </row>
    <row r="13788" spans="5:6" ht="15" customHeight="1" x14ac:dyDescent="0.2">
      <c r="E13788" s="7"/>
      <c r="F13788" s="7"/>
    </row>
    <row r="13789" spans="5:6" ht="15" customHeight="1" x14ac:dyDescent="0.2">
      <c r="E13789" s="7"/>
      <c r="F13789" s="7"/>
    </row>
    <row r="13790" spans="5:6" ht="15" customHeight="1" x14ac:dyDescent="0.2">
      <c r="E13790" s="7"/>
      <c r="F13790" s="7"/>
    </row>
    <row r="13791" spans="5:6" ht="15" customHeight="1" x14ac:dyDescent="0.2">
      <c r="E13791" s="7"/>
      <c r="F13791" s="7"/>
    </row>
    <row r="13792" spans="5:6" ht="15" customHeight="1" x14ac:dyDescent="0.2">
      <c r="E13792" s="7"/>
      <c r="F13792" s="7"/>
    </row>
    <row r="13793" spans="5:6" ht="15" customHeight="1" x14ac:dyDescent="0.2">
      <c r="E13793" s="7"/>
      <c r="F13793" s="7"/>
    </row>
    <row r="13794" spans="5:6" ht="15" customHeight="1" x14ac:dyDescent="0.2">
      <c r="E13794" s="7"/>
      <c r="F13794" s="7"/>
    </row>
    <row r="13795" spans="5:6" ht="15" customHeight="1" x14ac:dyDescent="0.2">
      <c r="E13795" s="7"/>
      <c r="F13795" s="7"/>
    </row>
    <row r="13796" spans="5:6" ht="15" customHeight="1" x14ac:dyDescent="0.2">
      <c r="E13796" s="7"/>
      <c r="F13796" s="7"/>
    </row>
    <row r="13797" spans="5:6" ht="15" customHeight="1" x14ac:dyDescent="0.2">
      <c r="E13797" s="7"/>
      <c r="F13797" s="7"/>
    </row>
    <row r="13798" spans="5:6" ht="15" customHeight="1" x14ac:dyDescent="0.2">
      <c r="E13798" s="7"/>
      <c r="F13798" s="7"/>
    </row>
    <row r="13799" spans="5:6" ht="15" customHeight="1" x14ac:dyDescent="0.2">
      <c r="E13799" s="7"/>
      <c r="F13799" s="7"/>
    </row>
    <row r="13800" spans="5:6" ht="15" customHeight="1" x14ac:dyDescent="0.2">
      <c r="E13800" s="7"/>
      <c r="F13800" s="7"/>
    </row>
    <row r="13801" spans="5:6" ht="15" customHeight="1" x14ac:dyDescent="0.2">
      <c r="E13801" s="7"/>
      <c r="F13801" s="7"/>
    </row>
    <row r="13802" spans="5:6" ht="15" customHeight="1" x14ac:dyDescent="0.2">
      <c r="E13802" s="7"/>
      <c r="F13802" s="7"/>
    </row>
    <row r="13803" spans="5:6" ht="15" customHeight="1" x14ac:dyDescent="0.2">
      <c r="E13803" s="7"/>
      <c r="F13803" s="7"/>
    </row>
    <row r="13804" spans="5:6" ht="15" customHeight="1" x14ac:dyDescent="0.2">
      <c r="E13804" s="7"/>
      <c r="F13804" s="7"/>
    </row>
    <row r="13805" spans="5:6" ht="15" customHeight="1" x14ac:dyDescent="0.2">
      <c r="E13805" s="7"/>
      <c r="F13805" s="7"/>
    </row>
    <row r="13806" spans="5:6" ht="15" customHeight="1" x14ac:dyDescent="0.2">
      <c r="E13806" s="7"/>
      <c r="F13806" s="7"/>
    </row>
    <row r="13807" spans="5:6" ht="15" customHeight="1" x14ac:dyDescent="0.2">
      <c r="E13807" s="7"/>
      <c r="F13807" s="7"/>
    </row>
    <row r="13808" spans="5:6" ht="15" customHeight="1" x14ac:dyDescent="0.2">
      <c r="E13808" s="7"/>
      <c r="F13808" s="7"/>
    </row>
    <row r="13809" spans="5:6" ht="15" customHeight="1" x14ac:dyDescent="0.2">
      <c r="E13809" s="7"/>
      <c r="F13809" s="7"/>
    </row>
    <row r="13810" spans="5:6" ht="15" customHeight="1" x14ac:dyDescent="0.2">
      <c r="E13810" s="7"/>
      <c r="F13810" s="7"/>
    </row>
    <row r="13811" spans="5:6" ht="15" customHeight="1" x14ac:dyDescent="0.2">
      <c r="E13811" s="7"/>
      <c r="F13811" s="7"/>
    </row>
    <row r="13812" spans="5:6" ht="15" customHeight="1" x14ac:dyDescent="0.2">
      <c r="E13812" s="7"/>
      <c r="F13812" s="7"/>
    </row>
    <row r="13813" spans="5:6" ht="15" customHeight="1" x14ac:dyDescent="0.2">
      <c r="E13813" s="7"/>
      <c r="F13813" s="7"/>
    </row>
    <row r="13814" spans="5:6" ht="15" customHeight="1" x14ac:dyDescent="0.2">
      <c r="E13814" s="7"/>
      <c r="F13814" s="7"/>
    </row>
    <row r="13815" spans="5:6" ht="15" customHeight="1" x14ac:dyDescent="0.2">
      <c r="E13815" s="7"/>
      <c r="F13815" s="7"/>
    </row>
    <row r="13816" spans="5:6" ht="15" customHeight="1" x14ac:dyDescent="0.2">
      <c r="E13816" s="7"/>
      <c r="F13816" s="7"/>
    </row>
    <row r="13817" spans="5:6" ht="15" customHeight="1" x14ac:dyDescent="0.2">
      <c r="E13817" s="7"/>
      <c r="F13817" s="7"/>
    </row>
    <row r="13818" spans="5:6" ht="15" customHeight="1" x14ac:dyDescent="0.2">
      <c r="E13818" s="7"/>
      <c r="F13818" s="7"/>
    </row>
    <row r="13819" spans="5:6" ht="15" customHeight="1" x14ac:dyDescent="0.2">
      <c r="E13819" s="7"/>
      <c r="F13819" s="7"/>
    </row>
    <row r="13820" spans="5:6" ht="15" customHeight="1" x14ac:dyDescent="0.2">
      <c r="E13820" s="7"/>
      <c r="F13820" s="7"/>
    </row>
    <row r="13821" spans="5:6" ht="15" customHeight="1" x14ac:dyDescent="0.2">
      <c r="E13821" s="7"/>
      <c r="F13821" s="7"/>
    </row>
    <row r="13822" spans="5:6" ht="15" customHeight="1" x14ac:dyDescent="0.2">
      <c r="E13822" s="7"/>
      <c r="F13822" s="7"/>
    </row>
    <row r="13823" spans="5:6" ht="15" customHeight="1" x14ac:dyDescent="0.2">
      <c r="E13823" s="7"/>
      <c r="F13823" s="7"/>
    </row>
    <row r="13824" spans="5:6" ht="15" customHeight="1" x14ac:dyDescent="0.2">
      <c r="E13824" s="7"/>
      <c r="F13824" s="7"/>
    </row>
    <row r="13825" spans="5:6" ht="15" customHeight="1" x14ac:dyDescent="0.2">
      <c r="E13825" s="7"/>
      <c r="F13825" s="7"/>
    </row>
    <row r="13826" spans="5:6" ht="15" customHeight="1" x14ac:dyDescent="0.2">
      <c r="E13826" s="7"/>
      <c r="F13826" s="7"/>
    </row>
    <row r="13827" spans="5:6" ht="15" customHeight="1" x14ac:dyDescent="0.2">
      <c r="E13827" s="7"/>
      <c r="F13827" s="7"/>
    </row>
    <row r="13828" spans="5:6" ht="15" customHeight="1" x14ac:dyDescent="0.2">
      <c r="E13828" s="7"/>
      <c r="F13828" s="7"/>
    </row>
    <row r="13829" spans="5:6" ht="15" customHeight="1" x14ac:dyDescent="0.2">
      <c r="E13829" s="7"/>
      <c r="F13829" s="7"/>
    </row>
    <row r="13830" spans="5:6" ht="15" customHeight="1" x14ac:dyDescent="0.2">
      <c r="E13830" s="7"/>
      <c r="F13830" s="7"/>
    </row>
    <row r="13831" spans="5:6" ht="15" customHeight="1" x14ac:dyDescent="0.2">
      <c r="E13831" s="7"/>
      <c r="F13831" s="7"/>
    </row>
    <row r="13832" spans="5:6" ht="15" customHeight="1" x14ac:dyDescent="0.2">
      <c r="E13832" s="7"/>
      <c r="F13832" s="7"/>
    </row>
    <row r="13833" spans="5:6" ht="15" customHeight="1" x14ac:dyDescent="0.2">
      <c r="E13833" s="7"/>
      <c r="F13833" s="7"/>
    </row>
    <row r="13834" spans="5:6" ht="15" customHeight="1" x14ac:dyDescent="0.2">
      <c r="E13834" s="7"/>
      <c r="F13834" s="7"/>
    </row>
    <row r="13835" spans="5:6" ht="15" customHeight="1" x14ac:dyDescent="0.2">
      <c r="E13835" s="7"/>
      <c r="F13835" s="7"/>
    </row>
    <row r="13836" spans="5:6" ht="15" customHeight="1" x14ac:dyDescent="0.2">
      <c r="E13836" s="7"/>
      <c r="F13836" s="7"/>
    </row>
    <row r="13837" spans="5:6" ht="15" customHeight="1" x14ac:dyDescent="0.2">
      <c r="E13837" s="7"/>
      <c r="F13837" s="7"/>
    </row>
    <row r="13838" spans="5:6" ht="15" customHeight="1" x14ac:dyDescent="0.2">
      <c r="E13838" s="7"/>
      <c r="F13838" s="7"/>
    </row>
    <row r="13839" spans="5:6" ht="15" customHeight="1" x14ac:dyDescent="0.2">
      <c r="E13839" s="7"/>
      <c r="F13839" s="7"/>
    </row>
    <row r="13840" spans="5:6" ht="15" customHeight="1" x14ac:dyDescent="0.2">
      <c r="E13840" s="7"/>
      <c r="F13840" s="7"/>
    </row>
    <row r="13841" spans="5:6" ht="15" customHeight="1" x14ac:dyDescent="0.2">
      <c r="E13841" s="7"/>
      <c r="F13841" s="7"/>
    </row>
    <row r="13842" spans="5:6" ht="15" customHeight="1" x14ac:dyDescent="0.2">
      <c r="E13842" s="7"/>
      <c r="F13842" s="7"/>
    </row>
    <row r="13843" spans="5:6" ht="15" customHeight="1" x14ac:dyDescent="0.2">
      <c r="E13843" s="7"/>
      <c r="F13843" s="7"/>
    </row>
    <row r="13844" spans="5:6" ht="15" customHeight="1" x14ac:dyDescent="0.2">
      <c r="E13844" s="7"/>
      <c r="F13844" s="7"/>
    </row>
    <row r="13845" spans="5:6" ht="15" customHeight="1" x14ac:dyDescent="0.2">
      <c r="E13845" s="7"/>
      <c r="F13845" s="7"/>
    </row>
    <row r="13846" spans="5:6" ht="15" customHeight="1" x14ac:dyDescent="0.2">
      <c r="E13846" s="7"/>
      <c r="F13846" s="7"/>
    </row>
    <row r="13847" spans="5:6" ht="15" customHeight="1" x14ac:dyDescent="0.2">
      <c r="E13847" s="7"/>
      <c r="F13847" s="7"/>
    </row>
    <row r="13848" spans="5:6" ht="15" customHeight="1" x14ac:dyDescent="0.2">
      <c r="E13848" s="7"/>
      <c r="F13848" s="7"/>
    </row>
    <row r="13849" spans="5:6" ht="15" customHeight="1" x14ac:dyDescent="0.2">
      <c r="E13849" s="7"/>
      <c r="F13849" s="7"/>
    </row>
    <row r="13850" spans="5:6" ht="15" customHeight="1" x14ac:dyDescent="0.2">
      <c r="E13850" s="7"/>
      <c r="F13850" s="7"/>
    </row>
    <row r="13851" spans="5:6" ht="15" customHeight="1" x14ac:dyDescent="0.2">
      <c r="E13851" s="7"/>
      <c r="F13851" s="7"/>
    </row>
    <row r="13852" spans="5:6" ht="15" customHeight="1" x14ac:dyDescent="0.2">
      <c r="E13852" s="7"/>
      <c r="F13852" s="7"/>
    </row>
    <row r="13853" spans="5:6" ht="15" customHeight="1" x14ac:dyDescent="0.2">
      <c r="E13853" s="7"/>
      <c r="F13853" s="7"/>
    </row>
    <row r="13854" spans="5:6" ht="15" customHeight="1" x14ac:dyDescent="0.2">
      <c r="E13854" s="7"/>
      <c r="F13854" s="7"/>
    </row>
    <row r="13855" spans="5:6" ht="15" customHeight="1" x14ac:dyDescent="0.2">
      <c r="E13855" s="7"/>
      <c r="F13855" s="7"/>
    </row>
    <row r="13856" spans="5:6" ht="15" customHeight="1" x14ac:dyDescent="0.2">
      <c r="E13856" s="7"/>
      <c r="F13856" s="7"/>
    </row>
    <row r="13857" spans="5:6" ht="15" customHeight="1" x14ac:dyDescent="0.2">
      <c r="E13857" s="7"/>
      <c r="F13857" s="7"/>
    </row>
    <row r="13858" spans="5:6" ht="15" customHeight="1" x14ac:dyDescent="0.2">
      <c r="E13858" s="7"/>
      <c r="F13858" s="7"/>
    </row>
    <row r="13859" spans="5:6" ht="15" customHeight="1" x14ac:dyDescent="0.2">
      <c r="E13859" s="7"/>
      <c r="F13859" s="7"/>
    </row>
    <row r="13860" spans="5:6" ht="15" customHeight="1" x14ac:dyDescent="0.2">
      <c r="E13860" s="7"/>
      <c r="F13860" s="7"/>
    </row>
    <row r="13861" spans="5:6" ht="15" customHeight="1" x14ac:dyDescent="0.2">
      <c r="E13861" s="7"/>
      <c r="F13861" s="7"/>
    </row>
    <row r="13862" spans="5:6" ht="15" customHeight="1" x14ac:dyDescent="0.2">
      <c r="E13862" s="7"/>
      <c r="F13862" s="7"/>
    </row>
    <row r="13863" spans="5:6" ht="15" customHeight="1" x14ac:dyDescent="0.2">
      <c r="E13863" s="7"/>
      <c r="F13863" s="7"/>
    </row>
    <row r="13864" spans="5:6" ht="15" customHeight="1" x14ac:dyDescent="0.2">
      <c r="E13864" s="7"/>
      <c r="F13864" s="7"/>
    </row>
    <row r="13865" spans="5:6" ht="15" customHeight="1" x14ac:dyDescent="0.2">
      <c r="E13865" s="7"/>
      <c r="F13865" s="7"/>
    </row>
    <row r="13866" spans="5:6" ht="15" customHeight="1" x14ac:dyDescent="0.2">
      <c r="E13866" s="7"/>
      <c r="F13866" s="7"/>
    </row>
    <row r="13867" spans="5:6" ht="15" customHeight="1" x14ac:dyDescent="0.2">
      <c r="E13867" s="7"/>
      <c r="F13867" s="7"/>
    </row>
    <row r="13868" spans="5:6" ht="15" customHeight="1" x14ac:dyDescent="0.2">
      <c r="E13868" s="7"/>
      <c r="F13868" s="7"/>
    </row>
    <row r="13869" spans="5:6" ht="15" customHeight="1" x14ac:dyDescent="0.2">
      <c r="E13869" s="7"/>
      <c r="F13869" s="7"/>
    </row>
    <row r="13870" spans="5:6" ht="15" customHeight="1" x14ac:dyDescent="0.2">
      <c r="E13870" s="7"/>
      <c r="F13870" s="7"/>
    </row>
    <row r="13871" spans="5:6" ht="15" customHeight="1" x14ac:dyDescent="0.2">
      <c r="E13871" s="7"/>
      <c r="F13871" s="7"/>
    </row>
    <row r="13872" spans="5:6" ht="15" customHeight="1" x14ac:dyDescent="0.2">
      <c r="E13872" s="7"/>
      <c r="F13872" s="7"/>
    </row>
    <row r="13873" spans="5:6" ht="15" customHeight="1" x14ac:dyDescent="0.2">
      <c r="E13873" s="7"/>
      <c r="F13873" s="7"/>
    </row>
    <row r="13874" spans="5:6" ht="15" customHeight="1" x14ac:dyDescent="0.2">
      <c r="E13874" s="7"/>
      <c r="F13874" s="7"/>
    </row>
    <row r="13875" spans="5:6" ht="15" customHeight="1" x14ac:dyDescent="0.2">
      <c r="E13875" s="7"/>
      <c r="F13875" s="7"/>
    </row>
    <row r="13876" spans="5:6" ht="15" customHeight="1" x14ac:dyDescent="0.2">
      <c r="E13876" s="7"/>
      <c r="F13876" s="7"/>
    </row>
    <row r="13877" spans="5:6" ht="15" customHeight="1" x14ac:dyDescent="0.2">
      <c r="E13877" s="7"/>
      <c r="F13877" s="7"/>
    </row>
    <row r="13878" spans="5:6" ht="15" customHeight="1" x14ac:dyDescent="0.2">
      <c r="E13878" s="7"/>
      <c r="F13878" s="7"/>
    </row>
    <row r="13879" spans="5:6" ht="15" customHeight="1" x14ac:dyDescent="0.2">
      <c r="E13879" s="7"/>
      <c r="F13879" s="7"/>
    </row>
    <row r="13880" spans="5:6" ht="15" customHeight="1" x14ac:dyDescent="0.2">
      <c r="E13880" s="7"/>
      <c r="F13880" s="7"/>
    </row>
    <row r="13881" spans="5:6" ht="15" customHeight="1" x14ac:dyDescent="0.2">
      <c r="E13881" s="7"/>
      <c r="F13881" s="7"/>
    </row>
    <row r="13882" spans="5:6" ht="15" customHeight="1" x14ac:dyDescent="0.2">
      <c r="E13882" s="7"/>
      <c r="F13882" s="7"/>
    </row>
    <row r="13883" spans="5:6" ht="15" customHeight="1" x14ac:dyDescent="0.2">
      <c r="E13883" s="7"/>
      <c r="F13883" s="7"/>
    </row>
    <row r="13884" spans="5:6" ht="15" customHeight="1" x14ac:dyDescent="0.2">
      <c r="E13884" s="7"/>
      <c r="F13884" s="7"/>
    </row>
    <row r="13885" spans="5:6" ht="15" customHeight="1" x14ac:dyDescent="0.2">
      <c r="E13885" s="7"/>
      <c r="F13885" s="7"/>
    </row>
    <row r="13886" spans="5:6" ht="15" customHeight="1" x14ac:dyDescent="0.2">
      <c r="E13886" s="7"/>
      <c r="F13886" s="7"/>
    </row>
    <row r="13887" spans="5:6" ht="15" customHeight="1" x14ac:dyDescent="0.2">
      <c r="E13887" s="7"/>
      <c r="F13887" s="7"/>
    </row>
    <row r="13888" spans="5:6" ht="15" customHeight="1" x14ac:dyDescent="0.2">
      <c r="E13888" s="7"/>
      <c r="F13888" s="7"/>
    </row>
    <row r="13889" spans="5:6" ht="15" customHeight="1" x14ac:dyDescent="0.2">
      <c r="E13889" s="7"/>
      <c r="F13889" s="7"/>
    </row>
    <row r="13890" spans="5:6" ht="15" customHeight="1" x14ac:dyDescent="0.2">
      <c r="E13890" s="7"/>
      <c r="F13890" s="7"/>
    </row>
    <row r="13891" spans="5:6" ht="15" customHeight="1" x14ac:dyDescent="0.2">
      <c r="E13891" s="7"/>
      <c r="F13891" s="7"/>
    </row>
    <row r="13892" spans="5:6" ht="15" customHeight="1" x14ac:dyDescent="0.2">
      <c r="E13892" s="7"/>
      <c r="F13892" s="7"/>
    </row>
    <row r="13893" spans="5:6" ht="15" customHeight="1" x14ac:dyDescent="0.2">
      <c r="E13893" s="7"/>
      <c r="F13893" s="7"/>
    </row>
    <row r="13894" spans="5:6" ht="15" customHeight="1" x14ac:dyDescent="0.2">
      <c r="E13894" s="7"/>
      <c r="F13894" s="7"/>
    </row>
    <row r="13895" spans="5:6" ht="15" customHeight="1" x14ac:dyDescent="0.2">
      <c r="E13895" s="7"/>
      <c r="F13895" s="7"/>
    </row>
    <row r="13896" spans="5:6" ht="15" customHeight="1" x14ac:dyDescent="0.2">
      <c r="E13896" s="7"/>
      <c r="F13896" s="7"/>
    </row>
    <row r="13897" spans="5:6" ht="15" customHeight="1" x14ac:dyDescent="0.2">
      <c r="E13897" s="7"/>
      <c r="F13897" s="7"/>
    </row>
    <row r="13898" spans="5:6" ht="15" customHeight="1" x14ac:dyDescent="0.2">
      <c r="E13898" s="7"/>
      <c r="F13898" s="7"/>
    </row>
    <row r="13899" spans="5:6" ht="15" customHeight="1" x14ac:dyDescent="0.2">
      <c r="E13899" s="7"/>
      <c r="F13899" s="7"/>
    </row>
    <row r="13900" spans="5:6" ht="15" customHeight="1" x14ac:dyDescent="0.2">
      <c r="E13900" s="7"/>
      <c r="F13900" s="7"/>
    </row>
    <row r="13901" spans="5:6" ht="15" customHeight="1" x14ac:dyDescent="0.2">
      <c r="E13901" s="7"/>
      <c r="F13901" s="7"/>
    </row>
    <row r="13902" spans="5:6" ht="15" customHeight="1" x14ac:dyDescent="0.2">
      <c r="E13902" s="7"/>
      <c r="F13902" s="7"/>
    </row>
    <row r="13903" spans="5:6" ht="15" customHeight="1" x14ac:dyDescent="0.2">
      <c r="E13903" s="7"/>
      <c r="F13903" s="7"/>
    </row>
    <row r="13904" spans="5:6" ht="15" customHeight="1" x14ac:dyDescent="0.2">
      <c r="E13904" s="7"/>
      <c r="F13904" s="7"/>
    </row>
    <row r="13905" spans="5:6" ht="15" customHeight="1" x14ac:dyDescent="0.2">
      <c r="E13905" s="7"/>
      <c r="F13905" s="7"/>
    </row>
    <row r="13906" spans="5:6" ht="15" customHeight="1" x14ac:dyDescent="0.2">
      <c r="E13906" s="7"/>
      <c r="F13906" s="7"/>
    </row>
    <row r="13907" spans="5:6" ht="15" customHeight="1" x14ac:dyDescent="0.2">
      <c r="E13907" s="7"/>
      <c r="F13907" s="7"/>
    </row>
    <row r="13908" spans="5:6" ht="15" customHeight="1" x14ac:dyDescent="0.2">
      <c r="E13908" s="7"/>
      <c r="F13908" s="7"/>
    </row>
    <row r="13909" spans="5:6" ht="15" customHeight="1" x14ac:dyDescent="0.2">
      <c r="E13909" s="7"/>
      <c r="F13909" s="7"/>
    </row>
    <row r="13910" spans="5:6" ht="15" customHeight="1" x14ac:dyDescent="0.2">
      <c r="E13910" s="7"/>
      <c r="F13910" s="7"/>
    </row>
    <row r="13911" spans="5:6" ht="15" customHeight="1" x14ac:dyDescent="0.2">
      <c r="E13911" s="7"/>
      <c r="F13911" s="7"/>
    </row>
    <row r="13912" spans="5:6" ht="15" customHeight="1" x14ac:dyDescent="0.2">
      <c r="E13912" s="7"/>
      <c r="F13912" s="7"/>
    </row>
    <row r="13913" spans="5:6" ht="15" customHeight="1" x14ac:dyDescent="0.2">
      <c r="E13913" s="7"/>
      <c r="F13913" s="7"/>
    </row>
    <row r="13914" spans="5:6" ht="15" customHeight="1" x14ac:dyDescent="0.2">
      <c r="E13914" s="7"/>
      <c r="F13914" s="7"/>
    </row>
    <row r="13915" spans="5:6" ht="15" customHeight="1" x14ac:dyDescent="0.2">
      <c r="E13915" s="7"/>
      <c r="F13915" s="7"/>
    </row>
    <row r="13916" spans="5:6" ht="15" customHeight="1" x14ac:dyDescent="0.2">
      <c r="E13916" s="7"/>
      <c r="F13916" s="7"/>
    </row>
    <row r="13917" spans="5:6" ht="15" customHeight="1" x14ac:dyDescent="0.2">
      <c r="E13917" s="7"/>
      <c r="F13917" s="7"/>
    </row>
    <row r="13918" spans="5:6" ht="15" customHeight="1" x14ac:dyDescent="0.2">
      <c r="E13918" s="7"/>
      <c r="F13918" s="7"/>
    </row>
    <row r="13919" spans="5:6" ht="15" customHeight="1" x14ac:dyDescent="0.2">
      <c r="E13919" s="7"/>
      <c r="F13919" s="7"/>
    </row>
    <row r="13920" spans="5:6" ht="15" customHeight="1" x14ac:dyDescent="0.2">
      <c r="E13920" s="7"/>
      <c r="F13920" s="7"/>
    </row>
    <row r="13921" spans="5:6" ht="15" customHeight="1" x14ac:dyDescent="0.2">
      <c r="E13921" s="7"/>
      <c r="F13921" s="7"/>
    </row>
    <row r="13922" spans="5:6" ht="15" customHeight="1" x14ac:dyDescent="0.2">
      <c r="E13922" s="7"/>
      <c r="F13922" s="7"/>
    </row>
    <row r="13923" spans="5:6" ht="15" customHeight="1" x14ac:dyDescent="0.2">
      <c r="E13923" s="7"/>
      <c r="F13923" s="7"/>
    </row>
    <row r="13924" spans="5:6" ht="15" customHeight="1" x14ac:dyDescent="0.2">
      <c r="E13924" s="7"/>
      <c r="F13924" s="7"/>
    </row>
    <row r="13925" spans="5:6" ht="15" customHeight="1" x14ac:dyDescent="0.2">
      <c r="E13925" s="7"/>
      <c r="F13925" s="7"/>
    </row>
    <row r="13926" spans="5:6" ht="15" customHeight="1" x14ac:dyDescent="0.2">
      <c r="E13926" s="7"/>
      <c r="F13926" s="7"/>
    </row>
    <row r="13927" spans="5:6" ht="15" customHeight="1" x14ac:dyDescent="0.2">
      <c r="E13927" s="7"/>
      <c r="F13927" s="7"/>
    </row>
    <row r="13928" spans="5:6" ht="15" customHeight="1" x14ac:dyDescent="0.2">
      <c r="E13928" s="7"/>
      <c r="F13928" s="7"/>
    </row>
    <row r="13929" spans="5:6" ht="15" customHeight="1" x14ac:dyDescent="0.2">
      <c r="E13929" s="7"/>
      <c r="F13929" s="7"/>
    </row>
    <row r="13930" spans="5:6" ht="15" customHeight="1" x14ac:dyDescent="0.2">
      <c r="E13930" s="7"/>
      <c r="F13930" s="7"/>
    </row>
    <row r="13931" spans="5:6" ht="15" customHeight="1" x14ac:dyDescent="0.2">
      <c r="E13931" s="7"/>
      <c r="F13931" s="7"/>
    </row>
    <row r="13932" spans="5:6" ht="15" customHeight="1" x14ac:dyDescent="0.2">
      <c r="E13932" s="7"/>
      <c r="F13932" s="7"/>
    </row>
    <row r="13933" spans="5:6" ht="15" customHeight="1" x14ac:dyDescent="0.2">
      <c r="E13933" s="7"/>
      <c r="F13933" s="7"/>
    </row>
    <row r="13934" spans="5:6" ht="15" customHeight="1" x14ac:dyDescent="0.2">
      <c r="E13934" s="7"/>
      <c r="F13934" s="7"/>
    </row>
    <row r="13935" spans="5:6" ht="15" customHeight="1" x14ac:dyDescent="0.2">
      <c r="E13935" s="7"/>
      <c r="F13935" s="7"/>
    </row>
    <row r="13936" spans="5:6" ht="15" customHeight="1" x14ac:dyDescent="0.2">
      <c r="E13936" s="7"/>
      <c r="F13936" s="7"/>
    </row>
    <row r="13937" spans="5:6" ht="15" customHeight="1" x14ac:dyDescent="0.2">
      <c r="E13937" s="7"/>
      <c r="F13937" s="7"/>
    </row>
    <row r="13938" spans="5:6" ht="15" customHeight="1" x14ac:dyDescent="0.2">
      <c r="E13938" s="7"/>
      <c r="F13938" s="7"/>
    </row>
    <row r="13939" spans="5:6" ht="15" customHeight="1" x14ac:dyDescent="0.2">
      <c r="E13939" s="7"/>
      <c r="F13939" s="7"/>
    </row>
    <row r="13940" spans="5:6" ht="15" customHeight="1" x14ac:dyDescent="0.2">
      <c r="E13940" s="7"/>
      <c r="F13940" s="7"/>
    </row>
    <row r="13941" spans="5:6" ht="15" customHeight="1" x14ac:dyDescent="0.2">
      <c r="E13941" s="7"/>
      <c r="F13941" s="7"/>
    </row>
    <row r="13942" spans="5:6" ht="15" customHeight="1" x14ac:dyDescent="0.2">
      <c r="E13942" s="7"/>
      <c r="F13942" s="7"/>
    </row>
    <row r="13943" spans="5:6" ht="15" customHeight="1" x14ac:dyDescent="0.2">
      <c r="E13943" s="7"/>
      <c r="F13943" s="7"/>
    </row>
    <row r="13944" spans="5:6" ht="15" customHeight="1" x14ac:dyDescent="0.2">
      <c r="E13944" s="7"/>
      <c r="F13944" s="7"/>
    </row>
    <row r="13945" spans="5:6" ht="15" customHeight="1" x14ac:dyDescent="0.2">
      <c r="E13945" s="7"/>
      <c r="F13945" s="7"/>
    </row>
    <row r="13946" spans="5:6" ht="15" customHeight="1" x14ac:dyDescent="0.2">
      <c r="E13946" s="7"/>
      <c r="F13946" s="7"/>
    </row>
    <row r="13947" spans="5:6" ht="15" customHeight="1" x14ac:dyDescent="0.2">
      <c r="E13947" s="7"/>
      <c r="F13947" s="7"/>
    </row>
    <row r="13948" spans="5:6" ht="15" customHeight="1" x14ac:dyDescent="0.2">
      <c r="E13948" s="7"/>
      <c r="F13948" s="7"/>
    </row>
    <row r="13949" spans="5:6" ht="15" customHeight="1" x14ac:dyDescent="0.2">
      <c r="E13949" s="7"/>
      <c r="F13949" s="7"/>
    </row>
    <row r="13950" spans="5:6" ht="15" customHeight="1" x14ac:dyDescent="0.2">
      <c r="E13950" s="7"/>
      <c r="F13950" s="7"/>
    </row>
    <row r="13951" spans="5:6" ht="15" customHeight="1" x14ac:dyDescent="0.2">
      <c r="E13951" s="7"/>
      <c r="F13951" s="7"/>
    </row>
    <row r="13952" spans="5:6" ht="15" customHeight="1" x14ac:dyDescent="0.2">
      <c r="E13952" s="7"/>
      <c r="F13952" s="7"/>
    </row>
    <row r="13953" spans="5:6" ht="15" customHeight="1" x14ac:dyDescent="0.2">
      <c r="E13953" s="7"/>
      <c r="F13953" s="7"/>
    </row>
    <row r="13954" spans="5:6" ht="15" customHeight="1" x14ac:dyDescent="0.2">
      <c r="E13954" s="7"/>
      <c r="F13954" s="7"/>
    </row>
    <row r="13955" spans="5:6" ht="15" customHeight="1" x14ac:dyDescent="0.2">
      <c r="E13955" s="7"/>
      <c r="F13955" s="7"/>
    </row>
    <row r="13956" spans="5:6" ht="15" customHeight="1" x14ac:dyDescent="0.2">
      <c r="E13956" s="7"/>
      <c r="F13956" s="7"/>
    </row>
    <row r="13957" spans="5:6" ht="15" customHeight="1" x14ac:dyDescent="0.2">
      <c r="E13957" s="7"/>
      <c r="F13957" s="7"/>
    </row>
    <row r="13958" spans="5:6" ht="15" customHeight="1" x14ac:dyDescent="0.2">
      <c r="E13958" s="7"/>
      <c r="F13958" s="7"/>
    </row>
    <row r="13959" spans="5:6" ht="15" customHeight="1" x14ac:dyDescent="0.2">
      <c r="E13959" s="7"/>
      <c r="F13959" s="7"/>
    </row>
    <row r="13960" spans="5:6" ht="15" customHeight="1" x14ac:dyDescent="0.2">
      <c r="E13960" s="7"/>
      <c r="F13960" s="7"/>
    </row>
    <row r="13961" spans="5:6" ht="15" customHeight="1" x14ac:dyDescent="0.2">
      <c r="E13961" s="7"/>
      <c r="F13961" s="7"/>
    </row>
    <row r="13962" spans="5:6" ht="15" customHeight="1" x14ac:dyDescent="0.2">
      <c r="E13962" s="7"/>
      <c r="F13962" s="7"/>
    </row>
    <row r="13963" spans="5:6" ht="15" customHeight="1" x14ac:dyDescent="0.2">
      <c r="E13963" s="7"/>
      <c r="F13963" s="7"/>
    </row>
    <row r="13964" spans="5:6" ht="15" customHeight="1" x14ac:dyDescent="0.2">
      <c r="E13964" s="7"/>
      <c r="F13964" s="7"/>
    </row>
    <row r="13965" spans="5:6" ht="15" customHeight="1" x14ac:dyDescent="0.2">
      <c r="E13965" s="7"/>
      <c r="F13965" s="7"/>
    </row>
    <row r="13966" spans="5:6" ht="15" customHeight="1" x14ac:dyDescent="0.2">
      <c r="E13966" s="7"/>
      <c r="F13966" s="7"/>
    </row>
    <row r="13967" spans="5:6" ht="15" customHeight="1" x14ac:dyDescent="0.2">
      <c r="E13967" s="7"/>
      <c r="F13967" s="7"/>
    </row>
    <row r="13968" spans="5:6" ht="15" customHeight="1" x14ac:dyDescent="0.2">
      <c r="E13968" s="7"/>
      <c r="F13968" s="7"/>
    </row>
    <row r="13969" spans="5:6" ht="15" customHeight="1" x14ac:dyDescent="0.2">
      <c r="E13969" s="7"/>
      <c r="F13969" s="7"/>
    </row>
    <row r="13970" spans="5:6" ht="15" customHeight="1" x14ac:dyDescent="0.2">
      <c r="E13970" s="7"/>
      <c r="F13970" s="7"/>
    </row>
    <row r="13971" spans="5:6" ht="15" customHeight="1" x14ac:dyDescent="0.2">
      <c r="E13971" s="7"/>
      <c r="F13971" s="7"/>
    </row>
    <row r="13972" spans="5:6" ht="15" customHeight="1" x14ac:dyDescent="0.2">
      <c r="E13972" s="7"/>
      <c r="F13972" s="7"/>
    </row>
    <row r="13973" spans="5:6" ht="15" customHeight="1" x14ac:dyDescent="0.2">
      <c r="E13973" s="7"/>
      <c r="F13973" s="7"/>
    </row>
    <row r="13974" spans="5:6" ht="15" customHeight="1" x14ac:dyDescent="0.2">
      <c r="E13974" s="7"/>
      <c r="F13974" s="7"/>
    </row>
    <row r="13975" spans="5:6" ht="15" customHeight="1" x14ac:dyDescent="0.2">
      <c r="E13975" s="7"/>
      <c r="F13975" s="7"/>
    </row>
    <row r="13976" spans="5:6" ht="15" customHeight="1" x14ac:dyDescent="0.2">
      <c r="E13976" s="7"/>
      <c r="F13976" s="7"/>
    </row>
    <row r="13977" spans="5:6" ht="15" customHeight="1" x14ac:dyDescent="0.2">
      <c r="E13977" s="7"/>
      <c r="F13977" s="7"/>
    </row>
    <row r="13978" spans="5:6" ht="15" customHeight="1" x14ac:dyDescent="0.2">
      <c r="E13978" s="7"/>
      <c r="F13978" s="7"/>
    </row>
    <row r="13979" spans="5:6" ht="15" customHeight="1" x14ac:dyDescent="0.2">
      <c r="E13979" s="7"/>
      <c r="F13979" s="7"/>
    </row>
    <row r="13980" spans="5:6" ht="15" customHeight="1" x14ac:dyDescent="0.2">
      <c r="E13980" s="7"/>
      <c r="F13980" s="7"/>
    </row>
    <row r="13981" spans="5:6" ht="15" customHeight="1" x14ac:dyDescent="0.2">
      <c r="E13981" s="7"/>
      <c r="F13981" s="7"/>
    </row>
    <row r="13982" spans="5:6" ht="15" customHeight="1" x14ac:dyDescent="0.2">
      <c r="E13982" s="7"/>
      <c r="F13982" s="7"/>
    </row>
    <row r="13983" spans="5:6" ht="15" customHeight="1" x14ac:dyDescent="0.2">
      <c r="E13983" s="7"/>
      <c r="F13983" s="7"/>
    </row>
    <row r="13984" spans="5:6" ht="15" customHeight="1" x14ac:dyDescent="0.2">
      <c r="E13984" s="7"/>
      <c r="F13984" s="7"/>
    </row>
    <row r="13985" spans="5:6" ht="15" customHeight="1" x14ac:dyDescent="0.2">
      <c r="E13985" s="7"/>
      <c r="F13985" s="7"/>
    </row>
    <row r="13986" spans="5:6" ht="15" customHeight="1" x14ac:dyDescent="0.2">
      <c r="E13986" s="7"/>
      <c r="F13986" s="7"/>
    </row>
    <row r="13987" spans="5:6" ht="15" customHeight="1" x14ac:dyDescent="0.2">
      <c r="E13987" s="7"/>
      <c r="F13987" s="7"/>
    </row>
    <row r="13988" spans="5:6" ht="15" customHeight="1" x14ac:dyDescent="0.2">
      <c r="E13988" s="7"/>
      <c r="F13988" s="7"/>
    </row>
    <row r="13989" spans="5:6" ht="15" customHeight="1" x14ac:dyDescent="0.2">
      <c r="E13989" s="7"/>
      <c r="F13989" s="7"/>
    </row>
    <row r="13990" spans="5:6" ht="15" customHeight="1" x14ac:dyDescent="0.2">
      <c r="E13990" s="7"/>
      <c r="F13990" s="7"/>
    </row>
    <row r="13991" spans="5:6" ht="15" customHeight="1" x14ac:dyDescent="0.2">
      <c r="E13991" s="7"/>
      <c r="F13991" s="7"/>
    </row>
    <row r="13992" spans="5:6" ht="15" customHeight="1" x14ac:dyDescent="0.2">
      <c r="E13992" s="7"/>
      <c r="F13992" s="7"/>
    </row>
    <row r="13993" spans="5:6" ht="15" customHeight="1" x14ac:dyDescent="0.2">
      <c r="E13993" s="7"/>
      <c r="F13993" s="7"/>
    </row>
    <row r="13994" spans="5:6" ht="15" customHeight="1" x14ac:dyDescent="0.2">
      <c r="E13994" s="7"/>
      <c r="F13994" s="7"/>
    </row>
    <row r="13995" spans="5:6" ht="15" customHeight="1" x14ac:dyDescent="0.2">
      <c r="E13995" s="7"/>
      <c r="F13995" s="7"/>
    </row>
    <row r="13996" spans="5:6" ht="15" customHeight="1" x14ac:dyDescent="0.2">
      <c r="E13996" s="7"/>
      <c r="F13996" s="7"/>
    </row>
    <row r="13997" spans="5:6" ht="15" customHeight="1" x14ac:dyDescent="0.2">
      <c r="E13997" s="7"/>
      <c r="F13997" s="7"/>
    </row>
    <row r="13998" spans="5:6" ht="15" customHeight="1" x14ac:dyDescent="0.2">
      <c r="E13998" s="7"/>
      <c r="F13998" s="7"/>
    </row>
    <row r="13999" spans="5:6" ht="15" customHeight="1" x14ac:dyDescent="0.2">
      <c r="E13999" s="7"/>
      <c r="F13999" s="7"/>
    </row>
    <row r="14000" spans="5:6" ht="15" customHeight="1" x14ac:dyDescent="0.2">
      <c r="E14000" s="7"/>
      <c r="F14000" s="7"/>
    </row>
    <row r="14001" spans="5:6" ht="15" customHeight="1" x14ac:dyDescent="0.2">
      <c r="E14001" s="7"/>
      <c r="F14001" s="7"/>
    </row>
    <row r="14002" spans="5:6" ht="15" customHeight="1" x14ac:dyDescent="0.2">
      <c r="E14002" s="7"/>
      <c r="F14002" s="7"/>
    </row>
    <row r="14003" spans="5:6" ht="15" customHeight="1" x14ac:dyDescent="0.2">
      <c r="E14003" s="7"/>
      <c r="F14003" s="7"/>
    </row>
    <row r="14004" spans="5:6" ht="15" customHeight="1" x14ac:dyDescent="0.2">
      <c r="E14004" s="7"/>
      <c r="F14004" s="7"/>
    </row>
    <row r="14005" spans="5:6" ht="15" customHeight="1" x14ac:dyDescent="0.2">
      <c r="E14005" s="7"/>
      <c r="F14005" s="7"/>
    </row>
    <row r="14006" spans="5:6" ht="15" customHeight="1" x14ac:dyDescent="0.2">
      <c r="E14006" s="7"/>
      <c r="F14006" s="7"/>
    </row>
    <row r="14007" spans="5:6" ht="15" customHeight="1" x14ac:dyDescent="0.2">
      <c r="E14007" s="7"/>
      <c r="F14007" s="7"/>
    </row>
    <row r="14008" spans="5:6" ht="15" customHeight="1" x14ac:dyDescent="0.2">
      <c r="E14008" s="7"/>
      <c r="F14008" s="7"/>
    </row>
    <row r="14009" spans="5:6" ht="15" customHeight="1" x14ac:dyDescent="0.2">
      <c r="E14009" s="7"/>
      <c r="F14009" s="7"/>
    </row>
    <row r="14010" spans="5:6" ht="15" customHeight="1" x14ac:dyDescent="0.2">
      <c r="E14010" s="7"/>
      <c r="F14010" s="7"/>
    </row>
    <row r="14011" spans="5:6" ht="15" customHeight="1" x14ac:dyDescent="0.2">
      <c r="E14011" s="7"/>
      <c r="F14011" s="7"/>
    </row>
    <row r="14012" spans="5:6" ht="15" customHeight="1" x14ac:dyDescent="0.2">
      <c r="E14012" s="7"/>
      <c r="F14012" s="7"/>
    </row>
    <row r="14013" spans="5:6" ht="15" customHeight="1" x14ac:dyDescent="0.2">
      <c r="E14013" s="7"/>
      <c r="F14013" s="7"/>
    </row>
    <row r="14014" spans="5:6" ht="15" customHeight="1" x14ac:dyDescent="0.2">
      <c r="E14014" s="7"/>
      <c r="F14014" s="7"/>
    </row>
    <row r="14015" spans="5:6" ht="15" customHeight="1" x14ac:dyDescent="0.2">
      <c r="E14015" s="7"/>
      <c r="F14015" s="7"/>
    </row>
    <row r="14016" spans="5:6" ht="15" customHeight="1" x14ac:dyDescent="0.2">
      <c r="E14016" s="7"/>
      <c r="F14016" s="7"/>
    </row>
    <row r="14017" spans="5:6" ht="15" customHeight="1" x14ac:dyDescent="0.2">
      <c r="E14017" s="7"/>
      <c r="F14017" s="7"/>
    </row>
    <row r="14018" spans="5:6" ht="15" customHeight="1" x14ac:dyDescent="0.2">
      <c r="E14018" s="7"/>
      <c r="F14018" s="7"/>
    </row>
    <row r="14019" spans="5:6" ht="15" customHeight="1" x14ac:dyDescent="0.2">
      <c r="E14019" s="7"/>
      <c r="F14019" s="7"/>
    </row>
    <row r="14020" spans="5:6" ht="15" customHeight="1" x14ac:dyDescent="0.2">
      <c r="E14020" s="7"/>
      <c r="F14020" s="7"/>
    </row>
    <row r="14021" spans="5:6" ht="15" customHeight="1" x14ac:dyDescent="0.2">
      <c r="E14021" s="7"/>
      <c r="F14021" s="7"/>
    </row>
    <row r="14022" spans="5:6" ht="15" customHeight="1" x14ac:dyDescent="0.2">
      <c r="E14022" s="7"/>
      <c r="F14022" s="7"/>
    </row>
    <row r="14023" spans="5:6" ht="15" customHeight="1" x14ac:dyDescent="0.2">
      <c r="E14023" s="7"/>
      <c r="F14023" s="7"/>
    </row>
    <row r="14024" spans="5:6" ht="15" customHeight="1" x14ac:dyDescent="0.2">
      <c r="E14024" s="7"/>
      <c r="F14024" s="7"/>
    </row>
    <row r="14025" spans="5:6" ht="15" customHeight="1" x14ac:dyDescent="0.2">
      <c r="E14025" s="7"/>
      <c r="F14025" s="7"/>
    </row>
    <row r="14026" spans="5:6" ht="15" customHeight="1" x14ac:dyDescent="0.2">
      <c r="E14026" s="7"/>
      <c r="F14026" s="7"/>
    </row>
    <row r="14027" spans="5:6" ht="15" customHeight="1" x14ac:dyDescent="0.2">
      <c r="E14027" s="7"/>
      <c r="F14027" s="7"/>
    </row>
    <row r="14028" spans="5:6" ht="15" customHeight="1" x14ac:dyDescent="0.2">
      <c r="E14028" s="7"/>
      <c r="F14028" s="7"/>
    </row>
    <row r="14029" spans="5:6" ht="15" customHeight="1" x14ac:dyDescent="0.2">
      <c r="E14029" s="7"/>
      <c r="F14029" s="7"/>
    </row>
    <row r="14030" spans="5:6" ht="15" customHeight="1" x14ac:dyDescent="0.2">
      <c r="E14030" s="7"/>
      <c r="F14030" s="7"/>
    </row>
    <row r="14031" spans="5:6" ht="15" customHeight="1" x14ac:dyDescent="0.2">
      <c r="E14031" s="7"/>
      <c r="F14031" s="7"/>
    </row>
    <row r="14032" spans="5:6" ht="15" customHeight="1" x14ac:dyDescent="0.2">
      <c r="E14032" s="7"/>
      <c r="F14032" s="7"/>
    </row>
    <row r="14033" spans="5:6" ht="15" customHeight="1" x14ac:dyDescent="0.2">
      <c r="E14033" s="7"/>
      <c r="F14033" s="7"/>
    </row>
    <row r="14034" spans="5:6" ht="15" customHeight="1" x14ac:dyDescent="0.2">
      <c r="E14034" s="7"/>
      <c r="F14034" s="7"/>
    </row>
    <row r="14035" spans="5:6" ht="15" customHeight="1" x14ac:dyDescent="0.2">
      <c r="E14035" s="7"/>
      <c r="F14035" s="7"/>
    </row>
    <row r="14036" spans="5:6" ht="15" customHeight="1" x14ac:dyDescent="0.2">
      <c r="E14036" s="7"/>
      <c r="F14036" s="7"/>
    </row>
    <row r="14037" spans="5:6" ht="15" customHeight="1" x14ac:dyDescent="0.2">
      <c r="E14037" s="7"/>
      <c r="F14037" s="7"/>
    </row>
    <row r="14038" spans="5:6" ht="15" customHeight="1" x14ac:dyDescent="0.2">
      <c r="E14038" s="7"/>
      <c r="F14038" s="7"/>
    </row>
    <row r="14039" spans="5:6" ht="15" customHeight="1" x14ac:dyDescent="0.2">
      <c r="E14039" s="7"/>
      <c r="F14039" s="7"/>
    </row>
    <row r="14040" spans="5:6" ht="15" customHeight="1" x14ac:dyDescent="0.2">
      <c r="E14040" s="7"/>
      <c r="F14040" s="7"/>
    </row>
    <row r="14041" spans="5:6" ht="15" customHeight="1" x14ac:dyDescent="0.2">
      <c r="E14041" s="7"/>
      <c r="F14041" s="7"/>
    </row>
    <row r="14042" spans="5:6" ht="15" customHeight="1" x14ac:dyDescent="0.2">
      <c r="E14042" s="7"/>
      <c r="F14042" s="7"/>
    </row>
    <row r="14043" spans="5:6" ht="15" customHeight="1" x14ac:dyDescent="0.2">
      <c r="E14043" s="7"/>
      <c r="F14043" s="7"/>
    </row>
    <row r="14044" spans="5:6" ht="15" customHeight="1" x14ac:dyDescent="0.2">
      <c r="E14044" s="7"/>
      <c r="F14044" s="7"/>
    </row>
    <row r="14045" spans="5:6" ht="15" customHeight="1" x14ac:dyDescent="0.2">
      <c r="E14045" s="7"/>
      <c r="F14045" s="7"/>
    </row>
    <row r="14046" spans="5:6" ht="15" customHeight="1" x14ac:dyDescent="0.2">
      <c r="E14046" s="7"/>
      <c r="F14046" s="7"/>
    </row>
    <row r="14047" spans="5:6" ht="15" customHeight="1" x14ac:dyDescent="0.2">
      <c r="E14047" s="7"/>
      <c r="F14047" s="7"/>
    </row>
    <row r="14048" spans="5:6" ht="15" customHeight="1" x14ac:dyDescent="0.2">
      <c r="E14048" s="7"/>
      <c r="F14048" s="7"/>
    </row>
    <row r="14049" spans="5:6" ht="15" customHeight="1" x14ac:dyDescent="0.2">
      <c r="E14049" s="7"/>
      <c r="F14049" s="7"/>
    </row>
    <row r="14050" spans="5:6" ht="15" customHeight="1" x14ac:dyDescent="0.2">
      <c r="E14050" s="7"/>
      <c r="F14050" s="7"/>
    </row>
    <row r="14051" spans="5:6" ht="15" customHeight="1" x14ac:dyDescent="0.2">
      <c r="E14051" s="7"/>
      <c r="F14051" s="7"/>
    </row>
    <row r="14052" spans="5:6" ht="15" customHeight="1" x14ac:dyDescent="0.2">
      <c r="E14052" s="7"/>
      <c r="F14052" s="7"/>
    </row>
    <row r="14053" spans="5:6" ht="15" customHeight="1" x14ac:dyDescent="0.2">
      <c r="E14053" s="7"/>
      <c r="F14053" s="7"/>
    </row>
    <row r="14054" spans="5:6" ht="15" customHeight="1" x14ac:dyDescent="0.2">
      <c r="E14054" s="7"/>
      <c r="F14054" s="7"/>
    </row>
    <row r="14055" spans="5:6" ht="15" customHeight="1" x14ac:dyDescent="0.2">
      <c r="E14055" s="7"/>
      <c r="F14055" s="7"/>
    </row>
    <row r="14056" spans="5:6" ht="15" customHeight="1" x14ac:dyDescent="0.2">
      <c r="E14056" s="7"/>
      <c r="F14056" s="7"/>
    </row>
    <row r="14057" spans="5:6" ht="15" customHeight="1" x14ac:dyDescent="0.2">
      <c r="E14057" s="7"/>
      <c r="F14057" s="7"/>
    </row>
    <row r="14058" spans="5:6" ht="15" customHeight="1" x14ac:dyDescent="0.2">
      <c r="E14058" s="7"/>
      <c r="F14058" s="7"/>
    </row>
    <row r="14059" spans="5:6" ht="15" customHeight="1" x14ac:dyDescent="0.2">
      <c r="E14059" s="7"/>
      <c r="F14059" s="7"/>
    </row>
    <row r="14060" spans="5:6" ht="15" customHeight="1" x14ac:dyDescent="0.2">
      <c r="E14060" s="7"/>
      <c r="F14060" s="7"/>
    </row>
    <row r="14061" spans="5:6" ht="15" customHeight="1" x14ac:dyDescent="0.2">
      <c r="E14061" s="7"/>
      <c r="F14061" s="7"/>
    </row>
    <row r="14062" spans="5:6" ht="15" customHeight="1" x14ac:dyDescent="0.2">
      <c r="E14062" s="7"/>
      <c r="F14062" s="7"/>
    </row>
    <row r="14063" spans="5:6" ht="15" customHeight="1" x14ac:dyDescent="0.2">
      <c r="E14063" s="7"/>
      <c r="F14063" s="7"/>
    </row>
    <row r="14064" spans="5:6" ht="15" customHeight="1" x14ac:dyDescent="0.2">
      <c r="E14064" s="7"/>
      <c r="F14064" s="7"/>
    </row>
    <row r="14065" spans="5:6" ht="15" customHeight="1" x14ac:dyDescent="0.2">
      <c r="E14065" s="7"/>
      <c r="F14065" s="7"/>
    </row>
    <row r="14066" spans="5:6" ht="15" customHeight="1" x14ac:dyDescent="0.2">
      <c r="E14066" s="7"/>
      <c r="F14066" s="7"/>
    </row>
    <row r="14067" spans="5:6" ht="15" customHeight="1" x14ac:dyDescent="0.2">
      <c r="E14067" s="7"/>
      <c r="F14067" s="7"/>
    </row>
    <row r="14068" spans="5:6" ht="15" customHeight="1" x14ac:dyDescent="0.2">
      <c r="E14068" s="7"/>
      <c r="F14068" s="7"/>
    </row>
    <row r="14069" spans="5:6" ht="15" customHeight="1" x14ac:dyDescent="0.2">
      <c r="E14069" s="7"/>
      <c r="F14069" s="7"/>
    </row>
    <row r="14070" spans="5:6" ht="15" customHeight="1" x14ac:dyDescent="0.2">
      <c r="E14070" s="7"/>
      <c r="F14070" s="7"/>
    </row>
    <row r="14071" spans="5:6" ht="15" customHeight="1" x14ac:dyDescent="0.2">
      <c r="E14071" s="7"/>
      <c r="F14071" s="7"/>
    </row>
    <row r="14072" spans="5:6" ht="15" customHeight="1" x14ac:dyDescent="0.2">
      <c r="E14072" s="7"/>
      <c r="F14072" s="7"/>
    </row>
    <row r="14073" spans="5:6" ht="15" customHeight="1" x14ac:dyDescent="0.2">
      <c r="E14073" s="7"/>
      <c r="F14073" s="7"/>
    </row>
    <row r="14074" spans="5:6" ht="15" customHeight="1" x14ac:dyDescent="0.2">
      <c r="E14074" s="7"/>
      <c r="F14074" s="7"/>
    </row>
    <row r="14075" spans="5:6" ht="15" customHeight="1" x14ac:dyDescent="0.2">
      <c r="E14075" s="7"/>
      <c r="F14075" s="7"/>
    </row>
    <row r="14076" spans="5:6" ht="15" customHeight="1" x14ac:dyDescent="0.2">
      <c r="E14076" s="7"/>
      <c r="F14076" s="7"/>
    </row>
    <row r="14077" spans="5:6" ht="15" customHeight="1" x14ac:dyDescent="0.2">
      <c r="E14077" s="7"/>
      <c r="F14077" s="7"/>
    </row>
    <row r="14078" spans="5:6" ht="15" customHeight="1" x14ac:dyDescent="0.2">
      <c r="E14078" s="7"/>
      <c r="F14078" s="7"/>
    </row>
    <row r="14079" spans="5:6" ht="15" customHeight="1" x14ac:dyDescent="0.2">
      <c r="E14079" s="7"/>
      <c r="F14079" s="7"/>
    </row>
    <row r="14080" spans="5:6" ht="15" customHeight="1" x14ac:dyDescent="0.2">
      <c r="E14080" s="7"/>
      <c r="F14080" s="7"/>
    </row>
    <row r="14081" spans="5:6" ht="15" customHeight="1" x14ac:dyDescent="0.2">
      <c r="E14081" s="7"/>
      <c r="F14081" s="7"/>
    </row>
    <row r="14082" spans="5:6" ht="15" customHeight="1" x14ac:dyDescent="0.2">
      <c r="E14082" s="7"/>
      <c r="F14082" s="7"/>
    </row>
    <row r="14083" spans="5:6" ht="15" customHeight="1" x14ac:dyDescent="0.2">
      <c r="E14083" s="7"/>
      <c r="F14083" s="7"/>
    </row>
    <row r="14084" spans="5:6" ht="15" customHeight="1" x14ac:dyDescent="0.2">
      <c r="E14084" s="7"/>
      <c r="F14084" s="7"/>
    </row>
    <row r="14085" spans="5:6" ht="15" customHeight="1" x14ac:dyDescent="0.2">
      <c r="E14085" s="7"/>
      <c r="F14085" s="7"/>
    </row>
    <row r="14086" spans="5:6" ht="15" customHeight="1" x14ac:dyDescent="0.2">
      <c r="E14086" s="7"/>
      <c r="F14086" s="7"/>
    </row>
    <row r="14087" spans="5:6" ht="15" customHeight="1" x14ac:dyDescent="0.2">
      <c r="E14087" s="7"/>
      <c r="F14087" s="7"/>
    </row>
    <row r="14088" spans="5:6" ht="15" customHeight="1" x14ac:dyDescent="0.2">
      <c r="E14088" s="7"/>
      <c r="F14088" s="7"/>
    </row>
    <row r="14089" spans="5:6" ht="15" customHeight="1" x14ac:dyDescent="0.2">
      <c r="E14089" s="7"/>
      <c r="F14089" s="7"/>
    </row>
    <row r="14090" spans="5:6" ht="15" customHeight="1" x14ac:dyDescent="0.2">
      <c r="E14090" s="7"/>
      <c r="F14090" s="7"/>
    </row>
    <row r="14091" spans="5:6" ht="15" customHeight="1" x14ac:dyDescent="0.2">
      <c r="E14091" s="7"/>
      <c r="F14091" s="7"/>
    </row>
    <row r="14092" spans="5:6" ht="15" customHeight="1" x14ac:dyDescent="0.2">
      <c r="E14092" s="7"/>
      <c r="F14092" s="7"/>
    </row>
    <row r="14093" spans="5:6" ht="15" customHeight="1" x14ac:dyDescent="0.2">
      <c r="E14093" s="7"/>
      <c r="F14093" s="7"/>
    </row>
    <row r="14094" spans="5:6" ht="15" customHeight="1" x14ac:dyDescent="0.2">
      <c r="E14094" s="7"/>
      <c r="F14094" s="7"/>
    </row>
    <row r="14095" spans="5:6" ht="15" customHeight="1" x14ac:dyDescent="0.2">
      <c r="E14095" s="7"/>
      <c r="F14095" s="7"/>
    </row>
    <row r="14096" spans="5:6" ht="15" customHeight="1" x14ac:dyDescent="0.2">
      <c r="E14096" s="7"/>
      <c r="F14096" s="7"/>
    </row>
    <row r="14097" spans="5:6" ht="15" customHeight="1" x14ac:dyDescent="0.2">
      <c r="E14097" s="7"/>
      <c r="F14097" s="7"/>
    </row>
    <row r="14098" spans="5:6" ht="15" customHeight="1" x14ac:dyDescent="0.2">
      <c r="E14098" s="7"/>
      <c r="F14098" s="7"/>
    </row>
    <row r="14099" spans="5:6" ht="15" customHeight="1" x14ac:dyDescent="0.2">
      <c r="E14099" s="7"/>
      <c r="F14099" s="7"/>
    </row>
    <row r="14100" spans="5:6" ht="15" customHeight="1" x14ac:dyDescent="0.2">
      <c r="E14100" s="7"/>
      <c r="F14100" s="7"/>
    </row>
    <row r="14101" spans="5:6" ht="15" customHeight="1" x14ac:dyDescent="0.2">
      <c r="E14101" s="7"/>
      <c r="F14101" s="7"/>
    </row>
    <row r="14102" spans="5:6" ht="15" customHeight="1" x14ac:dyDescent="0.2">
      <c r="E14102" s="7"/>
      <c r="F14102" s="7"/>
    </row>
    <row r="14103" spans="5:6" ht="15" customHeight="1" x14ac:dyDescent="0.2">
      <c r="E14103" s="7"/>
      <c r="F14103" s="7"/>
    </row>
    <row r="14104" spans="5:6" ht="15" customHeight="1" x14ac:dyDescent="0.2">
      <c r="E14104" s="7"/>
      <c r="F14104" s="7"/>
    </row>
    <row r="14105" spans="5:6" ht="15" customHeight="1" x14ac:dyDescent="0.2">
      <c r="E14105" s="7"/>
      <c r="F14105" s="7"/>
    </row>
    <row r="14106" spans="5:6" ht="15" customHeight="1" x14ac:dyDescent="0.2">
      <c r="E14106" s="7"/>
      <c r="F14106" s="7"/>
    </row>
    <row r="14107" spans="5:6" ht="15" customHeight="1" x14ac:dyDescent="0.2">
      <c r="E14107" s="7"/>
      <c r="F14107" s="7"/>
    </row>
    <row r="14108" spans="5:6" ht="15" customHeight="1" x14ac:dyDescent="0.2">
      <c r="E14108" s="7"/>
      <c r="F14108" s="7"/>
    </row>
    <row r="14109" spans="5:6" ht="15" customHeight="1" x14ac:dyDescent="0.2">
      <c r="E14109" s="7"/>
      <c r="F14109" s="7"/>
    </row>
    <row r="14110" spans="5:6" ht="15" customHeight="1" x14ac:dyDescent="0.2">
      <c r="E14110" s="7"/>
      <c r="F14110" s="7"/>
    </row>
    <row r="14111" spans="5:6" ht="15" customHeight="1" x14ac:dyDescent="0.2">
      <c r="E14111" s="7"/>
      <c r="F14111" s="7"/>
    </row>
    <row r="14112" spans="5:6" ht="15" customHeight="1" x14ac:dyDescent="0.2">
      <c r="E14112" s="7"/>
      <c r="F14112" s="7"/>
    </row>
    <row r="14113" spans="5:6" ht="15" customHeight="1" x14ac:dyDescent="0.2">
      <c r="E14113" s="7"/>
      <c r="F14113" s="7"/>
    </row>
    <row r="14114" spans="5:6" ht="15" customHeight="1" x14ac:dyDescent="0.2">
      <c r="E14114" s="7"/>
      <c r="F14114" s="7"/>
    </row>
    <row r="14115" spans="5:6" ht="15" customHeight="1" x14ac:dyDescent="0.2">
      <c r="E14115" s="7"/>
      <c r="F14115" s="7"/>
    </row>
    <row r="14116" spans="5:6" ht="15" customHeight="1" x14ac:dyDescent="0.2">
      <c r="E14116" s="7"/>
      <c r="F14116" s="7"/>
    </row>
    <row r="14117" spans="5:6" ht="15" customHeight="1" x14ac:dyDescent="0.2">
      <c r="E14117" s="7"/>
      <c r="F14117" s="7"/>
    </row>
    <row r="14118" spans="5:6" ht="15" customHeight="1" x14ac:dyDescent="0.2">
      <c r="E14118" s="7"/>
      <c r="F14118" s="7"/>
    </row>
    <row r="14119" spans="5:6" ht="15" customHeight="1" x14ac:dyDescent="0.2">
      <c r="E14119" s="7"/>
      <c r="F14119" s="7"/>
    </row>
    <row r="14120" spans="5:6" ht="15" customHeight="1" x14ac:dyDescent="0.2">
      <c r="E14120" s="7"/>
      <c r="F14120" s="7"/>
    </row>
    <row r="14121" spans="5:6" ht="15" customHeight="1" x14ac:dyDescent="0.2">
      <c r="E14121" s="7"/>
      <c r="F14121" s="7"/>
    </row>
    <row r="14122" spans="5:6" ht="15" customHeight="1" x14ac:dyDescent="0.2">
      <c r="E14122" s="7"/>
      <c r="F14122" s="7"/>
    </row>
    <row r="14123" spans="5:6" ht="15" customHeight="1" x14ac:dyDescent="0.2">
      <c r="E14123" s="7"/>
      <c r="F14123" s="7"/>
    </row>
    <row r="14124" spans="5:6" ht="15" customHeight="1" x14ac:dyDescent="0.2">
      <c r="E14124" s="7"/>
      <c r="F14124" s="7"/>
    </row>
    <row r="14125" spans="5:6" ht="15" customHeight="1" x14ac:dyDescent="0.2">
      <c r="E14125" s="7"/>
      <c r="F14125" s="7"/>
    </row>
    <row r="14126" spans="5:6" ht="15" customHeight="1" x14ac:dyDescent="0.2">
      <c r="E14126" s="7"/>
      <c r="F14126" s="7"/>
    </row>
    <row r="14127" spans="5:6" ht="15" customHeight="1" x14ac:dyDescent="0.2">
      <c r="E14127" s="7"/>
      <c r="F14127" s="7"/>
    </row>
    <row r="14128" spans="5:6" ht="15" customHeight="1" x14ac:dyDescent="0.2">
      <c r="E14128" s="7"/>
      <c r="F14128" s="7"/>
    </row>
    <row r="14129" spans="5:6" ht="15" customHeight="1" x14ac:dyDescent="0.2">
      <c r="E14129" s="7"/>
      <c r="F14129" s="7"/>
    </row>
    <row r="14130" spans="5:6" ht="15" customHeight="1" x14ac:dyDescent="0.2">
      <c r="E14130" s="7"/>
      <c r="F14130" s="7"/>
    </row>
    <row r="14131" spans="5:6" ht="15" customHeight="1" x14ac:dyDescent="0.2">
      <c r="E14131" s="7"/>
      <c r="F14131" s="7"/>
    </row>
    <row r="14132" spans="5:6" ht="15" customHeight="1" x14ac:dyDescent="0.2">
      <c r="E14132" s="7"/>
      <c r="F14132" s="7"/>
    </row>
    <row r="14133" spans="5:6" ht="15" customHeight="1" x14ac:dyDescent="0.2">
      <c r="E14133" s="7"/>
      <c r="F14133" s="7"/>
    </row>
    <row r="14134" spans="5:6" ht="15" customHeight="1" x14ac:dyDescent="0.2">
      <c r="E14134" s="7"/>
      <c r="F14134" s="7"/>
    </row>
    <row r="14135" spans="5:6" ht="15" customHeight="1" x14ac:dyDescent="0.2">
      <c r="E14135" s="7"/>
      <c r="F14135" s="7"/>
    </row>
    <row r="14136" spans="5:6" ht="15" customHeight="1" x14ac:dyDescent="0.2">
      <c r="E14136" s="7"/>
      <c r="F14136" s="7"/>
    </row>
    <row r="14137" spans="5:6" ht="15" customHeight="1" x14ac:dyDescent="0.2">
      <c r="E14137" s="7"/>
      <c r="F14137" s="7"/>
    </row>
    <row r="14138" spans="5:6" ht="15" customHeight="1" x14ac:dyDescent="0.2">
      <c r="E14138" s="7"/>
      <c r="F14138" s="7"/>
    </row>
    <row r="14139" spans="5:6" ht="15" customHeight="1" x14ac:dyDescent="0.2">
      <c r="E14139" s="7"/>
      <c r="F14139" s="7"/>
    </row>
    <row r="14140" spans="5:6" ht="15" customHeight="1" x14ac:dyDescent="0.2">
      <c r="E14140" s="7"/>
      <c r="F14140" s="7"/>
    </row>
    <row r="14141" spans="5:6" ht="15" customHeight="1" x14ac:dyDescent="0.2">
      <c r="E14141" s="7"/>
      <c r="F14141" s="7"/>
    </row>
    <row r="14142" spans="5:6" ht="15" customHeight="1" x14ac:dyDescent="0.2">
      <c r="E14142" s="7"/>
      <c r="F14142" s="7"/>
    </row>
    <row r="14143" spans="5:6" ht="15" customHeight="1" x14ac:dyDescent="0.2">
      <c r="E14143" s="7"/>
      <c r="F14143" s="7"/>
    </row>
    <row r="14144" spans="5:6" ht="15" customHeight="1" x14ac:dyDescent="0.2">
      <c r="E14144" s="7"/>
      <c r="F14144" s="7"/>
    </row>
    <row r="14145" spans="5:6" ht="15" customHeight="1" x14ac:dyDescent="0.2">
      <c r="E14145" s="7"/>
      <c r="F14145" s="7"/>
    </row>
    <row r="14146" spans="5:6" ht="15" customHeight="1" x14ac:dyDescent="0.2">
      <c r="E14146" s="7"/>
      <c r="F14146" s="7"/>
    </row>
    <row r="14147" spans="5:6" ht="15" customHeight="1" x14ac:dyDescent="0.2">
      <c r="E14147" s="7"/>
      <c r="F14147" s="7"/>
    </row>
    <row r="14148" spans="5:6" ht="15" customHeight="1" x14ac:dyDescent="0.2">
      <c r="E14148" s="7"/>
      <c r="F14148" s="7"/>
    </row>
    <row r="14149" spans="5:6" ht="15" customHeight="1" x14ac:dyDescent="0.2">
      <c r="E14149" s="7"/>
      <c r="F14149" s="7"/>
    </row>
    <row r="14150" spans="5:6" ht="15" customHeight="1" x14ac:dyDescent="0.2">
      <c r="E14150" s="7"/>
      <c r="F14150" s="7"/>
    </row>
    <row r="14151" spans="5:6" ht="15" customHeight="1" x14ac:dyDescent="0.2">
      <c r="E14151" s="7"/>
      <c r="F14151" s="7"/>
    </row>
    <row r="14152" spans="5:6" ht="15" customHeight="1" x14ac:dyDescent="0.2">
      <c r="E14152" s="7"/>
      <c r="F14152" s="7"/>
    </row>
    <row r="14153" spans="5:6" ht="15" customHeight="1" x14ac:dyDescent="0.2">
      <c r="E14153" s="7"/>
      <c r="F14153" s="7"/>
    </row>
    <row r="14154" spans="5:6" ht="15" customHeight="1" x14ac:dyDescent="0.2">
      <c r="E14154" s="7"/>
      <c r="F14154" s="7"/>
    </row>
    <row r="14155" spans="5:6" ht="15" customHeight="1" x14ac:dyDescent="0.2">
      <c r="E14155" s="7"/>
      <c r="F14155" s="7"/>
    </row>
    <row r="14156" spans="5:6" ht="15" customHeight="1" x14ac:dyDescent="0.2">
      <c r="E14156" s="7"/>
      <c r="F14156" s="7"/>
    </row>
    <row r="14157" spans="5:6" ht="15" customHeight="1" x14ac:dyDescent="0.2">
      <c r="E14157" s="7"/>
      <c r="F14157" s="7"/>
    </row>
    <row r="14158" spans="5:6" ht="15" customHeight="1" x14ac:dyDescent="0.2">
      <c r="E14158" s="7"/>
      <c r="F14158" s="7"/>
    </row>
    <row r="14159" spans="5:6" ht="15" customHeight="1" x14ac:dyDescent="0.2">
      <c r="E14159" s="7"/>
      <c r="F14159" s="7"/>
    </row>
    <row r="14160" spans="5:6" ht="15" customHeight="1" x14ac:dyDescent="0.2">
      <c r="E14160" s="7"/>
      <c r="F14160" s="7"/>
    </row>
    <row r="14161" spans="5:6" ht="15" customHeight="1" x14ac:dyDescent="0.2">
      <c r="E14161" s="7"/>
      <c r="F14161" s="7"/>
    </row>
    <row r="14162" spans="5:6" ht="15" customHeight="1" x14ac:dyDescent="0.2">
      <c r="E14162" s="7"/>
      <c r="F14162" s="7"/>
    </row>
    <row r="14163" spans="5:6" ht="15" customHeight="1" x14ac:dyDescent="0.2">
      <c r="E14163" s="7"/>
      <c r="F14163" s="7"/>
    </row>
    <row r="14164" spans="5:6" ht="15" customHeight="1" x14ac:dyDescent="0.2">
      <c r="E14164" s="7"/>
      <c r="F14164" s="7"/>
    </row>
    <row r="14165" spans="5:6" ht="15" customHeight="1" x14ac:dyDescent="0.2">
      <c r="E14165" s="7"/>
      <c r="F14165" s="7"/>
    </row>
    <row r="14166" spans="5:6" ht="15" customHeight="1" x14ac:dyDescent="0.2">
      <c r="E14166" s="7"/>
      <c r="F14166" s="7"/>
    </row>
    <row r="14167" spans="5:6" ht="15" customHeight="1" x14ac:dyDescent="0.2">
      <c r="E14167" s="7"/>
      <c r="F14167" s="7"/>
    </row>
    <row r="14168" spans="5:6" ht="15" customHeight="1" x14ac:dyDescent="0.2">
      <c r="E14168" s="7"/>
      <c r="F14168" s="7"/>
    </row>
    <row r="14169" spans="5:6" ht="15" customHeight="1" x14ac:dyDescent="0.2">
      <c r="E14169" s="7"/>
      <c r="F14169" s="7"/>
    </row>
    <row r="14170" spans="5:6" ht="15" customHeight="1" x14ac:dyDescent="0.2">
      <c r="E14170" s="7"/>
      <c r="F14170" s="7"/>
    </row>
    <row r="14171" spans="5:6" ht="15" customHeight="1" x14ac:dyDescent="0.2">
      <c r="E14171" s="7"/>
      <c r="F14171" s="7"/>
    </row>
    <row r="14172" spans="5:6" ht="15" customHeight="1" x14ac:dyDescent="0.2">
      <c r="E14172" s="7"/>
      <c r="F14172" s="7"/>
    </row>
    <row r="14173" spans="5:6" ht="15" customHeight="1" x14ac:dyDescent="0.2">
      <c r="E14173" s="7"/>
      <c r="F14173" s="7"/>
    </row>
    <row r="14174" spans="5:6" ht="15" customHeight="1" x14ac:dyDescent="0.2">
      <c r="E14174" s="7"/>
      <c r="F14174" s="7"/>
    </row>
    <row r="14175" spans="5:6" ht="15" customHeight="1" x14ac:dyDescent="0.2">
      <c r="E14175" s="7"/>
      <c r="F14175" s="7"/>
    </row>
    <row r="14176" spans="5:6" ht="15" customHeight="1" x14ac:dyDescent="0.2">
      <c r="E14176" s="7"/>
      <c r="F14176" s="7"/>
    </row>
    <row r="14177" spans="5:6" ht="15" customHeight="1" x14ac:dyDescent="0.2">
      <c r="E14177" s="7"/>
      <c r="F14177" s="7"/>
    </row>
    <row r="14178" spans="5:6" ht="15" customHeight="1" x14ac:dyDescent="0.2">
      <c r="E14178" s="7"/>
      <c r="F14178" s="7"/>
    </row>
    <row r="14179" spans="5:6" ht="15" customHeight="1" x14ac:dyDescent="0.2">
      <c r="E14179" s="7"/>
      <c r="F14179" s="7"/>
    </row>
    <row r="14180" spans="5:6" ht="15" customHeight="1" x14ac:dyDescent="0.2">
      <c r="E14180" s="7"/>
      <c r="F14180" s="7"/>
    </row>
    <row r="14181" spans="5:6" ht="15" customHeight="1" x14ac:dyDescent="0.2">
      <c r="E14181" s="7"/>
      <c r="F14181" s="7"/>
    </row>
    <row r="14182" spans="5:6" ht="15" customHeight="1" x14ac:dyDescent="0.2">
      <c r="E14182" s="7"/>
      <c r="F14182" s="7"/>
    </row>
    <row r="14183" spans="5:6" ht="15" customHeight="1" x14ac:dyDescent="0.2">
      <c r="E14183" s="7"/>
      <c r="F14183" s="7"/>
    </row>
    <row r="14184" spans="5:6" ht="15" customHeight="1" x14ac:dyDescent="0.2">
      <c r="E14184" s="7"/>
      <c r="F14184" s="7"/>
    </row>
    <row r="14185" spans="5:6" ht="15" customHeight="1" x14ac:dyDescent="0.2">
      <c r="E14185" s="7"/>
      <c r="F14185" s="7"/>
    </row>
    <row r="14186" spans="5:6" ht="15" customHeight="1" x14ac:dyDescent="0.2">
      <c r="E14186" s="7"/>
      <c r="F14186" s="7"/>
    </row>
    <row r="14187" spans="5:6" ht="15" customHeight="1" x14ac:dyDescent="0.2">
      <c r="E14187" s="7"/>
      <c r="F14187" s="7"/>
    </row>
    <row r="14188" spans="5:6" ht="15" customHeight="1" x14ac:dyDescent="0.2">
      <c r="E14188" s="7"/>
      <c r="F14188" s="7"/>
    </row>
    <row r="14189" spans="5:6" ht="15" customHeight="1" x14ac:dyDescent="0.2">
      <c r="E14189" s="7"/>
      <c r="F14189" s="7"/>
    </row>
    <row r="14190" spans="5:6" ht="15" customHeight="1" x14ac:dyDescent="0.2">
      <c r="E14190" s="7"/>
      <c r="F14190" s="7"/>
    </row>
    <row r="14191" spans="5:6" ht="15" customHeight="1" x14ac:dyDescent="0.2">
      <c r="E14191" s="7"/>
      <c r="F14191" s="7"/>
    </row>
    <row r="14192" spans="5:6" ht="15" customHeight="1" x14ac:dyDescent="0.2">
      <c r="E14192" s="7"/>
      <c r="F14192" s="7"/>
    </row>
    <row r="14193" spans="5:6" ht="15" customHeight="1" x14ac:dyDescent="0.2">
      <c r="E14193" s="7"/>
      <c r="F14193" s="7"/>
    </row>
    <row r="14194" spans="5:6" ht="15" customHeight="1" x14ac:dyDescent="0.2">
      <c r="E14194" s="7"/>
      <c r="F14194" s="7"/>
    </row>
    <row r="14195" spans="5:6" ht="15" customHeight="1" x14ac:dyDescent="0.2">
      <c r="E14195" s="7"/>
      <c r="F14195" s="7"/>
    </row>
    <row r="14196" spans="5:6" ht="15" customHeight="1" x14ac:dyDescent="0.2">
      <c r="E14196" s="7"/>
      <c r="F14196" s="7"/>
    </row>
    <row r="14197" spans="5:6" ht="15" customHeight="1" x14ac:dyDescent="0.2">
      <c r="E14197" s="7"/>
      <c r="F14197" s="7"/>
    </row>
    <row r="14198" spans="5:6" ht="15" customHeight="1" x14ac:dyDescent="0.2">
      <c r="E14198" s="7"/>
      <c r="F14198" s="7"/>
    </row>
    <row r="14199" spans="5:6" ht="15" customHeight="1" x14ac:dyDescent="0.2">
      <c r="E14199" s="7"/>
      <c r="F14199" s="7"/>
    </row>
    <row r="14200" spans="5:6" ht="15" customHeight="1" x14ac:dyDescent="0.2">
      <c r="E14200" s="7"/>
      <c r="F14200" s="7"/>
    </row>
    <row r="14201" spans="5:6" ht="15" customHeight="1" x14ac:dyDescent="0.2">
      <c r="E14201" s="7"/>
      <c r="F14201" s="7"/>
    </row>
    <row r="14202" spans="5:6" ht="15" customHeight="1" x14ac:dyDescent="0.2">
      <c r="E14202" s="7"/>
      <c r="F14202" s="7"/>
    </row>
    <row r="14203" spans="5:6" ht="15" customHeight="1" x14ac:dyDescent="0.2">
      <c r="E14203" s="7"/>
      <c r="F14203" s="7"/>
    </row>
    <row r="14204" spans="5:6" ht="15" customHeight="1" x14ac:dyDescent="0.2">
      <c r="E14204" s="7"/>
      <c r="F14204" s="7"/>
    </row>
    <row r="14205" spans="5:6" ht="15" customHeight="1" x14ac:dyDescent="0.2">
      <c r="E14205" s="7"/>
      <c r="F14205" s="7"/>
    </row>
    <row r="14206" spans="5:6" ht="15" customHeight="1" x14ac:dyDescent="0.2">
      <c r="E14206" s="7"/>
      <c r="F14206" s="7"/>
    </row>
    <row r="14207" spans="5:6" ht="15" customHeight="1" x14ac:dyDescent="0.2">
      <c r="E14207" s="7"/>
      <c r="F14207" s="7"/>
    </row>
    <row r="14208" spans="5:6" ht="15" customHeight="1" x14ac:dyDescent="0.2">
      <c r="E14208" s="7"/>
      <c r="F14208" s="7"/>
    </row>
    <row r="14209" spans="5:6" ht="15" customHeight="1" x14ac:dyDescent="0.2">
      <c r="E14209" s="7"/>
      <c r="F14209" s="7"/>
    </row>
    <row r="14210" spans="5:6" ht="15" customHeight="1" x14ac:dyDescent="0.2">
      <c r="E14210" s="7"/>
      <c r="F14210" s="7"/>
    </row>
    <row r="14211" spans="5:6" ht="15" customHeight="1" x14ac:dyDescent="0.2">
      <c r="E14211" s="7"/>
      <c r="F14211" s="7"/>
    </row>
    <row r="14212" spans="5:6" ht="15" customHeight="1" x14ac:dyDescent="0.2">
      <c r="E14212" s="7"/>
      <c r="F14212" s="7"/>
    </row>
    <row r="14213" spans="5:6" ht="15" customHeight="1" x14ac:dyDescent="0.2">
      <c r="E14213" s="7"/>
      <c r="F14213" s="7"/>
    </row>
    <row r="14214" spans="5:6" ht="15" customHeight="1" x14ac:dyDescent="0.2">
      <c r="E14214" s="7"/>
      <c r="F14214" s="7"/>
    </row>
    <row r="14215" spans="5:6" ht="15" customHeight="1" x14ac:dyDescent="0.2">
      <c r="E14215" s="7"/>
      <c r="F14215" s="7"/>
    </row>
    <row r="14216" spans="5:6" ht="15" customHeight="1" x14ac:dyDescent="0.2">
      <c r="E14216" s="7"/>
      <c r="F14216" s="7"/>
    </row>
    <row r="14217" spans="5:6" ht="15" customHeight="1" x14ac:dyDescent="0.2">
      <c r="E14217" s="7"/>
      <c r="F14217" s="7"/>
    </row>
    <row r="14218" spans="5:6" ht="15" customHeight="1" x14ac:dyDescent="0.2">
      <c r="E14218" s="7"/>
      <c r="F14218" s="7"/>
    </row>
    <row r="14219" spans="5:6" ht="15" customHeight="1" x14ac:dyDescent="0.2">
      <c r="E14219" s="7"/>
      <c r="F14219" s="7"/>
    </row>
    <row r="14220" spans="5:6" ht="15" customHeight="1" x14ac:dyDescent="0.2">
      <c r="E14220" s="7"/>
      <c r="F14220" s="7"/>
    </row>
    <row r="14221" spans="5:6" ht="15" customHeight="1" x14ac:dyDescent="0.2">
      <c r="E14221" s="7"/>
      <c r="F14221" s="7"/>
    </row>
    <row r="14222" spans="5:6" ht="15" customHeight="1" x14ac:dyDescent="0.2">
      <c r="E14222" s="7"/>
      <c r="F14222" s="7"/>
    </row>
    <row r="14223" spans="5:6" ht="15" customHeight="1" x14ac:dyDescent="0.2">
      <c r="E14223" s="7"/>
      <c r="F14223" s="7"/>
    </row>
    <row r="14224" spans="5:6" ht="15" customHeight="1" x14ac:dyDescent="0.2">
      <c r="E14224" s="7"/>
      <c r="F14224" s="7"/>
    </row>
    <row r="14225" spans="5:6" ht="15" customHeight="1" x14ac:dyDescent="0.2">
      <c r="E14225" s="7"/>
      <c r="F14225" s="7"/>
    </row>
    <row r="14226" spans="5:6" ht="15" customHeight="1" x14ac:dyDescent="0.2">
      <c r="E14226" s="7"/>
      <c r="F14226" s="7"/>
    </row>
    <row r="14227" spans="5:6" ht="15" customHeight="1" x14ac:dyDescent="0.2">
      <c r="E14227" s="7"/>
      <c r="F14227" s="7"/>
    </row>
    <row r="14228" spans="5:6" ht="15" customHeight="1" x14ac:dyDescent="0.2">
      <c r="E14228" s="7"/>
      <c r="F14228" s="7"/>
    </row>
    <row r="14229" spans="5:6" ht="15" customHeight="1" x14ac:dyDescent="0.2">
      <c r="E14229" s="7"/>
      <c r="F14229" s="7"/>
    </row>
    <row r="14230" spans="5:6" ht="15" customHeight="1" x14ac:dyDescent="0.2">
      <c r="E14230" s="7"/>
      <c r="F14230" s="7"/>
    </row>
    <row r="14231" spans="5:6" ht="15" customHeight="1" x14ac:dyDescent="0.2">
      <c r="E14231" s="7"/>
      <c r="F14231" s="7"/>
    </row>
    <row r="14232" spans="5:6" ht="15" customHeight="1" x14ac:dyDescent="0.2">
      <c r="E14232" s="7"/>
      <c r="F14232" s="7"/>
    </row>
    <row r="14233" spans="5:6" ht="15" customHeight="1" x14ac:dyDescent="0.2">
      <c r="E14233" s="7"/>
      <c r="F14233" s="7"/>
    </row>
    <row r="14234" spans="5:6" ht="15" customHeight="1" x14ac:dyDescent="0.2">
      <c r="E14234" s="7"/>
      <c r="F14234" s="7"/>
    </row>
    <row r="14235" spans="5:6" ht="15" customHeight="1" x14ac:dyDescent="0.2">
      <c r="E14235" s="7"/>
      <c r="F14235" s="7"/>
    </row>
    <row r="14236" spans="5:6" ht="15" customHeight="1" x14ac:dyDescent="0.2">
      <c r="E14236" s="7"/>
      <c r="F14236" s="7"/>
    </row>
    <row r="14237" spans="5:6" ht="15" customHeight="1" x14ac:dyDescent="0.2">
      <c r="E14237" s="7"/>
      <c r="F14237" s="7"/>
    </row>
    <row r="14238" spans="5:6" ht="15" customHeight="1" x14ac:dyDescent="0.2">
      <c r="E14238" s="7"/>
      <c r="F14238" s="7"/>
    </row>
    <row r="14239" spans="5:6" ht="15" customHeight="1" x14ac:dyDescent="0.2">
      <c r="E14239" s="7"/>
      <c r="F14239" s="7"/>
    </row>
    <row r="14240" spans="5:6" ht="15" customHeight="1" x14ac:dyDescent="0.2">
      <c r="E14240" s="7"/>
      <c r="F14240" s="7"/>
    </row>
    <row r="14241" spans="5:6" ht="15" customHeight="1" x14ac:dyDescent="0.2">
      <c r="E14241" s="7"/>
      <c r="F14241" s="7"/>
    </row>
    <row r="14242" spans="5:6" ht="15" customHeight="1" x14ac:dyDescent="0.2">
      <c r="E14242" s="7"/>
      <c r="F14242" s="7"/>
    </row>
    <row r="14243" spans="5:6" ht="15" customHeight="1" x14ac:dyDescent="0.2">
      <c r="E14243" s="7"/>
      <c r="F14243" s="7"/>
    </row>
    <row r="14244" spans="5:6" ht="15" customHeight="1" x14ac:dyDescent="0.2">
      <c r="E14244" s="7"/>
      <c r="F14244" s="7"/>
    </row>
    <row r="14245" spans="5:6" ht="15" customHeight="1" x14ac:dyDescent="0.2">
      <c r="E14245" s="7"/>
      <c r="F14245" s="7"/>
    </row>
    <row r="14246" spans="5:6" ht="15" customHeight="1" x14ac:dyDescent="0.2">
      <c r="E14246" s="7"/>
      <c r="F14246" s="7"/>
    </row>
    <row r="14247" spans="5:6" ht="15" customHeight="1" x14ac:dyDescent="0.2">
      <c r="E14247" s="7"/>
      <c r="F14247" s="7"/>
    </row>
    <row r="14248" spans="5:6" ht="15" customHeight="1" x14ac:dyDescent="0.2">
      <c r="E14248" s="7"/>
      <c r="F14248" s="7"/>
    </row>
    <row r="14249" spans="5:6" ht="15" customHeight="1" x14ac:dyDescent="0.2">
      <c r="E14249" s="7"/>
      <c r="F14249" s="7"/>
    </row>
    <row r="14250" spans="5:6" ht="15" customHeight="1" x14ac:dyDescent="0.2">
      <c r="E14250" s="7"/>
      <c r="F14250" s="7"/>
    </row>
    <row r="14251" spans="5:6" ht="15" customHeight="1" x14ac:dyDescent="0.2">
      <c r="E14251" s="7"/>
      <c r="F14251" s="7"/>
    </row>
    <row r="14252" spans="5:6" ht="15" customHeight="1" x14ac:dyDescent="0.2">
      <c r="E14252" s="7"/>
      <c r="F14252" s="7"/>
    </row>
    <row r="14253" spans="5:6" ht="15" customHeight="1" x14ac:dyDescent="0.2">
      <c r="E14253" s="7"/>
      <c r="F14253" s="7"/>
    </row>
    <row r="14254" spans="5:6" ht="15" customHeight="1" x14ac:dyDescent="0.2">
      <c r="E14254" s="7"/>
      <c r="F14254" s="7"/>
    </row>
    <row r="14255" spans="5:6" ht="15" customHeight="1" x14ac:dyDescent="0.2">
      <c r="E14255" s="7"/>
      <c r="F14255" s="7"/>
    </row>
    <row r="14256" spans="5:6" ht="15" customHeight="1" x14ac:dyDescent="0.2">
      <c r="E14256" s="7"/>
      <c r="F14256" s="7"/>
    </row>
    <row r="14257" spans="5:6" ht="15" customHeight="1" x14ac:dyDescent="0.2">
      <c r="E14257" s="7"/>
      <c r="F14257" s="7"/>
    </row>
    <row r="14258" spans="5:6" ht="15" customHeight="1" x14ac:dyDescent="0.2">
      <c r="E14258" s="7"/>
      <c r="F14258" s="7"/>
    </row>
    <row r="14259" spans="5:6" ht="15" customHeight="1" x14ac:dyDescent="0.2">
      <c r="E14259" s="7"/>
      <c r="F14259" s="7"/>
    </row>
    <row r="14260" spans="5:6" ht="15" customHeight="1" x14ac:dyDescent="0.2">
      <c r="E14260" s="7"/>
      <c r="F14260" s="7"/>
    </row>
    <row r="14261" spans="5:6" ht="15" customHeight="1" x14ac:dyDescent="0.2">
      <c r="E14261" s="7"/>
      <c r="F14261" s="7"/>
    </row>
    <row r="14262" spans="5:6" ht="15" customHeight="1" x14ac:dyDescent="0.2">
      <c r="E14262" s="7"/>
      <c r="F14262" s="7"/>
    </row>
    <row r="14263" spans="5:6" ht="15" customHeight="1" x14ac:dyDescent="0.2">
      <c r="E14263" s="7"/>
      <c r="F14263" s="7"/>
    </row>
    <row r="14264" spans="5:6" ht="15" customHeight="1" x14ac:dyDescent="0.2">
      <c r="E14264" s="7"/>
      <c r="F14264" s="7"/>
    </row>
    <row r="14265" spans="5:6" ht="15" customHeight="1" x14ac:dyDescent="0.2">
      <c r="E14265" s="7"/>
      <c r="F14265" s="7"/>
    </row>
    <row r="14266" spans="5:6" ht="15" customHeight="1" x14ac:dyDescent="0.2">
      <c r="E14266" s="7"/>
      <c r="F14266" s="7"/>
    </row>
    <row r="14267" spans="5:6" ht="15" customHeight="1" x14ac:dyDescent="0.2">
      <c r="E14267" s="7"/>
      <c r="F14267" s="7"/>
    </row>
    <row r="14268" spans="5:6" ht="15" customHeight="1" x14ac:dyDescent="0.2">
      <c r="E14268" s="7"/>
      <c r="F14268" s="7"/>
    </row>
    <row r="14269" spans="5:6" ht="15" customHeight="1" x14ac:dyDescent="0.2">
      <c r="E14269" s="7"/>
      <c r="F14269" s="7"/>
    </row>
    <row r="14270" spans="5:6" ht="15" customHeight="1" x14ac:dyDescent="0.2">
      <c r="E14270" s="7"/>
      <c r="F14270" s="7"/>
    </row>
    <row r="14271" spans="5:6" ht="15" customHeight="1" x14ac:dyDescent="0.2">
      <c r="E14271" s="7"/>
      <c r="F14271" s="7"/>
    </row>
    <row r="14272" spans="5:6" ht="15" customHeight="1" x14ac:dyDescent="0.2">
      <c r="E14272" s="7"/>
      <c r="F14272" s="7"/>
    </row>
    <row r="14273" spans="5:6" ht="15" customHeight="1" x14ac:dyDescent="0.2">
      <c r="E14273" s="7"/>
      <c r="F14273" s="7"/>
    </row>
    <row r="14274" spans="5:6" ht="15" customHeight="1" x14ac:dyDescent="0.2">
      <c r="E14274" s="7"/>
      <c r="F14274" s="7"/>
    </row>
    <row r="14275" spans="5:6" ht="15" customHeight="1" x14ac:dyDescent="0.2">
      <c r="E14275" s="7"/>
      <c r="F14275" s="7"/>
    </row>
    <row r="14276" spans="5:6" ht="15" customHeight="1" x14ac:dyDescent="0.2">
      <c r="E14276" s="7"/>
      <c r="F14276" s="7"/>
    </row>
    <row r="14277" spans="5:6" ht="15" customHeight="1" x14ac:dyDescent="0.2">
      <c r="E14277" s="7"/>
      <c r="F14277" s="7"/>
    </row>
    <row r="14278" spans="5:6" ht="15" customHeight="1" x14ac:dyDescent="0.2">
      <c r="E14278" s="7"/>
      <c r="F14278" s="7"/>
    </row>
    <row r="14279" spans="5:6" ht="15" customHeight="1" x14ac:dyDescent="0.2">
      <c r="E14279" s="7"/>
      <c r="F14279" s="7"/>
    </row>
    <row r="14280" spans="5:6" ht="15" customHeight="1" x14ac:dyDescent="0.2">
      <c r="E14280" s="7"/>
      <c r="F14280" s="7"/>
    </row>
    <row r="14281" spans="5:6" ht="15" customHeight="1" x14ac:dyDescent="0.2">
      <c r="E14281" s="7"/>
      <c r="F14281" s="7"/>
    </row>
    <row r="14282" spans="5:6" ht="15" customHeight="1" x14ac:dyDescent="0.2">
      <c r="E14282" s="7"/>
      <c r="F14282" s="7"/>
    </row>
    <row r="14283" spans="5:6" ht="15" customHeight="1" x14ac:dyDescent="0.2">
      <c r="E14283" s="7"/>
      <c r="F14283" s="7"/>
    </row>
    <row r="14284" spans="5:6" ht="15" customHeight="1" x14ac:dyDescent="0.2">
      <c r="E14284" s="7"/>
      <c r="F14284" s="7"/>
    </row>
    <row r="14285" spans="5:6" ht="15" customHeight="1" x14ac:dyDescent="0.2">
      <c r="E14285" s="7"/>
      <c r="F14285" s="7"/>
    </row>
    <row r="14286" spans="5:6" ht="15" customHeight="1" x14ac:dyDescent="0.2">
      <c r="E14286" s="7"/>
      <c r="F14286" s="7"/>
    </row>
    <row r="14287" spans="5:6" ht="15" customHeight="1" x14ac:dyDescent="0.2">
      <c r="E14287" s="7"/>
      <c r="F14287" s="7"/>
    </row>
    <row r="14288" spans="5:6" ht="15" customHeight="1" x14ac:dyDescent="0.2">
      <c r="E14288" s="7"/>
      <c r="F14288" s="7"/>
    </row>
    <row r="14289" spans="5:6" ht="15" customHeight="1" x14ac:dyDescent="0.2">
      <c r="E14289" s="7"/>
      <c r="F14289" s="7"/>
    </row>
    <row r="14290" spans="5:6" ht="15" customHeight="1" x14ac:dyDescent="0.2">
      <c r="E14290" s="7"/>
      <c r="F14290" s="7"/>
    </row>
    <row r="14291" spans="5:6" ht="15" customHeight="1" x14ac:dyDescent="0.2">
      <c r="E14291" s="7"/>
      <c r="F14291" s="7"/>
    </row>
    <row r="14292" spans="5:6" ht="15" customHeight="1" x14ac:dyDescent="0.2">
      <c r="E14292" s="7"/>
      <c r="F14292" s="7"/>
    </row>
    <row r="14293" spans="5:6" ht="15" customHeight="1" x14ac:dyDescent="0.2">
      <c r="E14293" s="7"/>
      <c r="F14293" s="7"/>
    </row>
    <row r="14294" spans="5:6" ht="15" customHeight="1" x14ac:dyDescent="0.2">
      <c r="E14294" s="7"/>
      <c r="F14294" s="7"/>
    </row>
    <row r="14295" spans="5:6" ht="15" customHeight="1" x14ac:dyDescent="0.2">
      <c r="E14295" s="7"/>
      <c r="F14295" s="7"/>
    </row>
    <row r="14296" spans="5:6" ht="15" customHeight="1" x14ac:dyDescent="0.2">
      <c r="E14296" s="7"/>
      <c r="F14296" s="7"/>
    </row>
    <row r="14297" spans="5:6" ht="15" customHeight="1" x14ac:dyDescent="0.2">
      <c r="E14297" s="7"/>
      <c r="F14297" s="7"/>
    </row>
    <row r="14298" spans="5:6" ht="15" customHeight="1" x14ac:dyDescent="0.2">
      <c r="E14298" s="7"/>
      <c r="F14298" s="7"/>
    </row>
    <row r="14299" spans="5:6" ht="15" customHeight="1" x14ac:dyDescent="0.2">
      <c r="E14299" s="7"/>
      <c r="F14299" s="7"/>
    </row>
    <row r="14300" spans="5:6" ht="15" customHeight="1" x14ac:dyDescent="0.2">
      <c r="E14300" s="7"/>
      <c r="F14300" s="7"/>
    </row>
    <row r="14301" spans="5:6" ht="15" customHeight="1" x14ac:dyDescent="0.2">
      <c r="E14301" s="7"/>
      <c r="F14301" s="7"/>
    </row>
    <row r="14302" spans="5:6" ht="15" customHeight="1" x14ac:dyDescent="0.2">
      <c r="E14302" s="7"/>
      <c r="F14302" s="7"/>
    </row>
    <row r="14303" spans="5:6" ht="15" customHeight="1" x14ac:dyDescent="0.2">
      <c r="E14303" s="7"/>
      <c r="F14303" s="7"/>
    </row>
    <row r="14304" spans="5:6" ht="15" customHeight="1" x14ac:dyDescent="0.2">
      <c r="E14304" s="7"/>
      <c r="F14304" s="7"/>
    </row>
    <row r="14305" spans="5:6" ht="15" customHeight="1" x14ac:dyDescent="0.2">
      <c r="E14305" s="7"/>
      <c r="F14305" s="7"/>
    </row>
    <row r="14306" spans="5:6" ht="15" customHeight="1" x14ac:dyDescent="0.2">
      <c r="E14306" s="7"/>
      <c r="F14306" s="7"/>
    </row>
    <row r="14307" spans="5:6" ht="15" customHeight="1" x14ac:dyDescent="0.2">
      <c r="E14307" s="7"/>
      <c r="F14307" s="7"/>
    </row>
    <row r="14308" spans="5:6" ht="15" customHeight="1" x14ac:dyDescent="0.2">
      <c r="E14308" s="7"/>
      <c r="F14308" s="7"/>
    </row>
    <row r="14309" spans="5:6" ht="15" customHeight="1" x14ac:dyDescent="0.2">
      <c r="E14309" s="7"/>
      <c r="F14309" s="7"/>
    </row>
    <row r="14310" spans="5:6" ht="15" customHeight="1" x14ac:dyDescent="0.2">
      <c r="E14310" s="7"/>
      <c r="F14310" s="7"/>
    </row>
    <row r="14311" spans="5:6" ht="15" customHeight="1" x14ac:dyDescent="0.2">
      <c r="E14311" s="7"/>
      <c r="F14311" s="7"/>
    </row>
    <row r="14312" spans="5:6" ht="15" customHeight="1" x14ac:dyDescent="0.2">
      <c r="E14312" s="7"/>
      <c r="F14312" s="7"/>
    </row>
    <row r="14313" spans="5:6" ht="15" customHeight="1" x14ac:dyDescent="0.2">
      <c r="E14313" s="7"/>
      <c r="F14313" s="7"/>
    </row>
    <row r="14314" spans="5:6" ht="15" customHeight="1" x14ac:dyDescent="0.2">
      <c r="E14314" s="7"/>
      <c r="F14314" s="7"/>
    </row>
    <row r="14315" spans="5:6" ht="15" customHeight="1" x14ac:dyDescent="0.2">
      <c r="E14315" s="7"/>
      <c r="F14315" s="7"/>
    </row>
    <row r="14316" spans="5:6" ht="15" customHeight="1" x14ac:dyDescent="0.2">
      <c r="E14316" s="7"/>
      <c r="F14316" s="7"/>
    </row>
    <row r="14317" spans="5:6" ht="15" customHeight="1" x14ac:dyDescent="0.2">
      <c r="E14317" s="7"/>
      <c r="F14317" s="7"/>
    </row>
    <row r="14318" spans="5:6" ht="15" customHeight="1" x14ac:dyDescent="0.2">
      <c r="E14318" s="7"/>
      <c r="F14318" s="7"/>
    </row>
    <row r="14319" spans="5:6" ht="15" customHeight="1" x14ac:dyDescent="0.2">
      <c r="E14319" s="7"/>
      <c r="F14319" s="7"/>
    </row>
    <row r="14320" spans="5:6" ht="15" customHeight="1" x14ac:dyDescent="0.2">
      <c r="E14320" s="7"/>
      <c r="F14320" s="7"/>
    </row>
    <row r="14321" spans="5:6" ht="15" customHeight="1" x14ac:dyDescent="0.2">
      <c r="E14321" s="7"/>
      <c r="F14321" s="7"/>
    </row>
    <row r="14322" spans="5:6" ht="15" customHeight="1" x14ac:dyDescent="0.2">
      <c r="E14322" s="7"/>
      <c r="F14322" s="7"/>
    </row>
    <row r="14323" spans="5:6" ht="15" customHeight="1" x14ac:dyDescent="0.2">
      <c r="E14323" s="7"/>
      <c r="F14323" s="7"/>
    </row>
    <row r="14324" spans="5:6" ht="15" customHeight="1" x14ac:dyDescent="0.2">
      <c r="E14324" s="7"/>
      <c r="F14324" s="7"/>
    </row>
    <row r="14325" spans="5:6" ht="15" customHeight="1" x14ac:dyDescent="0.2">
      <c r="E14325" s="7"/>
      <c r="F14325" s="7"/>
    </row>
    <row r="14326" spans="5:6" ht="15" customHeight="1" x14ac:dyDescent="0.2">
      <c r="E14326" s="7"/>
      <c r="F14326" s="7"/>
    </row>
    <row r="14327" spans="5:6" ht="15" customHeight="1" x14ac:dyDescent="0.2">
      <c r="E14327" s="7"/>
      <c r="F14327" s="7"/>
    </row>
    <row r="14328" spans="5:6" ht="15" customHeight="1" x14ac:dyDescent="0.2">
      <c r="E14328" s="7"/>
      <c r="F14328" s="7"/>
    </row>
    <row r="14329" spans="5:6" ht="15" customHeight="1" x14ac:dyDescent="0.2">
      <c r="E14329" s="7"/>
      <c r="F14329" s="7"/>
    </row>
    <row r="14330" spans="5:6" ht="15" customHeight="1" x14ac:dyDescent="0.2">
      <c r="E14330" s="7"/>
      <c r="F14330" s="7"/>
    </row>
    <row r="14331" spans="5:6" ht="15" customHeight="1" x14ac:dyDescent="0.2">
      <c r="E14331" s="7"/>
      <c r="F14331" s="7"/>
    </row>
    <row r="14332" spans="5:6" ht="15" customHeight="1" x14ac:dyDescent="0.2">
      <c r="E14332" s="7"/>
      <c r="F14332" s="7"/>
    </row>
    <row r="14333" spans="5:6" ht="15" customHeight="1" x14ac:dyDescent="0.2">
      <c r="E14333" s="7"/>
      <c r="F14333" s="7"/>
    </row>
    <row r="14334" spans="5:6" ht="15" customHeight="1" x14ac:dyDescent="0.2">
      <c r="E14334" s="7"/>
      <c r="F14334" s="7"/>
    </row>
    <row r="14335" spans="5:6" ht="15" customHeight="1" x14ac:dyDescent="0.2">
      <c r="E14335" s="7"/>
      <c r="F14335" s="7"/>
    </row>
    <row r="14336" spans="5:6" ht="15" customHeight="1" x14ac:dyDescent="0.2">
      <c r="E14336" s="7"/>
      <c r="F14336" s="7"/>
    </row>
    <row r="14337" spans="5:6" ht="15" customHeight="1" x14ac:dyDescent="0.2">
      <c r="E14337" s="7"/>
      <c r="F14337" s="7"/>
    </row>
    <row r="14338" spans="5:6" ht="15" customHeight="1" x14ac:dyDescent="0.2">
      <c r="E14338" s="7"/>
      <c r="F14338" s="7"/>
    </row>
    <row r="14339" spans="5:6" ht="15" customHeight="1" x14ac:dyDescent="0.2">
      <c r="E14339" s="7"/>
      <c r="F14339" s="7"/>
    </row>
    <row r="14340" spans="5:6" ht="15" customHeight="1" x14ac:dyDescent="0.2">
      <c r="E14340" s="7"/>
      <c r="F14340" s="7"/>
    </row>
    <row r="14341" spans="5:6" ht="15" customHeight="1" x14ac:dyDescent="0.2">
      <c r="E14341" s="7"/>
      <c r="F14341" s="7"/>
    </row>
    <row r="14342" spans="5:6" ht="15" customHeight="1" x14ac:dyDescent="0.2">
      <c r="E14342" s="7"/>
      <c r="F14342" s="7"/>
    </row>
    <row r="14343" spans="5:6" ht="15" customHeight="1" x14ac:dyDescent="0.2">
      <c r="E14343" s="7"/>
      <c r="F14343" s="7"/>
    </row>
    <row r="14344" spans="5:6" ht="15" customHeight="1" x14ac:dyDescent="0.2">
      <c r="E14344" s="7"/>
      <c r="F14344" s="7"/>
    </row>
    <row r="14345" spans="5:6" ht="15" customHeight="1" x14ac:dyDescent="0.2">
      <c r="E14345" s="7"/>
      <c r="F14345" s="7"/>
    </row>
    <row r="14346" spans="5:6" ht="15" customHeight="1" x14ac:dyDescent="0.2">
      <c r="E14346" s="7"/>
      <c r="F14346" s="7"/>
    </row>
    <row r="14347" spans="5:6" ht="15" customHeight="1" x14ac:dyDescent="0.2">
      <c r="E14347" s="7"/>
      <c r="F14347" s="7"/>
    </row>
    <row r="14348" spans="5:6" ht="15" customHeight="1" x14ac:dyDescent="0.2">
      <c r="E14348" s="7"/>
      <c r="F14348" s="7"/>
    </row>
    <row r="14349" spans="5:6" ht="15" customHeight="1" x14ac:dyDescent="0.2">
      <c r="E14349" s="7"/>
      <c r="F14349" s="7"/>
    </row>
    <row r="14350" spans="5:6" ht="15" customHeight="1" x14ac:dyDescent="0.2">
      <c r="E14350" s="7"/>
      <c r="F14350" s="7"/>
    </row>
    <row r="14351" spans="5:6" ht="15" customHeight="1" x14ac:dyDescent="0.2">
      <c r="E14351" s="7"/>
      <c r="F14351" s="7"/>
    </row>
    <row r="14352" spans="5:6" ht="15" customHeight="1" x14ac:dyDescent="0.2">
      <c r="E14352" s="7"/>
      <c r="F14352" s="7"/>
    </row>
    <row r="14353" spans="5:6" ht="15" customHeight="1" x14ac:dyDescent="0.2">
      <c r="E14353" s="7"/>
      <c r="F14353" s="7"/>
    </row>
    <row r="14354" spans="5:6" ht="15" customHeight="1" x14ac:dyDescent="0.2">
      <c r="E14354" s="7"/>
      <c r="F14354" s="7"/>
    </row>
    <row r="14355" spans="5:6" ht="15" customHeight="1" x14ac:dyDescent="0.2">
      <c r="E14355" s="7"/>
      <c r="F14355" s="7"/>
    </row>
    <row r="14356" spans="5:6" ht="15" customHeight="1" x14ac:dyDescent="0.2">
      <c r="E14356" s="7"/>
      <c r="F14356" s="7"/>
    </row>
    <row r="14357" spans="5:6" ht="15" customHeight="1" x14ac:dyDescent="0.2">
      <c r="E14357" s="7"/>
      <c r="F14357" s="7"/>
    </row>
    <row r="14358" spans="5:6" ht="15" customHeight="1" x14ac:dyDescent="0.2">
      <c r="E14358" s="7"/>
      <c r="F14358" s="7"/>
    </row>
    <row r="14359" spans="5:6" ht="15" customHeight="1" x14ac:dyDescent="0.2">
      <c r="E14359" s="7"/>
      <c r="F14359" s="7"/>
    </row>
    <row r="14360" spans="5:6" ht="15" customHeight="1" x14ac:dyDescent="0.2">
      <c r="E14360" s="7"/>
      <c r="F14360" s="7"/>
    </row>
    <row r="14361" spans="5:6" ht="15" customHeight="1" x14ac:dyDescent="0.2">
      <c r="E14361" s="7"/>
      <c r="F14361" s="7"/>
    </row>
    <row r="14362" spans="5:6" ht="15" customHeight="1" x14ac:dyDescent="0.2">
      <c r="E14362" s="7"/>
      <c r="F14362" s="7"/>
    </row>
    <row r="14363" spans="5:6" ht="15" customHeight="1" x14ac:dyDescent="0.2">
      <c r="E14363" s="7"/>
      <c r="F14363" s="7"/>
    </row>
    <row r="14364" spans="5:6" ht="15" customHeight="1" x14ac:dyDescent="0.2">
      <c r="E14364" s="7"/>
      <c r="F14364" s="7"/>
    </row>
    <row r="14365" spans="5:6" ht="15" customHeight="1" x14ac:dyDescent="0.2">
      <c r="E14365" s="7"/>
      <c r="F14365" s="7"/>
    </row>
    <row r="14366" spans="5:6" ht="15" customHeight="1" x14ac:dyDescent="0.2">
      <c r="E14366" s="7"/>
      <c r="F14366" s="7"/>
    </row>
    <row r="14367" spans="5:6" ht="15" customHeight="1" x14ac:dyDescent="0.2">
      <c r="E14367" s="7"/>
      <c r="F14367" s="7"/>
    </row>
    <row r="14368" spans="5:6" ht="15" customHeight="1" x14ac:dyDescent="0.2">
      <c r="E14368" s="7"/>
      <c r="F14368" s="7"/>
    </row>
    <row r="14369" spans="5:6" ht="15" customHeight="1" x14ac:dyDescent="0.2">
      <c r="E14369" s="7"/>
      <c r="F14369" s="7"/>
    </row>
    <row r="14370" spans="5:6" ht="15" customHeight="1" x14ac:dyDescent="0.2">
      <c r="E14370" s="7"/>
      <c r="F14370" s="7"/>
    </row>
    <row r="14371" spans="5:6" ht="15" customHeight="1" x14ac:dyDescent="0.2">
      <c r="E14371" s="7"/>
      <c r="F14371" s="7"/>
    </row>
    <row r="14372" spans="5:6" ht="15" customHeight="1" x14ac:dyDescent="0.2">
      <c r="E14372" s="7"/>
      <c r="F14372" s="7"/>
    </row>
    <row r="14373" spans="5:6" ht="15" customHeight="1" x14ac:dyDescent="0.2">
      <c r="E14373" s="7"/>
      <c r="F14373" s="7"/>
    </row>
    <row r="14374" spans="5:6" ht="15" customHeight="1" x14ac:dyDescent="0.2">
      <c r="E14374" s="7"/>
      <c r="F14374" s="7"/>
    </row>
    <row r="14375" spans="5:6" ht="15" customHeight="1" x14ac:dyDescent="0.2">
      <c r="E14375" s="7"/>
      <c r="F14375" s="7"/>
    </row>
    <row r="14376" spans="5:6" ht="15" customHeight="1" x14ac:dyDescent="0.2">
      <c r="E14376" s="7"/>
      <c r="F14376" s="7"/>
    </row>
    <row r="14377" spans="5:6" ht="15" customHeight="1" x14ac:dyDescent="0.2">
      <c r="E14377" s="7"/>
      <c r="F14377" s="7"/>
    </row>
    <row r="14378" spans="5:6" ht="15" customHeight="1" x14ac:dyDescent="0.2">
      <c r="E14378" s="7"/>
      <c r="F14378" s="7"/>
    </row>
    <row r="14379" spans="5:6" ht="15" customHeight="1" x14ac:dyDescent="0.2">
      <c r="E14379" s="7"/>
      <c r="F14379" s="7"/>
    </row>
    <row r="14380" spans="5:6" ht="15" customHeight="1" x14ac:dyDescent="0.2">
      <c r="E14380" s="7"/>
      <c r="F14380" s="7"/>
    </row>
    <row r="14381" spans="5:6" ht="15" customHeight="1" x14ac:dyDescent="0.2">
      <c r="E14381" s="7"/>
      <c r="F14381" s="7"/>
    </row>
    <row r="14382" spans="5:6" ht="15" customHeight="1" x14ac:dyDescent="0.2">
      <c r="E14382" s="7"/>
      <c r="F14382" s="7"/>
    </row>
    <row r="14383" spans="5:6" ht="15" customHeight="1" x14ac:dyDescent="0.2">
      <c r="E14383" s="7"/>
      <c r="F14383" s="7"/>
    </row>
    <row r="14384" spans="5:6" ht="15" customHeight="1" x14ac:dyDescent="0.2">
      <c r="E14384" s="7"/>
      <c r="F14384" s="7"/>
    </row>
    <row r="14385" spans="5:6" ht="15" customHeight="1" x14ac:dyDescent="0.2">
      <c r="E14385" s="7"/>
      <c r="F14385" s="7"/>
    </row>
    <row r="14386" spans="5:6" ht="15" customHeight="1" x14ac:dyDescent="0.2">
      <c r="E14386" s="7"/>
      <c r="F14386" s="7"/>
    </row>
    <row r="14387" spans="5:6" ht="15" customHeight="1" x14ac:dyDescent="0.2">
      <c r="E14387" s="7"/>
      <c r="F14387" s="7"/>
    </row>
    <row r="14388" spans="5:6" ht="15" customHeight="1" x14ac:dyDescent="0.2">
      <c r="E14388" s="7"/>
      <c r="F14388" s="7"/>
    </row>
    <row r="14389" spans="5:6" ht="15" customHeight="1" x14ac:dyDescent="0.2">
      <c r="E14389" s="7"/>
      <c r="F14389" s="7"/>
    </row>
    <row r="14390" spans="5:6" ht="15" customHeight="1" x14ac:dyDescent="0.2">
      <c r="E14390" s="7"/>
      <c r="F14390" s="7"/>
    </row>
    <row r="14391" spans="5:6" ht="15" customHeight="1" x14ac:dyDescent="0.2">
      <c r="E14391" s="7"/>
      <c r="F14391" s="7"/>
    </row>
    <row r="14392" spans="5:6" ht="15" customHeight="1" x14ac:dyDescent="0.2">
      <c r="E14392" s="7"/>
      <c r="F14392" s="7"/>
    </row>
    <row r="14393" spans="5:6" ht="15" customHeight="1" x14ac:dyDescent="0.2">
      <c r="E14393" s="7"/>
      <c r="F14393" s="7"/>
    </row>
    <row r="14394" spans="5:6" ht="15" customHeight="1" x14ac:dyDescent="0.2">
      <c r="E14394" s="7"/>
      <c r="F14394" s="7"/>
    </row>
    <row r="14395" spans="5:6" ht="15" customHeight="1" x14ac:dyDescent="0.2">
      <c r="E14395" s="7"/>
      <c r="F14395" s="7"/>
    </row>
    <row r="14396" spans="5:6" ht="15" customHeight="1" x14ac:dyDescent="0.2">
      <c r="E14396" s="7"/>
      <c r="F14396" s="7"/>
    </row>
    <row r="14397" spans="5:6" ht="15" customHeight="1" x14ac:dyDescent="0.2">
      <c r="E14397" s="7"/>
      <c r="F14397" s="7"/>
    </row>
    <row r="14398" spans="5:6" ht="15" customHeight="1" x14ac:dyDescent="0.2">
      <c r="E14398" s="7"/>
      <c r="F14398" s="7"/>
    </row>
    <row r="14399" spans="5:6" ht="15" customHeight="1" x14ac:dyDescent="0.2">
      <c r="E14399" s="7"/>
      <c r="F14399" s="7"/>
    </row>
    <row r="14400" spans="5:6" ht="15" customHeight="1" x14ac:dyDescent="0.2">
      <c r="E14400" s="7"/>
      <c r="F14400" s="7"/>
    </row>
    <row r="14401" spans="5:6" ht="15" customHeight="1" x14ac:dyDescent="0.2">
      <c r="E14401" s="7"/>
      <c r="F14401" s="7"/>
    </row>
    <row r="14402" spans="5:6" ht="15" customHeight="1" x14ac:dyDescent="0.2">
      <c r="E14402" s="7"/>
      <c r="F14402" s="7"/>
    </row>
    <row r="14403" spans="5:6" ht="15" customHeight="1" x14ac:dyDescent="0.2">
      <c r="E14403" s="7"/>
      <c r="F14403" s="7"/>
    </row>
    <row r="14404" spans="5:6" ht="15" customHeight="1" x14ac:dyDescent="0.2">
      <c r="E14404" s="7"/>
      <c r="F14404" s="7"/>
    </row>
    <row r="14405" spans="5:6" ht="15" customHeight="1" x14ac:dyDescent="0.2">
      <c r="E14405" s="7"/>
      <c r="F14405" s="7"/>
    </row>
    <row r="14406" spans="5:6" ht="15" customHeight="1" x14ac:dyDescent="0.2">
      <c r="E14406" s="7"/>
      <c r="F14406" s="7"/>
    </row>
    <row r="14407" spans="5:6" ht="15" customHeight="1" x14ac:dyDescent="0.2">
      <c r="E14407" s="7"/>
      <c r="F14407" s="7"/>
    </row>
    <row r="14408" spans="5:6" ht="15" customHeight="1" x14ac:dyDescent="0.2">
      <c r="E14408" s="7"/>
      <c r="F14408" s="7"/>
    </row>
    <row r="14409" spans="5:6" ht="15" customHeight="1" x14ac:dyDescent="0.2">
      <c r="E14409" s="7"/>
      <c r="F14409" s="7"/>
    </row>
    <row r="14410" spans="5:6" ht="15" customHeight="1" x14ac:dyDescent="0.2">
      <c r="E14410" s="7"/>
      <c r="F14410" s="7"/>
    </row>
    <row r="14411" spans="5:6" ht="15" customHeight="1" x14ac:dyDescent="0.2">
      <c r="E14411" s="7"/>
      <c r="F14411" s="7"/>
    </row>
    <row r="14412" spans="5:6" ht="15" customHeight="1" x14ac:dyDescent="0.2">
      <c r="E14412" s="7"/>
      <c r="F14412" s="7"/>
    </row>
    <row r="14413" spans="5:6" ht="15" customHeight="1" x14ac:dyDescent="0.2">
      <c r="E14413" s="7"/>
      <c r="F14413" s="7"/>
    </row>
    <row r="14414" spans="5:6" ht="15" customHeight="1" x14ac:dyDescent="0.2">
      <c r="E14414" s="7"/>
      <c r="F14414" s="7"/>
    </row>
    <row r="14415" spans="5:6" ht="15" customHeight="1" x14ac:dyDescent="0.2">
      <c r="E14415" s="7"/>
      <c r="F14415" s="7"/>
    </row>
    <row r="14416" spans="5:6" ht="15" customHeight="1" x14ac:dyDescent="0.2">
      <c r="E14416" s="7"/>
      <c r="F14416" s="7"/>
    </row>
    <row r="14417" spans="5:6" ht="15" customHeight="1" x14ac:dyDescent="0.2">
      <c r="E14417" s="7"/>
      <c r="F14417" s="7"/>
    </row>
    <row r="14418" spans="5:6" ht="15" customHeight="1" x14ac:dyDescent="0.2">
      <c r="E14418" s="7"/>
      <c r="F14418" s="7"/>
    </row>
    <row r="14419" spans="5:6" ht="15" customHeight="1" x14ac:dyDescent="0.2">
      <c r="E14419" s="7"/>
      <c r="F14419" s="7"/>
    </row>
    <row r="14420" spans="5:6" ht="15" customHeight="1" x14ac:dyDescent="0.2">
      <c r="E14420" s="7"/>
      <c r="F14420" s="7"/>
    </row>
    <row r="14421" spans="5:6" ht="15" customHeight="1" x14ac:dyDescent="0.2">
      <c r="E14421" s="7"/>
      <c r="F14421" s="7"/>
    </row>
    <row r="14422" spans="5:6" ht="15" customHeight="1" x14ac:dyDescent="0.2">
      <c r="E14422" s="7"/>
      <c r="F14422" s="7"/>
    </row>
    <row r="14423" spans="5:6" ht="15" customHeight="1" x14ac:dyDescent="0.2">
      <c r="E14423" s="7"/>
      <c r="F14423" s="7"/>
    </row>
    <row r="14424" spans="5:6" ht="15" customHeight="1" x14ac:dyDescent="0.2">
      <c r="E14424" s="7"/>
      <c r="F14424" s="7"/>
    </row>
    <row r="14425" spans="5:6" ht="15" customHeight="1" x14ac:dyDescent="0.2">
      <c r="E14425" s="7"/>
      <c r="F14425" s="7"/>
    </row>
    <row r="14426" spans="5:6" ht="15" customHeight="1" x14ac:dyDescent="0.2">
      <c r="E14426" s="7"/>
      <c r="F14426" s="7"/>
    </row>
    <row r="14427" spans="5:6" ht="15" customHeight="1" x14ac:dyDescent="0.2">
      <c r="E14427" s="7"/>
      <c r="F14427" s="7"/>
    </row>
    <row r="14428" spans="5:6" ht="15" customHeight="1" x14ac:dyDescent="0.2">
      <c r="E14428" s="7"/>
      <c r="F14428" s="7"/>
    </row>
    <row r="14429" spans="5:6" ht="15" customHeight="1" x14ac:dyDescent="0.2">
      <c r="E14429" s="7"/>
      <c r="F14429" s="7"/>
    </row>
    <row r="14430" spans="5:6" ht="15" customHeight="1" x14ac:dyDescent="0.2">
      <c r="E14430" s="7"/>
      <c r="F14430" s="7"/>
    </row>
    <row r="14431" spans="5:6" ht="15" customHeight="1" x14ac:dyDescent="0.2">
      <c r="E14431" s="7"/>
      <c r="F14431" s="7"/>
    </row>
    <row r="14432" spans="5:6" ht="15" customHeight="1" x14ac:dyDescent="0.2">
      <c r="E14432" s="7"/>
      <c r="F14432" s="7"/>
    </row>
    <row r="14433" spans="5:6" ht="15" customHeight="1" x14ac:dyDescent="0.2">
      <c r="E14433" s="7"/>
      <c r="F14433" s="7"/>
    </row>
    <row r="14434" spans="5:6" ht="15" customHeight="1" x14ac:dyDescent="0.2">
      <c r="E14434" s="7"/>
      <c r="F14434" s="7"/>
    </row>
    <row r="14435" spans="5:6" ht="15" customHeight="1" x14ac:dyDescent="0.2">
      <c r="E14435" s="7"/>
      <c r="F14435" s="7"/>
    </row>
    <row r="14436" spans="5:6" ht="15" customHeight="1" x14ac:dyDescent="0.2">
      <c r="E14436" s="7"/>
      <c r="F14436" s="7"/>
    </row>
    <row r="14437" spans="5:6" ht="15" customHeight="1" x14ac:dyDescent="0.2">
      <c r="E14437" s="7"/>
      <c r="F14437" s="7"/>
    </row>
    <row r="14438" spans="5:6" ht="15" customHeight="1" x14ac:dyDescent="0.2">
      <c r="E14438" s="7"/>
      <c r="F14438" s="7"/>
    </row>
    <row r="14439" spans="5:6" ht="15" customHeight="1" x14ac:dyDescent="0.2">
      <c r="E14439" s="7"/>
      <c r="F14439" s="7"/>
    </row>
    <row r="14440" spans="5:6" ht="15" customHeight="1" x14ac:dyDescent="0.2">
      <c r="E14440" s="7"/>
      <c r="F14440" s="7"/>
    </row>
    <row r="14441" spans="5:6" ht="15" customHeight="1" x14ac:dyDescent="0.2">
      <c r="E14441" s="7"/>
      <c r="F14441" s="7"/>
    </row>
    <row r="14442" spans="5:6" ht="15" customHeight="1" x14ac:dyDescent="0.2">
      <c r="E14442" s="7"/>
      <c r="F14442" s="7"/>
    </row>
    <row r="14443" spans="5:6" ht="15" customHeight="1" x14ac:dyDescent="0.2">
      <c r="E14443" s="7"/>
      <c r="F14443" s="7"/>
    </row>
    <row r="14444" spans="5:6" ht="15" customHeight="1" x14ac:dyDescent="0.2">
      <c r="E14444" s="7"/>
      <c r="F14444" s="7"/>
    </row>
    <row r="14445" spans="5:6" ht="15" customHeight="1" x14ac:dyDescent="0.2">
      <c r="E14445" s="7"/>
      <c r="F14445" s="7"/>
    </row>
    <row r="14446" spans="5:6" ht="15" customHeight="1" x14ac:dyDescent="0.2">
      <c r="E14446" s="7"/>
      <c r="F14446" s="7"/>
    </row>
    <row r="14447" spans="5:6" ht="15" customHeight="1" x14ac:dyDescent="0.2">
      <c r="E14447" s="7"/>
      <c r="F14447" s="7"/>
    </row>
    <row r="14448" spans="5:6" ht="15" customHeight="1" x14ac:dyDescent="0.2">
      <c r="E14448" s="7"/>
      <c r="F14448" s="7"/>
    </row>
    <row r="14449" spans="5:6" ht="15" customHeight="1" x14ac:dyDescent="0.2">
      <c r="E14449" s="7"/>
      <c r="F14449" s="7"/>
    </row>
    <row r="14450" spans="5:6" ht="15" customHeight="1" x14ac:dyDescent="0.2">
      <c r="E14450" s="7"/>
      <c r="F14450" s="7"/>
    </row>
    <row r="14451" spans="5:6" ht="15" customHeight="1" x14ac:dyDescent="0.2">
      <c r="E14451" s="7"/>
      <c r="F14451" s="7"/>
    </row>
    <row r="14452" spans="5:6" ht="15" customHeight="1" x14ac:dyDescent="0.2">
      <c r="E14452" s="7"/>
      <c r="F14452" s="7"/>
    </row>
    <row r="14453" spans="5:6" ht="15" customHeight="1" x14ac:dyDescent="0.2">
      <c r="E14453" s="7"/>
      <c r="F14453" s="7"/>
    </row>
    <row r="14454" spans="5:6" ht="15" customHeight="1" x14ac:dyDescent="0.2">
      <c r="E14454" s="7"/>
      <c r="F14454" s="7"/>
    </row>
    <row r="14455" spans="5:6" ht="15" customHeight="1" x14ac:dyDescent="0.2">
      <c r="E14455" s="7"/>
      <c r="F14455" s="7"/>
    </row>
    <row r="14456" spans="5:6" ht="15" customHeight="1" x14ac:dyDescent="0.2">
      <c r="E14456" s="7"/>
      <c r="F14456" s="7"/>
    </row>
    <row r="14457" spans="5:6" ht="15" customHeight="1" x14ac:dyDescent="0.2">
      <c r="E14457" s="7"/>
      <c r="F14457" s="7"/>
    </row>
    <row r="14458" spans="5:6" ht="15" customHeight="1" x14ac:dyDescent="0.2">
      <c r="E14458" s="7"/>
      <c r="F14458" s="7"/>
    </row>
    <row r="14459" spans="5:6" ht="15" customHeight="1" x14ac:dyDescent="0.2">
      <c r="E14459" s="7"/>
      <c r="F14459" s="7"/>
    </row>
    <row r="14460" spans="5:6" ht="15" customHeight="1" x14ac:dyDescent="0.2">
      <c r="E14460" s="7"/>
      <c r="F14460" s="7"/>
    </row>
    <row r="14461" spans="5:6" ht="15" customHeight="1" x14ac:dyDescent="0.2">
      <c r="E14461" s="7"/>
      <c r="F14461" s="7"/>
    </row>
    <row r="14462" spans="5:6" ht="15" customHeight="1" x14ac:dyDescent="0.2">
      <c r="E14462" s="7"/>
      <c r="F14462" s="7"/>
    </row>
    <row r="14463" spans="5:6" ht="15" customHeight="1" x14ac:dyDescent="0.2">
      <c r="E14463" s="7"/>
      <c r="F14463" s="7"/>
    </row>
    <row r="14464" spans="5:6" ht="15" customHeight="1" x14ac:dyDescent="0.2">
      <c r="E14464" s="7"/>
      <c r="F14464" s="7"/>
    </row>
    <row r="14465" spans="5:6" ht="15" customHeight="1" x14ac:dyDescent="0.2">
      <c r="E14465" s="7"/>
      <c r="F14465" s="7"/>
    </row>
    <row r="14466" spans="5:6" ht="15" customHeight="1" x14ac:dyDescent="0.2">
      <c r="E14466" s="7"/>
      <c r="F14466" s="7"/>
    </row>
    <row r="14467" spans="5:6" ht="15" customHeight="1" x14ac:dyDescent="0.2">
      <c r="E14467" s="7"/>
      <c r="F14467" s="7"/>
    </row>
    <row r="14468" spans="5:6" ht="15" customHeight="1" x14ac:dyDescent="0.2">
      <c r="E14468" s="7"/>
      <c r="F14468" s="7"/>
    </row>
    <row r="14469" spans="5:6" ht="15" customHeight="1" x14ac:dyDescent="0.2">
      <c r="E14469" s="7"/>
      <c r="F14469" s="7"/>
    </row>
    <row r="14470" spans="5:6" ht="15" customHeight="1" x14ac:dyDescent="0.2">
      <c r="E14470" s="7"/>
      <c r="F14470" s="7"/>
    </row>
    <row r="14471" spans="5:6" ht="15" customHeight="1" x14ac:dyDescent="0.2">
      <c r="E14471" s="7"/>
      <c r="F14471" s="7"/>
    </row>
    <row r="14472" spans="5:6" ht="15" customHeight="1" x14ac:dyDescent="0.2">
      <c r="E14472" s="7"/>
      <c r="F14472" s="7"/>
    </row>
    <row r="14473" spans="5:6" ht="15" customHeight="1" x14ac:dyDescent="0.2">
      <c r="E14473" s="7"/>
      <c r="F14473" s="7"/>
    </row>
    <row r="14474" spans="5:6" ht="15" customHeight="1" x14ac:dyDescent="0.2">
      <c r="E14474" s="7"/>
      <c r="F14474" s="7"/>
    </row>
    <row r="14475" spans="5:6" ht="15" customHeight="1" x14ac:dyDescent="0.2">
      <c r="E14475" s="7"/>
      <c r="F14475" s="7"/>
    </row>
    <row r="14476" spans="5:6" ht="15" customHeight="1" x14ac:dyDescent="0.2">
      <c r="E14476" s="7"/>
      <c r="F14476" s="7"/>
    </row>
    <row r="14477" spans="5:6" ht="15" customHeight="1" x14ac:dyDescent="0.2">
      <c r="E14477" s="7"/>
      <c r="F14477" s="7"/>
    </row>
    <row r="14478" spans="5:6" ht="15" customHeight="1" x14ac:dyDescent="0.2">
      <c r="E14478" s="7"/>
      <c r="F14478" s="7"/>
    </row>
    <row r="14479" spans="5:6" ht="15" customHeight="1" x14ac:dyDescent="0.2">
      <c r="E14479" s="7"/>
      <c r="F14479" s="7"/>
    </row>
    <row r="14480" spans="5:6" ht="15" customHeight="1" x14ac:dyDescent="0.2">
      <c r="E14480" s="7"/>
      <c r="F14480" s="7"/>
    </row>
    <row r="14481" spans="5:6" ht="15" customHeight="1" x14ac:dyDescent="0.2">
      <c r="E14481" s="7"/>
      <c r="F14481" s="7"/>
    </row>
    <row r="14482" spans="5:6" ht="15" customHeight="1" x14ac:dyDescent="0.2">
      <c r="E14482" s="7"/>
      <c r="F14482" s="7"/>
    </row>
    <row r="14483" spans="5:6" ht="15" customHeight="1" x14ac:dyDescent="0.2">
      <c r="E14483" s="7"/>
      <c r="F14483" s="7"/>
    </row>
    <row r="14484" spans="5:6" ht="15" customHeight="1" x14ac:dyDescent="0.2">
      <c r="E14484" s="7"/>
      <c r="F14484" s="7"/>
    </row>
    <row r="14485" spans="5:6" ht="15" customHeight="1" x14ac:dyDescent="0.2">
      <c r="E14485" s="7"/>
      <c r="F14485" s="7"/>
    </row>
    <row r="14486" spans="5:6" ht="15" customHeight="1" x14ac:dyDescent="0.2">
      <c r="E14486" s="7"/>
      <c r="F14486" s="7"/>
    </row>
    <row r="14487" spans="5:6" ht="15" customHeight="1" x14ac:dyDescent="0.2">
      <c r="E14487" s="7"/>
      <c r="F14487" s="7"/>
    </row>
    <row r="14488" spans="5:6" ht="15" customHeight="1" x14ac:dyDescent="0.2">
      <c r="E14488" s="7"/>
      <c r="F14488" s="7"/>
    </row>
    <row r="14489" spans="5:6" ht="15" customHeight="1" x14ac:dyDescent="0.2">
      <c r="E14489" s="7"/>
      <c r="F14489" s="7"/>
    </row>
    <row r="14490" spans="5:6" ht="15" customHeight="1" x14ac:dyDescent="0.2">
      <c r="E14490" s="7"/>
      <c r="F14490" s="7"/>
    </row>
    <row r="14491" spans="5:6" ht="15" customHeight="1" x14ac:dyDescent="0.2">
      <c r="E14491" s="7"/>
      <c r="F14491" s="7"/>
    </row>
    <row r="14492" spans="5:6" ht="15" customHeight="1" x14ac:dyDescent="0.2">
      <c r="E14492" s="7"/>
      <c r="F14492" s="7"/>
    </row>
    <row r="14493" spans="5:6" ht="15" customHeight="1" x14ac:dyDescent="0.2">
      <c r="E14493" s="7"/>
      <c r="F14493" s="7"/>
    </row>
    <row r="14494" spans="5:6" ht="15" customHeight="1" x14ac:dyDescent="0.2">
      <c r="E14494" s="7"/>
      <c r="F14494" s="7"/>
    </row>
    <row r="14495" spans="5:6" ht="15" customHeight="1" x14ac:dyDescent="0.2">
      <c r="E14495" s="7"/>
      <c r="F14495" s="7"/>
    </row>
    <row r="14496" spans="5:6" ht="15" customHeight="1" x14ac:dyDescent="0.2">
      <c r="E14496" s="7"/>
      <c r="F14496" s="7"/>
    </row>
    <row r="14497" spans="5:6" ht="15" customHeight="1" x14ac:dyDescent="0.2">
      <c r="E14497" s="7"/>
      <c r="F14497" s="7"/>
    </row>
    <row r="14498" spans="5:6" ht="15" customHeight="1" x14ac:dyDescent="0.2">
      <c r="E14498" s="7"/>
      <c r="F14498" s="7"/>
    </row>
    <row r="14499" spans="5:6" ht="15" customHeight="1" x14ac:dyDescent="0.2">
      <c r="E14499" s="7"/>
      <c r="F14499" s="7"/>
    </row>
    <row r="14500" spans="5:6" ht="15" customHeight="1" x14ac:dyDescent="0.2">
      <c r="E14500" s="7"/>
      <c r="F14500" s="7"/>
    </row>
    <row r="14501" spans="5:6" ht="15" customHeight="1" x14ac:dyDescent="0.2">
      <c r="E14501" s="7"/>
      <c r="F14501" s="7"/>
    </row>
    <row r="14502" spans="5:6" ht="15" customHeight="1" x14ac:dyDescent="0.2">
      <c r="E14502" s="7"/>
      <c r="F14502" s="7"/>
    </row>
    <row r="14503" spans="5:6" ht="15" customHeight="1" x14ac:dyDescent="0.2">
      <c r="E14503" s="7"/>
      <c r="F14503" s="7"/>
    </row>
    <row r="14504" spans="5:6" ht="15" customHeight="1" x14ac:dyDescent="0.2">
      <c r="E14504" s="7"/>
      <c r="F14504" s="7"/>
    </row>
    <row r="14505" spans="5:6" ht="15" customHeight="1" x14ac:dyDescent="0.2">
      <c r="E14505" s="7"/>
      <c r="F14505" s="7"/>
    </row>
    <row r="14506" spans="5:6" ht="15" customHeight="1" x14ac:dyDescent="0.2">
      <c r="E14506" s="7"/>
      <c r="F14506" s="7"/>
    </row>
    <row r="14507" spans="5:6" ht="15" customHeight="1" x14ac:dyDescent="0.2">
      <c r="E14507" s="7"/>
      <c r="F14507" s="7"/>
    </row>
    <row r="14508" spans="5:6" ht="15" customHeight="1" x14ac:dyDescent="0.2">
      <c r="E14508" s="7"/>
      <c r="F14508" s="7"/>
    </row>
    <row r="14509" spans="5:6" ht="15" customHeight="1" x14ac:dyDescent="0.2">
      <c r="E14509" s="7"/>
      <c r="F14509" s="7"/>
    </row>
    <row r="14510" spans="5:6" ht="15" customHeight="1" x14ac:dyDescent="0.2">
      <c r="E14510" s="7"/>
      <c r="F14510" s="7"/>
    </row>
    <row r="14511" spans="5:6" ht="15" customHeight="1" x14ac:dyDescent="0.2">
      <c r="E14511" s="7"/>
      <c r="F14511" s="7"/>
    </row>
    <row r="14512" spans="5:6" ht="15" customHeight="1" x14ac:dyDescent="0.2">
      <c r="E14512" s="7"/>
      <c r="F14512" s="7"/>
    </row>
    <row r="14513" spans="5:6" ht="15" customHeight="1" x14ac:dyDescent="0.2">
      <c r="E14513" s="7"/>
      <c r="F14513" s="7"/>
    </row>
    <row r="14514" spans="5:6" ht="15" customHeight="1" x14ac:dyDescent="0.2">
      <c r="E14514" s="7"/>
      <c r="F14514" s="7"/>
    </row>
    <row r="14515" spans="5:6" ht="15" customHeight="1" x14ac:dyDescent="0.2">
      <c r="E14515" s="7"/>
      <c r="F14515" s="7"/>
    </row>
    <row r="14516" spans="5:6" ht="15" customHeight="1" x14ac:dyDescent="0.2">
      <c r="E14516" s="7"/>
      <c r="F14516" s="7"/>
    </row>
    <row r="14517" spans="5:6" ht="15" customHeight="1" x14ac:dyDescent="0.2">
      <c r="E14517" s="7"/>
      <c r="F14517" s="7"/>
    </row>
    <row r="14518" spans="5:6" ht="15" customHeight="1" x14ac:dyDescent="0.2">
      <c r="E14518" s="7"/>
      <c r="F14518" s="7"/>
    </row>
    <row r="14519" spans="5:6" ht="15" customHeight="1" x14ac:dyDescent="0.2">
      <c r="E14519" s="7"/>
      <c r="F14519" s="7"/>
    </row>
    <row r="14520" spans="5:6" ht="15" customHeight="1" x14ac:dyDescent="0.2">
      <c r="E14520" s="7"/>
      <c r="F14520" s="7"/>
    </row>
    <row r="14521" spans="5:6" ht="15" customHeight="1" x14ac:dyDescent="0.2">
      <c r="E14521" s="7"/>
      <c r="F14521" s="7"/>
    </row>
    <row r="14522" spans="5:6" ht="15" customHeight="1" x14ac:dyDescent="0.2">
      <c r="E14522" s="7"/>
      <c r="F14522" s="7"/>
    </row>
    <row r="14523" spans="5:6" ht="15" customHeight="1" x14ac:dyDescent="0.2">
      <c r="E14523" s="7"/>
      <c r="F14523" s="7"/>
    </row>
    <row r="14524" spans="5:6" ht="15" customHeight="1" x14ac:dyDescent="0.2">
      <c r="E14524" s="7"/>
      <c r="F14524" s="7"/>
    </row>
    <row r="14525" spans="5:6" ht="15" customHeight="1" x14ac:dyDescent="0.2">
      <c r="E14525" s="7"/>
      <c r="F14525" s="7"/>
    </row>
    <row r="14526" spans="5:6" ht="15" customHeight="1" x14ac:dyDescent="0.2">
      <c r="E14526" s="7"/>
      <c r="F14526" s="7"/>
    </row>
    <row r="14527" spans="5:6" ht="15" customHeight="1" x14ac:dyDescent="0.2">
      <c r="E14527" s="7"/>
      <c r="F14527" s="7"/>
    </row>
    <row r="14528" spans="5:6" ht="15" customHeight="1" x14ac:dyDescent="0.2">
      <c r="E14528" s="7"/>
      <c r="F14528" s="7"/>
    </row>
    <row r="14529" spans="5:6" ht="15" customHeight="1" x14ac:dyDescent="0.2">
      <c r="E14529" s="7"/>
      <c r="F14529" s="7"/>
    </row>
    <row r="14530" spans="5:6" ht="15" customHeight="1" x14ac:dyDescent="0.2">
      <c r="E14530" s="7"/>
      <c r="F14530" s="7"/>
    </row>
    <row r="14531" spans="5:6" ht="15" customHeight="1" x14ac:dyDescent="0.2">
      <c r="E14531" s="7"/>
      <c r="F14531" s="7"/>
    </row>
    <row r="14532" spans="5:6" ht="15" customHeight="1" x14ac:dyDescent="0.2">
      <c r="E14532" s="7"/>
      <c r="F14532" s="7"/>
    </row>
    <row r="14533" spans="5:6" ht="15" customHeight="1" x14ac:dyDescent="0.2">
      <c r="E14533" s="7"/>
      <c r="F14533" s="7"/>
    </row>
    <row r="14534" spans="5:6" ht="15" customHeight="1" x14ac:dyDescent="0.2">
      <c r="E14534" s="7"/>
      <c r="F14534" s="7"/>
    </row>
    <row r="14535" spans="5:6" ht="15" customHeight="1" x14ac:dyDescent="0.2">
      <c r="E14535" s="7"/>
      <c r="F14535" s="7"/>
    </row>
    <row r="14536" spans="5:6" ht="15" customHeight="1" x14ac:dyDescent="0.2">
      <c r="E14536" s="7"/>
      <c r="F14536" s="7"/>
    </row>
    <row r="14537" spans="5:6" ht="15" customHeight="1" x14ac:dyDescent="0.2">
      <c r="E14537" s="7"/>
      <c r="F14537" s="7"/>
    </row>
    <row r="14538" spans="5:6" ht="15" customHeight="1" x14ac:dyDescent="0.2">
      <c r="E14538" s="7"/>
      <c r="F14538" s="7"/>
    </row>
    <row r="14539" spans="5:6" ht="15" customHeight="1" x14ac:dyDescent="0.2">
      <c r="E14539" s="7"/>
      <c r="F14539" s="7"/>
    </row>
    <row r="14540" spans="5:6" ht="15" customHeight="1" x14ac:dyDescent="0.2">
      <c r="E14540" s="7"/>
      <c r="F14540" s="7"/>
    </row>
    <row r="14541" spans="5:6" ht="15" customHeight="1" x14ac:dyDescent="0.2">
      <c r="E14541" s="7"/>
      <c r="F14541" s="7"/>
    </row>
    <row r="14542" spans="5:6" ht="15" customHeight="1" x14ac:dyDescent="0.2">
      <c r="E14542" s="7"/>
      <c r="F14542" s="7"/>
    </row>
    <row r="14543" spans="5:6" ht="15" customHeight="1" x14ac:dyDescent="0.2">
      <c r="E14543" s="7"/>
      <c r="F14543" s="7"/>
    </row>
    <row r="14544" spans="5:6" ht="15" customHeight="1" x14ac:dyDescent="0.2">
      <c r="E14544" s="7"/>
      <c r="F14544" s="7"/>
    </row>
    <row r="14545" spans="5:6" ht="15" customHeight="1" x14ac:dyDescent="0.2">
      <c r="E14545" s="7"/>
      <c r="F14545" s="7"/>
    </row>
    <row r="14546" spans="5:6" ht="15" customHeight="1" x14ac:dyDescent="0.2">
      <c r="E14546" s="7"/>
      <c r="F14546" s="7"/>
    </row>
    <row r="14547" spans="5:6" ht="15" customHeight="1" x14ac:dyDescent="0.2">
      <c r="E14547" s="7"/>
      <c r="F14547" s="7"/>
    </row>
    <row r="14548" spans="5:6" ht="15" customHeight="1" x14ac:dyDescent="0.2">
      <c r="E14548" s="7"/>
      <c r="F14548" s="7"/>
    </row>
    <row r="14549" spans="5:6" ht="15" customHeight="1" x14ac:dyDescent="0.2">
      <c r="E14549" s="7"/>
      <c r="F14549" s="7"/>
    </row>
    <row r="14550" spans="5:6" ht="15" customHeight="1" x14ac:dyDescent="0.2">
      <c r="E14550" s="7"/>
      <c r="F14550" s="7"/>
    </row>
    <row r="14551" spans="5:6" ht="15" customHeight="1" x14ac:dyDescent="0.2">
      <c r="E14551" s="7"/>
      <c r="F14551" s="7"/>
    </row>
    <row r="14552" spans="5:6" ht="15" customHeight="1" x14ac:dyDescent="0.2">
      <c r="E14552" s="7"/>
      <c r="F14552" s="7"/>
    </row>
    <row r="14553" spans="5:6" ht="15" customHeight="1" x14ac:dyDescent="0.2">
      <c r="E14553" s="7"/>
      <c r="F14553" s="7"/>
    </row>
    <row r="14554" spans="5:6" ht="15" customHeight="1" x14ac:dyDescent="0.2">
      <c r="E14554" s="7"/>
      <c r="F14554" s="7"/>
    </row>
    <row r="14555" spans="5:6" ht="15" customHeight="1" x14ac:dyDescent="0.2">
      <c r="E14555" s="7"/>
      <c r="F14555" s="7"/>
    </row>
    <row r="14556" spans="5:6" ht="15" customHeight="1" x14ac:dyDescent="0.2">
      <c r="E14556" s="7"/>
      <c r="F14556" s="7"/>
    </row>
    <row r="14557" spans="5:6" ht="15" customHeight="1" x14ac:dyDescent="0.2">
      <c r="E14557" s="7"/>
      <c r="F14557" s="7"/>
    </row>
    <row r="14558" spans="5:6" ht="15" customHeight="1" x14ac:dyDescent="0.2">
      <c r="E14558" s="7"/>
      <c r="F14558" s="7"/>
    </row>
    <row r="14559" spans="5:6" ht="15" customHeight="1" x14ac:dyDescent="0.2">
      <c r="E14559" s="7"/>
      <c r="F14559" s="7"/>
    </row>
    <row r="14560" spans="5:6" ht="15" customHeight="1" x14ac:dyDescent="0.2">
      <c r="E14560" s="7"/>
      <c r="F14560" s="7"/>
    </row>
    <row r="14561" spans="5:6" ht="15" customHeight="1" x14ac:dyDescent="0.2">
      <c r="E14561" s="7"/>
      <c r="F14561" s="7"/>
    </row>
    <row r="14562" spans="5:6" ht="15" customHeight="1" x14ac:dyDescent="0.2">
      <c r="E14562" s="7"/>
      <c r="F14562" s="7"/>
    </row>
    <row r="14563" spans="5:6" ht="15" customHeight="1" x14ac:dyDescent="0.2">
      <c r="E14563" s="7"/>
      <c r="F14563" s="7"/>
    </row>
    <row r="14564" spans="5:6" ht="15" customHeight="1" x14ac:dyDescent="0.2">
      <c r="E14564" s="7"/>
      <c r="F14564" s="7"/>
    </row>
    <row r="14565" spans="5:6" ht="15" customHeight="1" x14ac:dyDescent="0.2">
      <c r="E14565" s="7"/>
      <c r="F14565" s="7"/>
    </row>
    <row r="14566" spans="5:6" ht="15" customHeight="1" x14ac:dyDescent="0.2">
      <c r="E14566" s="7"/>
      <c r="F14566" s="7"/>
    </row>
    <row r="14567" spans="5:6" ht="15" customHeight="1" x14ac:dyDescent="0.2">
      <c r="E14567" s="7"/>
      <c r="F14567" s="7"/>
    </row>
    <row r="14568" spans="5:6" ht="15" customHeight="1" x14ac:dyDescent="0.2">
      <c r="E14568" s="7"/>
      <c r="F14568" s="7"/>
    </row>
    <row r="14569" spans="5:6" ht="15" customHeight="1" x14ac:dyDescent="0.2">
      <c r="E14569" s="7"/>
      <c r="F14569" s="7"/>
    </row>
    <row r="14570" spans="5:6" ht="15" customHeight="1" x14ac:dyDescent="0.2">
      <c r="E14570" s="7"/>
      <c r="F14570" s="7"/>
    </row>
    <row r="14571" spans="5:6" ht="15" customHeight="1" x14ac:dyDescent="0.2">
      <c r="E14571" s="7"/>
      <c r="F14571" s="7"/>
    </row>
    <row r="14572" spans="5:6" ht="15" customHeight="1" x14ac:dyDescent="0.2">
      <c r="E14572" s="7"/>
      <c r="F14572" s="7"/>
    </row>
    <row r="14573" spans="5:6" ht="15" customHeight="1" x14ac:dyDescent="0.2">
      <c r="E14573" s="7"/>
      <c r="F14573" s="7"/>
    </row>
    <row r="14574" spans="5:6" ht="15" customHeight="1" x14ac:dyDescent="0.2">
      <c r="E14574" s="7"/>
      <c r="F14574" s="7"/>
    </row>
    <row r="14575" spans="5:6" ht="15" customHeight="1" x14ac:dyDescent="0.2">
      <c r="E14575" s="7"/>
      <c r="F14575" s="7"/>
    </row>
    <row r="14576" spans="5:6" ht="15" customHeight="1" x14ac:dyDescent="0.2">
      <c r="E14576" s="7"/>
      <c r="F14576" s="7"/>
    </row>
    <row r="14577" spans="5:6" ht="15" customHeight="1" x14ac:dyDescent="0.2">
      <c r="E14577" s="7"/>
      <c r="F14577" s="7"/>
    </row>
    <row r="14578" spans="5:6" ht="15" customHeight="1" x14ac:dyDescent="0.2">
      <c r="E14578" s="7"/>
      <c r="F14578" s="7"/>
    </row>
    <row r="14579" spans="5:6" ht="15" customHeight="1" x14ac:dyDescent="0.2">
      <c r="E14579" s="7"/>
      <c r="F14579" s="7"/>
    </row>
    <row r="14580" spans="5:6" ht="15" customHeight="1" x14ac:dyDescent="0.2">
      <c r="E14580" s="7"/>
      <c r="F14580" s="7"/>
    </row>
    <row r="14581" spans="5:6" ht="15" customHeight="1" x14ac:dyDescent="0.2">
      <c r="E14581" s="7"/>
      <c r="F14581" s="7"/>
    </row>
    <row r="14582" spans="5:6" ht="15" customHeight="1" x14ac:dyDescent="0.2">
      <c r="E14582" s="7"/>
      <c r="F14582" s="7"/>
    </row>
    <row r="14583" spans="5:6" ht="15" customHeight="1" x14ac:dyDescent="0.2">
      <c r="E14583" s="7"/>
      <c r="F14583" s="7"/>
    </row>
    <row r="14584" spans="5:6" ht="15" customHeight="1" x14ac:dyDescent="0.2">
      <c r="E14584" s="7"/>
      <c r="F14584" s="7"/>
    </row>
    <row r="14585" spans="5:6" ht="15" customHeight="1" x14ac:dyDescent="0.2">
      <c r="E14585" s="7"/>
      <c r="F14585" s="7"/>
    </row>
    <row r="14586" spans="5:6" ht="15" customHeight="1" x14ac:dyDescent="0.2">
      <c r="E14586" s="7"/>
      <c r="F14586" s="7"/>
    </row>
    <row r="14587" spans="5:6" ht="15" customHeight="1" x14ac:dyDescent="0.2">
      <c r="E14587" s="7"/>
      <c r="F14587" s="7"/>
    </row>
    <row r="14588" spans="5:6" ht="15" customHeight="1" x14ac:dyDescent="0.2">
      <c r="E14588" s="7"/>
      <c r="F14588" s="7"/>
    </row>
    <row r="14589" spans="5:6" ht="15" customHeight="1" x14ac:dyDescent="0.2">
      <c r="E14589" s="7"/>
      <c r="F14589" s="7"/>
    </row>
    <row r="14590" spans="5:6" ht="15" customHeight="1" x14ac:dyDescent="0.2">
      <c r="E14590" s="7"/>
      <c r="F14590" s="7"/>
    </row>
    <row r="14591" spans="5:6" ht="15" customHeight="1" x14ac:dyDescent="0.2">
      <c r="E14591" s="7"/>
      <c r="F14591" s="7"/>
    </row>
    <row r="14592" spans="5:6" ht="15" customHeight="1" x14ac:dyDescent="0.2">
      <c r="E14592" s="7"/>
      <c r="F14592" s="7"/>
    </row>
    <row r="14593" spans="5:6" ht="15" customHeight="1" x14ac:dyDescent="0.2">
      <c r="E14593" s="7"/>
      <c r="F14593" s="7"/>
    </row>
    <row r="14594" spans="5:6" ht="15" customHeight="1" x14ac:dyDescent="0.2">
      <c r="E14594" s="7"/>
      <c r="F14594" s="7"/>
    </row>
    <row r="14595" spans="5:6" ht="15" customHeight="1" x14ac:dyDescent="0.2">
      <c r="E14595" s="7"/>
      <c r="F14595" s="7"/>
    </row>
    <row r="14596" spans="5:6" ht="15" customHeight="1" x14ac:dyDescent="0.2">
      <c r="E14596" s="7"/>
      <c r="F14596" s="7"/>
    </row>
    <row r="14597" spans="5:6" ht="15" customHeight="1" x14ac:dyDescent="0.2">
      <c r="E14597" s="7"/>
      <c r="F14597" s="7"/>
    </row>
    <row r="14598" spans="5:6" ht="15" customHeight="1" x14ac:dyDescent="0.2">
      <c r="E14598" s="7"/>
      <c r="F14598" s="7"/>
    </row>
    <row r="14599" spans="5:6" ht="15" customHeight="1" x14ac:dyDescent="0.2">
      <c r="E14599" s="7"/>
      <c r="F14599" s="7"/>
    </row>
    <row r="14600" spans="5:6" ht="15" customHeight="1" x14ac:dyDescent="0.2">
      <c r="E14600" s="7"/>
      <c r="F14600" s="7"/>
    </row>
    <row r="14601" spans="5:6" ht="15" customHeight="1" x14ac:dyDescent="0.2">
      <c r="E14601" s="7"/>
      <c r="F14601" s="7"/>
    </row>
    <row r="14602" spans="5:6" ht="15" customHeight="1" x14ac:dyDescent="0.2">
      <c r="E14602" s="7"/>
      <c r="F14602" s="7"/>
    </row>
    <row r="14603" spans="5:6" ht="15" customHeight="1" x14ac:dyDescent="0.2">
      <c r="E14603" s="7"/>
      <c r="F14603" s="7"/>
    </row>
    <row r="14604" spans="5:6" ht="15" customHeight="1" x14ac:dyDescent="0.2">
      <c r="E14604" s="7"/>
      <c r="F14604" s="7"/>
    </row>
    <row r="14605" spans="5:6" ht="15" customHeight="1" x14ac:dyDescent="0.2">
      <c r="E14605" s="7"/>
      <c r="F14605" s="7"/>
    </row>
    <row r="14606" spans="5:6" ht="15" customHeight="1" x14ac:dyDescent="0.2">
      <c r="E14606" s="7"/>
      <c r="F14606" s="7"/>
    </row>
    <row r="14607" spans="5:6" ht="15" customHeight="1" x14ac:dyDescent="0.2">
      <c r="E14607" s="7"/>
      <c r="F14607" s="7"/>
    </row>
    <row r="14608" spans="5:6" ht="15" customHeight="1" x14ac:dyDescent="0.2">
      <c r="E14608" s="7"/>
      <c r="F14608" s="7"/>
    </row>
    <row r="14609" spans="5:6" ht="15" customHeight="1" x14ac:dyDescent="0.2">
      <c r="E14609" s="7"/>
      <c r="F14609" s="7"/>
    </row>
    <row r="14610" spans="5:6" ht="15" customHeight="1" x14ac:dyDescent="0.2">
      <c r="E14610" s="7"/>
      <c r="F14610" s="7"/>
    </row>
    <row r="14611" spans="5:6" ht="15" customHeight="1" x14ac:dyDescent="0.2">
      <c r="E14611" s="7"/>
      <c r="F14611" s="7"/>
    </row>
    <row r="14612" spans="5:6" ht="15" customHeight="1" x14ac:dyDescent="0.2">
      <c r="E14612" s="7"/>
      <c r="F14612" s="7"/>
    </row>
    <row r="14613" spans="5:6" ht="15" customHeight="1" x14ac:dyDescent="0.2">
      <c r="E14613" s="7"/>
      <c r="F14613" s="7"/>
    </row>
    <row r="14614" spans="5:6" ht="15" customHeight="1" x14ac:dyDescent="0.2">
      <c r="E14614" s="7"/>
      <c r="F14614" s="7"/>
    </row>
    <row r="14615" spans="5:6" ht="15" customHeight="1" x14ac:dyDescent="0.2">
      <c r="E14615" s="7"/>
      <c r="F14615" s="7"/>
    </row>
    <row r="14616" spans="5:6" ht="15" customHeight="1" x14ac:dyDescent="0.2">
      <c r="E14616" s="7"/>
      <c r="F14616" s="7"/>
    </row>
    <row r="14617" spans="5:6" ht="15" customHeight="1" x14ac:dyDescent="0.2">
      <c r="E14617" s="7"/>
      <c r="F14617" s="7"/>
    </row>
    <row r="14618" spans="5:6" ht="15" customHeight="1" x14ac:dyDescent="0.2">
      <c r="E14618" s="7"/>
      <c r="F14618" s="7"/>
    </row>
    <row r="14619" spans="5:6" ht="15" customHeight="1" x14ac:dyDescent="0.2">
      <c r="E14619" s="7"/>
      <c r="F14619" s="7"/>
    </row>
    <row r="14620" spans="5:6" ht="15" customHeight="1" x14ac:dyDescent="0.2">
      <c r="E14620" s="7"/>
      <c r="F14620" s="7"/>
    </row>
    <row r="14621" spans="5:6" ht="15" customHeight="1" x14ac:dyDescent="0.2">
      <c r="E14621" s="7"/>
      <c r="F14621" s="7"/>
    </row>
    <row r="14622" spans="5:6" ht="15" customHeight="1" x14ac:dyDescent="0.2">
      <c r="E14622" s="7"/>
      <c r="F14622" s="7"/>
    </row>
    <row r="14623" spans="5:6" ht="15" customHeight="1" x14ac:dyDescent="0.2">
      <c r="E14623" s="7"/>
      <c r="F14623" s="7"/>
    </row>
    <row r="14624" spans="5:6" ht="15" customHeight="1" x14ac:dyDescent="0.2">
      <c r="E14624" s="7"/>
      <c r="F14624" s="7"/>
    </row>
    <row r="14625" spans="5:6" ht="15" customHeight="1" x14ac:dyDescent="0.2">
      <c r="E14625" s="7"/>
      <c r="F14625" s="7"/>
    </row>
    <row r="14626" spans="5:6" ht="15" customHeight="1" x14ac:dyDescent="0.2">
      <c r="E14626" s="7"/>
      <c r="F14626" s="7"/>
    </row>
    <row r="14627" spans="5:6" ht="15" customHeight="1" x14ac:dyDescent="0.2">
      <c r="E14627" s="7"/>
      <c r="F14627" s="7"/>
    </row>
    <row r="14628" spans="5:6" ht="15" customHeight="1" x14ac:dyDescent="0.2">
      <c r="E14628" s="7"/>
      <c r="F14628" s="7"/>
    </row>
    <row r="14629" spans="5:6" ht="15" customHeight="1" x14ac:dyDescent="0.2">
      <c r="E14629" s="7"/>
      <c r="F14629" s="7"/>
    </row>
    <row r="14630" spans="5:6" ht="15" customHeight="1" x14ac:dyDescent="0.2">
      <c r="E14630" s="7"/>
      <c r="F14630" s="7"/>
    </row>
    <row r="14631" spans="5:6" ht="15" customHeight="1" x14ac:dyDescent="0.2">
      <c r="E14631" s="7"/>
      <c r="F14631" s="7"/>
    </row>
    <row r="14632" spans="5:6" ht="15" customHeight="1" x14ac:dyDescent="0.2">
      <c r="E14632" s="7"/>
      <c r="F14632" s="7"/>
    </row>
    <row r="14633" spans="5:6" ht="15" customHeight="1" x14ac:dyDescent="0.2">
      <c r="E14633" s="7"/>
      <c r="F14633" s="7"/>
    </row>
    <row r="14634" spans="5:6" ht="15" customHeight="1" x14ac:dyDescent="0.2">
      <c r="E14634" s="7"/>
      <c r="F14634" s="7"/>
    </row>
    <row r="14635" spans="5:6" ht="15" customHeight="1" x14ac:dyDescent="0.2">
      <c r="E14635" s="7"/>
      <c r="F14635" s="7"/>
    </row>
    <row r="14636" spans="5:6" ht="15" customHeight="1" x14ac:dyDescent="0.2">
      <c r="E14636" s="7"/>
      <c r="F14636" s="7"/>
    </row>
    <row r="14637" spans="5:6" ht="15" customHeight="1" x14ac:dyDescent="0.2">
      <c r="E14637" s="7"/>
      <c r="F14637" s="7"/>
    </row>
    <row r="14638" spans="5:6" ht="15" customHeight="1" x14ac:dyDescent="0.2">
      <c r="E14638" s="7"/>
      <c r="F14638" s="7"/>
    </row>
    <row r="14639" spans="5:6" ht="15" customHeight="1" x14ac:dyDescent="0.2">
      <c r="E14639" s="7"/>
      <c r="F14639" s="7"/>
    </row>
    <row r="14640" spans="5:6" ht="15" customHeight="1" x14ac:dyDescent="0.2">
      <c r="E14640" s="7"/>
      <c r="F14640" s="7"/>
    </row>
    <row r="14641" spans="5:6" ht="15" customHeight="1" x14ac:dyDescent="0.2">
      <c r="E14641" s="7"/>
      <c r="F14641" s="7"/>
    </row>
    <row r="14642" spans="5:6" ht="15" customHeight="1" x14ac:dyDescent="0.2">
      <c r="E14642" s="7"/>
      <c r="F14642" s="7"/>
    </row>
    <row r="14643" spans="5:6" ht="15" customHeight="1" x14ac:dyDescent="0.2">
      <c r="E14643" s="7"/>
      <c r="F14643" s="7"/>
    </row>
    <row r="14644" spans="5:6" ht="15" customHeight="1" x14ac:dyDescent="0.2">
      <c r="E14644" s="7"/>
      <c r="F14644" s="7"/>
    </row>
    <row r="14645" spans="5:6" ht="15" customHeight="1" x14ac:dyDescent="0.2">
      <c r="E14645" s="7"/>
      <c r="F14645" s="7"/>
    </row>
    <row r="14646" spans="5:6" ht="15" customHeight="1" x14ac:dyDescent="0.2">
      <c r="E14646" s="7"/>
      <c r="F14646" s="7"/>
    </row>
    <row r="14647" spans="5:6" ht="15" customHeight="1" x14ac:dyDescent="0.2">
      <c r="E14647" s="7"/>
      <c r="F14647" s="7"/>
    </row>
    <row r="14648" spans="5:6" ht="15" customHeight="1" x14ac:dyDescent="0.2">
      <c r="E14648" s="7"/>
      <c r="F14648" s="7"/>
    </row>
    <row r="14649" spans="5:6" ht="15" customHeight="1" x14ac:dyDescent="0.2">
      <c r="E14649" s="7"/>
      <c r="F14649" s="7"/>
    </row>
    <row r="14650" spans="5:6" ht="15" customHeight="1" x14ac:dyDescent="0.2">
      <c r="E14650" s="7"/>
      <c r="F14650" s="7"/>
    </row>
    <row r="14651" spans="5:6" ht="15" customHeight="1" x14ac:dyDescent="0.2">
      <c r="E14651" s="7"/>
      <c r="F14651" s="7"/>
    </row>
    <row r="14652" spans="5:6" ht="15" customHeight="1" x14ac:dyDescent="0.2">
      <c r="E14652" s="7"/>
      <c r="F14652" s="7"/>
    </row>
    <row r="14653" spans="5:6" ht="15" customHeight="1" x14ac:dyDescent="0.2">
      <c r="E14653" s="7"/>
      <c r="F14653" s="7"/>
    </row>
    <row r="14654" spans="5:6" ht="15" customHeight="1" x14ac:dyDescent="0.2">
      <c r="E14654" s="7"/>
      <c r="F14654" s="7"/>
    </row>
    <row r="14655" spans="5:6" ht="15" customHeight="1" x14ac:dyDescent="0.2">
      <c r="E14655" s="7"/>
      <c r="F14655" s="7"/>
    </row>
    <row r="14656" spans="5:6" ht="15" customHeight="1" x14ac:dyDescent="0.2">
      <c r="E14656" s="7"/>
      <c r="F14656" s="7"/>
    </row>
    <row r="14657" spans="5:6" ht="15" customHeight="1" x14ac:dyDescent="0.2">
      <c r="E14657" s="7"/>
      <c r="F14657" s="7"/>
    </row>
    <row r="14658" spans="5:6" ht="15" customHeight="1" x14ac:dyDescent="0.2">
      <c r="E14658" s="7"/>
      <c r="F14658" s="7"/>
    </row>
    <row r="14659" spans="5:6" ht="15" customHeight="1" x14ac:dyDescent="0.2">
      <c r="E14659" s="7"/>
      <c r="F14659" s="7"/>
    </row>
    <row r="14660" spans="5:6" ht="15" customHeight="1" x14ac:dyDescent="0.2">
      <c r="E14660" s="7"/>
      <c r="F14660" s="7"/>
    </row>
    <row r="14661" spans="5:6" ht="15" customHeight="1" x14ac:dyDescent="0.2">
      <c r="E14661" s="7"/>
      <c r="F14661" s="7"/>
    </row>
    <row r="14662" spans="5:6" ht="15" customHeight="1" x14ac:dyDescent="0.2">
      <c r="E14662" s="7"/>
      <c r="F14662" s="7"/>
    </row>
    <row r="14663" spans="5:6" ht="15" customHeight="1" x14ac:dyDescent="0.2">
      <c r="E14663" s="7"/>
      <c r="F14663" s="7"/>
    </row>
    <row r="14664" spans="5:6" ht="15" customHeight="1" x14ac:dyDescent="0.2">
      <c r="E14664" s="7"/>
      <c r="F14664" s="7"/>
    </row>
    <row r="14665" spans="5:6" ht="15" customHeight="1" x14ac:dyDescent="0.2">
      <c r="E14665" s="7"/>
      <c r="F14665" s="7"/>
    </row>
    <row r="14666" spans="5:6" ht="15" customHeight="1" x14ac:dyDescent="0.2">
      <c r="E14666" s="7"/>
      <c r="F14666" s="7"/>
    </row>
    <row r="14667" spans="5:6" ht="15" customHeight="1" x14ac:dyDescent="0.2">
      <c r="E14667" s="7"/>
      <c r="F14667" s="7"/>
    </row>
    <row r="14668" spans="5:6" ht="15" customHeight="1" x14ac:dyDescent="0.2">
      <c r="E14668" s="7"/>
      <c r="F14668" s="7"/>
    </row>
    <row r="14669" spans="5:6" ht="15" customHeight="1" x14ac:dyDescent="0.2">
      <c r="E14669" s="7"/>
      <c r="F14669" s="7"/>
    </row>
    <row r="14670" spans="5:6" ht="15" customHeight="1" x14ac:dyDescent="0.2">
      <c r="E14670" s="7"/>
      <c r="F14670" s="7"/>
    </row>
    <row r="14671" spans="5:6" ht="15" customHeight="1" x14ac:dyDescent="0.2">
      <c r="E14671" s="7"/>
      <c r="F14671" s="7"/>
    </row>
    <row r="14672" spans="5:6" ht="15" customHeight="1" x14ac:dyDescent="0.2">
      <c r="E14672" s="7"/>
      <c r="F14672" s="7"/>
    </row>
    <row r="14673" spans="5:6" ht="15" customHeight="1" x14ac:dyDescent="0.2">
      <c r="E14673" s="7"/>
      <c r="F14673" s="7"/>
    </row>
    <row r="14674" spans="5:6" ht="15" customHeight="1" x14ac:dyDescent="0.2">
      <c r="E14674" s="7"/>
      <c r="F14674" s="7"/>
    </row>
    <row r="14675" spans="5:6" ht="15" customHeight="1" x14ac:dyDescent="0.2">
      <c r="E14675" s="7"/>
      <c r="F14675" s="7"/>
    </row>
    <row r="14676" spans="5:6" ht="15" customHeight="1" x14ac:dyDescent="0.2">
      <c r="E14676" s="7"/>
      <c r="F14676" s="7"/>
    </row>
    <row r="14677" spans="5:6" ht="15" customHeight="1" x14ac:dyDescent="0.2">
      <c r="E14677" s="7"/>
      <c r="F14677" s="7"/>
    </row>
    <row r="14678" spans="5:6" ht="15" customHeight="1" x14ac:dyDescent="0.2">
      <c r="E14678" s="7"/>
      <c r="F14678" s="7"/>
    </row>
    <row r="14679" spans="5:6" ht="15" customHeight="1" x14ac:dyDescent="0.2">
      <c r="E14679" s="7"/>
      <c r="F14679" s="7"/>
    </row>
    <row r="14680" spans="5:6" ht="15" customHeight="1" x14ac:dyDescent="0.2">
      <c r="E14680" s="7"/>
      <c r="F14680" s="7"/>
    </row>
    <row r="14681" spans="5:6" ht="15" customHeight="1" x14ac:dyDescent="0.2">
      <c r="E14681" s="7"/>
      <c r="F14681" s="7"/>
    </row>
    <row r="14682" spans="5:6" ht="15" customHeight="1" x14ac:dyDescent="0.2">
      <c r="E14682" s="7"/>
      <c r="F14682" s="7"/>
    </row>
    <row r="14683" spans="5:6" ht="15" customHeight="1" x14ac:dyDescent="0.2">
      <c r="E14683" s="7"/>
      <c r="F14683" s="7"/>
    </row>
    <row r="14684" spans="5:6" ht="15" customHeight="1" x14ac:dyDescent="0.2">
      <c r="E14684" s="7"/>
      <c r="F14684" s="7"/>
    </row>
    <row r="14685" spans="5:6" ht="15" customHeight="1" x14ac:dyDescent="0.2">
      <c r="E14685" s="7"/>
      <c r="F14685" s="7"/>
    </row>
    <row r="14686" spans="5:6" ht="15" customHeight="1" x14ac:dyDescent="0.2">
      <c r="E14686" s="7"/>
      <c r="F14686" s="7"/>
    </row>
    <row r="14687" spans="5:6" ht="15" customHeight="1" x14ac:dyDescent="0.2">
      <c r="E14687" s="7"/>
      <c r="F14687" s="7"/>
    </row>
    <row r="14688" spans="5:6" ht="15" customHeight="1" x14ac:dyDescent="0.2">
      <c r="E14688" s="7"/>
      <c r="F14688" s="7"/>
    </row>
    <row r="14689" spans="5:6" ht="15" customHeight="1" x14ac:dyDescent="0.2">
      <c r="E14689" s="7"/>
      <c r="F14689" s="7"/>
    </row>
    <row r="14690" spans="5:6" ht="15" customHeight="1" x14ac:dyDescent="0.2">
      <c r="E14690" s="7"/>
      <c r="F14690" s="7"/>
    </row>
    <row r="14691" spans="5:6" ht="15" customHeight="1" x14ac:dyDescent="0.2">
      <c r="E14691" s="7"/>
      <c r="F14691" s="7"/>
    </row>
    <row r="14692" spans="5:6" ht="15" customHeight="1" x14ac:dyDescent="0.2">
      <c r="E14692" s="7"/>
      <c r="F14692" s="7"/>
    </row>
    <row r="14693" spans="5:6" ht="15" customHeight="1" x14ac:dyDescent="0.2">
      <c r="E14693" s="7"/>
      <c r="F14693" s="7"/>
    </row>
    <row r="14694" spans="5:6" ht="15" customHeight="1" x14ac:dyDescent="0.2">
      <c r="E14694" s="7"/>
      <c r="F14694" s="7"/>
    </row>
    <row r="14695" spans="5:6" ht="15" customHeight="1" x14ac:dyDescent="0.2">
      <c r="E14695" s="7"/>
      <c r="F14695" s="7"/>
    </row>
    <row r="14696" spans="5:6" ht="15" customHeight="1" x14ac:dyDescent="0.2">
      <c r="E14696" s="7"/>
      <c r="F14696" s="7"/>
    </row>
    <row r="14697" spans="5:6" ht="15" customHeight="1" x14ac:dyDescent="0.2">
      <c r="E14697" s="7"/>
      <c r="F14697" s="7"/>
    </row>
    <row r="14698" spans="5:6" ht="15" customHeight="1" x14ac:dyDescent="0.2">
      <c r="E14698" s="7"/>
      <c r="F14698" s="7"/>
    </row>
    <row r="14699" spans="5:6" ht="15" customHeight="1" x14ac:dyDescent="0.2">
      <c r="E14699" s="7"/>
      <c r="F14699" s="7"/>
    </row>
    <row r="14700" spans="5:6" ht="15" customHeight="1" x14ac:dyDescent="0.2">
      <c r="E14700" s="7"/>
      <c r="F14700" s="7"/>
    </row>
    <row r="14701" spans="5:6" ht="15" customHeight="1" x14ac:dyDescent="0.2">
      <c r="E14701" s="7"/>
      <c r="F14701" s="7"/>
    </row>
    <row r="14702" spans="5:6" ht="15" customHeight="1" x14ac:dyDescent="0.2">
      <c r="E14702" s="7"/>
      <c r="F14702" s="7"/>
    </row>
    <row r="14703" spans="5:6" ht="15" customHeight="1" x14ac:dyDescent="0.2">
      <c r="E14703" s="7"/>
      <c r="F14703" s="7"/>
    </row>
    <row r="14704" spans="5:6" ht="15" customHeight="1" x14ac:dyDescent="0.2">
      <c r="E14704" s="7"/>
      <c r="F14704" s="7"/>
    </row>
    <row r="14705" spans="5:6" ht="15" customHeight="1" x14ac:dyDescent="0.2">
      <c r="E14705" s="7"/>
      <c r="F14705" s="7"/>
    </row>
    <row r="14706" spans="5:6" ht="15" customHeight="1" x14ac:dyDescent="0.2">
      <c r="E14706" s="7"/>
      <c r="F14706" s="7"/>
    </row>
    <row r="14707" spans="5:6" ht="15" customHeight="1" x14ac:dyDescent="0.2">
      <c r="E14707" s="7"/>
      <c r="F14707" s="7"/>
    </row>
    <row r="14708" spans="5:6" ht="15" customHeight="1" x14ac:dyDescent="0.2">
      <c r="E14708" s="7"/>
      <c r="F14708" s="7"/>
    </row>
    <row r="14709" spans="5:6" ht="15" customHeight="1" x14ac:dyDescent="0.2">
      <c r="E14709" s="7"/>
      <c r="F14709" s="7"/>
    </row>
    <row r="14710" spans="5:6" ht="15" customHeight="1" x14ac:dyDescent="0.2">
      <c r="E14710" s="7"/>
      <c r="F14710" s="7"/>
    </row>
    <row r="14711" spans="5:6" ht="15" customHeight="1" x14ac:dyDescent="0.2">
      <c r="E14711" s="7"/>
      <c r="F14711" s="7"/>
    </row>
    <row r="14712" spans="5:6" ht="15" customHeight="1" x14ac:dyDescent="0.2">
      <c r="E14712" s="7"/>
      <c r="F14712" s="7"/>
    </row>
    <row r="14713" spans="5:6" ht="15" customHeight="1" x14ac:dyDescent="0.2">
      <c r="E14713" s="7"/>
      <c r="F14713" s="7"/>
    </row>
    <row r="14714" spans="5:6" ht="15" customHeight="1" x14ac:dyDescent="0.2">
      <c r="E14714" s="7"/>
      <c r="F14714" s="7"/>
    </row>
    <row r="14715" spans="5:6" ht="15" customHeight="1" x14ac:dyDescent="0.2">
      <c r="E14715" s="7"/>
      <c r="F14715" s="7"/>
    </row>
    <row r="14716" spans="5:6" ht="15" customHeight="1" x14ac:dyDescent="0.2">
      <c r="E14716" s="7"/>
      <c r="F14716" s="7"/>
    </row>
    <row r="14717" spans="5:6" ht="15" customHeight="1" x14ac:dyDescent="0.2">
      <c r="E14717" s="7"/>
      <c r="F14717" s="7"/>
    </row>
    <row r="14718" spans="5:6" ht="15" customHeight="1" x14ac:dyDescent="0.2">
      <c r="E14718" s="7"/>
      <c r="F14718" s="7"/>
    </row>
    <row r="14719" spans="5:6" ht="15" customHeight="1" x14ac:dyDescent="0.2">
      <c r="E14719" s="7"/>
      <c r="F14719" s="7"/>
    </row>
    <row r="14720" spans="5:6" ht="15" customHeight="1" x14ac:dyDescent="0.2">
      <c r="E14720" s="7"/>
      <c r="F14720" s="7"/>
    </row>
    <row r="14721" spans="5:6" ht="15" customHeight="1" x14ac:dyDescent="0.2">
      <c r="E14721" s="7"/>
      <c r="F14721" s="7"/>
    </row>
    <row r="14722" spans="5:6" ht="15" customHeight="1" x14ac:dyDescent="0.2">
      <c r="E14722" s="7"/>
      <c r="F14722" s="7"/>
    </row>
    <row r="14723" spans="5:6" ht="15" customHeight="1" x14ac:dyDescent="0.2">
      <c r="E14723" s="7"/>
      <c r="F14723" s="7"/>
    </row>
    <row r="14724" spans="5:6" ht="15" customHeight="1" x14ac:dyDescent="0.2">
      <c r="E14724" s="7"/>
      <c r="F14724" s="7"/>
    </row>
    <row r="14725" spans="5:6" ht="15" customHeight="1" x14ac:dyDescent="0.2">
      <c r="E14725" s="7"/>
      <c r="F14725" s="7"/>
    </row>
    <row r="14726" spans="5:6" ht="15" customHeight="1" x14ac:dyDescent="0.2">
      <c r="E14726" s="7"/>
      <c r="F14726" s="7"/>
    </row>
    <row r="14727" spans="5:6" ht="15" customHeight="1" x14ac:dyDescent="0.2">
      <c r="E14727" s="7"/>
      <c r="F14727" s="7"/>
    </row>
    <row r="14728" spans="5:6" ht="15" customHeight="1" x14ac:dyDescent="0.2">
      <c r="E14728" s="7"/>
      <c r="F14728" s="7"/>
    </row>
    <row r="14729" spans="5:6" ht="15" customHeight="1" x14ac:dyDescent="0.2">
      <c r="E14729" s="7"/>
      <c r="F14729" s="7"/>
    </row>
    <row r="14730" spans="5:6" ht="15" customHeight="1" x14ac:dyDescent="0.2">
      <c r="E14730" s="7"/>
      <c r="F14730" s="7"/>
    </row>
    <row r="14731" spans="5:6" ht="15" customHeight="1" x14ac:dyDescent="0.2">
      <c r="E14731" s="7"/>
      <c r="F14731" s="7"/>
    </row>
    <row r="14732" spans="5:6" ht="15" customHeight="1" x14ac:dyDescent="0.2">
      <c r="E14732" s="7"/>
      <c r="F14732" s="7"/>
    </row>
    <row r="14733" spans="5:6" ht="15" customHeight="1" x14ac:dyDescent="0.2">
      <c r="E14733" s="7"/>
      <c r="F14733" s="7"/>
    </row>
    <row r="14734" spans="5:6" ht="15" customHeight="1" x14ac:dyDescent="0.2">
      <c r="E14734" s="7"/>
      <c r="F14734" s="7"/>
    </row>
    <row r="14735" spans="5:6" ht="15" customHeight="1" x14ac:dyDescent="0.2">
      <c r="E14735" s="7"/>
      <c r="F14735" s="7"/>
    </row>
    <row r="14736" spans="5:6" ht="15" customHeight="1" x14ac:dyDescent="0.2">
      <c r="E14736" s="7"/>
      <c r="F14736" s="7"/>
    </row>
    <row r="14737" spans="5:6" ht="15" customHeight="1" x14ac:dyDescent="0.2">
      <c r="E14737" s="7"/>
      <c r="F14737" s="7"/>
    </row>
    <row r="14738" spans="5:6" ht="15" customHeight="1" x14ac:dyDescent="0.2">
      <c r="E14738" s="7"/>
      <c r="F14738" s="7"/>
    </row>
    <row r="14739" spans="5:6" ht="15" customHeight="1" x14ac:dyDescent="0.2">
      <c r="E14739" s="7"/>
      <c r="F14739" s="7"/>
    </row>
    <row r="14740" spans="5:6" ht="15" customHeight="1" x14ac:dyDescent="0.2">
      <c r="E14740" s="7"/>
      <c r="F14740" s="7"/>
    </row>
    <row r="14741" spans="5:6" ht="15" customHeight="1" x14ac:dyDescent="0.2">
      <c r="E14741" s="7"/>
      <c r="F14741" s="7"/>
    </row>
    <row r="14742" spans="5:6" ht="15" customHeight="1" x14ac:dyDescent="0.2">
      <c r="E14742" s="7"/>
      <c r="F14742" s="7"/>
    </row>
    <row r="14743" spans="5:6" ht="15" customHeight="1" x14ac:dyDescent="0.2">
      <c r="E14743" s="7"/>
      <c r="F14743" s="7"/>
    </row>
    <row r="14744" spans="5:6" ht="15" customHeight="1" x14ac:dyDescent="0.2">
      <c r="E14744" s="7"/>
      <c r="F14744" s="7"/>
    </row>
    <row r="14745" spans="5:6" ht="15" customHeight="1" x14ac:dyDescent="0.2">
      <c r="E14745" s="7"/>
      <c r="F14745" s="7"/>
    </row>
    <row r="14746" spans="5:6" ht="15" customHeight="1" x14ac:dyDescent="0.2">
      <c r="E14746" s="7"/>
      <c r="F14746" s="7"/>
    </row>
    <row r="14747" spans="5:6" ht="15" customHeight="1" x14ac:dyDescent="0.2">
      <c r="E14747" s="7"/>
      <c r="F14747" s="7"/>
    </row>
    <row r="14748" spans="5:6" ht="15" customHeight="1" x14ac:dyDescent="0.2">
      <c r="E14748" s="7"/>
      <c r="F14748" s="7"/>
    </row>
    <row r="14749" spans="5:6" ht="15" customHeight="1" x14ac:dyDescent="0.2">
      <c r="E14749" s="7"/>
      <c r="F14749" s="7"/>
    </row>
    <row r="14750" spans="5:6" ht="15" customHeight="1" x14ac:dyDescent="0.2">
      <c r="E14750" s="7"/>
      <c r="F14750" s="7"/>
    </row>
    <row r="14751" spans="5:6" ht="15" customHeight="1" x14ac:dyDescent="0.2">
      <c r="E14751" s="7"/>
      <c r="F14751" s="7"/>
    </row>
    <row r="14752" spans="5:6" ht="15" customHeight="1" x14ac:dyDescent="0.2">
      <c r="E14752" s="7"/>
      <c r="F14752" s="7"/>
    </row>
    <row r="14753" spans="5:6" ht="15" customHeight="1" x14ac:dyDescent="0.2">
      <c r="E14753" s="7"/>
      <c r="F14753" s="7"/>
    </row>
    <row r="14754" spans="5:6" ht="15" customHeight="1" x14ac:dyDescent="0.2">
      <c r="E14754" s="7"/>
      <c r="F14754" s="7"/>
    </row>
    <row r="14755" spans="5:6" ht="15" customHeight="1" x14ac:dyDescent="0.2">
      <c r="E14755" s="7"/>
      <c r="F14755" s="7"/>
    </row>
    <row r="14756" spans="5:6" ht="15" customHeight="1" x14ac:dyDescent="0.2">
      <c r="E14756" s="7"/>
      <c r="F14756" s="7"/>
    </row>
    <row r="14757" spans="5:6" ht="15" customHeight="1" x14ac:dyDescent="0.2">
      <c r="E14757" s="7"/>
      <c r="F14757" s="7"/>
    </row>
    <row r="14758" spans="5:6" ht="15" customHeight="1" x14ac:dyDescent="0.2">
      <c r="E14758" s="7"/>
      <c r="F14758" s="7"/>
    </row>
    <row r="14759" spans="5:6" ht="15" customHeight="1" x14ac:dyDescent="0.2">
      <c r="E14759" s="7"/>
      <c r="F14759" s="7"/>
    </row>
    <row r="14760" spans="5:6" ht="15" customHeight="1" x14ac:dyDescent="0.2">
      <c r="E14760" s="7"/>
      <c r="F14760" s="7"/>
    </row>
    <row r="14761" spans="5:6" ht="15" customHeight="1" x14ac:dyDescent="0.2">
      <c r="E14761" s="7"/>
      <c r="F14761" s="7"/>
    </row>
    <row r="14762" spans="5:6" ht="15" customHeight="1" x14ac:dyDescent="0.2">
      <c r="E14762" s="7"/>
      <c r="F14762" s="7"/>
    </row>
    <row r="14763" spans="5:6" ht="15" customHeight="1" x14ac:dyDescent="0.2">
      <c r="E14763" s="7"/>
      <c r="F14763" s="7"/>
    </row>
    <row r="14764" spans="5:6" ht="15" customHeight="1" x14ac:dyDescent="0.2">
      <c r="E14764" s="7"/>
      <c r="F14764" s="7"/>
    </row>
    <row r="14765" spans="5:6" ht="15" customHeight="1" x14ac:dyDescent="0.2">
      <c r="E14765" s="7"/>
      <c r="F14765" s="7"/>
    </row>
    <row r="14766" spans="5:6" ht="15" customHeight="1" x14ac:dyDescent="0.2">
      <c r="E14766" s="7"/>
      <c r="F14766" s="7"/>
    </row>
    <row r="14767" spans="5:6" ht="15" customHeight="1" x14ac:dyDescent="0.2">
      <c r="E14767" s="7"/>
      <c r="F14767" s="7"/>
    </row>
    <row r="14768" spans="5:6" ht="15" customHeight="1" x14ac:dyDescent="0.2">
      <c r="E14768" s="7"/>
      <c r="F14768" s="7"/>
    </row>
    <row r="14769" spans="5:6" ht="15" customHeight="1" x14ac:dyDescent="0.2">
      <c r="E14769" s="7"/>
      <c r="F14769" s="7"/>
    </row>
    <row r="14770" spans="5:6" ht="15" customHeight="1" x14ac:dyDescent="0.2">
      <c r="E14770" s="7"/>
      <c r="F14770" s="7"/>
    </row>
    <row r="14771" spans="5:6" ht="15" customHeight="1" x14ac:dyDescent="0.2">
      <c r="E14771" s="7"/>
      <c r="F14771" s="7"/>
    </row>
    <row r="14772" spans="5:6" ht="15" customHeight="1" x14ac:dyDescent="0.2">
      <c r="E14772" s="7"/>
      <c r="F14772" s="7"/>
    </row>
    <row r="14773" spans="5:6" ht="15" customHeight="1" x14ac:dyDescent="0.2">
      <c r="E14773" s="7"/>
      <c r="F14773" s="7"/>
    </row>
    <row r="14774" spans="5:6" ht="15" customHeight="1" x14ac:dyDescent="0.2">
      <c r="E14774" s="7"/>
      <c r="F14774" s="7"/>
    </row>
    <row r="14775" spans="5:6" ht="15" customHeight="1" x14ac:dyDescent="0.2">
      <c r="E14775" s="7"/>
      <c r="F14775" s="7"/>
    </row>
    <row r="14776" spans="5:6" ht="15" customHeight="1" x14ac:dyDescent="0.2">
      <c r="E14776" s="7"/>
      <c r="F14776" s="7"/>
    </row>
    <row r="14777" spans="5:6" ht="15" customHeight="1" x14ac:dyDescent="0.2">
      <c r="E14777" s="7"/>
      <c r="F14777" s="7"/>
    </row>
    <row r="14778" spans="5:6" ht="15" customHeight="1" x14ac:dyDescent="0.2">
      <c r="E14778" s="7"/>
      <c r="F14778" s="7"/>
    </row>
    <row r="14779" spans="5:6" ht="15" customHeight="1" x14ac:dyDescent="0.2">
      <c r="E14779" s="7"/>
      <c r="F14779" s="7"/>
    </row>
    <row r="14780" spans="5:6" ht="15" customHeight="1" x14ac:dyDescent="0.2">
      <c r="E14780" s="7"/>
      <c r="F14780" s="7"/>
    </row>
    <row r="14781" spans="5:6" ht="15" customHeight="1" x14ac:dyDescent="0.2">
      <c r="E14781" s="7"/>
      <c r="F14781" s="7"/>
    </row>
    <row r="14782" spans="5:6" ht="15" customHeight="1" x14ac:dyDescent="0.2">
      <c r="E14782" s="7"/>
      <c r="F14782" s="7"/>
    </row>
    <row r="14783" spans="5:6" ht="15" customHeight="1" x14ac:dyDescent="0.2">
      <c r="E14783" s="7"/>
      <c r="F14783" s="7"/>
    </row>
    <row r="14784" spans="5:6" ht="15" customHeight="1" x14ac:dyDescent="0.2">
      <c r="E14784" s="7"/>
      <c r="F14784" s="7"/>
    </row>
    <row r="14785" spans="5:6" ht="15" customHeight="1" x14ac:dyDescent="0.2">
      <c r="E14785" s="7"/>
      <c r="F14785" s="7"/>
    </row>
    <row r="14786" spans="5:6" ht="15" customHeight="1" x14ac:dyDescent="0.2">
      <c r="E14786" s="7"/>
      <c r="F14786" s="7"/>
    </row>
    <row r="14787" spans="5:6" ht="15" customHeight="1" x14ac:dyDescent="0.2">
      <c r="E14787" s="7"/>
      <c r="F14787" s="7"/>
    </row>
    <row r="14788" spans="5:6" ht="15" customHeight="1" x14ac:dyDescent="0.2">
      <c r="E14788" s="7"/>
      <c r="F14788" s="7"/>
    </row>
    <row r="14789" spans="5:6" ht="15" customHeight="1" x14ac:dyDescent="0.2">
      <c r="E14789" s="7"/>
      <c r="F14789" s="7"/>
    </row>
    <row r="14790" spans="5:6" ht="15" customHeight="1" x14ac:dyDescent="0.2">
      <c r="E14790" s="7"/>
      <c r="F14790" s="7"/>
    </row>
    <row r="14791" spans="5:6" ht="15" customHeight="1" x14ac:dyDescent="0.2">
      <c r="E14791" s="7"/>
      <c r="F14791" s="7"/>
    </row>
    <row r="14792" spans="5:6" ht="15" customHeight="1" x14ac:dyDescent="0.2">
      <c r="E14792" s="7"/>
      <c r="F14792" s="7"/>
    </row>
    <row r="14793" spans="5:6" ht="15" customHeight="1" x14ac:dyDescent="0.2">
      <c r="E14793" s="7"/>
      <c r="F14793" s="7"/>
    </row>
    <row r="14794" spans="5:6" ht="15" customHeight="1" x14ac:dyDescent="0.2">
      <c r="E14794" s="7"/>
      <c r="F14794" s="7"/>
    </row>
    <row r="14795" spans="5:6" ht="15" customHeight="1" x14ac:dyDescent="0.2">
      <c r="E14795" s="7"/>
      <c r="F14795" s="7"/>
    </row>
    <row r="14796" spans="5:6" ht="15" customHeight="1" x14ac:dyDescent="0.2">
      <c r="E14796" s="7"/>
      <c r="F14796" s="7"/>
    </row>
    <row r="14797" spans="5:6" ht="15" customHeight="1" x14ac:dyDescent="0.2">
      <c r="E14797" s="7"/>
      <c r="F14797" s="7"/>
    </row>
    <row r="14798" spans="5:6" ht="15" customHeight="1" x14ac:dyDescent="0.2">
      <c r="E14798" s="7"/>
      <c r="F14798" s="7"/>
    </row>
    <row r="14799" spans="5:6" ht="15" customHeight="1" x14ac:dyDescent="0.2">
      <c r="E14799" s="7"/>
      <c r="F14799" s="7"/>
    </row>
    <row r="14800" spans="5:6" ht="15" customHeight="1" x14ac:dyDescent="0.2">
      <c r="E14800" s="7"/>
      <c r="F14800" s="7"/>
    </row>
    <row r="14801" spans="5:6" ht="15" customHeight="1" x14ac:dyDescent="0.2">
      <c r="E14801" s="7"/>
      <c r="F14801" s="7"/>
    </row>
    <row r="14802" spans="5:6" ht="15" customHeight="1" x14ac:dyDescent="0.2">
      <c r="E14802" s="7"/>
      <c r="F14802" s="7"/>
    </row>
    <row r="14803" spans="5:6" ht="15" customHeight="1" x14ac:dyDescent="0.2">
      <c r="E14803" s="7"/>
      <c r="F14803" s="7"/>
    </row>
    <row r="14804" spans="5:6" ht="15" customHeight="1" x14ac:dyDescent="0.2">
      <c r="E14804" s="7"/>
      <c r="F14804" s="7"/>
    </row>
    <row r="14805" spans="5:6" ht="15" customHeight="1" x14ac:dyDescent="0.2">
      <c r="E14805" s="7"/>
      <c r="F14805" s="7"/>
    </row>
    <row r="14806" spans="5:6" ht="15" customHeight="1" x14ac:dyDescent="0.2">
      <c r="E14806" s="7"/>
      <c r="F14806" s="7"/>
    </row>
    <row r="14807" spans="5:6" ht="15" customHeight="1" x14ac:dyDescent="0.2">
      <c r="E14807" s="7"/>
      <c r="F14807" s="7"/>
    </row>
    <row r="14808" spans="5:6" ht="15" customHeight="1" x14ac:dyDescent="0.2">
      <c r="E14808" s="7"/>
      <c r="F14808" s="7"/>
    </row>
    <row r="14809" spans="5:6" ht="15" customHeight="1" x14ac:dyDescent="0.2">
      <c r="E14809" s="7"/>
      <c r="F14809" s="7"/>
    </row>
    <row r="14810" spans="5:6" ht="15" customHeight="1" x14ac:dyDescent="0.2">
      <c r="E14810" s="7"/>
      <c r="F14810" s="7"/>
    </row>
    <row r="14811" spans="5:6" ht="15" customHeight="1" x14ac:dyDescent="0.2">
      <c r="E14811" s="7"/>
      <c r="F14811" s="7"/>
    </row>
    <row r="14812" spans="5:6" ht="15" customHeight="1" x14ac:dyDescent="0.2">
      <c r="E14812" s="7"/>
      <c r="F14812" s="7"/>
    </row>
    <row r="14813" spans="5:6" ht="15" customHeight="1" x14ac:dyDescent="0.2">
      <c r="E14813" s="7"/>
      <c r="F14813" s="7"/>
    </row>
    <row r="14814" spans="5:6" ht="15" customHeight="1" x14ac:dyDescent="0.2">
      <c r="E14814" s="7"/>
      <c r="F14814" s="7"/>
    </row>
    <row r="14815" spans="5:6" ht="15" customHeight="1" x14ac:dyDescent="0.2">
      <c r="E14815" s="7"/>
      <c r="F14815" s="7"/>
    </row>
    <row r="14816" spans="5:6" ht="15" customHeight="1" x14ac:dyDescent="0.2">
      <c r="E14816" s="7"/>
      <c r="F14816" s="7"/>
    </row>
    <row r="14817" spans="5:6" ht="15" customHeight="1" x14ac:dyDescent="0.2">
      <c r="E14817" s="7"/>
      <c r="F14817" s="7"/>
    </row>
    <row r="14818" spans="5:6" ht="15" customHeight="1" x14ac:dyDescent="0.2">
      <c r="E14818" s="7"/>
      <c r="F14818" s="7"/>
    </row>
    <row r="14819" spans="5:6" ht="15" customHeight="1" x14ac:dyDescent="0.2">
      <c r="E14819" s="7"/>
      <c r="F14819" s="7"/>
    </row>
    <row r="14820" spans="5:6" ht="15" customHeight="1" x14ac:dyDescent="0.2">
      <c r="E14820" s="7"/>
      <c r="F14820" s="7"/>
    </row>
    <row r="14821" spans="5:6" ht="15" customHeight="1" x14ac:dyDescent="0.2">
      <c r="E14821" s="7"/>
      <c r="F14821" s="7"/>
    </row>
    <row r="14822" spans="5:6" ht="15" customHeight="1" x14ac:dyDescent="0.2">
      <c r="E14822" s="7"/>
      <c r="F14822" s="7"/>
    </row>
    <row r="14823" spans="5:6" ht="15" customHeight="1" x14ac:dyDescent="0.2">
      <c r="E14823" s="7"/>
      <c r="F14823" s="7"/>
    </row>
    <row r="14824" spans="5:6" ht="15" customHeight="1" x14ac:dyDescent="0.2">
      <c r="E14824" s="7"/>
      <c r="F14824" s="7"/>
    </row>
    <row r="14825" spans="5:6" ht="15" customHeight="1" x14ac:dyDescent="0.2">
      <c r="E14825" s="7"/>
      <c r="F14825" s="7"/>
    </row>
    <row r="14826" spans="5:6" ht="15" customHeight="1" x14ac:dyDescent="0.2">
      <c r="E14826" s="7"/>
      <c r="F14826" s="7"/>
    </row>
    <row r="14827" spans="5:6" ht="15" customHeight="1" x14ac:dyDescent="0.2">
      <c r="E14827" s="7"/>
      <c r="F14827" s="7"/>
    </row>
    <row r="14828" spans="5:6" ht="15" customHeight="1" x14ac:dyDescent="0.2">
      <c r="E14828" s="7"/>
      <c r="F14828" s="7"/>
    </row>
    <row r="14829" spans="5:6" ht="15" customHeight="1" x14ac:dyDescent="0.2">
      <c r="E14829" s="7"/>
      <c r="F14829" s="7"/>
    </row>
    <row r="14830" spans="5:6" ht="15" customHeight="1" x14ac:dyDescent="0.2">
      <c r="E14830" s="7"/>
      <c r="F14830" s="7"/>
    </row>
    <row r="14831" spans="5:6" ht="15" customHeight="1" x14ac:dyDescent="0.2">
      <c r="E14831" s="7"/>
      <c r="F14831" s="7"/>
    </row>
    <row r="14832" spans="5:6" ht="15" customHeight="1" x14ac:dyDescent="0.2">
      <c r="E14832" s="7"/>
      <c r="F14832" s="7"/>
    </row>
    <row r="14833" spans="5:6" ht="15" customHeight="1" x14ac:dyDescent="0.2">
      <c r="E14833" s="7"/>
      <c r="F14833" s="7"/>
    </row>
    <row r="14834" spans="5:6" ht="15" customHeight="1" x14ac:dyDescent="0.2">
      <c r="E14834" s="7"/>
      <c r="F14834" s="7"/>
    </row>
    <row r="14835" spans="5:6" ht="15" customHeight="1" x14ac:dyDescent="0.2">
      <c r="E14835" s="7"/>
      <c r="F14835" s="7"/>
    </row>
    <row r="14836" spans="5:6" ht="15" customHeight="1" x14ac:dyDescent="0.2">
      <c r="E14836" s="7"/>
      <c r="F14836" s="7"/>
    </row>
    <row r="14837" spans="5:6" ht="15" customHeight="1" x14ac:dyDescent="0.2">
      <c r="E14837" s="7"/>
      <c r="F14837" s="7"/>
    </row>
    <row r="14838" spans="5:6" ht="15" customHeight="1" x14ac:dyDescent="0.2">
      <c r="E14838" s="7"/>
      <c r="F14838" s="7"/>
    </row>
    <row r="14839" spans="5:6" ht="15" customHeight="1" x14ac:dyDescent="0.2">
      <c r="E14839" s="7"/>
      <c r="F14839" s="7"/>
    </row>
    <row r="14840" spans="5:6" ht="15" customHeight="1" x14ac:dyDescent="0.2">
      <c r="E14840" s="7"/>
      <c r="F14840" s="7"/>
    </row>
    <row r="14841" spans="5:6" ht="15" customHeight="1" x14ac:dyDescent="0.2">
      <c r="E14841" s="7"/>
      <c r="F14841" s="7"/>
    </row>
    <row r="14842" spans="5:6" ht="15" customHeight="1" x14ac:dyDescent="0.2">
      <c r="E14842" s="7"/>
      <c r="F14842" s="7"/>
    </row>
    <row r="14843" spans="5:6" ht="15" customHeight="1" x14ac:dyDescent="0.2">
      <c r="E14843" s="7"/>
      <c r="F14843" s="7"/>
    </row>
    <row r="14844" spans="5:6" ht="15" customHeight="1" x14ac:dyDescent="0.2">
      <c r="E14844" s="7"/>
      <c r="F14844" s="7"/>
    </row>
    <row r="14845" spans="5:6" ht="15" customHeight="1" x14ac:dyDescent="0.2">
      <c r="E14845" s="7"/>
      <c r="F14845" s="7"/>
    </row>
    <row r="14846" spans="5:6" ht="15" customHeight="1" x14ac:dyDescent="0.2">
      <c r="E14846" s="7"/>
      <c r="F14846" s="7"/>
    </row>
    <row r="14847" spans="5:6" ht="15" customHeight="1" x14ac:dyDescent="0.2">
      <c r="E14847" s="7"/>
      <c r="F14847" s="7"/>
    </row>
    <row r="14848" spans="5:6" ht="15" customHeight="1" x14ac:dyDescent="0.2">
      <c r="E14848" s="7"/>
      <c r="F14848" s="7"/>
    </row>
    <row r="14849" spans="5:6" ht="15" customHeight="1" x14ac:dyDescent="0.2">
      <c r="E14849" s="7"/>
      <c r="F14849" s="7"/>
    </row>
    <row r="14850" spans="5:6" ht="15" customHeight="1" x14ac:dyDescent="0.2">
      <c r="E14850" s="7"/>
      <c r="F14850" s="7"/>
    </row>
    <row r="14851" spans="5:6" ht="15" customHeight="1" x14ac:dyDescent="0.2">
      <c r="E14851" s="7"/>
      <c r="F14851" s="7"/>
    </row>
    <row r="14852" spans="5:6" ht="15" customHeight="1" x14ac:dyDescent="0.2">
      <c r="E14852" s="7"/>
      <c r="F14852" s="7"/>
    </row>
    <row r="14853" spans="5:6" ht="15" customHeight="1" x14ac:dyDescent="0.2">
      <c r="E14853" s="7"/>
      <c r="F14853" s="7"/>
    </row>
    <row r="14854" spans="5:6" ht="15" customHeight="1" x14ac:dyDescent="0.2">
      <c r="E14854" s="7"/>
      <c r="F14854" s="7"/>
    </row>
    <row r="14855" spans="5:6" ht="15" customHeight="1" x14ac:dyDescent="0.2">
      <c r="E14855" s="7"/>
      <c r="F14855" s="7"/>
    </row>
    <row r="14856" spans="5:6" ht="15" customHeight="1" x14ac:dyDescent="0.2">
      <c r="E14856" s="7"/>
      <c r="F14856" s="7"/>
    </row>
    <row r="14857" spans="5:6" ht="15" customHeight="1" x14ac:dyDescent="0.2">
      <c r="E14857" s="7"/>
      <c r="F14857" s="7"/>
    </row>
    <row r="14858" spans="5:6" ht="15" customHeight="1" x14ac:dyDescent="0.2">
      <c r="E14858" s="7"/>
      <c r="F14858" s="7"/>
    </row>
    <row r="14859" spans="5:6" ht="15" customHeight="1" x14ac:dyDescent="0.2">
      <c r="E14859" s="7"/>
      <c r="F14859" s="7"/>
    </row>
    <row r="14860" spans="5:6" ht="15" customHeight="1" x14ac:dyDescent="0.2">
      <c r="E14860" s="7"/>
      <c r="F14860" s="7"/>
    </row>
    <row r="14861" spans="5:6" ht="15" customHeight="1" x14ac:dyDescent="0.2">
      <c r="E14861" s="7"/>
      <c r="F14861" s="7"/>
    </row>
    <row r="14862" spans="5:6" ht="15" customHeight="1" x14ac:dyDescent="0.2">
      <c r="E14862" s="7"/>
      <c r="F14862" s="7"/>
    </row>
    <row r="14863" spans="5:6" ht="15" customHeight="1" x14ac:dyDescent="0.2">
      <c r="E14863" s="7"/>
      <c r="F14863" s="7"/>
    </row>
    <row r="14864" spans="5:6" ht="15" customHeight="1" x14ac:dyDescent="0.2">
      <c r="E14864" s="7"/>
      <c r="F14864" s="7"/>
    </row>
    <row r="14865" spans="5:6" ht="15" customHeight="1" x14ac:dyDescent="0.2">
      <c r="E14865" s="7"/>
      <c r="F14865" s="7"/>
    </row>
    <row r="14866" spans="5:6" ht="15" customHeight="1" x14ac:dyDescent="0.2">
      <c r="E14866" s="7"/>
      <c r="F14866" s="7"/>
    </row>
    <row r="14867" spans="5:6" ht="15" customHeight="1" x14ac:dyDescent="0.2">
      <c r="E14867" s="7"/>
      <c r="F14867" s="7"/>
    </row>
    <row r="14868" spans="5:6" ht="15" customHeight="1" x14ac:dyDescent="0.2">
      <c r="E14868" s="7"/>
      <c r="F14868" s="7"/>
    </row>
    <row r="14869" spans="5:6" ht="15" customHeight="1" x14ac:dyDescent="0.2">
      <c r="E14869" s="7"/>
      <c r="F14869" s="7"/>
    </row>
    <row r="14870" spans="5:6" ht="15" customHeight="1" x14ac:dyDescent="0.2">
      <c r="E14870" s="7"/>
      <c r="F14870" s="7"/>
    </row>
    <row r="14871" spans="5:6" ht="15" customHeight="1" x14ac:dyDescent="0.2">
      <c r="E14871" s="7"/>
      <c r="F14871" s="7"/>
    </row>
    <row r="14872" spans="5:6" ht="15" customHeight="1" x14ac:dyDescent="0.2">
      <c r="E14872" s="7"/>
      <c r="F14872" s="7"/>
    </row>
    <row r="14873" spans="5:6" ht="15" customHeight="1" x14ac:dyDescent="0.2">
      <c r="E14873" s="7"/>
      <c r="F14873" s="7"/>
    </row>
    <row r="14874" spans="5:6" ht="15" customHeight="1" x14ac:dyDescent="0.2">
      <c r="E14874" s="7"/>
      <c r="F14874" s="7"/>
    </row>
    <row r="14875" spans="5:6" ht="15" customHeight="1" x14ac:dyDescent="0.2">
      <c r="E14875" s="7"/>
      <c r="F14875" s="7"/>
    </row>
    <row r="14876" spans="5:6" ht="15" customHeight="1" x14ac:dyDescent="0.2">
      <c r="E14876" s="7"/>
      <c r="F14876" s="7"/>
    </row>
    <row r="14877" spans="5:6" ht="15" customHeight="1" x14ac:dyDescent="0.2">
      <c r="E14877" s="7"/>
      <c r="F14877" s="7"/>
    </row>
    <row r="14878" spans="5:6" ht="15" customHeight="1" x14ac:dyDescent="0.2">
      <c r="E14878" s="7"/>
      <c r="F14878" s="7"/>
    </row>
    <row r="14879" spans="5:6" ht="15" customHeight="1" x14ac:dyDescent="0.2">
      <c r="E14879" s="7"/>
      <c r="F14879" s="7"/>
    </row>
    <row r="14880" spans="5:6" ht="15" customHeight="1" x14ac:dyDescent="0.2">
      <c r="E14880" s="7"/>
      <c r="F14880" s="7"/>
    </row>
    <row r="14881" spans="5:6" ht="15" customHeight="1" x14ac:dyDescent="0.2">
      <c r="E14881" s="7"/>
      <c r="F14881" s="7"/>
    </row>
    <row r="14882" spans="5:6" ht="15" customHeight="1" x14ac:dyDescent="0.2">
      <c r="E14882" s="7"/>
      <c r="F14882" s="7"/>
    </row>
    <row r="14883" spans="5:6" ht="15" customHeight="1" x14ac:dyDescent="0.2">
      <c r="E14883" s="7"/>
      <c r="F14883" s="7"/>
    </row>
    <row r="14884" spans="5:6" ht="15" customHeight="1" x14ac:dyDescent="0.2">
      <c r="E14884" s="7"/>
      <c r="F14884" s="7"/>
    </row>
    <row r="14885" spans="5:6" ht="15" customHeight="1" x14ac:dyDescent="0.2">
      <c r="E14885" s="7"/>
      <c r="F14885" s="7"/>
    </row>
    <row r="14886" spans="5:6" ht="15" customHeight="1" x14ac:dyDescent="0.2">
      <c r="E14886" s="7"/>
      <c r="F14886" s="7"/>
    </row>
    <row r="14887" spans="5:6" ht="15" customHeight="1" x14ac:dyDescent="0.2">
      <c r="E14887" s="7"/>
      <c r="F14887" s="7"/>
    </row>
    <row r="14888" spans="5:6" ht="15" customHeight="1" x14ac:dyDescent="0.2">
      <c r="E14888" s="7"/>
      <c r="F14888" s="7"/>
    </row>
    <row r="14889" spans="5:6" ht="15" customHeight="1" x14ac:dyDescent="0.2">
      <c r="E14889" s="7"/>
      <c r="F14889" s="7"/>
    </row>
    <row r="14890" spans="5:6" ht="15" customHeight="1" x14ac:dyDescent="0.2">
      <c r="E14890" s="7"/>
      <c r="F14890" s="7"/>
    </row>
    <row r="14891" spans="5:6" ht="15" customHeight="1" x14ac:dyDescent="0.2">
      <c r="E14891" s="7"/>
      <c r="F14891" s="7"/>
    </row>
    <row r="14892" spans="5:6" ht="15" customHeight="1" x14ac:dyDescent="0.2">
      <c r="E14892" s="7"/>
      <c r="F14892" s="7"/>
    </row>
    <row r="14893" spans="5:6" ht="15" customHeight="1" x14ac:dyDescent="0.2">
      <c r="E14893" s="7"/>
      <c r="F14893" s="7"/>
    </row>
    <row r="14894" spans="5:6" ht="15" customHeight="1" x14ac:dyDescent="0.2">
      <c r="E14894" s="7"/>
      <c r="F14894" s="7"/>
    </row>
    <row r="14895" spans="5:6" ht="15" customHeight="1" x14ac:dyDescent="0.2">
      <c r="E14895" s="7"/>
      <c r="F14895" s="7"/>
    </row>
    <row r="14896" spans="5:6" ht="15" customHeight="1" x14ac:dyDescent="0.2">
      <c r="E14896" s="7"/>
      <c r="F14896" s="7"/>
    </row>
    <row r="14897" spans="5:6" ht="15" customHeight="1" x14ac:dyDescent="0.2">
      <c r="E14897" s="7"/>
      <c r="F14897" s="7"/>
    </row>
    <row r="14898" spans="5:6" ht="15" customHeight="1" x14ac:dyDescent="0.2">
      <c r="E14898" s="7"/>
      <c r="F14898" s="7"/>
    </row>
    <row r="14899" spans="5:6" ht="15" customHeight="1" x14ac:dyDescent="0.2">
      <c r="E14899" s="7"/>
      <c r="F14899" s="7"/>
    </row>
    <row r="14900" spans="5:6" ht="15" customHeight="1" x14ac:dyDescent="0.2">
      <c r="E14900" s="7"/>
      <c r="F14900" s="7"/>
    </row>
    <row r="14901" spans="5:6" ht="15" customHeight="1" x14ac:dyDescent="0.2">
      <c r="E14901" s="7"/>
      <c r="F14901" s="7"/>
    </row>
    <row r="14902" spans="5:6" ht="15" customHeight="1" x14ac:dyDescent="0.2">
      <c r="E14902" s="7"/>
      <c r="F14902" s="7"/>
    </row>
    <row r="14903" spans="5:6" ht="15" customHeight="1" x14ac:dyDescent="0.2">
      <c r="E14903" s="7"/>
      <c r="F14903" s="7"/>
    </row>
    <row r="14904" spans="5:6" ht="15" customHeight="1" x14ac:dyDescent="0.2">
      <c r="E14904" s="7"/>
      <c r="F14904" s="7"/>
    </row>
    <row r="14905" spans="5:6" ht="15" customHeight="1" x14ac:dyDescent="0.2">
      <c r="E14905" s="7"/>
      <c r="F14905" s="7"/>
    </row>
    <row r="14906" spans="5:6" ht="15" customHeight="1" x14ac:dyDescent="0.2">
      <c r="E14906" s="7"/>
      <c r="F14906" s="7"/>
    </row>
    <row r="14907" spans="5:6" ht="15" customHeight="1" x14ac:dyDescent="0.2">
      <c r="E14907" s="7"/>
      <c r="F14907" s="7"/>
    </row>
    <row r="14908" spans="5:6" ht="15" customHeight="1" x14ac:dyDescent="0.2">
      <c r="E14908" s="7"/>
      <c r="F14908" s="7"/>
    </row>
    <row r="14909" spans="5:6" ht="15" customHeight="1" x14ac:dyDescent="0.2">
      <c r="E14909" s="7"/>
      <c r="F14909" s="7"/>
    </row>
    <row r="14910" spans="5:6" ht="15" customHeight="1" x14ac:dyDescent="0.2">
      <c r="E14910" s="7"/>
      <c r="F14910" s="7"/>
    </row>
    <row r="14911" spans="5:6" ht="15" customHeight="1" x14ac:dyDescent="0.2">
      <c r="E14911" s="7"/>
      <c r="F14911" s="7"/>
    </row>
    <row r="14912" spans="5:6" ht="15" customHeight="1" x14ac:dyDescent="0.2">
      <c r="E14912" s="7"/>
      <c r="F14912" s="7"/>
    </row>
    <row r="14913" spans="5:6" ht="15" customHeight="1" x14ac:dyDescent="0.2">
      <c r="E14913" s="7"/>
      <c r="F14913" s="7"/>
    </row>
    <row r="14914" spans="5:6" ht="15" customHeight="1" x14ac:dyDescent="0.2">
      <c r="E14914" s="7"/>
      <c r="F14914" s="7"/>
    </row>
    <row r="14915" spans="5:6" ht="15" customHeight="1" x14ac:dyDescent="0.2">
      <c r="E14915" s="7"/>
      <c r="F14915" s="7"/>
    </row>
    <row r="14916" spans="5:6" ht="15" customHeight="1" x14ac:dyDescent="0.2">
      <c r="E14916" s="7"/>
      <c r="F14916" s="7"/>
    </row>
    <row r="14917" spans="5:6" ht="15" customHeight="1" x14ac:dyDescent="0.2">
      <c r="E14917" s="7"/>
      <c r="F14917" s="7"/>
    </row>
    <row r="14918" spans="5:6" ht="15" customHeight="1" x14ac:dyDescent="0.2">
      <c r="E14918" s="7"/>
      <c r="F14918" s="7"/>
    </row>
    <row r="14919" spans="5:6" ht="15" customHeight="1" x14ac:dyDescent="0.2">
      <c r="E14919" s="7"/>
      <c r="F14919" s="7"/>
    </row>
    <row r="14920" spans="5:6" ht="15" customHeight="1" x14ac:dyDescent="0.2">
      <c r="E14920" s="7"/>
      <c r="F14920" s="7"/>
    </row>
    <row r="14921" spans="5:6" ht="15" customHeight="1" x14ac:dyDescent="0.2">
      <c r="E14921" s="7"/>
      <c r="F14921" s="7"/>
    </row>
    <row r="14922" spans="5:6" ht="15" customHeight="1" x14ac:dyDescent="0.2">
      <c r="E14922" s="7"/>
      <c r="F14922" s="7"/>
    </row>
    <row r="14923" spans="5:6" ht="15" customHeight="1" x14ac:dyDescent="0.2">
      <c r="E14923" s="7"/>
      <c r="F14923" s="7"/>
    </row>
    <row r="14924" spans="5:6" ht="15" customHeight="1" x14ac:dyDescent="0.2">
      <c r="E14924" s="7"/>
      <c r="F14924" s="7"/>
    </row>
    <row r="14925" spans="5:6" ht="15" customHeight="1" x14ac:dyDescent="0.2">
      <c r="E14925" s="7"/>
      <c r="F14925" s="7"/>
    </row>
    <row r="14926" spans="5:6" ht="15" customHeight="1" x14ac:dyDescent="0.2">
      <c r="E14926" s="7"/>
      <c r="F14926" s="7"/>
    </row>
    <row r="14927" spans="5:6" ht="15" customHeight="1" x14ac:dyDescent="0.2">
      <c r="E14927" s="7"/>
      <c r="F14927" s="7"/>
    </row>
    <row r="14928" spans="5:6" ht="15" customHeight="1" x14ac:dyDescent="0.2">
      <c r="E14928" s="7"/>
      <c r="F14928" s="7"/>
    </row>
    <row r="14929" spans="5:6" ht="15" customHeight="1" x14ac:dyDescent="0.2">
      <c r="E14929" s="7"/>
      <c r="F14929" s="7"/>
    </row>
    <row r="14930" spans="5:6" ht="15" customHeight="1" x14ac:dyDescent="0.2">
      <c r="E14930" s="7"/>
      <c r="F14930" s="7"/>
    </row>
    <row r="14931" spans="5:6" ht="15" customHeight="1" x14ac:dyDescent="0.2">
      <c r="E14931" s="7"/>
      <c r="F14931" s="7"/>
    </row>
    <row r="14932" spans="5:6" ht="15" customHeight="1" x14ac:dyDescent="0.2">
      <c r="E14932" s="7"/>
      <c r="F14932" s="7"/>
    </row>
    <row r="14933" spans="5:6" ht="15" customHeight="1" x14ac:dyDescent="0.2">
      <c r="E14933" s="7"/>
      <c r="F14933" s="7"/>
    </row>
    <row r="14934" spans="5:6" ht="15" customHeight="1" x14ac:dyDescent="0.2">
      <c r="E14934" s="7"/>
      <c r="F14934" s="7"/>
    </row>
    <row r="14935" spans="5:6" ht="15" customHeight="1" x14ac:dyDescent="0.2">
      <c r="E14935" s="7"/>
      <c r="F14935" s="7"/>
    </row>
    <row r="14936" spans="5:6" ht="15" customHeight="1" x14ac:dyDescent="0.2">
      <c r="E14936" s="7"/>
      <c r="F14936" s="7"/>
    </row>
    <row r="14937" spans="5:6" ht="15" customHeight="1" x14ac:dyDescent="0.2">
      <c r="E14937" s="7"/>
      <c r="F14937" s="7"/>
    </row>
    <row r="14938" spans="5:6" ht="15" customHeight="1" x14ac:dyDescent="0.2">
      <c r="E14938" s="7"/>
      <c r="F14938" s="7"/>
    </row>
    <row r="14939" spans="5:6" ht="15" customHeight="1" x14ac:dyDescent="0.2">
      <c r="E14939" s="7"/>
      <c r="F14939" s="7"/>
    </row>
    <row r="14940" spans="5:6" ht="15" customHeight="1" x14ac:dyDescent="0.2">
      <c r="E14940" s="7"/>
      <c r="F14940" s="7"/>
    </row>
    <row r="14941" spans="5:6" ht="15" customHeight="1" x14ac:dyDescent="0.2">
      <c r="E14941" s="7"/>
      <c r="F14941" s="7"/>
    </row>
    <row r="14942" spans="5:6" ht="15" customHeight="1" x14ac:dyDescent="0.2">
      <c r="E14942" s="7"/>
      <c r="F14942" s="7"/>
    </row>
    <row r="14943" spans="5:6" ht="15" customHeight="1" x14ac:dyDescent="0.2">
      <c r="E14943" s="7"/>
      <c r="F14943" s="7"/>
    </row>
    <row r="14944" spans="5:6" ht="15" customHeight="1" x14ac:dyDescent="0.2">
      <c r="E14944" s="7"/>
      <c r="F14944" s="7"/>
    </row>
    <row r="14945" spans="5:6" ht="15" customHeight="1" x14ac:dyDescent="0.2">
      <c r="E14945" s="7"/>
      <c r="F14945" s="7"/>
    </row>
    <row r="14946" spans="5:6" ht="15" customHeight="1" x14ac:dyDescent="0.2">
      <c r="E14946" s="7"/>
      <c r="F14946" s="7"/>
    </row>
    <row r="14947" spans="5:6" ht="15" customHeight="1" x14ac:dyDescent="0.2">
      <c r="E14947" s="7"/>
      <c r="F14947" s="7"/>
    </row>
    <row r="14948" spans="5:6" ht="15" customHeight="1" x14ac:dyDescent="0.2">
      <c r="E14948" s="7"/>
      <c r="F14948" s="7"/>
    </row>
    <row r="14949" spans="5:6" ht="15" customHeight="1" x14ac:dyDescent="0.2">
      <c r="E14949" s="7"/>
      <c r="F14949" s="7"/>
    </row>
    <row r="14950" spans="5:6" ht="15" customHeight="1" x14ac:dyDescent="0.2">
      <c r="E14950" s="7"/>
      <c r="F14950" s="7"/>
    </row>
    <row r="14951" spans="5:6" ht="15" customHeight="1" x14ac:dyDescent="0.2">
      <c r="E14951" s="7"/>
      <c r="F14951" s="7"/>
    </row>
    <row r="14952" spans="5:6" ht="15" customHeight="1" x14ac:dyDescent="0.2">
      <c r="E14952" s="7"/>
      <c r="F14952" s="7"/>
    </row>
    <row r="14953" spans="5:6" ht="15" customHeight="1" x14ac:dyDescent="0.2">
      <c r="E14953" s="7"/>
      <c r="F14953" s="7"/>
    </row>
    <row r="14954" spans="5:6" ht="15" customHeight="1" x14ac:dyDescent="0.2">
      <c r="E14954" s="7"/>
      <c r="F14954" s="7"/>
    </row>
    <row r="14955" spans="5:6" ht="15" customHeight="1" x14ac:dyDescent="0.2">
      <c r="E14955" s="7"/>
      <c r="F14955" s="7"/>
    </row>
    <row r="14956" spans="5:6" ht="15" customHeight="1" x14ac:dyDescent="0.2">
      <c r="E14956" s="7"/>
      <c r="F14956" s="7"/>
    </row>
    <row r="14957" spans="5:6" ht="15" customHeight="1" x14ac:dyDescent="0.2">
      <c r="E14957" s="7"/>
      <c r="F14957" s="7"/>
    </row>
    <row r="14958" spans="5:6" ht="15" customHeight="1" x14ac:dyDescent="0.2">
      <c r="E14958" s="7"/>
      <c r="F14958" s="7"/>
    </row>
    <row r="14959" spans="5:6" ht="15" customHeight="1" x14ac:dyDescent="0.2">
      <c r="E14959" s="7"/>
      <c r="F14959" s="7"/>
    </row>
    <row r="14960" spans="5:6" ht="15" customHeight="1" x14ac:dyDescent="0.2">
      <c r="E14960" s="7"/>
      <c r="F14960" s="7"/>
    </row>
    <row r="14961" spans="5:6" ht="15" customHeight="1" x14ac:dyDescent="0.2">
      <c r="E14961" s="7"/>
      <c r="F14961" s="7"/>
    </row>
    <row r="14962" spans="5:6" ht="15" customHeight="1" x14ac:dyDescent="0.2">
      <c r="E14962" s="7"/>
      <c r="F14962" s="7"/>
    </row>
    <row r="14963" spans="5:6" ht="15" customHeight="1" x14ac:dyDescent="0.2">
      <c r="E14963" s="7"/>
      <c r="F14963" s="7"/>
    </row>
    <row r="14964" spans="5:6" ht="15" customHeight="1" x14ac:dyDescent="0.2">
      <c r="E14964" s="7"/>
      <c r="F14964" s="7"/>
    </row>
    <row r="14965" spans="5:6" ht="15" customHeight="1" x14ac:dyDescent="0.2">
      <c r="E14965" s="7"/>
      <c r="F14965" s="7"/>
    </row>
    <row r="14966" spans="5:6" ht="15" customHeight="1" x14ac:dyDescent="0.2">
      <c r="E14966" s="7"/>
      <c r="F14966" s="7"/>
    </row>
    <row r="14967" spans="5:6" ht="15" customHeight="1" x14ac:dyDescent="0.2">
      <c r="E14967" s="7"/>
      <c r="F14967" s="7"/>
    </row>
    <row r="14968" spans="5:6" ht="15" customHeight="1" x14ac:dyDescent="0.2">
      <c r="E14968" s="7"/>
      <c r="F14968" s="7"/>
    </row>
    <row r="14969" spans="5:6" ht="15" customHeight="1" x14ac:dyDescent="0.2">
      <c r="E14969" s="7"/>
      <c r="F14969" s="7"/>
    </row>
    <row r="14970" spans="5:6" ht="15" customHeight="1" x14ac:dyDescent="0.2">
      <c r="E14970" s="7"/>
      <c r="F14970" s="7"/>
    </row>
    <row r="14971" spans="5:6" ht="15" customHeight="1" x14ac:dyDescent="0.2">
      <c r="E14971" s="7"/>
      <c r="F14971" s="7"/>
    </row>
    <row r="14972" spans="5:6" ht="15" customHeight="1" x14ac:dyDescent="0.2">
      <c r="E14972" s="7"/>
      <c r="F14972" s="7"/>
    </row>
    <row r="14973" spans="5:6" ht="15" customHeight="1" x14ac:dyDescent="0.2">
      <c r="E14973" s="7"/>
      <c r="F14973" s="7"/>
    </row>
    <row r="14974" spans="5:6" ht="15" customHeight="1" x14ac:dyDescent="0.2">
      <c r="E14974" s="7"/>
      <c r="F14974" s="7"/>
    </row>
    <row r="14975" spans="5:6" ht="15" customHeight="1" x14ac:dyDescent="0.2">
      <c r="E14975" s="7"/>
      <c r="F14975" s="7"/>
    </row>
    <row r="14976" spans="5:6" ht="15" customHeight="1" x14ac:dyDescent="0.2">
      <c r="E14976" s="7"/>
      <c r="F14976" s="7"/>
    </row>
    <row r="14977" spans="5:6" ht="15" customHeight="1" x14ac:dyDescent="0.2">
      <c r="E14977" s="7"/>
      <c r="F14977" s="7"/>
    </row>
    <row r="14978" spans="5:6" ht="15" customHeight="1" x14ac:dyDescent="0.2">
      <c r="E14978" s="7"/>
      <c r="F14978" s="7"/>
    </row>
    <row r="14979" spans="5:6" ht="15" customHeight="1" x14ac:dyDescent="0.2">
      <c r="E14979" s="7"/>
      <c r="F14979" s="7"/>
    </row>
    <row r="14980" spans="5:6" ht="15" customHeight="1" x14ac:dyDescent="0.2">
      <c r="E14980" s="7"/>
      <c r="F14980" s="7"/>
    </row>
    <row r="14981" spans="5:6" ht="15" customHeight="1" x14ac:dyDescent="0.2">
      <c r="E14981" s="7"/>
      <c r="F14981" s="7"/>
    </row>
    <row r="14982" spans="5:6" ht="15" customHeight="1" x14ac:dyDescent="0.2">
      <c r="E14982" s="7"/>
      <c r="F14982" s="7"/>
    </row>
    <row r="14983" spans="5:6" ht="15" customHeight="1" x14ac:dyDescent="0.2">
      <c r="E14983" s="7"/>
      <c r="F14983" s="7"/>
    </row>
    <row r="14984" spans="5:6" ht="15" customHeight="1" x14ac:dyDescent="0.2">
      <c r="E14984" s="7"/>
      <c r="F14984" s="7"/>
    </row>
    <row r="14985" spans="5:6" ht="15" customHeight="1" x14ac:dyDescent="0.2">
      <c r="E14985" s="7"/>
      <c r="F14985" s="7"/>
    </row>
    <row r="14986" spans="5:6" ht="15" customHeight="1" x14ac:dyDescent="0.2">
      <c r="E14986" s="7"/>
      <c r="F14986" s="7"/>
    </row>
    <row r="14987" spans="5:6" ht="15" customHeight="1" x14ac:dyDescent="0.2">
      <c r="E14987" s="7"/>
      <c r="F14987" s="7"/>
    </row>
    <row r="14988" spans="5:6" ht="15" customHeight="1" x14ac:dyDescent="0.2">
      <c r="E14988" s="7"/>
      <c r="F14988" s="7"/>
    </row>
    <row r="14989" spans="5:6" ht="15" customHeight="1" x14ac:dyDescent="0.2">
      <c r="E14989" s="7"/>
      <c r="F14989" s="7"/>
    </row>
    <row r="14990" spans="5:6" ht="15" customHeight="1" x14ac:dyDescent="0.2">
      <c r="E14990" s="7"/>
      <c r="F14990" s="7"/>
    </row>
    <row r="14991" spans="5:6" ht="15" customHeight="1" x14ac:dyDescent="0.2">
      <c r="E14991" s="7"/>
      <c r="F14991" s="7"/>
    </row>
    <row r="14992" spans="5:6" ht="15" customHeight="1" x14ac:dyDescent="0.2">
      <c r="E14992" s="7"/>
      <c r="F14992" s="7"/>
    </row>
    <row r="14993" spans="5:6" ht="15" customHeight="1" x14ac:dyDescent="0.2">
      <c r="E14993" s="7"/>
      <c r="F14993" s="7"/>
    </row>
    <row r="14994" spans="5:6" ht="15" customHeight="1" x14ac:dyDescent="0.2">
      <c r="E14994" s="7"/>
      <c r="F14994" s="7"/>
    </row>
    <row r="14995" spans="5:6" ht="15" customHeight="1" x14ac:dyDescent="0.2">
      <c r="E14995" s="7"/>
      <c r="F14995" s="7"/>
    </row>
    <row r="14996" spans="5:6" ht="15" customHeight="1" x14ac:dyDescent="0.2">
      <c r="E14996" s="7"/>
      <c r="F14996" s="7"/>
    </row>
    <row r="14997" spans="5:6" ht="15" customHeight="1" x14ac:dyDescent="0.2">
      <c r="E14997" s="7"/>
      <c r="F14997" s="7"/>
    </row>
    <row r="14998" spans="5:6" ht="15" customHeight="1" x14ac:dyDescent="0.2">
      <c r="E14998" s="7"/>
      <c r="F14998" s="7"/>
    </row>
    <row r="14999" spans="5:6" ht="15" customHeight="1" x14ac:dyDescent="0.2">
      <c r="E14999" s="7"/>
      <c r="F14999" s="7"/>
    </row>
    <row r="15000" spans="5:6" ht="15" customHeight="1" x14ac:dyDescent="0.2">
      <c r="E15000" s="7"/>
      <c r="F15000" s="7"/>
    </row>
    <row r="15001" spans="5:6" ht="15" customHeight="1" x14ac:dyDescent="0.2">
      <c r="E15001" s="7"/>
      <c r="F15001" s="7"/>
    </row>
    <row r="15002" spans="5:6" ht="15" customHeight="1" x14ac:dyDescent="0.2">
      <c r="E15002" s="7"/>
      <c r="F15002" s="7"/>
    </row>
    <row r="15003" spans="5:6" ht="15" customHeight="1" x14ac:dyDescent="0.2">
      <c r="E15003" s="7"/>
      <c r="F15003" s="7"/>
    </row>
    <row r="15004" spans="5:6" ht="15" customHeight="1" x14ac:dyDescent="0.2">
      <c r="E15004" s="7"/>
      <c r="F15004" s="7"/>
    </row>
    <row r="15005" spans="5:6" ht="15" customHeight="1" x14ac:dyDescent="0.2">
      <c r="E15005" s="7"/>
      <c r="F15005" s="7"/>
    </row>
    <row r="15006" spans="5:6" ht="15" customHeight="1" x14ac:dyDescent="0.2">
      <c r="E15006" s="7"/>
      <c r="F15006" s="7"/>
    </row>
    <row r="15007" spans="5:6" ht="15" customHeight="1" x14ac:dyDescent="0.2">
      <c r="E15007" s="7"/>
      <c r="F15007" s="7"/>
    </row>
    <row r="15008" spans="5:6" ht="15" customHeight="1" x14ac:dyDescent="0.2">
      <c r="E15008" s="7"/>
      <c r="F15008" s="7"/>
    </row>
    <row r="15009" spans="5:6" ht="15" customHeight="1" x14ac:dyDescent="0.2">
      <c r="E15009" s="7"/>
      <c r="F15009" s="7"/>
    </row>
    <row r="15010" spans="5:6" ht="15" customHeight="1" x14ac:dyDescent="0.2">
      <c r="E15010" s="7"/>
      <c r="F15010" s="7"/>
    </row>
    <row r="15011" spans="5:6" ht="15" customHeight="1" x14ac:dyDescent="0.2">
      <c r="E15011" s="7"/>
      <c r="F15011" s="7"/>
    </row>
    <row r="15012" spans="5:6" ht="15" customHeight="1" x14ac:dyDescent="0.2">
      <c r="E15012" s="7"/>
      <c r="F15012" s="7"/>
    </row>
    <row r="15013" spans="5:6" ht="15" customHeight="1" x14ac:dyDescent="0.2">
      <c r="E15013" s="7"/>
      <c r="F15013" s="7"/>
    </row>
    <row r="15014" spans="5:6" ht="15" customHeight="1" x14ac:dyDescent="0.2">
      <c r="E15014" s="7"/>
      <c r="F15014" s="7"/>
    </row>
    <row r="15015" spans="5:6" ht="15" customHeight="1" x14ac:dyDescent="0.2">
      <c r="E15015" s="7"/>
      <c r="F15015" s="7"/>
    </row>
    <row r="15016" spans="5:6" ht="15" customHeight="1" x14ac:dyDescent="0.2">
      <c r="E15016" s="7"/>
      <c r="F15016" s="7"/>
    </row>
    <row r="15017" spans="5:6" ht="15" customHeight="1" x14ac:dyDescent="0.2">
      <c r="E15017" s="7"/>
      <c r="F15017" s="7"/>
    </row>
    <row r="15018" spans="5:6" ht="15" customHeight="1" x14ac:dyDescent="0.2">
      <c r="E15018" s="7"/>
      <c r="F15018" s="7"/>
    </row>
    <row r="15019" spans="5:6" ht="15" customHeight="1" x14ac:dyDescent="0.2">
      <c r="E15019" s="7"/>
      <c r="F15019" s="7"/>
    </row>
    <row r="15020" spans="5:6" ht="15" customHeight="1" x14ac:dyDescent="0.2">
      <c r="E15020" s="7"/>
      <c r="F15020" s="7"/>
    </row>
    <row r="15021" spans="5:6" ht="15" customHeight="1" x14ac:dyDescent="0.2">
      <c r="E15021" s="7"/>
      <c r="F15021" s="7"/>
    </row>
    <row r="15022" spans="5:6" ht="15" customHeight="1" x14ac:dyDescent="0.2">
      <c r="E15022" s="7"/>
      <c r="F15022" s="7"/>
    </row>
    <row r="15023" spans="5:6" ht="15" customHeight="1" x14ac:dyDescent="0.2">
      <c r="E15023" s="7"/>
      <c r="F15023" s="7"/>
    </row>
    <row r="15024" spans="5:6" ht="15" customHeight="1" x14ac:dyDescent="0.2">
      <c r="E15024" s="7"/>
      <c r="F15024" s="7"/>
    </row>
    <row r="15025" spans="5:6" ht="15" customHeight="1" x14ac:dyDescent="0.2">
      <c r="E15025" s="7"/>
      <c r="F15025" s="7"/>
    </row>
    <row r="15026" spans="5:6" ht="15" customHeight="1" x14ac:dyDescent="0.2">
      <c r="E15026" s="7"/>
      <c r="F15026" s="7"/>
    </row>
    <row r="15027" spans="5:6" ht="15" customHeight="1" x14ac:dyDescent="0.2">
      <c r="E15027" s="7"/>
      <c r="F15027" s="7"/>
    </row>
    <row r="15028" spans="5:6" ht="15" customHeight="1" x14ac:dyDescent="0.2">
      <c r="E15028" s="7"/>
      <c r="F15028" s="7"/>
    </row>
    <row r="15029" spans="5:6" ht="15" customHeight="1" x14ac:dyDescent="0.2">
      <c r="E15029" s="7"/>
      <c r="F15029" s="7"/>
    </row>
    <row r="15030" spans="5:6" ht="15" customHeight="1" x14ac:dyDescent="0.2">
      <c r="E15030" s="7"/>
      <c r="F15030" s="7"/>
    </row>
    <row r="15031" spans="5:6" ht="15" customHeight="1" x14ac:dyDescent="0.2">
      <c r="E15031" s="7"/>
      <c r="F15031" s="7"/>
    </row>
    <row r="15032" spans="5:6" ht="15" customHeight="1" x14ac:dyDescent="0.2">
      <c r="E15032" s="7"/>
      <c r="F15032" s="7"/>
    </row>
    <row r="15033" spans="5:6" ht="15" customHeight="1" x14ac:dyDescent="0.2">
      <c r="E15033" s="7"/>
      <c r="F15033" s="7"/>
    </row>
    <row r="15034" spans="5:6" ht="15" customHeight="1" x14ac:dyDescent="0.2">
      <c r="E15034" s="7"/>
      <c r="F15034" s="7"/>
    </row>
    <row r="15035" spans="5:6" ht="15" customHeight="1" x14ac:dyDescent="0.2">
      <c r="E15035" s="7"/>
      <c r="F15035" s="7"/>
    </row>
    <row r="15036" spans="5:6" ht="15" customHeight="1" x14ac:dyDescent="0.2">
      <c r="E15036" s="7"/>
      <c r="F15036" s="7"/>
    </row>
    <row r="15037" spans="5:6" ht="15" customHeight="1" x14ac:dyDescent="0.2">
      <c r="E15037" s="7"/>
      <c r="F15037" s="7"/>
    </row>
    <row r="15038" spans="5:6" ht="15" customHeight="1" x14ac:dyDescent="0.2">
      <c r="E15038" s="7"/>
      <c r="F15038" s="7"/>
    </row>
    <row r="15039" spans="5:6" ht="15" customHeight="1" x14ac:dyDescent="0.2">
      <c r="E15039" s="7"/>
      <c r="F15039" s="7"/>
    </row>
    <row r="15040" spans="5:6" ht="15" customHeight="1" x14ac:dyDescent="0.2">
      <c r="E15040" s="7"/>
      <c r="F15040" s="7"/>
    </row>
    <row r="15041" spans="5:6" ht="15" customHeight="1" x14ac:dyDescent="0.2">
      <c r="E15041" s="7"/>
      <c r="F15041" s="7"/>
    </row>
    <row r="15042" spans="5:6" ht="15" customHeight="1" x14ac:dyDescent="0.2">
      <c r="E15042" s="7"/>
      <c r="F15042" s="7"/>
    </row>
    <row r="15043" spans="5:6" ht="15" customHeight="1" x14ac:dyDescent="0.2">
      <c r="E15043" s="7"/>
      <c r="F15043" s="7"/>
    </row>
    <row r="15044" spans="5:6" ht="15" customHeight="1" x14ac:dyDescent="0.2">
      <c r="E15044" s="7"/>
      <c r="F15044" s="7"/>
    </row>
    <row r="15045" spans="5:6" ht="15" customHeight="1" x14ac:dyDescent="0.2">
      <c r="E15045" s="7"/>
      <c r="F15045" s="7"/>
    </row>
    <row r="15046" spans="5:6" ht="15" customHeight="1" x14ac:dyDescent="0.2">
      <c r="E15046" s="7"/>
      <c r="F15046" s="7"/>
    </row>
    <row r="15047" spans="5:6" ht="15" customHeight="1" x14ac:dyDescent="0.2">
      <c r="E15047" s="7"/>
      <c r="F15047" s="7"/>
    </row>
    <row r="15048" spans="5:6" ht="15" customHeight="1" x14ac:dyDescent="0.2">
      <c r="E15048" s="7"/>
      <c r="F15048" s="7"/>
    </row>
    <row r="15049" spans="5:6" ht="15" customHeight="1" x14ac:dyDescent="0.2">
      <c r="E15049" s="7"/>
      <c r="F15049" s="7"/>
    </row>
    <row r="15050" spans="5:6" ht="15" customHeight="1" x14ac:dyDescent="0.2">
      <c r="E15050" s="7"/>
      <c r="F15050" s="7"/>
    </row>
    <row r="15051" spans="5:6" ht="15" customHeight="1" x14ac:dyDescent="0.2">
      <c r="E15051" s="7"/>
      <c r="F15051" s="7"/>
    </row>
    <row r="15052" spans="5:6" ht="15" customHeight="1" x14ac:dyDescent="0.2">
      <c r="E15052" s="7"/>
      <c r="F15052" s="7"/>
    </row>
    <row r="15053" spans="5:6" ht="15" customHeight="1" x14ac:dyDescent="0.2">
      <c r="E15053" s="7"/>
      <c r="F15053" s="7"/>
    </row>
    <row r="15054" spans="5:6" ht="15" customHeight="1" x14ac:dyDescent="0.2">
      <c r="E15054" s="7"/>
      <c r="F15054" s="7"/>
    </row>
    <row r="15055" spans="5:6" ht="15" customHeight="1" x14ac:dyDescent="0.2">
      <c r="E15055" s="7"/>
      <c r="F15055" s="7"/>
    </row>
    <row r="15056" spans="5:6" ht="15" customHeight="1" x14ac:dyDescent="0.2">
      <c r="E15056" s="7"/>
      <c r="F15056" s="7"/>
    </row>
    <row r="15057" spans="5:6" ht="15" customHeight="1" x14ac:dyDescent="0.2">
      <c r="E15057" s="7"/>
      <c r="F15057" s="7"/>
    </row>
    <row r="15058" spans="5:6" ht="15" customHeight="1" x14ac:dyDescent="0.2">
      <c r="E15058" s="7"/>
      <c r="F15058" s="7"/>
    </row>
    <row r="15059" spans="5:6" ht="15" customHeight="1" x14ac:dyDescent="0.2">
      <c r="E15059" s="7"/>
      <c r="F15059" s="7"/>
    </row>
    <row r="15060" spans="5:6" ht="15" customHeight="1" x14ac:dyDescent="0.2">
      <c r="E15060" s="7"/>
      <c r="F15060" s="7"/>
    </row>
    <row r="15061" spans="5:6" ht="15" customHeight="1" x14ac:dyDescent="0.2">
      <c r="E15061" s="7"/>
      <c r="F15061" s="7"/>
    </row>
    <row r="15062" spans="5:6" ht="15" customHeight="1" x14ac:dyDescent="0.2">
      <c r="E15062" s="7"/>
      <c r="F15062" s="7"/>
    </row>
    <row r="15063" spans="5:6" ht="15" customHeight="1" x14ac:dyDescent="0.2">
      <c r="E15063" s="7"/>
      <c r="F15063" s="7"/>
    </row>
    <row r="15064" spans="5:6" ht="15" customHeight="1" x14ac:dyDescent="0.2">
      <c r="E15064" s="7"/>
      <c r="F15064" s="7"/>
    </row>
    <row r="15065" spans="5:6" ht="15" customHeight="1" x14ac:dyDescent="0.2">
      <c r="E15065" s="7"/>
      <c r="F15065" s="7"/>
    </row>
    <row r="15066" spans="5:6" ht="15" customHeight="1" x14ac:dyDescent="0.2">
      <c r="E15066" s="7"/>
      <c r="F15066" s="7"/>
    </row>
    <row r="15067" spans="5:6" ht="15" customHeight="1" x14ac:dyDescent="0.2">
      <c r="E15067" s="7"/>
      <c r="F15067" s="7"/>
    </row>
    <row r="15068" spans="5:6" ht="15" customHeight="1" x14ac:dyDescent="0.2">
      <c r="E15068" s="7"/>
      <c r="F15068" s="7"/>
    </row>
    <row r="15069" spans="5:6" ht="15" customHeight="1" x14ac:dyDescent="0.2">
      <c r="E15069" s="7"/>
      <c r="F15069" s="7"/>
    </row>
    <row r="15070" spans="5:6" ht="15" customHeight="1" x14ac:dyDescent="0.2">
      <c r="E15070" s="7"/>
      <c r="F15070" s="7"/>
    </row>
    <row r="15071" spans="5:6" ht="15" customHeight="1" x14ac:dyDescent="0.2">
      <c r="E15071" s="7"/>
      <c r="F15071" s="7"/>
    </row>
    <row r="15072" spans="5:6" ht="15" customHeight="1" x14ac:dyDescent="0.2">
      <c r="E15072" s="7"/>
      <c r="F15072" s="7"/>
    </row>
    <row r="15073" spans="5:6" ht="15" customHeight="1" x14ac:dyDescent="0.2">
      <c r="E15073" s="7"/>
      <c r="F15073" s="7"/>
    </row>
    <row r="15074" spans="5:6" ht="15" customHeight="1" x14ac:dyDescent="0.2">
      <c r="E15074" s="7"/>
      <c r="F15074" s="7"/>
    </row>
    <row r="15075" spans="5:6" ht="15" customHeight="1" x14ac:dyDescent="0.2">
      <c r="E15075" s="7"/>
      <c r="F15075" s="7"/>
    </row>
    <row r="15076" spans="5:6" ht="15" customHeight="1" x14ac:dyDescent="0.2">
      <c r="E15076" s="7"/>
      <c r="F15076" s="7"/>
    </row>
    <row r="15077" spans="5:6" ht="15" customHeight="1" x14ac:dyDescent="0.2">
      <c r="E15077" s="7"/>
      <c r="F15077" s="7"/>
    </row>
    <row r="15078" spans="5:6" ht="15" customHeight="1" x14ac:dyDescent="0.2">
      <c r="E15078" s="7"/>
      <c r="F15078" s="7"/>
    </row>
    <row r="15079" spans="5:6" ht="15" customHeight="1" x14ac:dyDescent="0.2">
      <c r="E15079" s="7"/>
      <c r="F15079" s="7"/>
    </row>
    <row r="15080" spans="5:6" ht="15" customHeight="1" x14ac:dyDescent="0.2">
      <c r="E15080" s="7"/>
      <c r="F15080" s="7"/>
    </row>
    <row r="15081" spans="5:6" ht="15" customHeight="1" x14ac:dyDescent="0.2">
      <c r="E15081" s="7"/>
      <c r="F15081" s="7"/>
    </row>
    <row r="15082" spans="5:6" ht="15" customHeight="1" x14ac:dyDescent="0.2">
      <c r="E15082" s="7"/>
      <c r="F15082" s="7"/>
    </row>
    <row r="15083" spans="5:6" ht="15" customHeight="1" x14ac:dyDescent="0.2">
      <c r="E15083" s="7"/>
      <c r="F15083" s="7"/>
    </row>
    <row r="15084" spans="5:6" ht="15" customHeight="1" x14ac:dyDescent="0.2">
      <c r="E15084" s="7"/>
      <c r="F15084" s="7"/>
    </row>
    <row r="15085" spans="5:6" ht="15" customHeight="1" x14ac:dyDescent="0.2">
      <c r="E15085" s="7"/>
      <c r="F15085" s="7"/>
    </row>
    <row r="15086" spans="5:6" ht="15" customHeight="1" x14ac:dyDescent="0.2">
      <c r="E15086" s="7"/>
      <c r="F15086" s="7"/>
    </row>
    <row r="15087" spans="5:6" ht="15" customHeight="1" x14ac:dyDescent="0.2">
      <c r="E15087" s="7"/>
      <c r="F15087" s="7"/>
    </row>
    <row r="15088" spans="5:6" ht="15" customHeight="1" x14ac:dyDescent="0.2">
      <c r="E15088" s="7"/>
      <c r="F15088" s="7"/>
    </row>
    <row r="15089" spans="5:6" ht="15" customHeight="1" x14ac:dyDescent="0.2">
      <c r="E15089" s="7"/>
      <c r="F15089" s="7"/>
    </row>
    <row r="15090" spans="5:6" ht="15" customHeight="1" x14ac:dyDescent="0.2">
      <c r="E15090" s="7"/>
      <c r="F15090" s="7"/>
    </row>
    <row r="15091" spans="5:6" ht="15" customHeight="1" x14ac:dyDescent="0.2">
      <c r="E15091" s="7"/>
      <c r="F15091" s="7"/>
    </row>
    <row r="15092" spans="5:6" ht="15" customHeight="1" x14ac:dyDescent="0.2">
      <c r="E15092" s="7"/>
      <c r="F15092" s="7"/>
    </row>
    <row r="15093" spans="5:6" ht="15" customHeight="1" x14ac:dyDescent="0.2">
      <c r="E15093" s="7"/>
      <c r="F15093" s="7"/>
    </row>
    <row r="15094" spans="5:6" ht="15" customHeight="1" x14ac:dyDescent="0.2">
      <c r="E15094" s="7"/>
      <c r="F15094" s="7"/>
    </row>
    <row r="15095" spans="5:6" ht="15" customHeight="1" x14ac:dyDescent="0.2">
      <c r="E15095" s="7"/>
      <c r="F15095" s="7"/>
    </row>
    <row r="15096" spans="5:6" ht="15" customHeight="1" x14ac:dyDescent="0.2">
      <c r="E15096" s="7"/>
      <c r="F15096" s="7"/>
    </row>
    <row r="15097" spans="5:6" ht="15" customHeight="1" x14ac:dyDescent="0.2">
      <c r="E15097" s="7"/>
      <c r="F15097" s="7"/>
    </row>
    <row r="15098" spans="5:6" ht="15" customHeight="1" x14ac:dyDescent="0.2">
      <c r="E15098" s="7"/>
      <c r="F15098" s="7"/>
    </row>
    <row r="15099" spans="5:6" ht="15" customHeight="1" x14ac:dyDescent="0.2">
      <c r="E15099" s="7"/>
      <c r="F15099" s="7"/>
    </row>
    <row r="15100" spans="5:6" ht="15" customHeight="1" x14ac:dyDescent="0.2">
      <c r="E15100" s="7"/>
      <c r="F15100" s="7"/>
    </row>
    <row r="15101" spans="5:6" ht="15" customHeight="1" x14ac:dyDescent="0.2">
      <c r="E15101" s="7"/>
      <c r="F15101" s="7"/>
    </row>
    <row r="15102" spans="5:6" ht="15" customHeight="1" x14ac:dyDescent="0.2">
      <c r="E15102" s="7"/>
      <c r="F15102" s="7"/>
    </row>
    <row r="15103" spans="5:6" ht="15" customHeight="1" x14ac:dyDescent="0.2">
      <c r="E15103" s="7"/>
      <c r="F15103" s="7"/>
    </row>
    <row r="15104" spans="5:6" ht="15" customHeight="1" x14ac:dyDescent="0.2">
      <c r="E15104" s="7"/>
      <c r="F15104" s="7"/>
    </row>
    <row r="15105" spans="5:6" ht="15" customHeight="1" x14ac:dyDescent="0.2">
      <c r="E15105" s="7"/>
      <c r="F15105" s="7"/>
    </row>
    <row r="15106" spans="5:6" ht="15" customHeight="1" x14ac:dyDescent="0.2">
      <c r="E15106" s="7"/>
      <c r="F15106" s="7"/>
    </row>
    <row r="15107" spans="5:6" ht="15" customHeight="1" x14ac:dyDescent="0.2">
      <c r="E15107" s="7"/>
      <c r="F15107" s="7"/>
    </row>
    <row r="15108" spans="5:6" ht="15" customHeight="1" x14ac:dyDescent="0.2">
      <c r="E15108" s="7"/>
      <c r="F15108" s="7"/>
    </row>
    <row r="15109" spans="5:6" ht="15" customHeight="1" x14ac:dyDescent="0.2">
      <c r="E15109" s="7"/>
      <c r="F15109" s="7"/>
    </row>
    <row r="15110" spans="5:6" ht="15" customHeight="1" x14ac:dyDescent="0.2">
      <c r="E15110" s="7"/>
      <c r="F15110" s="7"/>
    </row>
    <row r="15111" spans="5:6" ht="15" customHeight="1" x14ac:dyDescent="0.2">
      <c r="E15111" s="7"/>
      <c r="F15111" s="7"/>
    </row>
    <row r="15112" spans="5:6" ht="15" customHeight="1" x14ac:dyDescent="0.2">
      <c r="E15112" s="7"/>
      <c r="F15112" s="7"/>
    </row>
    <row r="15113" spans="5:6" ht="15" customHeight="1" x14ac:dyDescent="0.2">
      <c r="E15113" s="7"/>
      <c r="F15113" s="7"/>
    </row>
    <row r="15114" spans="5:6" ht="15" customHeight="1" x14ac:dyDescent="0.2">
      <c r="E15114" s="7"/>
      <c r="F15114" s="7"/>
    </row>
    <row r="15115" spans="5:6" ht="15" customHeight="1" x14ac:dyDescent="0.2">
      <c r="E15115" s="7"/>
      <c r="F15115" s="7"/>
    </row>
    <row r="15116" spans="5:6" ht="15" customHeight="1" x14ac:dyDescent="0.2">
      <c r="E15116" s="7"/>
      <c r="F15116" s="7"/>
    </row>
    <row r="15117" spans="5:6" ht="15" customHeight="1" x14ac:dyDescent="0.2">
      <c r="E15117" s="7"/>
      <c r="F15117" s="7"/>
    </row>
    <row r="15118" spans="5:6" ht="15" customHeight="1" x14ac:dyDescent="0.2">
      <c r="E15118" s="7"/>
      <c r="F15118" s="7"/>
    </row>
    <row r="15119" spans="5:6" ht="15" customHeight="1" x14ac:dyDescent="0.2">
      <c r="E15119" s="7"/>
      <c r="F15119" s="7"/>
    </row>
    <row r="15120" spans="5:6" ht="15" customHeight="1" x14ac:dyDescent="0.2">
      <c r="E15120" s="7"/>
      <c r="F15120" s="7"/>
    </row>
    <row r="15121" spans="5:6" ht="15" customHeight="1" x14ac:dyDescent="0.2">
      <c r="E15121" s="7"/>
      <c r="F15121" s="7"/>
    </row>
    <row r="15122" spans="5:6" ht="15" customHeight="1" x14ac:dyDescent="0.2">
      <c r="E15122" s="7"/>
      <c r="F15122" s="7"/>
    </row>
    <row r="15123" spans="5:6" ht="15" customHeight="1" x14ac:dyDescent="0.2">
      <c r="E15123" s="7"/>
      <c r="F15123" s="7"/>
    </row>
    <row r="15124" spans="5:6" ht="15" customHeight="1" x14ac:dyDescent="0.2">
      <c r="E15124" s="7"/>
      <c r="F15124" s="7"/>
    </row>
    <row r="15125" spans="5:6" ht="15" customHeight="1" x14ac:dyDescent="0.2">
      <c r="E15125" s="7"/>
      <c r="F15125" s="7"/>
    </row>
    <row r="15126" spans="5:6" ht="15" customHeight="1" x14ac:dyDescent="0.2">
      <c r="E15126" s="7"/>
      <c r="F15126" s="7"/>
    </row>
    <row r="15127" spans="5:6" ht="15" customHeight="1" x14ac:dyDescent="0.2">
      <c r="E15127" s="7"/>
      <c r="F15127" s="7"/>
    </row>
    <row r="15128" spans="5:6" ht="15" customHeight="1" x14ac:dyDescent="0.2">
      <c r="E15128" s="7"/>
      <c r="F15128" s="7"/>
    </row>
    <row r="15129" spans="5:6" ht="15" customHeight="1" x14ac:dyDescent="0.2">
      <c r="E15129" s="7"/>
      <c r="F15129" s="7"/>
    </row>
    <row r="15130" spans="5:6" ht="15" customHeight="1" x14ac:dyDescent="0.2">
      <c r="E15130" s="7"/>
      <c r="F15130" s="7"/>
    </row>
    <row r="15131" spans="5:6" ht="15" customHeight="1" x14ac:dyDescent="0.2">
      <c r="E15131" s="7"/>
      <c r="F15131" s="7"/>
    </row>
    <row r="15132" spans="5:6" ht="15" customHeight="1" x14ac:dyDescent="0.2">
      <c r="E15132" s="7"/>
      <c r="F15132" s="7"/>
    </row>
    <row r="15133" spans="5:6" ht="15" customHeight="1" x14ac:dyDescent="0.2">
      <c r="E15133" s="7"/>
      <c r="F15133" s="7"/>
    </row>
    <row r="15134" spans="5:6" ht="15" customHeight="1" x14ac:dyDescent="0.2">
      <c r="E15134" s="7"/>
      <c r="F15134" s="7"/>
    </row>
    <row r="15135" spans="5:6" ht="15" customHeight="1" x14ac:dyDescent="0.2">
      <c r="E15135" s="7"/>
      <c r="F15135" s="7"/>
    </row>
    <row r="15136" spans="5:6" ht="15" customHeight="1" x14ac:dyDescent="0.2">
      <c r="E15136" s="7"/>
      <c r="F15136" s="7"/>
    </row>
    <row r="15137" spans="5:6" ht="15" customHeight="1" x14ac:dyDescent="0.2">
      <c r="E15137" s="7"/>
      <c r="F15137" s="7"/>
    </row>
    <row r="15138" spans="5:6" ht="15" customHeight="1" x14ac:dyDescent="0.2">
      <c r="E15138" s="7"/>
      <c r="F15138" s="7"/>
    </row>
    <row r="15139" spans="5:6" ht="15" customHeight="1" x14ac:dyDescent="0.2">
      <c r="E15139" s="7"/>
      <c r="F15139" s="7"/>
    </row>
    <row r="15140" spans="5:6" ht="15" customHeight="1" x14ac:dyDescent="0.2">
      <c r="E15140" s="7"/>
      <c r="F15140" s="7"/>
    </row>
    <row r="15141" spans="5:6" ht="15" customHeight="1" x14ac:dyDescent="0.2">
      <c r="E15141" s="7"/>
      <c r="F15141" s="7"/>
    </row>
    <row r="15142" spans="5:6" ht="15" customHeight="1" x14ac:dyDescent="0.2">
      <c r="E15142" s="7"/>
      <c r="F15142" s="7"/>
    </row>
    <row r="15143" spans="5:6" ht="15" customHeight="1" x14ac:dyDescent="0.2">
      <c r="E15143" s="7"/>
      <c r="F15143" s="7"/>
    </row>
    <row r="15144" spans="5:6" ht="15" customHeight="1" x14ac:dyDescent="0.2">
      <c r="E15144" s="7"/>
      <c r="F15144" s="7"/>
    </row>
    <row r="15145" spans="5:6" ht="15" customHeight="1" x14ac:dyDescent="0.2">
      <c r="E15145" s="7"/>
      <c r="F15145" s="7"/>
    </row>
    <row r="15146" spans="5:6" ht="15" customHeight="1" x14ac:dyDescent="0.2">
      <c r="E15146" s="7"/>
      <c r="F15146" s="7"/>
    </row>
    <row r="15147" spans="5:6" ht="15" customHeight="1" x14ac:dyDescent="0.2">
      <c r="E15147" s="7"/>
      <c r="F15147" s="7"/>
    </row>
    <row r="15148" spans="5:6" ht="15" customHeight="1" x14ac:dyDescent="0.2">
      <c r="E15148" s="7"/>
      <c r="F15148" s="7"/>
    </row>
    <row r="15149" spans="5:6" ht="15" customHeight="1" x14ac:dyDescent="0.2">
      <c r="E15149" s="7"/>
      <c r="F15149" s="7"/>
    </row>
    <row r="15150" spans="5:6" ht="15" customHeight="1" x14ac:dyDescent="0.2">
      <c r="E15150" s="7"/>
      <c r="F15150" s="7"/>
    </row>
    <row r="15151" spans="5:6" ht="15" customHeight="1" x14ac:dyDescent="0.2">
      <c r="E15151" s="7"/>
      <c r="F15151" s="7"/>
    </row>
    <row r="15152" spans="5:6" ht="15" customHeight="1" x14ac:dyDescent="0.2">
      <c r="E15152" s="7"/>
      <c r="F15152" s="7"/>
    </row>
    <row r="15153" spans="5:6" ht="15" customHeight="1" x14ac:dyDescent="0.2">
      <c r="E15153" s="7"/>
      <c r="F15153" s="7"/>
    </row>
    <row r="15154" spans="5:6" ht="15" customHeight="1" x14ac:dyDescent="0.2">
      <c r="E15154" s="7"/>
      <c r="F15154" s="7"/>
    </row>
    <row r="15155" spans="5:6" ht="15" customHeight="1" x14ac:dyDescent="0.2">
      <c r="E15155" s="7"/>
      <c r="F15155" s="7"/>
    </row>
    <row r="15156" spans="5:6" ht="15" customHeight="1" x14ac:dyDescent="0.2">
      <c r="E15156" s="7"/>
      <c r="F15156" s="7"/>
    </row>
    <row r="15157" spans="5:6" ht="15" customHeight="1" x14ac:dyDescent="0.2">
      <c r="E15157" s="7"/>
      <c r="F15157" s="7"/>
    </row>
    <row r="15158" spans="5:6" ht="15" customHeight="1" x14ac:dyDescent="0.2">
      <c r="E15158" s="7"/>
      <c r="F15158" s="7"/>
    </row>
    <row r="15159" spans="5:6" ht="15" customHeight="1" x14ac:dyDescent="0.2">
      <c r="E15159" s="7"/>
      <c r="F15159" s="7"/>
    </row>
    <row r="15160" spans="5:6" ht="15" customHeight="1" x14ac:dyDescent="0.2">
      <c r="E15160" s="7"/>
      <c r="F15160" s="7"/>
    </row>
    <row r="15161" spans="5:6" ht="15" customHeight="1" x14ac:dyDescent="0.2">
      <c r="E15161" s="7"/>
      <c r="F15161" s="7"/>
    </row>
    <row r="15162" spans="5:6" ht="15" customHeight="1" x14ac:dyDescent="0.2">
      <c r="E15162" s="7"/>
      <c r="F15162" s="7"/>
    </row>
    <row r="15163" spans="5:6" ht="15" customHeight="1" x14ac:dyDescent="0.2">
      <c r="E15163" s="7"/>
      <c r="F15163" s="7"/>
    </row>
    <row r="15164" spans="5:6" ht="15" customHeight="1" x14ac:dyDescent="0.2">
      <c r="E15164" s="7"/>
      <c r="F15164" s="7"/>
    </row>
    <row r="15165" spans="5:6" ht="15" customHeight="1" x14ac:dyDescent="0.2">
      <c r="E15165" s="7"/>
      <c r="F15165" s="7"/>
    </row>
    <row r="15166" spans="5:6" ht="15" customHeight="1" x14ac:dyDescent="0.2">
      <c r="E15166" s="7"/>
      <c r="F15166" s="7"/>
    </row>
    <row r="15167" spans="5:6" ht="15" customHeight="1" x14ac:dyDescent="0.2">
      <c r="E15167" s="7"/>
      <c r="F15167" s="7"/>
    </row>
    <row r="15168" spans="5:6" ht="15" customHeight="1" x14ac:dyDescent="0.2">
      <c r="E15168" s="7"/>
      <c r="F15168" s="7"/>
    </row>
    <row r="15169" spans="5:6" ht="15" customHeight="1" x14ac:dyDescent="0.2">
      <c r="E15169" s="7"/>
      <c r="F15169" s="7"/>
    </row>
    <row r="15170" spans="5:6" ht="15" customHeight="1" x14ac:dyDescent="0.2">
      <c r="E15170" s="7"/>
      <c r="F15170" s="7"/>
    </row>
    <row r="15171" spans="5:6" ht="15" customHeight="1" x14ac:dyDescent="0.2">
      <c r="E15171" s="7"/>
      <c r="F15171" s="7"/>
    </row>
    <row r="15172" spans="5:6" ht="15" customHeight="1" x14ac:dyDescent="0.2">
      <c r="E15172" s="7"/>
      <c r="F15172" s="7"/>
    </row>
    <row r="15173" spans="5:6" ht="15" customHeight="1" x14ac:dyDescent="0.2">
      <c r="E15173" s="7"/>
      <c r="F15173" s="7"/>
    </row>
    <row r="15174" spans="5:6" ht="15" customHeight="1" x14ac:dyDescent="0.2">
      <c r="E15174" s="7"/>
      <c r="F15174" s="7"/>
    </row>
    <row r="15175" spans="5:6" ht="15" customHeight="1" x14ac:dyDescent="0.2">
      <c r="E15175" s="7"/>
      <c r="F15175" s="7"/>
    </row>
    <row r="15176" spans="5:6" ht="15" customHeight="1" x14ac:dyDescent="0.2">
      <c r="E15176" s="7"/>
      <c r="F15176" s="7"/>
    </row>
    <row r="15177" spans="5:6" ht="15" customHeight="1" x14ac:dyDescent="0.2">
      <c r="E15177" s="7"/>
      <c r="F15177" s="7"/>
    </row>
    <row r="15178" spans="5:6" ht="15" customHeight="1" x14ac:dyDescent="0.2">
      <c r="E15178" s="7"/>
      <c r="F15178" s="7"/>
    </row>
    <row r="15179" spans="5:6" ht="15" customHeight="1" x14ac:dyDescent="0.2">
      <c r="E15179" s="7"/>
      <c r="F15179" s="7"/>
    </row>
    <row r="15180" spans="5:6" ht="15" customHeight="1" x14ac:dyDescent="0.2">
      <c r="E15180" s="7"/>
      <c r="F15180" s="7"/>
    </row>
    <row r="15181" spans="5:6" ht="15" customHeight="1" x14ac:dyDescent="0.2">
      <c r="E15181" s="7"/>
      <c r="F15181" s="7"/>
    </row>
    <row r="15182" spans="5:6" ht="15" customHeight="1" x14ac:dyDescent="0.2">
      <c r="E15182" s="7"/>
      <c r="F15182" s="7"/>
    </row>
    <row r="15183" spans="5:6" ht="15" customHeight="1" x14ac:dyDescent="0.2">
      <c r="E15183" s="7"/>
      <c r="F15183" s="7"/>
    </row>
    <row r="15184" spans="5:6" ht="15" customHeight="1" x14ac:dyDescent="0.2">
      <c r="E15184" s="7"/>
      <c r="F15184" s="7"/>
    </row>
    <row r="15185" spans="5:6" ht="15" customHeight="1" x14ac:dyDescent="0.2">
      <c r="E15185" s="7"/>
      <c r="F15185" s="7"/>
    </row>
    <row r="15186" spans="5:6" ht="15" customHeight="1" x14ac:dyDescent="0.2">
      <c r="E15186" s="7"/>
      <c r="F15186" s="7"/>
    </row>
    <row r="15187" spans="5:6" ht="15" customHeight="1" x14ac:dyDescent="0.2">
      <c r="E15187" s="7"/>
      <c r="F15187" s="7"/>
    </row>
    <row r="15188" spans="5:6" ht="15" customHeight="1" x14ac:dyDescent="0.2">
      <c r="E15188" s="7"/>
      <c r="F15188" s="7"/>
    </row>
    <row r="15189" spans="5:6" ht="15" customHeight="1" x14ac:dyDescent="0.2">
      <c r="E15189" s="7"/>
      <c r="F15189" s="7"/>
    </row>
    <row r="15190" spans="5:6" ht="15" customHeight="1" x14ac:dyDescent="0.2">
      <c r="E15190" s="7"/>
      <c r="F15190" s="7"/>
    </row>
    <row r="15191" spans="5:6" ht="15" customHeight="1" x14ac:dyDescent="0.2">
      <c r="E15191" s="7"/>
      <c r="F15191" s="7"/>
    </row>
    <row r="15192" spans="5:6" ht="15" customHeight="1" x14ac:dyDescent="0.2">
      <c r="E15192" s="7"/>
      <c r="F15192" s="7"/>
    </row>
    <row r="15193" spans="5:6" ht="15" customHeight="1" x14ac:dyDescent="0.2">
      <c r="E15193" s="7"/>
      <c r="F15193" s="7"/>
    </row>
    <row r="15194" spans="5:6" ht="15" customHeight="1" x14ac:dyDescent="0.2">
      <c r="E15194" s="7"/>
      <c r="F15194" s="7"/>
    </row>
    <row r="15195" spans="5:6" ht="15" customHeight="1" x14ac:dyDescent="0.2">
      <c r="E15195" s="7"/>
      <c r="F15195" s="7"/>
    </row>
    <row r="15196" spans="5:6" ht="15" customHeight="1" x14ac:dyDescent="0.2">
      <c r="E15196" s="7"/>
      <c r="F15196" s="7"/>
    </row>
    <row r="15197" spans="5:6" ht="15" customHeight="1" x14ac:dyDescent="0.2">
      <c r="E15197" s="7"/>
      <c r="F15197" s="7"/>
    </row>
    <row r="15198" spans="5:6" ht="15" customHeight="1" x14ac:dyDescent="0.2">
      <c r="E15198" s="7"/>
      <c r="F15198" s="7"/>
    </row>
    <row r="15199" spans="5:6" ht="15" customHeight="1" x14ac:dyDescent="0.2">
      <c r="E15199" s="7"/>
      <c r="F15199" s="7"/>
    </row>
    <row r="15200" spans="5:6" ht="15" customHeight="1" x14ac:dyDescent="0.2">
      <c r="E15200" s="7"/>
      <c r="F15200" s="7"/>
    </row>
    <row r="15201" spans="5:6" ht="15" customHeight="1" x14ac:dyDescent="0.2">
      <c r="E15201" s="7"/>
      <c r="F15201" s="7"/>
    </row>
    <row r="15202" spans="5:6" ht="15" customHeight="1" x14ac:dyDescent="0.2">
      <c r="E15202" s="7"/>
      <c r="F15202" s="7"/>
    </row>
    <row r="15203" spans="5:6" ht="15" customHeight="1" x14ac:dyDescent="0.2">
      <c r="E15203" s="7"/>
      <c r="F15203" s="7"/>
    </row>
    <row r="15204" spans="5:6" ht="15" customHeight="1" x14ac:dyDescent="0.2">
      <c r="E15204" s="7"/>
      <c r="F15204" s="7"/>
    </row>
    <row r="15205" spans="5:6" ht="15" customHeight="1" x14ac:dyDescent="0.2">
      <c r="E15205" s="7"/>
      <c r="F15205" s="7"/>
    </row>
    <row r="15206" spans="5:6" ht="15" customHeight="1" x14ac:dyDescent="0.2">
      <c r="E15206" s="7"/>
      <c r="F15206" s="7"/>
    </row>
    <row r="15207" spans="5:6" ht="15" customHeight="1" x14ac:dyDescent="0.2">
      <c r="E15207" s="7"/>
      <c r="F15207" s="7"/>
    </row>
    <row r="15208" spans="5:6" ht="15" customHeight="1" x14ac:dyDescent="0.2">
      <c r="E15208" s="7"/>
      <c r="F15208" s="7"/>
    </row>
    <row r="15209" spans="5:6" ht="15" customHeight="1" x14ac:dyDescent="0.2">
      <c r="E15209" s="7"/>
      <c r="F15209" s="7"/>
    </row>
    <row r="15210" spans="5:6" ht="15" customHeight="1" x14ac:dyDescent="0.2">
      <c r="E15210" s="7"/>
      <c r="F15210" s="7"/>
    </row>
    <row r="15211" spans="5:6" ht="15" customHeight="1" x14ac:dyDescent="0.2">
      <c r="E15211" s="7"/>
      <c r="F15211" s="7"/>
    </row>
    <row r="15212" spans="5:6" ht="15" customHeight="1" x14ac:dyDescent="0.2">
      <c r="E15212" s="7"/>
      <c r="F15212" s="7"/>
    </row>
    <row r="15213" spans="5:6" ht="15" customHeight="1" x14ac:dyDescent="0.2">
      <c r="E15213" s="7"/>
      <c r="F15213" s="7"/>
    </row>
    <row r="15214" spans="5:6" ht="15" customHeight="1" x14ac:dyDescent="0.2">
      <c r="E15214" s="7"/>
      <c r="F15214" s="7"/>
    </row>
    <row r="15215" spans="5:6" ht="15" customHeight="1" x14ac:dyDescent="0.2">
      <c r="E15215" s="7"/>
      <c r="F15215" s="7"/>
    </row>
    <row r="15216" spans="5:6" ht="15" customHeight="1" x14ac:dyDescent="0.2">
      <c r="E15216" s="7"/>
      <c r="F15216" s="7"/>
    </row>
    <row r="15217" spans="5:6" ht="15" customHeight="1" x14ac:dyDescent="0.2">
      <c r="E15217" s="7"/>
      <c r="F15217" s="7"/>
    </row>
    <row r="15218" spans="5:6" ht="15" customHeight="1" x14ac:dyDescent="0.2">
      <c r="E15218" s="7"/>
      <c r="F15218" s="7"/>
    </row>
    <row r="15219" spans="5:6" ht="15" customHeight="1" x14ac:dyDescent="0.2">
      <c r="E15219" s="7"/>
      <c r="F15219" s="7"/>
    </row>
    <row r="15220" spans="5:6" ht="15" customHeight="1" x14ac:dyDescent="0.2">
      <c r="E15220" s="7"/>
      <c r="F15220" s="7"/>
    </row>
    <row r="15221" spans="5:6" ht="15" customHeight="1" x14ac:dyDescent="0.2">
      <c r="E15221" s="7"/>
      <c r="F15221" s="7"/>
    </row>
    <row r="15222" spans="5:6" ht="15" customHeight="1" x14ac:dyDescent="0.2">
      <c r="E15222" s="7"/>
      <c r="F15222" s="7"/>
    </row>
    <row r="15223" spans="5:6" ht="15" customHeight="1" x14ac:dyDescent="0.2">
      <c r="E15223" s="7"/>
      <c r="F15223" s="7"/>
    </row>
    <row r="15224" spans="5:6" ht="15" customHeight="1" x14ac:dyDescent="0.2">
      <c r="E15224" s="7"/>
      <c r="F15224" s="7"/>
    </row>
    <row r="15225" spans="5:6" ht="15" customHeight="1" x14ac:dyDescent="0.2">
      <c r="E15225" s="7"/>
      <c r="F15225" s="7"/>
    </row>
    <row r="15226" spans="5:6" ht="15" customHeight="1" x14ac:dyDescent="0.2">
      <c r="E15226" s="7"/>
      <c r="F15226" s="7"/>
    </row>
    <row r="15227" spans="5:6" ht="15" customHeight="1" x14ac:dyDescent="0.2">
      <c r="E15227" s="7"/>
      <c r="F15227" s="7"/>
    </row>
    <row r="15228" spans="5:6" ht="15" customHeight="1" x14ac:dyDescent="0.2">
      <c r="E15228" s="7"/>
      <c r="F15228" s="7"/>
    </row>
    <row r="15229" spans="5:6" ht="15" customHeight="1" x14ac:dyDescent="0.2">
      <c r="E15229" s="7"/>
      <c r="F15229" s="7"/>
    </row>
    <row r="15230" spans="5:6" ht="15" customHeight="1" x14ac:dyDescent="0.2">
      <c r="E15230" s="7"/>
      <c r="F15230" s="7"/>
    </row>
    <row r="15231" spans="5:6" ht="15" customHeight="1" x14ac:dyDescent="0.2">
      <c r="E15231" s="7"/>
      <c r="F15231" s="7"/>
    </row>
    <row r="15232" spans="5:6" ht="15" customHeight="1" x14ac:dyDescent="0.2">
      <c r="E15232" s="7"/>
      <c r="F15232" s="7"/>
    </row>
    <row r="15233" spans="5:6" ht="15" customHeight="1" x14ac:dyDescent="0.2">
      <c r="E15233" s="7"/>
      <c r="F15233" s="7"/>
    </row>
    <row r="15234" spans="5:6" ht="15" customHeight="1" x14ac:dyDescent="0.2">
      <c r="E15234" s="7"/>
      <c r="F15234" s="7"/>
    </row>
    <row r="15235" spans="5:6" ht="15" customHeight="1" x14ac:dyDescent="0.2">
      <c r="E15235" s="7"/>
      <c r="F15235" s="7"/>
    </row>
    <row r="15236" spans="5:6" ht="15" customHeight="1" x14ac:dyDescent="0.2">
      <c r="E15236" s="7"/>
      <c r="F15236" s="7"/>
    </row>
    <row r="15237" spans="5:6" ht="15" customHeight="1" x14ac:dyDescent="0.2">
      <c r="E15237" s="7"/>
      <c r="F15237" s="7"/>
    </row>
    <row r="15238" spans="5:6" ht="15" customHeight="1" x14ac:dyDescent="0.2">
      <c r="E15238" s="7"/>
      <c r="F15238" s="7"/>
    </row>
    <row r="15239" spans="5:6" ht="15" customHeight="1" x14ac:dyDescent="0.2">
      <c r="E15239" s="7"/>
      <c r="F15239" s="7"/>
    </row>
    <row r="15240" spans="5:6" ht="15" customHeight="1" x14ac:dyDescent="0.2">
      <c r="E15240" s="7"/>
      <c r="F15240" s="7"/>
    </row>
    <row r="15241" spans="5:6" ht="15" customHeight="1" x14ac:dyDescent="0.2">
      <c r="E15241" s="7"/>
      <c r="F15241" s="7"/>
    </row>
    <row r="15242" spans="5:6" ht="15" customHeight="1" x14ac:dyDescent="0.2">
      <c r="E15242" s="7"/>
      <c r="F15242" s="7"/>
    </row>
    <row r="15243" spans="5:6" ht="15" customHeight="1" x14ac:dyDescent="0.2">
      <c r="E15243" s="7"/>
      <c r="F15243" s="7"/>
    </row>
    <row r="15244" spans="5:6" ht="15" customHeight="1" x14ac:dyDescent="0.2">
      <c r="E15244" s="7"/>
      <c r="F15244" s="7"/>
    </row>
    <row r="15245" spans="5:6" ht="15" customHeight="1" x14ac:dyDescent="0.2">
      <c r="E15245" s="7"/>
      <c r="F15245" s="7"/>
    </row>
    <row r="15246" spans="5:6" ht="15" customHeight="1" x14ac:dyDescent="0.2">
      <c r="E15246" s="7"/>
      <c r="F15246" s="7"/>
    </row>
    <row r="15247" spans="5:6" ht="15" customHeight="1" x14ac:dyDescent="0.2">
      <c r="E15247" s="7"/>
      <c r="F15247" s="7"/>
    </row>
    <row r="15248" spans="5:6" ht="15" customHeight="1" x14ac:dyDescent="0.2">
      <c r="E15248" s="7"/>
      <c r="F15248" s="7"/>
    </row>
    <row r="15249" spans="5:6" ht="15" customHeight="1" x14ac:dyDescent="0.2">
      <c r="E15249" s="7"/>
      <c r="F15249" s="7"/>
    </row>
    <row r="15250" spans="5:6" ht="15" customHeight="1" x14ac:dyDescent="0.2">
      <c r="E15250" s="7"/>
      <c r="F15250" s="7"/>
    </row>
    <row r="15251" spans="5:6" ht="15" customHeight="1" x14ac:dyDescent="0.2">
      <c r="E15251" s="7"/>
      <c r="F15251" s="7"/>
    </row>
    <row r="15252" spans="5:6" ht="15" customHeight="1" x14ac:dyDescent="0.2">
      <c r="E15252" s="7"/>
      <c r="F15252" s="7"/>
    </row>
    <row r="15253" spans="5:6" ht="15" customHeight="1" x14ac:dyDescent="0.2">
      <c r="E15253" s="7"/>
      <c r="F15253" s="7"/>
    </row>
    <row r="15254" spans="5:6" ht="15" customHeight="1" x14ac:dyDescent="0.2">
      <c r="E15254" s="7"/>
      <c r="F15254" s="7"/>
    </row>
    <row r="15255" spans="5:6" ht="15" customHeight="1" x14ac:dyDescent="0.2">
      <c r="E15255" s="7"/>
      <c r="F15255" s="7"/>
    </row>
    <row r="15256" spans="5:6" ht="15" customHeight="1" x14ac:dyDescent="0.2">
      <c r="E15256" s="7"/>
      <c r="F15256" s="7"/>
    </row>
    <row r="15257" spans="5:6" ht="15" customHeight="1" x14ac:dyDescent="0.2">
      <c r="E15257" s="7"/>
      <c r="F15257" s="7"/>
    </row>
    <row r="15258" spans="5:6" ht="15" customHeight="1" x14ac:dyDescent="0.2">
      <c r="E15258" s="7"/>
      <c r="F15258" s="7"/>
    </row>
    <row r="15259" spans="5:6" ht="15" customHeight="1" x14ac:dyDescent="0.2">
      <c r="E15259" s="7"/>
      <c r="F15259" s="7"/>
    </row>
    <row r="15260" spans="5:6" ht="15" customHeight="1" x14ac:dyDescent="0.2">
      <c r="E15260" s="7"/>
      <c r="F15260" s="7"/>
    </row>
    <row r="15261" spans="5:6" ht="15" customHeight="1" x14ac:dyDescent="0.2">
      <c r="E15261" s="7"/>
      <c r="F15261" s="7"/>
    </row>
    <row r="15262" spans="5:6" ht="15" customHeight="1" x14ac:dyDescent="0.2">
      <c r="E15262" s="7"/>
      <c r="F15262" s="7"/>
    </row>
    <row r="15263" spans="5:6" ht="15" customHeight="1" x14ac:dyDescent="0.2">
      <c r="E15263" s="7"/>
      <c r="F15263" s="7"/>
    </row>
    <row r="15264" spans="5:6" ht="15" customHeight="1" x14ac:dyDescent="0.2">
      <c r="E15264" s="7"/>
      <c r="F15264" s="7"/>
    </row>
    <row r="15265" spans="5:6" ht="15" customHeight="1" x14ac:dyDescent="0.2">
      <c r="E15265" s="7"/>
      <c r="F15265" s="7"/>
    </row>
    <row r="15266" spans="5:6" ht="15" customHeight="1" x14ac:dyDescent="0.2">
      <c r="E15266" s="7"/>
      <c r="F15266" s="7"/>
    </row>
    <row r="15267" spans="5:6" ht="15" customHeight="1" x14ac:dyDescent="0.2">
      <c r="E15267" s="7"/>
      <c r="F15267" s="7"/>
    </row>
    <row r="15268" spans="5:6" ht="15" customHeight="1" x14ac:dyDescent="0.2">
      <c r="E15268" s="7"/>
      <c r="F15268" s="7"/>
    </row>
    <row r="15269" spans="5:6" ht="15" customHeight="1" x14ac:dyDescent="0.2">
      <c r="E15269" s="7"/>
      <c r="F15269" s="7"/>
    </row>
    <row r="15270" spans="5:6" ht="15" customHeight="1" x14ac:dyDescent="0.2">
      <c r="E15270" s="7"/>
      <c r="F15270" s="7"/>
    </row>
    <row r="15271" spans="5:6" ht="15" customHeight="1" x14ac:dyDescent="0.2">
      <c r="E15271" s="7"/>
      <c r="F15271" s="7"/>
    </row>
    <row r="15272" spans="5:6" ht="15" customHeight="1" x14ac:dyDescent="0.2">
      <c r="E15272" s="7"/>
      <c r="F15272" s="7"/>
    </row>
    <row r="15273" spans="5:6" ht="15" customHeight="1" x14ac:dyDescent="0.2">
      <c r="E15273" s="7"/>
      <c r="F15273" s="7"/>
    </row>
    <row r="15274" spans="5:6" ht="15" customHeight="1" x14ac:dyDescent="0.2">
      <c r="E15274" s="7"/>
      <c r="F15274" s="7"/>
    </row>
    <row r="15275" spans="5:6" ht="15" customHeight="1" x14ac:dyDescent="0.2">
      <c r="E15275" s="7"/>
      <c r="F15275" s="7"/>
    </row>
    <row r="15276" spans="5:6" ht="15" customHeight="1" x14ac:dyDescent="0.2">
      <c r="E15276" s="7"/>
      <c r="F15276" s="7"/>
    </row>
    <row r="15277" spans="5:6" ht="15" customHeight="1" x14ac:dyDescent="0.2">
      <c r="E15277" s="7"/>
      <c r="F15277" s="7"/>
    </row>
    <row r="15278" spans="5:6" ht="15" customHeight="1" x14ac:dyDescent="0.2">
      <c r="E15278" s="7"/>
      <c r="F15278" s="7"/>
    </row>
    <row r="15279" spans="5:6" ht="15" customHeight="1" x14ac:dyDescent="0.2">
      <c r="E15279" s="7"/>
      <c r="F15279" s="7"/>
    </row>
    <row r="15280" spans="5:6" ht="15" customHeight="1" x14ac:dyDescent="0.2">
      <c r="E15280" s="7"/>
      <c r="F15280" s="7"/>
    </row>
    <row r="15281" spans="5:6" ht="15" customHeight="1" x14ac:dyDescent="0.2">
      <c r="E15281" s="7"/>
      <c r="F15281" s="7"/>
    </row>
    <row r="15282" spans="5:6" ht="15" customHeight="1" x14ac:dyDescent="0.2">
      <c r="E15282" s="7"/>
      <c r="F15282" s="7"/>
    </row>
    <row r="15283" spans="5:6" ht="15" customHeight="1" x14ac:dyDescent="0.2">
      <c r="E15283" s="7"/>
      <c r="F15283" s="7"/>
    </row>
    <row r="15284" spans="5:6" ht="15" customHeight="1" x14ac:dyDescent="0.2">
      <c r="E15284" s="7"/>
      <c r="F15284" s="7"/>
    </row>
    <row r="15285" spans="5:6" ht="15" customHeight="1" x14ac:dyDescent="0.2">
      <c r="E15285" s="7"/>
      <c r="F15285" s="7"/>
    </row>
    <row r="15286" spans="5:6" ht="15" customHeight="1" x14ac:dyDescent="0.2">
      <c r="E15286" s="7"/>
      <c r="F15286" s="7"/>
    </row>
    <row r="15287" spans="5:6" ht="15" customHeight="1" x14ac:dyDescent="0.2">
      <c r="E15287" s="7"/>
      <c r="F15287" s="7"/>
    </row>
    <row r="15288" spans="5:6" ht="15" customHeight="1" x14ac:dyDescent="0.2">
      <c r="E15288" s="7"/>
      <c r="F15288" s="7"/>
    </row>
    <row r="15289" spans="5:6" ht="15" customHeight="1" x14ac:dyDescent="0.2">
      <c r="E15289" s="7"/>
      <c r="F15289" s="7"/>
    </row>
    <row r="15290" spans="5:6" ht="15" customHeight="1" x14ac:dyDescent="0.2">
      <c r="E15290" s="7"/>
      <c r="F15290" s="7"/>
    </row>
    <row r="15291" spans="5:6" ht="15" customHeight="1" x14ac:dyDescent="0.2">
      <c r="E15291" s="7"/>
      <c r="F15291" s="7"/>
    </row>
    <row r="15292" spans="5:6" ht="15" customHeight="1" x14ac:dyDescent="0.2">
      <c r="E15292" s="7"/>
      <c r="F15292" s="7"/>
    </row>
    <row r="15293" spans="5:6" ht="15" customHeight="1" x14ac:dyDescent="0.2">
      <c r="E15293" s="7"/>
      <c r="F15293" s="7"/>
    </row>
    <row r="15294" spans="5:6" ht="15" customHeight="1" x14ac:dyDescent="0.2">
      <c r="E15294" s="7"/>
      <c r="F15294" s="7"/>
    </row>
    <row r="15295" spans="5:6" ht="15" customHeight="1" x14ac:dyDescent="0.2">
      <c r="E15295" s="7"/>
      <c r="F15295" s="7"/>
    </row>
    <row r="15296" spans="5:6" ht="15" customHeight="1" x14ac:dyDescent="0.2">
      <c r="E15296" s="7"/>
      <c r="F15296" s="7"/>
    </row>
    <row r="15297" spans="5:6" ht="15" customHeight="1" x14ac:dyDescent="0.2">
      <c r="E15297" s="7"/>
      <c r="F15297" s="7"/>
    </row>
    <row r="15298" spans="5:6" ht="15" customHeight="1" x14ac:dyDescent="0.2">
      <c r="E15298" s="7"/>
      <c r="F15298" s="7"/>
    </row>
    <row r="15299" spans="5:6" ht="15" customHeight="1" x14ac:dyDescent="0.2">
      <c r="E15299" s="7"/>
      <c r="F15299" s="7"/>
    </row>
    <row r="15300" spans="5:6" ht="15" customHeight="1" x14ac:dyDescent="0.2">
      <c r="E15300" s="7"/>
      <c r="F15300" s="7"/>
    </row>
    <row r="15301" spans="5:6" ht="15" customHeight="1" x14ac:dyDescent="0.2">
      <c r="E15301" s="7"/>
      <c r="F15301" s="7"/>
    </row>
    <row r="15302" spans="5:6" ht="15" customHeight="1" x14ac:dyDescent="0.2">
      <c r="E15302" s="7"/>
      <c r="F15302" s="7"/>
    </row>
    <row r="15303" spans="5:6" ht="15" customHeight="1" x14ac:dyDescent="0.2">
      <c r="E15303" s="7"/>
      <c r="F15303" s="7"/>
    </row>
    <row r="15304" spans="5:6" ht="15" customHeight="1" x14ac:dyDescent="0.2">
      <c r="E15304" s="7"/>
      <c r="F15304" s="7"/>
    </row>
    <row r="15305" spans="5:6" ht="15" customHeight="1" x14ac:dyDescent="0.2">
      <c r="E15305" s="7"/>
      <c r="F15305" s="7"/>
    </row>
    <row r="15306" spans="5:6" ht="15" customHeight="1" x14ac:dyDescent="0.2">
      <c r="E15306" s="7"/>
      <c r="F15306" s="7"/>
    </row>
    <row r="15307" spans="5:6" ht="15" customHeight="1" x14ac:dyDescent="0.2">
      <c r="E15307" s="7"/>
      <c r="F15307" s="7"/>
    </row>
    <row r="15308" spans="5:6" ht="15" customHeight="1" x14ac:dyDescent="0.2">
      <c r="E15308" s="7"/>
      <c r="F15308" s="7"/>
    </row>
    <row r="15309" spans="5:6" ht="15" customHeight="1" x14ac:dyDescent="0.2">
      <c r="E15309" s="7"/>
      <c r="F15309" s="7"/>
    </row>
    <row r="15310" spans="5:6" ht="15" customHeight="1" x14ac:dyDescent="0.2">
      <c r="E15310" s="7"/>
      <c r="F15310" s="7"/>
    </row>
    <row r="15311" spans="5:6" ht="15" customHeight="1" x14ac:dyDescent="0.2">
      <c r="E15311" s="7"/>
      <c r="F15311" s="7"/>
    </row>
    <row r="15312" spans="5:6" ht="15" customHeight="1" x14ac:dyDescent="0.2">
      <c r="E15312" s="7"/>
      <c r="F15312" s="7"/>
    </row>
    <row r="15313" spans="5:6" ht="15" customHeight="1" x14ac:dyDescent="0.2">
      <c r="E15313" s="7"/>
      <c r="F15313" s="7"/>
    </row>
    <row r="15314" spans="5:6" ht="15" customHeight="1" x14ac:dyDescent="0.2">
      <c r="E15314" s="7"/>
      <c r="F15314" s="7"/>
    </row>
    <row r="15315" spans="5:6" ht="15" customHeight="1" x14ac:dyDescent="0.2">
      <c r="E15315" s="7"/>
      <c r="F15315" s="7"/>
    </row>
    <row r="15316" spans="5:6" ht="15" customHeight="1" x14ac:dyDescent="0.2">
      <c r="E15316" s="7"/>
      <c r="F15316" s="7"/>
    </row>
    <row r="15317" spans="5:6" ht="15" customHeight="1" x14ac:dyDescent="0.2">
      <c r="E15317" s="7"/>
      <c r="F15317" s="7"/>
    </row>
    <row r="15318" spans="5:6" ht="15" customHeight="1" x14ac:dyDescent="0.2">
      <c r="E15318" s="7"/>
      <c r="F15318" s="7"/>
    </row>
    <row r="15319" spans="5:6" ht="15" customHeight="1" x14ac:dyDescent="0.2">
      <c r="E15319" s="7"/>
      <c r="F15319" s="7"/>
    </row>
    <row r="15320" spans="5:6" ht="15" customHeight="1" x14ac:dyDescent="0.2">
      <c r="E15320" s="7"/>
      <c r="F15320" s="7"/>
    </row>
    <row r="15321" spans="5:6" ht="15" customHeight="1" x14ac:dyDescent="0.2">
      <c r="E15321" s="7"/>
      <c r="F15321" s="7"/>
    </row>
    <row r="15322" spans="5:6" ht="15" customHeight="1" x14ac:dyDescent="0.2">
      <c r="E15322" s="7"/>
      <c r="F15322" s="7"/>
    </row>
    <row r="15323" spans="5:6" ht="15" customHeight="1" x14ac:dyDescent="0.2">
      <c r="E15323" s="7"/>
      <c r="F15323" s="7"/>
    </row>
    <row r="15324" spans="5:6" ht="15" customHeight="1" x14ac:dyDescent="0.2">
      <c r="E15324" s="7"/>
      <c r="F15324" s="7"/>
    </row>
    <row r="15325" spans="5:6" ht="15" customHeight="1" x14ac:dyDescent="0.2">
      <c r="E15325" s="7"/>
      <c r="F15325" s="7"/>
    </row>
    <row r="15326" spans="5:6" ht="15" customHeight="1" x14ac:dyDescent="0.2">
      <c r="E15326" s="7"/>
      <c r="F15326" s="7"/>
    </row>
    <row r="15327" spans="5:6" ht="15" customHeight="1" x14ac:dyDescent="0.2">
      <c r="E15327" s="7"/>
      <c r="F15327" s="7"/>
    </row>
    <row r="15328" spans="5:6" ht="15" customHeight="1" x14ac:dyDescent="0.2">
      <c r="E15328" s="7"/>
      <c r="F15328" s="7"/>
    </row>
    <row r="15329" spans="5:6" ht="15" customHeight="1" x14ac:dyDescent="0.2">
      <c r="E15329" s="7"/>
      <c r="F15329" s="7"/>
    </row>
    <row r="15330" spans="5:6" ht="15" customHeight="1" x14ac:dyDescent="0.2">
      <c r="E15330" s="7"/>
      <c r="F15330" s="7"/>
    </row>
    <row r="15331" spans="5:6" ht="15" customHeight="1" x14ac:dyDescent="0.2">
      <c r="E15331" s="7"/>
      <c r="F15331" s="7"/>
    </row>
    <row r="15332" spans="5:6" ht="15" customHeight="1" x14ac:dyDescent="0.2">
      <c r="E15332" s="7"/>
      <c r="F15332" s="7"/>
    </row>
    <row r="15333" spans="5:6" ht="15" customHeight="1" x14ac:dyDescent="0.2">
      <c r="E15333" s="7"/>
      <c r="F15333" s="7"/>
    </row>
    <row r="15334" spans="5:6" ht="15" customHeight="1" x14ac:dyDescent="0.2">
      <c r="E15334" s="7"/>
      <c r="F15334" s="7"/>
    </row>
    <row r="15335" spans="5:6" ht="15" customHeight="1" x14ac:dyDescent="0.2">
      <c r="E15335" s="7"/>
      <c r="F15335" s="7"/>
    </row>
    <row r="15336" spans="5:6" ht="15" customHeight="1" x14ac:dyDescent="0.2">
      <c r="E15336" s="7"/>
      <c r="F15336" s="7"/>
    </row>
    <row r="15337" spans="5:6" ht="15" customHeight="1" x14ac:dyDescent="0.2">
      <c r="E15337" s="7"/>
      <c r="F15337" s="7"/>
    </row>
    <row r="15338" spans="5:6" ht="15" customHeight="1" x14ac:dyDescent="0.2">
      <c r="E15338" s="7"/>
      <c r="F15338" s="7"/>
    </row>
    <row r="15339" spans="5:6" ht="15" customHeight="1" x14ac:dyDescent="0.2">
      <c r="E15339" s="7"/>
      <c r="F15339" s="7"/>
    </row>
    <row r="15340" spans="5:6" ht="15" customHeight="1" x14ac:dyDescent="0.2">
      <c r="E15340" s="7"/>
      <c r="F15340" s="7"/>
    </row>
    <row r="15341" spans="5:6" ht="15" customHeight="1" x14ac:dyDescent="0.2">
      <c r="E15341" s="7"/>
      <c r="F15341" s="7"/>
    </row>
    <row r="15342" spans="5:6" ht="15" customHeight="1" x14ac:dyDescent="0.2">
      <c r="E15342" s="7"/>
      <c r="F15342" s="7"/>
    </row>
    <row r="15343" spans="5:6" ht="15" customHeight="1" x14ac:dyDescent="0.2">
      <c r="E15343" s="7"/>
      <c r="F15343" s="7"/>
    </row>
    <row r="15344" spans="5:6" ht="15" customHeight="1" x14ac:dyDescent="0.2">
      <c r="E15344" s="7"/>
      <c r="F15344" s="7"/>
    </row>
    <row r="15345" spans="5:6" ht="15" customHeight="1" x14ac:dyDescent="0.2">
      <c r="E15345" s="7"/>
      <c r="F15345" s="7"/>
    </row>
    <row r="15346" spans="5:6" ht="15" customHeight="1" x14ac:dyDescent="0.2">
      <c r="E15346" s="7"/>
      <c r="F15346" s="7"/>
    </row>
    <row r="15347" spans="5:6" ht="15" customHeight="1" x14ac:dyDescent="0.2">
      <c r="E15347" s="7"/>
      <c r="F15347" s="7"/>
    </row>
    <row r="15348" spans="5:6" ht="15" customHeight="1" x14ac:dyDescent="0.2">
      <c r="E15348" s="7"/>
      <c r="F15348" s="7"/>
    </row>
    <row r="15349" spans="5:6" ht="15" customHeight="1" x14ac:dyDescent="0.2">
      <c r="E15349" s="7"/>
      <c r="F15349" s="7"/>
    </row>
    <row r="15350" spans="5:6" ht="15" customHeight="1" x14ac:dyDescent="0.2">
      <c r="E15350" s="7"/>
      <c r="F15350" s="7"/>
    </row>
    <row r="15351" spans="5:6" ht="15" customHeight="1" x14ac:dyDescent="0.2">
      <c r="E15351" s="7"/>
      <c r="F15351" s="7"/>
    </row>
    <row r="15352" spans="5:6" ht="15" customHeight="1" x14ac:dyDescent="0.2">
      <c r="E15352" s="7"/>
      <c r="F15352" s="7"/>
    </row>
    <row r="15353" spans="5:6" ht="15" customHeight="1" x14ac:dyDescent="0.2">
      <c r="E15353" s="7"/>
      <c r="F15353" s="7"/>
    </row>
    <row r="15354" spans="5:6" ht="15" customHeight="1" x14ac:dyDescent="0.2">
      <c r="E15354" s="7"/>
      <c r="F15354" s="7"/>
    </row>
    <row r="15355" spans="5:6" ht="15" customHeight="1" x14ac:dyDescent="0.2">
      <c r="E15355" s="7"/>
      <c r="F15355" s="7"/>
    </row>
    <row r="15356" spans="5:6" ht="15" customHeight="1" x14ac:dyDescent="0.2">
      <c r="E15356" s="7"/>
      <c r="F15356" s="7"/>
    </row>
    <row r="15357" spans="5:6" ht="15" customHeight="1" x14ac:dyDescent="0.2">
      <c r="E15357" s="7"/>
      <c r="F15357" s="7"/>
    </row>
    <row r="15358" spans="5:6" ht="15" customHeight="1" x14ac:dyDescent="0.2">
      <c r="E15358" s="7"/>
      <c r="F15358" s="7"/>
    </row>
    <row r="15359" spans="5:6" ht="15" customHeight="1" x14ac:dyDescent="0.2">
      <c r="E15359" s="7"/>
      <c r="F15359" s="7"/>
    </row>
    <row r="15360" spans="5:6" ht="15" customHeight="1" x14ac:dyDescent="0.2">
      <c r="E15360" s="7"/>
      <c r="F15360" s="7"/>
    </row>
    <row r="15361" spans="5:6" ht="15" customHeight="1" x14ac:dyDescent="0.2">
      <c r="E15361" s="7"/>
      <c r="F15361" s="7"/>
    </row>
    <row r="15362" spans="5:6" ht="15" customHeight="1" x14ac:dyDescent="0.2">
      <c r="E15362" s="7"/>
      <c r="F15362" s="7"/>
    </row>
    <row r="15363" spans="5:6" ht="15" customHeight="1" x14ac:dyDescent="0.2">
      <c r="E15363" s="7"/>
      <c r="F15363" s="7"/>
    </row>
    <row r="15364" spans="5:6" ht="15" customHeight="1" x14ac:dyDescent="0.2">
      <c r="E15364" s="7"/>
      <c r="F15364" s="7"/>
    </row>
    <row r="15365" spans="5:6" ht="15" customHeight="1" x14ac:dyDescent="0.2">
      <c r="E15365" s="7"/>
      <c r="F15365" s="7"/>
    </row>
    <row r="15366" spans="5:6" ht="15" customHeight="1" x14ac:dyDescent="0.2">
      <c r="E15366" s="7"/>
      <c r="F15366" s="7"/>
    </row>
    <row r="15367" spans="5:6" ht="15" customHeight="1" x14ac:dyDescent="0.2">
      <c r="E15367" s="7"/>
      <c r="F15367" s="7"/>
    </row>
    <row r="15368" spans="5:6" ht="15" customHeight="1" x14ac:dyDescent="0.2">
      <c r="E15368" s="7"/>
      <c r="F15368" s="7"/>
    </row>
    <row r="15369" spans="5:6" ht="15" customHeight="1" x14ac:dyDescent="0.2">
      <c r="E15369" s="7"/>
      <c r="F15369" s="7"/>
    </row>
    <row r="15370" spans="5:6" ht="15" customHeight="1" x14ac:dyDescent="0.2">
      <c r="E15370" s="7"/>
      <c r="F15370" s="7"/>
    </row>
    <row r="15371" spans="5:6" ht="15" customHeight="1" x14ac:dyDescent="0.2">
      <c r="E15371" s="7"/>
      <c r="F15371" s="7"/>
    </row>
    <row r="15372" spans="5:6" ht="15" customHeight="1" x14ac:dyDescent="0.2">
      <c r="E15372" s="7"/>
      <c r="F15372" s="7"/>
    </row>
    <row r="15373" spans="5:6" ht="15" customHeight="1" x14ac:dyDescent="0.2">
      <c r="E15373" s="7"/>
      <c r="F15373" s="7"/>
    </row>
    <row r="15374" spans="5:6" ht="15" customHeight="1" x14ac:dyDescent="0.2">
      <c r="E15374" s="7"/>
      <c r="F15374" s="7"/>
    </row>
    <row r="15375" spans="5:6" ht="15" customHeight="1" x14ac:dyDescent="0.2">
      <c r="E15375" s="7"/>
      <c r="F15375" s="7"/>
    </row>
    <row r="15376" spans="5:6" ht="15" customHeight="1" x14ac:dyDescent="0.2">
      <c r="E15376" s="7"/>
      <c r="F15376" s="7"/>
    </row>
    <row r="15377" spans="5:6" ht="15" customHeight="1" x14ac:dyDescent="0.2">
      <c r="E15377" s="7"/>
      <c r="F15377" s="7"/>
    </row>
    <row r="15378" spans="5:6" ht="15" customHeight="1" x14ac:dyDescent="0.2">
      <c r="E15378" s="7"/>
      <c r="F15378" s="7"/>
    </row>
    <row r="15379" spans="5:6" ht="15" customHeight="1" x14ac:dyDescent="0.2">
      <c r="E15379" s="7"/>
      <c r="F15379" s="7"/>
    </row>
    <row r="15380" spans="5:6" ht="15" customHeight="1" x14ac:dyDescent="0.2">
      <c r="E15380" s="7"/>
      <c r="F15380" s="7"/>
    </row>
    <row r="15381" spans="5:6" ht="15" customHeight="1" x14ac:dyDescent="0.2">
      <c r="E15381" s="7"/>
      <c r="F15381" s="7"/>
    </row>
    <row r="15382" spans="5:6" ht="15" customHeight="1" x14ac:dyDescent="0.2">
      <c r="E15382" s="7"/>
      <c r="F15382" s="7"/>
    </row>
    <row r="15383" spans="5:6" ht="15" customHeight="1" x14ac:dyDescent="0.2">
      <c r="E15383" s="7"/>
      <c r="F15383" s="7"/>
    </row>
    <row r="15384" spans="5:6" ht="15" customHeight="1" x14ac:dyDescent="0.2">
      <c r="E15384" s="7"/>
      <c r="F15384" s="7"/>
    </row>
    <row r="15385" spans="5:6" ht="15" customHeight="1" x14ac:dyDescent="0.2">
      <c r="E15385" s="7"/>
      <c r="F15385" s="7"/>
    </row>
    <row r="15386" spans="5:6" ht="15" customHeight="1" x14ac:dyDescent="0.2">
      <c r="E15386" s="7"/>
      <c r="F15386" s="7"/>
    </row>
    <row r="15387" spans="5:6" ht="15" customHeight="1" x14ac:dyDescent="0.2">
      <c r="E15387" s="7"/>
      <c r="F15387" s="7"/>
    </row>
    <row r="15388" spans="5:6" ht="15" customHeight="1" x14ac:dyDescent="0.2">
      <c r="E15388" s="7"/>
      <c r="F15388" s="7"/>
    </row>
    <row r="15389" spans="5:6" ht="15" customHeight="1" x14ac:dyDescent="0.2">
      <c r="E15389" s="7"/>
      <c r="F15389" s="7"/>
    </row>
    <row r="15390" spans="5:6" ht="15" customHeight="1" x14ac:dyDescent="0.2">
      <c r="E15390" s="7"/>
      <c r="F15390" s="7"/>
    </row>
    <row r="15391" spans="5:6" ht="15" customHeight="1" x14ac:dyDescent="0.2">
      <c r="E15391" s="7"/>
      <c r="F15391" s="7"/>
    </row>
    <row r="15392" spans="5:6" ht="15" customHeight="1" x14ac:dyDescent="0.2">
      <c r="E15392" s="7"/>
      <c r="F15392" s="7"/>
    </row>
    <row r="15393" spans="5:6" ht="15" customHeight="1" x14ac:dyDescent="0.2">
      <c r="E15393" s="7"/>
      <c r="F15393" s="7"/>
    </row>
    <row r="15394" spans="5:6" ht="15" customHeight="1" x14ac:dyDescent="0.2">
      <c r="E15394" s="7"/>
      <c r="F15394" s="7"/>
    </row>
    <row r="15395" spans="5:6" ht="15" customHeight="1" x14ac:dyDescent="0.2">
      <c r="E15395" s="7"/>
      <c r="F15395" s="7"/>
    </row>
    <row r="15396" spans="5:6" ht="15" customHeight="1" x14ac:dyDescent="0.2">
      <c r="E15396" s="7"/>
      <c r="F15396" s="7"/>
    </row>
    <row r="15397" spans="5:6" ht="15" customHeight="1" x14ac:dyDescent="0.2">
      <c r="E15397" s="7"/>
      <c r="F15397" s="7"/>
    </row>
    <row r="15398" spans="5:6" ht="15" customHeight="1" x14ac:dyDescent="0.2">
      <c r="E15398" s="7"/>
      <c r="F15398" s="7"/>
    </row>
    <row r="15399" spans="5:6" ht="15" customHeight="1" x14ac:dyDescent="0.2">
      <c r="E15399" s="7"/>
      <c r="F15399" s="7"/>
    </row>
    <row r="15400" spans="5:6" ht="15" customHeight="1" x14ac:dyDescent="0.2">
      <c r="E15400" s="7"/>
      <c r="F15400" s="7"/>
    </row>
    <row r="15401" spans="5:6" ht="15" customHeight="1" x14ac:dyDescent="0.2">
      <c r="E15401" s="7"/>
      <c r="F15401" s="7"/>
    </row>
    <row r="15402" spans="5:6" ht="15" customHeight="1" x14ac:dyDescent="0.2">
      <c r="E15402" s="7"/>
      <c r="F15402" s="7"/>
    </row>
    <row r="15403" spans="5:6" ht="15" customHeight="1" x14ac:dyDescent="0.2">
      <c r="E15403" s="7"/>
      <c r="F15403" s="7"/>
    </row>
    <row r="15404" spans="5:6" ht="15" customHeight="1" x14ac:dyDescent="0.2">
      <c r="E15404" s="7"/>
      <c r="F15404" s="7"/>
    </row>
    <row r="15405" spans="5:6" ht="15" customHeight="1" x14ac:dyDescent="0.2">
      <c r="E15405" s="7"/>
      <c r="F15405" s="7"/>
    </row>
    <row r="15406" spans="5:6" ht="15" customHeight="1" x14ac:dyDescent="0.2">
      <c r="E15406" s="7"/>
      <c r="F15406" s="7"/>
    </row>
    <row r="15407" spans="5:6" ht="15" customHeight="1" x14ac:dyDescent="0.2">
      <c r="E15407" s="7"/>
      <c r="F15407" s="7"/>
    </row>
    <row r="15408" spans="5:6" ht="15" customHeight="1" x14ac:dyDescent="0.2">
      <c r="E15408" s="7"/>
      <c r="F15408" s="7"/>
    </row>
    <row r="15409" spans="5:6" ht="15" customHeight="1" x14ac:dyDescent="0.2">
      <c r="E15409" s="7"/>
      <c r="F15409" s="7"/>
    </row>
    <row r="15410" spans="5:6" ht="15" customHeight="1" x14ac:dyDescent="0.2">
      <c r="E15410" s="7"/>
      <c r="F15410" s="7"/>
    </row>
    <row r="15411" spans="5:6" ht="15" customHeight="1" x14ac:dyDescent="0.2">
      <c r="E15411" s="7"/>
      <c r="F15411" s="7"/>
    </row>
    <row r="15412" spans="5:6" ht="15" customHeight="1" x14ac:dyDescent="0.2">
      <c r="E15412" s="7"/>
      <c r="F15412" s="7"/>
    </row>
    <row r="15413" spans="5:6" ht="15" customHeight="1" x14ac:dyDescent="0.2">
      <c r="E15413" s="7"/>
      <c r="F15413" s="7"/>
    </row>
    <row r="15414" spans="5:6" ht="15" customHeight="1" x14ac:dyDescent="0.2">
      <c r="E15414" s="7"/>
      <c r="F15414" s="7"/>
    </row>
    <row r="15415" spans="5:6" ht="15" customHeight="1" x14ac:dyDescent="0.2">
      <c r="E15415" s="7"/>
      <c r="F15415" s="7"/>
    </row>
    <row r="15416" spans="5:6" ht="15" customHeight="1" x14ac:dyDescent="0.2">
      <c r="E15416" s="7"/>
      <c r="F15416" s="7"/>
    </row>
    <row r="15417" spans="5:6" ht="15" customHeight="1" x14ac:dyDescent="0.2">
      <c r="E15417" s="7"/>
      <c r="F15417" s="7"/>
    </row>
    <row r="15418" spans="5:6" ht="15" customHeight="1" x14ac:dyDescent="0.2">
      <c r="E15418" s="7"/>
      <c r="F15418" s="7"/>
    </row>
    <row r="15419" spans="5:6" ht="15" customHeight="1" x14ac:dyDescent="0.2">
      <c r="E15419" s="7"/>
      <c r="F15419" s="7"/>
    </row>
    <row r="15420" spans="5:6" ht="15" customHeight="1" x14ac:dyDescent="0.2">
      <c r="E15420" s="7"/>
      <c r="F15420" s="7"/>
    </row>
    <row r="15421" spans="5:6" ht="15" customHeight="1" x14ac:dyDescent="0.2">
      <c r="E15421" s="7"/>
      <c r="F15421" s="7"/>
    </row>
    <row r="15422" spans="5:6" ht="15" customHeight="1" x14ac:dyDescent="0.2">
      <c r="E15422" s="7"/>
      <c r="F15422" s="7"/>
    </row>
    <row r="15423" spans="5:6" ht="15" customHeight="1" x14ac:dyDescent="0.2">
      <c r="E15423" s="7"/>
      <c r="F15423" s="7"/>
    </row>
    <row r="15424" spans="5:6" ht="15" customHeight="1" x14ac:dyDescent="0.2">
      <c r="E15424" s="7"/>
      <c r="F15424" s="7"/>
    </row>
    <row r="15425" spans="5:6" ht="15" customHeight="1" x14ac:dyDescent="0.2">
      <c r="E15425" s="7"/>
      <c r="F15425" s="7"/>
    </row>
    <row r="15426" spans="5:6" ht="15" customHeight="1" x14ac:dyDescent="0.2">
      <c r="E15426" s="7"/>
      <c r="F15426" s="7"/>
    </row>
    <row r="15427" spans="5:6" ht="15" customHeight="1" x14ac:dyDescent="0.2">
      <c r="E15427" s="7"/>
      <c r="F15427" s="7"/>
    </row>
    <row r="15428" spans="5:6" ht="15" customHeight="1" x14ac:dyDescent="0.2">
      <c r="E15428" s="7"/>
      <c r="F15428" s="7"/>
    </row>
    <row r="15429" spans="5:6" ht="15" customHeight="1" x14ac:dyDescent="0.2">
      <c r="E15429" s="7"/>
      <c r="F15429" s="7"/>
    </row>
    <row r="15430" spans="5:6" ht="15" customHeight="1" x14ac:dyDescent="0.2">
      <c r="E15430" s="7"/>
      <c r="F15430" s="7"/>
    </row>
    <row r="15431" spans="5:6" ht="15" customHeight="1" x14ac:dyDescent="0.2">
      <c r="E15431" s="7"/>
      <c r="F15431" s="7"/>
    </row>
    <row r="15432" spans="5:6" ht="15" customHeight="1" x14ac:dyDescent="0.2">
      <c r="E15432" s="7"/>
      <c r="F15432" s="7"/>
    </row>
    <row r="15433" spans="5:6" ht="15" customHeight="1" x14ac:dyDescent="0.2">
      <c r="E15433" s="7"/>
      <c r="F15433" s="7"/>
    </row>
    <row r="15434" spans="5:6" ht="15" customHeight="1" x14ac:dyDescent="0.2">
      <c r="E15434" s="7"/>
      <c r="F15434" s="7"/>
    </row>
    <row r="15435" spans="5:6" ht="15" customHeight="1" x14ac:dyDescent="0.2">
      <c r="E15435" s="7"/>
      <c r="F15435" s="7"/>
    </row>
    <row r="15436" spans="5:6" ht="15" customHeight="1" x14ac:dyDescent="0.2">
      <c r="E15436" s="7"/>
      <c r="F15436" s="7"/>
    </row>
    <row r="15437" spans="5:6" ht="15" customHeight="1" x14ac:dyDescent="0.2">
      <c r="E15437" s="7"/>
      <c r="F15437" s="7"/>
    </row>
    <row r="15438" spans="5:6" ht="15" customHeight="1" x14ac:dyDescent="0.2">
      <c r="E15438" s="7"/>
      <c r="F15438" s="7"/>
    </row>
    <row r="15439" spans="5:6" ht="15" customHeight="1" x14ac:dyDescent="0.2">
      <c r="E15439" s="7"/>
      <c r="F15439" s="7"/>
    </row>
    <row r="15440" spans="5:6" ht="15" customHeight="1" x14ac:dyDescent="0.2">
      <c r="E15440" s="7"/>
      <c r="F15440" s="7"/>
    </row>
    <row r="15441" spans="5:6" ht="15" customHeight="1" x14ac:dyDescent="0.2">
      <c r="E15441" s="7"/>
      <c r="F15441" s="7"/>
    </row>
    <row r="15442" spans="5:6" ht="15" customHeight="1" x14ac:dyDescent="0.2">
      <c r="E15442" s="7"/>
      <c r="F15442" s="7"/>
    </row>
    <row r="15443" spans="5:6" ht="15" customHeight="1" x14ac:dyDescent="0.2">
      <c r="E15443" s="7"/>
      <c r="F15443" s="7"/>
    </row>
    <row r="15444" spans="5:6" ht="15" customHeight="1" x14ac:dyDescent="0.2">
      <c r="E15444" s="7"/>
      <c r="F15444" s="7"/>
    </row>
    <row r="15445" spans="5:6" ht="15" customHeight="1" x14ac:dyDescent="0.2">
      <c r="E15445" s="7"/>
      <c r="F15445" s="7"/>
    </row>
    <row r="15446" spans="5:6" ht="15" customHeight="1" x14ac:dyDescent="0.2">
      <c r="E15446" s="7"/>
      <c r="F15446" s="7"/>
    </row>
    <row r="15447" spans="5:6" ht="15" customHeight="1" x14ac:dyDescent="0.2">
      <c r="E15447" s="7"/>
      <c r="F15447" s="7"/>
    </row>
    <row r="15448" spans="5:6" ht="15" customHeight="1" x14ac:dyDescent="0.2">
      <c r="E15448" s="7"/>
      <c r="F15448" s="7"/>
    </row>
    <row r="15449" spans="5:6" ht="15" customHeight="1" x14ac:dyDescent="0.2">
      <c r="E15449" s="7"/>
      <c r="F15449" s="7"/>
    </row>
    <row r="15450" spans="5:6" ht="15" customHeight="1" x14ac:dyDescent="0.2">
      <c r="E15450" s="7"/>
      <c r="F15450" s="7"/>
    </row>
    <row r="15451" spans="5:6" ht="15" customHeight="1" x14ac:dyDescent="0.2">
      <c r="E15451" s="7"/>
      <c r="F15451" s="7"/>
    </row>
    <row r="15452" spans="5:6" ht="15" customHeight="1" x14ac:dyDescent="0.2">
      <c r="E15452" s="7"/>
      <c r="F15452" s="7"/>
    </row>
    <row r="15453" spans="5:6" ht="15" customHeight="1" x14ac:dyDescent="0.2">
      <c r="E15453" s="7"/>
      <c r="F15453" s="7"/>
    </row>
    <row r="15454" spans="5:6" ht="15" customHeight="1" x14ac:dyDescent="0.2">
      <c r="E15454" s="7"/>
      <c r="F15454" s="7"/>
    </row>
    <row r="15455" spans="5:6" ht="15" customHeight="1" x14ac:dyDescent="0.2">
      <c r="E15455" s="7"/>
      <c r="F15455" s="7"/>
    </row>
    <row r="15456" spans="5:6" ht="15" customHeight="1" x14ac:dyDescent="0.2">
      <c r="E15456" s="7"/>
      <c r="F15456" s="7"/>
    </row>
    <row r="15457" spans="5:6" ht="15" customHeight="1" x14ac:dyDescent="0.2">
      <c r="E15457" s="7"/>
      <c r="F15457" s="7"/>
    </row>
    <row r="15458" spans="5:6" ht="15" customHeight="1" x14ac:dyDescent="0.2">
      <c r="E15458" s="7"/>
      <c r="F15458" s="7"/>
    </row>
    <row r="15459" spans="5:6" ht="15" customHeight="1" x14ac:dyDescent="0.2">
      <c r="E15459" s="7"/>
      <c r="F15459" s="7"/>
    </row>
    <row r="15460" spans="5:6" ht="15" customHeight="1" x14ac:dyDescent="0.2">
      <c r="E15460" s="7"/>
      <c r="F15460" s="7"/>
    </row>
    <row r="15461" spans="5:6" ht="15" customHeight="1" x14ac:dyDescent="0.2">
      <c r="E15461" s="7"/>
      <c r="F15461" s="7"/>
    </row>
    <row r="15462" spans="5:6" ht="15" customHeight="1" x14ac:dyDescent="0.2">
      <c r="E15462" s="7"/>
      <c r="F15462" s="7"/>
    </row>
    <row r="15463" spans="5:6" ht="15" customHeight="1" x14ac:dyDescent="0.2">
      <c r="E15463" s="7"/>
      <c r="F15463" s="7"/>
    </row>
    <row r="15464" spans="5:6" ht="15" customHeight="1" x14ac:dyDescent="0.2">
      <c r="E15464" s="7"/>
      <c r="F15464" s="7"/>
    </row>
    <row r="15465" spans="5:6" ht="15" customHeight="1" x14ac:dyDescent="0.2">
      <c r="E15465" s="7"/>
      <c r="F15465" s="7"/>
    </row>
    <row r="15466" spans="5:6" ht="15" customHeight="1" x14ac:dyDescent="0.2">
      <c r="E15466" s="7"/>
      <c r="F15466" s="7"/>
    </row>
    <row r="15467" spans="5:6" ht="15" customHeight="1" x14ac:dyDescent="0.2">
      <c r="E15467" s="7"/>
      <c r="F15467" s="7"/>
    </row>
    <row r="15468" spans="5:6" ht="15" customHeight="1" x14ac:dyDescent="0.2">
      <c r="E15468" s="7"/>
      <c r="F15468" s="7"/>
    </row>
    <row r="15469" spans="5:6" ht="15" customHeight="1" x14ac:dyDescent="0.2">
      <c r="E15469" s="7"/>
      <c r="F15469" s="7"/>
    </row>
    <row r="15470" spans="5:6" ht="15" customHeight="1" x14ac:dyDescent="0.2">
      <c r="E15470" s="7"/>
      <c r="F15470" s="7"/>
    </row>
    <row r="15471" spans="5:6" ht="15" customHeight="1" x14ac:dyDescent="0.2">
      <c r="E15471" s="7"/>
      <c r="F15471" s="7"/>
    </row>
    <row r="15472" spans="5:6" ht="15" customHeight="1" x14ac:dyDescent="0.2">
      <c r="E15472" s="7"/>
      <c r="F15472" s="7"/>
    </row>
    <row r="15473" spans="5:6" ht="15" customHeight="1" x14ac:dyDescent="0.2">
      <c r="E15473" s="7"/>
      <c r="F15473" s="7"/>
    </row>
    <row r="15474" spans="5:6" ht="15" customHeight="1" x14ac:dyDescent="0.2">
      <c r="E15474" s="7"/>
      <c r="F15474" s="7"/>
    </row>
    <row r="15475" spans="5:6" ht="15" customHeight="1" x14ac:dyDescent="0.2">
      <c r="E15475" s="7"/>
      <c r="F15475" s="7"/>
    </row>
    <row r="15476" spans="5:6" ht="15" customHeight="1" x14ac:dyDescent="0.2">
      <c r="E15476" s="7"/>
      <c r="F15476" s="7"/>
    </row>
    <row r="15477" spans="5:6" ht="15" customHeight="1" x14ac:dyDescent="0.2">
      <c r="E15477" s="7"/>
      <c r="F15477" s="7"/>
    </row>
    <row r="15478" spans="5:6" ht="15" customHeight="1" x14ac:dyDescent="0.2">
      <c r="E15478" s="7"/>
      <c r="F15478" s="7"/>
    </row>
    <row r="15479" spans="5:6" ht="15" customHeight="1" x14ac:dyDescent="0.2">
      <c r="E15479" s="7"/>
      <c r="F15479" s="7"/>
    </row>
    <row r="15480" spans="5:6" ht="15" customHeight="1" x14ac:dyDescent="0.2">
      <c r="E15480" s="7"/>
      <c r="F15480" s="7"/>
    </row>
    <row r="15481" spans="5:6" ht="15" customHeight="1" x14ac:dyDescent="0.2">
      <c r="E15481" s="7"/>
      <c r="F15481" s="7"/>
    </row>
    <row r="15482" spans="5:6" ht="15" customHeight="1" x14ac:dyDescent="0.2">
      <c r="E15482" s="7"/>
      <c r="F15482" s="7"/>
    </row>
    <row r="15483" spans="5:6" ht="15" customHeight="1" x14ac:dyDescent="0.2">
      <c r="E15483" s="7"/>
      <c r="F15483" s="7"/>
    </row>
    <row r="15484" spans="5:6" ht="15" customHeight="1" x14ac:dyDescent="0.2">
      <c r="E15484" s="7"/>
      <c r="F15484" s="7"/>
    </row>
    <row r="15485" spans="5:6" ht="15" customHeight="1" x14ac:dyDescent="0.2">
      <c r="E15485" s="7"/>
      <c r="F15485" s="7"/>
    </row>
    <row r="15486" spans="5:6" ht="15" customHeight="1" x14ac:dyDescent="0.2">
      <c r="E15486" s="7"/>
      <c r="F15486" s="7"/>
    </row>
    <row r="15487" spans="5:6" ht="15" customHeight="1" x14ac:dyDescent="0.2">
      <c r="E15487" s="7"/>
      <c r="F15487" s="7"/>
    </row>
    <row r="15488" spans="5:6" ht="15" customHeight="1" x14ac:dyDescent="0.2">
      <c r="E15488" s="7"/>
      <c r="F15488" s="7"/>
    </row>
    <row r="15489" spans="5:6" ht="15" customHeight="1" x14ac:dyDescent="0.2">
      <c r="E15489" s="7"/>
      <c r="F15489" s="7"/>
    </row>
    <row r="15490" spans="5:6" ht="15" customHeight="1" x14ac:dyDescent="0.2">
      <c r="E15490" s="7"/>
      <c r="F15490" s="7"/>
    </row>
    <row r="15491" spans="5:6" ht="15" customHeight="1" x14ac:dyDescent="0.2">
      <c r="E15491" s="7"/>
      <c r="F15491" s="7"/>
    </row>
    <row r="15492" spans="5:6" ht="15" customHeight="1" x14ac:dyDescent="0.2">
      <c r="E15492" s="7"/>
      <c r="F15492" s="7"/>
    </row>
    <row r="15493" spans="5:6" ht="15" customHeight="1" x14ac:dyDescent="0.2">
      <c r="E15493" s="7"/>
      <c r="F15493" s="7"/>
    </row>
    <row r="15494" spans="5:6" ht="15" customHeight="1" x14ac:dyDescent="0.2">
      <c r="E15494" s="7"/>
      <c r="F15494" s="7"/>
    </row>
    <row r="15495" spans="5:6" ht="15" customHeight="1" x14ac:dyDescent="0.2">
      <c r="E15495" s="7"/>
      <c r="F15495" s="7"/>
    </row>
    <row r="15496" spans="5:6" ht="15" customHeight="1" x14ac:dyDescent="0.2">
      <c r="E15496" s="7"/>
      <c r="F15496" s="7"/>
    </row>
    <row r="15497" spans="5:6" ht="15" customHeight="1" x14ac:dyDescent="0.2">
      <c r="E15497" s="7"/>
      <c r="F15497" s="7"/>
    </row>
    <row r="15498" spans="5:6" ht="15" customHeight="1" x14ac:dyDescent="0.2">
      <c r="E15498" s="7"/>
      <c r="F15498" s="7"/>
    </row>
    <row r="15499" spans="5:6" ht="15" customHeight="1" x14ac:dyDescent="0.2">
      <c r="E15499" s="7"/>
      <c r="F15499" s="7"/>
    </row>
    <row r="15500" spans="5:6" ht="15" customHeight="1" x14ac:dyDescent="0.2">
      <c r="E15500" s="7"/>
      <c r="F15500" s="7"/>
    </row>
    <row r="15501" spans="5:6" ht="15" customHeight="1" x14ac:dyDescent="0.2">
      <c r="E15501" s="7"/>
      <c r="F15501" s="7"/>
    </row>
    <row r="15502" spans="5:6" ht="15" customHeight="1" x14ac:dyDescent="0.2">
      <c r="E15502" s="7"/>
      <c r="F15502" s="7"/>
    </row>
    <row r="15503" spans="5:6" ht="15" customHeight="1" x14ac:dyDescent="0.2">
      <c r="E15503" s="7"/>
      <c r="F15503" s="7"/>
    </row>
    <row r="15504" spans="5:6" ht="15" customHeight="1" x14ac:dyDescent="0.2">
      <c r="E15504" s="7"/>
      <c r="F15504" s="7"/>
    </row>
    <row r="15505" spans="5:6" ht="15" customHeight="1" x14ac:dyDescent="0.2">
      <c r="E15505" s="7"/>
      <c r="F15505" s="7"/>
    </row>
    <row r="15506" spans="5:6" ht="15" customHeight="1" x14ac:dyDescent="0.2">
      <c r="E15506" s="7"/>
      <c r="F15506" s="7"/>
    </row>
    <row r="15507" spans="5:6" ht="15" customHeight="1" x14ac:dyDescent="0.2">
      <c r="E15507" s="7"/>
      <c r="F15507" s="7"/>
    </row>
    <row r="15508" spans="5:6" ht="15" customHeight="1" x14ac:dyDescent="0.2">
      <c r="E15508" s="7"/>
      <c r="F15508" s="7"/>
    </row>
    <row r="15509" spans="5:6" ht="15" customHeight="1" x14ac:dyDescent="0.2">
      <c r="E15509" s="7"/>
      <c r="F15509" s="7"/>
    </row>
    <row r="15510" spans="5:6" ht="15" customHeight="1" x14ac:dyDescent="0.2">
      <c r="E15510" s="7"/>
      <c r="F15510" s="7"/>
    </row>
    <row r="15511" spans="5:6" ht="15" customHeight="1" x14ac:dyDescent="0.2">
      <c r="E15511" s="7"/>
      <c r="F15511" s="7"/>
    </row>
    <row r="15512" spans="5:6" ht="15" customHeight="1" x14ac:dyDescent="0.2">
      <c r="E15512" s="7"/>
      <c r="F15512" s="7"/>
    </row>
    <row r="15513" spans="5:6" ht="15" customHeight="1" x14ac:dyDescent="0.2">
      <c r="E15513" s="7"/>
      <c r="F15513" s="7"/>
    </row>
    <row r="15514" spans="5:6" ht="15" customHeight="1" x14ac:dyDescent="0.2">
      <c r="E15514" s="7"/>
      <c r="F15514" s="7"/>
    </row>
    <row r="15515" spans="5:6" ht="15" customHeight="1" x14ac:dyDescent="0.2">
      <c r="E15515" s="7"/>
      <c r="F15515" s="7"/>
    </row>
    <row r="15516" spans="5:6" ht="15" customHeight="1" x14ac:dyDescent="0.2">
      <c r="E15516" s="7"/>
      <c r="F15516" s="7"/>
    </row>
    <row r="15517" spans="5:6" ht="15" customHeight="1" x14ac:dyDescent="0.2">
      <c r="E15517" s="7"/>
      <c r="F15517" s="7"/>
    </row>
    <row r="15518" spans="5:6" ht="15" customHeight="1" x14ac:dyDescent="0.2">
      <c r="E15518" s="7"/>
      <c r="F15518" s="7"/>
    </row>
    <row r="15519" spans="5:6" ht="15" customHeight="1" x14ac:dyDescent="0.2">
      <c r="E15519" s="7"/>
      <c r="F15519" s="7"/>
    </row>
    <row r="15520" spans="5:6" ht="15" customHeight="1" x14ac:dyDescent="0.2">
      <c r="E15520" s="7"/>
      <c r="F15520" s="7"/>
    </row>
    <row r="15521" spans="5:6" ht="15" customHeight="1" x14ac:dyDescent="0.2">
      <c r="E15521" s="7"/>
      <c r="F15521" s="7"/>
    </row>
    <row r="15522" spans="5:6" ht="15" customHeight="1" x14ac:dyDescent="0.2">
      <c r="E15522" s="7"/>
      <c r="F15522" s="7"/>
    </row>
    <row r="15523" spans="5:6" ht="15" customHeight="1" x14ac:dyDescent="0.2">
      <c r="E15523" s="7"/>
      <c r="F15523" s="7"/>
    </row>
    <row r="15524" spans="5:6" ht="15" customHeight="1" x14ac:dyDescent="0.2">
      <c r="E15524" s="7"/>
      <c r="F15524" s="7"/>
    </row>
    <row r="15525" spans="5:6" ht="15" customHeight="1" x14ac:dyDescent="0.2">
      <c r="E15525" s="7"/>
      <c r="F15525" s="7"/>
    </row>
    <row r="15526" spans="5:6" ht="15" customHeight="1" x14ac:dyDescent="0.2">
      <c r="E15526" s="7"/>
      <c r="F15526" s="7"/>
    </row>
    <row r="15527" spans="5:6" ht="15" customHeight="1" x14ac:dyDescent="0.2">
      <c r="E15527" s="7"/>
      <c r="F15527" s="7"/>
    </row>
    <row r="15528" spans="5:6" ht="15" customHeight="1" x14ac:dyDescent="0.2">
      <c r="E15528" s="7"/>
      <c r="F15528" s="7"/>
    </row>
    <row r="15529" spans="5:6" ht="15" customHeight="1" x14ac:dyDescent="0.2">
      <c r="E15529" s="7"/>
      <c r="F15529" s="7"/>
    </row>
    <row r="15530" spans="5:6" ht="15" customHeight="1" x14ac:dyDescent="0.2">
      <c r="E15530" s="7"/>
      <c r="F15530" s="7"/>
    </row>
    <row r="15531" spans="5:6" ht="15" customHeight="1" x14ac:dyDescent="0.2">
      <c r="E15531" s="7"/>
      <c r="F15531" s="7"/>
    </row>
    <row r="15532" spans="5:6" ht="15" customHeight="1" x14ac:dyDescent="0.2">
      <c r="E15532" s="7"/>
      <c r="F15532" s="7"/>
    </row>
    <row r="15533" spans="5:6" ht="15" customHeight="1" x14ac:dyDescent="0.2">
      <c r="E15533" s="7"/>
      <c r="F15533" s="7"/>
    </row>
    <row r="15534" spans="5:6" ht="15" customHeight="1" x14ac:dyDescent="0.2">
      <c r="E15534" s="7"/>
      <c r="F15534" s="7"/>
    </row>
    <row r="15535" spans="5:6" ht="15" customHeight="1" x14ac:dyDescent="0.2">
      <c r="E15535" s="7"/>
      <c r="F15535" s="7"/>
    </row>
    <row r="15536" spans="5:6" ht="15" customHeight="1" x14ac:dyDescent="0.2">
      <c r="E15536" s="7"/>
      <c r="F15536" s="7"/>
    </row>
    <row r="15537" spans="5:6" ht="15" customHeight="1" x14ac:dyDescent="0.2">
      <c r="E15537" s="7"/>
      <c r="F15537" s="7"/>
    </row>
    <row r="15538" spans="5:6" ht="15" customHeight="1" x14ac:dyDescent="0.2">
      <c r="E15538" s="7"/>
      <c r="F15538" s="7"/>
    </row>
    <row r="15539" spans="5:6" ht="15" customHeight="1" x14ac:dyDescent="0.2">
      <c r="E15539" s="7"/>
      <c r="F15539" s="7"/>
    </row>
    <row r="15540" spans="5:6" ht="15" customHeight="1" x14ac:dyDescent="0.2">
      <c r="E15540" s="7"/>
      <c r="F15540" s="7"/>
    </row>
    <row r="15541" spans="5:6" ht="15" customHeight="1" x14ac:dyDescent="0.2">
      <c r="E15541" s="7"/>
      <c r="F15541" s="7"/>
    </row>
    <row r="15542" spans="5:6" ht="15" customHeight="1" x14ac:dyDescent="0.2">
      <c r="E15542" s="7"/>
      <c r="F15542" s="7"/>
    </row>
    <row r="15543" spans="5:6" ht="15" customHeight="1" x14ac:dyDescent="0.2">
      <c r="E15543" s="7"/>
      <c r="F15543" s="7"/>
    </row>
    <row r="15544" spans="5:6" ht="15" customHeight="1" x14ac:dyDescent="0.2">
      <c r="E15544" s="7"/>
      <c r="F15544" s="7"/>
    </row>
    <row r="15545" spans="5:6" ht="15" customHeight="1" x14ac:dyDescent="0.2">
      <c r="E15545" s="7"/>
      <c r="F15545" s="7"/>
    </row>
    <row r="15546" spans="5:6" ht="15" customHeight="1" x14ac:dyDescent="0.2">
      <c r="E15546" s="7"/>
      <c r="F15546" s="7"/>
    </row>
    <row r="15547" spans="5:6" ht="15" customHeight="1" x14ac:dyDescent="0.2">
      <c r="E15547" s="7"/>
      <c r="F15547" s="7"/>
    </row>
    <row r="15548" spans="5:6" ht="15" customHeight="1" x14ac:dyDescent="0.2">
      <c r="E15548" s="7"/>
      <c r="F15548" s="7"/>
    </row>
    <row r="15549" spans="5:6" ht="15" customHeight="1" x14ac:dyDescent="0.2">
      <c r="E15549" s="7"/>
      <c r="F15549" s="7"/>
    </row>
    <row r="15550" spans="5:6" ht="15" customHeight="1" x14ac:dyDescent="0.2">
      <c r="E15550" s="7"/>
      <c r="F15550" s="7"/>
    </row>
    <row r="15551" spans="5:6" ht="15" customHeight="1" x14ac:dyDescent="0.2">
      <c r="E15551" s="7"/>
      <c r="F15551" s="7"/>
    </row>
    <row r="15552" spans="5:6" ht="15" customHeight="1" x14ac:dyDescent="0.2">
      <c r="E15552" s="7"/>
      <c r="F15552" s="7"/>
    </row>
    <row r="15553" spans="5:6" ht="15" customHeight="1" x14ac:dyDescent="0.2">
      <c r="E15553" s="7"/>
      <c r="F15553" s="7"/>
    </row>
    <row r="15554" spans="5:6" ht="15" customHeight="1" x14ac:dyDescent="0.2">
      <c r="E15554" s="7"/>
      <c r="F15554" s="7"/>
    </row>
    <row r="15555" spans="5:6" ht="15" customHeight="1" x14ac:dyDescent="0.2">
      <c r="E15555" s="7"/>
      <c r="F15555" s="7"/>
    </row>
    <row r="15556" spans="5:6" ht="15" customHeight="1" x14ac:dyDescent="0.2">
      <c r="E15556" s="7"/>
      <c r="F15556" s="7"/>
    </row>
    <row r="15557" spans="5:6" ht="15" customHeight="1" x14ac:dyDescent="0.2">
      <c r="E15557" s="7"/>
      <c r="F15557" s="7"/>
    </row>
    <row r="15558" spans="5:6" ht="15" customHeight="1" x14ac:dyDescent="0.2">
      <c r="E15558" s="7"/>
      <c r="F15558" s="7"/>
    </row>
    <row r="15559" spans="5:6" ht="15" customHeight="1" x14ac:dyDescent="0.2">
      <c r="E15559" s="7"/>
      <c r="F15559" s="7"/>
    </row>
    <row r="15560" spans="5:6" ht="15" customHeight="1" x14ac:dyDescent="0.2">
      <c r="E15560" s="7"/>
      <c r="F15560" s="7"/>
    </row>
    <row r="15561" spans="5:6" ht="15" customHeight="1" x14ac:dyDescent="0.2">
      <c r="E15561" s="7"/>
      <c r="F15561" s="7"/>
    </row>
    <row r="15562" spans="5:6" ht="15" customHeight="1" x14ac:dyDescent="0.2">
      <c r="E15562" s="7"/>
      <c r="F15562" s="7"/>
    </row>
    <row r="15563" spans="5:6" ht="15" customHeight="1" x14ac:dyDescent="0.2">
      <c r="E15563" s="7"/>
      <c r="F15563" s="7"/>
    </row>
    <row r="15564" spans="5:6" ht="15" customHeight="1" x14ac:dyDescent="0.2">
      <c r="E15564" s="7"/>
      <c r="F15564" s="7"/>
    </row>
    <row r="15565" spans="5:6" ht="15" customHeight="1" x14ac:dyDescent="0.2">
      <c r="E15565" s="7"/>
      <c r="F15565" s="7"/>
    </row>
    <row r="15566" spans="5:6" ht="15" customHeight="1" x14ac:dyDescent="0.2">
      <c r="E15566" s="7"/>
      <c r="F15566" s="7"/>
    </row>
    <row r="15567" spans="5:6" ht="15" customHeight="1" x14ac:dyDescent="0.2">
      <c r="E15567" s="7"/>
      <c r="F15567" s="7"/>
    </row>
    <row r="15568" spans="5:6" ht="15" customHeight="1" x14ac:dyDescent="0.2">
      <c r="E15568" s="7"/>
      <c r="F15568" s="7"/>
    </row>
    <row r="15569" spans="5:6" ht="15" customHeight="1" x14ac:dyDescent="0.2">
      <c r="E15569" s="7"/>
      <c r="F15569" s="7"/>
    </row>
    <row r="15570" spans="5:6" ht="15" customHeight="1" x14ac:dyDescent="0.2">
      <c r="E15570" s="7"/>
      <c r="F15570" s="7"/>
    </row>
    <row r="15571" spans="5:6" ht="15" customHeight="1" x14ac:dyDescent="0.2">
      <c r="E15571" s="7"/>
      <c r="F15571" s="7"/>
    </row>
    <row r="15572" spans="5:6" ht="15" customHeight="1" x14ac:dyDescent="0.2">
      <c r="E15572" s="7"/>
      <c r="F15572" s="7"/>
    </row>
    <row r="15573" spans="5:6" ht="15" customHeight="1" x14ac:dyDescent="0.2">
      <c r="E15573" s="7"/>
      <c r="F15573" s="7"/>
    </row>
    <row r="15574" spans="5:6" ht="15" customHeight="1" x14ac:dyDescent="0.2">
      <c r="E15574" s="7"/>
      <c r="F15574" s="7"/>
    </row>
    <row r="15575" spans="5:6" ht="15" customHeight="1" x14ac:dyDescent="0.2">
      <c r="E15575" s="7"/>
      <c r="F15575" s="7"/>
    </row>
    <row r="15576" spans="5:6" ht="15" customHeight="1" x14ac:dyDescent="0.2">
      <c r="E15576" s="7"/>
      <c r="F15576" s="7"/>
    </row>
    <row r="15577" spans="5:6" ht="15" customHeight="1" x14ac:dyDescent="0.2">
      <c r="E15577" s="7"/>
      <c r="F15577" s="7"/>
    </row>
    <row r="15578" spans="5:6" ht="15" customHeight="1" x14ac:dyDescent="0.2">
      <c r="E15578" s="7"/>
      <c r="F15578" s="7"/>
    </row>
    <row r="15579" spans="5:6" ht="15" customHeight="1" x14ac:dyDescent="0.2">
      <c r="E15579" s="7"/>
      <c r="F15579" s="7"/>
    </row>
    <row r="15580" spans="5:6" ht="15" customHeight="1" x14ac:dyDescent="0.2">
      <c r="E15580" s="7"/>
      <c r="F15580" s="7"/>
    </row>
    <row r="15581" spans="5:6" ht="15" customHeight="1" x14ac:dyDescent="0.2">
      <c r="E15581" s="7"/>
      <c r="F15581" s="7"/>
    </row>
    <row r="15582" spans="5:6" ht="15" customHeight="1" x14ac:dyDescent="0.2">
      <c r="E15582" s="7"/>
      <c r="F15582" s="7"/>
    </row>
    <row r="15583" spans="5:6" ht="15" customHeight="1" x14ac:dyDescent="0.2">
      <c r="E15583" s="7"/>
      <c r="F15583" s="7"/>
    </row>
    <row r="15584" spans="5:6" ht="15" customHeight="1" x14ac:dyDescent="0.2">
      <c r="E15584" s="7"/>
      <c r="F15584" s="7"/>
    </row>
    <row r="15585" spans="5:6" ht="15" customHeight="1" x14ac:dyDescent="0.2">
      <c r="E15585" s="7"/>
      <c r="F15585" s="7"/>
    </row>
    <row r="15586" spans="5:6" ht="15" customHeight="1" x14ac:dyDescent="0.2">
      <c r="E15586" s="7"/>
      <c r="F15586" s="7"/>
    </row>
    <row r="15587" spans="5:6" ht="15" customHeight="1" x14ac:dyDescent="0.2">
      <c r="E15587" s="7"/>
      <c r="F15587" s="7"/>
    </row>
    <row r="15588" spans="5:6" ht="15" customHeight="1" x14ac:dyDescent="0.2">
      <c r="E15588" s="7"/>
      <c r="F15588" s="7"/>
    </row>
    <row r="15589" spans="5:6" ht="15" customHeight="1" x14ac:dyDescent="0.2">
      <c r="E15589" s="7"/>
      <c r="F15589" s="7"/>
    </row>
    <row r="15590" spans="5:6" ht="15" customHeight="1" x14ac:dyDescent="0.2">
      <c r="E15590" s="7"/>
      <c r="F15590" s="7"/>
    </row>
    <row r="15591" spans="5:6" ht="15" customHeight="1" x14ac:dyDescent="0.2">
      <c r="E15591" s="7"/>
      <c r="F15591" s="7"/>
    </row>
    <row r="15592" spans="5:6" ht="15" customHeight="1" x14ac:dyDescent="0.2">
      <c r="E15592" s="7"/>
      <c r="F15592" s="7"/>
    </row>
    <row r="15593" spans="5:6" ht="15" customHeight="1" x14ac:dyDescent="0.2">
      <c r="E15593" s="7"/>
      <c r="F15593" s="7"/>
    </row>
    <row r="15594" spans="5:6" ht="15" customHeight="1" x14ac:dyDescent="0.2">
      <c r="E15594" s="7"/>
      <c r="F15594" s="7"/>
    </row>
    <row r="15595" spans="5:6" ht="15" customHeight="1" x14ac:dyDescent="0.2">
      <c r="E15595" s="7"/>
      <c r="F15595" s="7"/>
    </row>
    <row r="15596" spans="5:6" ht="15" customHeight="1" x14ac:dyDescent="0.2">
      <c r="E15596" s="7"/>
      <c r="F15596" s="7"/>
    </row>
    <row r="15597" spans="5:6" ht="15" customHeight="1" x14ac:dyDescent="0.2">
      <c r="E15597" s="7"/>
      <c r="F15597" s="7"/>
    </row>
    <row r="15598" spans="5:6" ht="15" customHeight="1" x14ac:dyDescent="0.2">
      <c r="E15598" s="7"/>
      <c r="F15598" s="7"/>
    </row>
    <row r="15599" spans="5:6" ht="15" customHeight="1" x14ac:dyDescent="0.2">
      <c r="E15599" s="7"/>
      <c r="F15599" s="7"/>
    </row>
    <row r="15600" spans="5:6" ht="15" customHeight="1" x14ac:dyDescent="0.2">
      <c r="E15600" s="7"/>
      <c r="F15600" s="7"/>
    </row>
    <row r="15601" spans="5:6" ht="15" customHeight="1" x14ac:dyDescent="0.2">
      <c r="E15601" s="7"/>
      <c r="F15601" s="7"/>
    </row>
    <row r="15602" spans="5:6" ht="15" customHeight="1" x14ac:dyDescent="0.2">
      <c r="E15602" s="7"/>
      <c r="F15602" s="7"/>
    </row>
    <row r="15603" spans="5:6" ht="15" customHeight="1" x14ac:dyDescent="0.2">
      <c r="E15603" s="7"/>
      <c r="F15603" s="7"/>
    </row>
    <row r="15604" spans="5:6" ht="15" customHeight="1" x14ac:dyDescent="0.2">
      <c r="E15604" s="7"/>
      <c r="F15604" s="7"/>
    </row>
    <row r="15605" spans="5:6" ht="15" customHeight="1" x14ac:dyDescent="0.2">
      <c r="E15605" s="7"/>
      <c r="F15605" s="7"/>
    </row>
    <row r="15606" spans="5:6" ht="15" customHeight="1" x14ac:dyDescent="0.2">
      <c r="E15606" s="7"/>
      <c r="F15606" s="7"/>
    </row>
    <row r="15607" spans="5:6" ht="15" customHeight="1" x14ac:dyDescent="0.2">
      <c r="E15607" s="7"/>
      <c r="F15607" s="7"/>
    </row>
    <row r="15608" spans="5:6" ht="15" customHeight="1" x14ac:dyDescent="0.2">
      <c r="E15608" s="7"/>
      <c r="F15608" s="7"/>
    </row>
    <row r="15609" spans="5:6" ht="15" customHeight="1" x14ac:dyDescent="0.2">
      <c r="E15609" s="7"/>
      <c r="F15609" s="7"/>
    </row>
    <row r="15610" spans="5:6" ht="15" customHeight="1" x14ac:dyDescent="0.2">
      <c r="E15610" s="7"/>
      <c r="F15610" s="7"/>
    </row>
    <row r="15611" spans="5:6" ht="15" customHeight="1" x14ac:dyDescent="0.2">
      <c r="E15611" s="7"/>
      <c r="F15611" s="7"/>
    </row>
    <row r="15612" spans="5:6" ht="15" customHeight="1" x14ac:dyDescent="0.2">
      <c r="E15612" s="7"/>
      <c r="F15612" s="7"/>
    </row>
    <row r="15613" spans="5:6" ht="15" customHeight="1" x14ac:dyDescent="0.2">
      <c r="E15613" s="7"/>
      <c r="F15613" s="7"/>
    </row>
    <row r="15614" spans="5:6" ht="15" customHeight="1" x14ac:dyDescent="0.2">
      <c r="E15614" s="7"/>
      <c r="F15614" s="7"/>
    </row>
    <row r="15615" spans="5:6" ht="15" customHeight="1" x14ac:dyDescent="0.2">
      <c r="E15615" s="7"/>
      <c r="F15615" s="7"/>
    </row>
    <row r="15616" spans="5:6" ht="15" customHeight="1" x14ac:dyDescent="0.2">
      <c r="E15616" s="7"/>
      <c r="F15616" s="7"/>
    </row>
    <row r="15617" spans="5:6" ht="15" customHeight="1" x14ac:dyDescent="0.2">
      <c r="E15617" s="7"/>
      <c r="F15617" s="7"/>
    </row>
    <row r="15618" spans="5:6" ht="15" customHeight="1" x14ac:dyDescent="0.2">
      <c r="E15618" s="7"/>
      <c r="F15618" s="7"/>
    </row>
    <row r="15619" spans="5:6" ht="15" customHeight="1" x14ac:dyDescent="0.2">
      <c r="E15619" s="7"/>
      <c r="F15619" s="7"/>
    </row>
    <row r="15620" spans="5:6" ht="15" customHeight="1" x14ac:dyDescent="0.2">
      <c r="E15620" s="7"/>
      <c r="F15620" s="7"/>
    </row>
    <row r="15621" spans="5:6" ht="15" customHeight="1" x14ac:dyDescent="0.2">
      <c r="E15621" s="7"/>
      <c r="F15621" s="7"/>
    </row>
    <row r="15622" spans="5:6" ht="15" customHeight="1" x14ac:dyDescent="0.2">
      <c r="E15622" s="7"/>
      <c r="F15622" s="7"/>
    </row>
    <row r="15623" spans="5:6" ht="15" customHeight="1" x14ac:dyDescent="0.2">
      <c r="E15623" s="7"/>
      <c r="F15623" s="7"/>
    </row>
    <row r="15624" spans="5:6" ht="15" customHeight="1" x14ac:dyDescent="0.2">
      <c r="E15624" s="7"/>
      <c r="F15624" s="7"/>
    </row>
    <row r="15625" spans="5:6" ht="15" customHeight="1" x14ac:dyDescent="0.2">
      <c r="E15625" s="7"/>
      <c r="F15625" s="7"/>
    </row>
    <row r="15626" spans="5:6" ht="15" customHeight="1" x14ac:dyDescent="0.2">
      <c r="E15626" s="7"/>
      <c r="F15626" s="7"/>
    </row>
    <row r="15627" spans="5:6" ht="15" customHeight="1" x14ac:dyDescent="0.2">
      <c r="E15627" s="7"/>
      <c r="F15627" s="7"/>
    </row>
    <row r="15628" spans="5:6" ht="15" customHeight="1" x14ac:dyDescent="0.2">
      <c r="E15628" s="7"/>
      <c r="F15628" s="7"/>
    </row>
    <row r="15629" spans="5:6" ht="15" customHeight="1" x14ac:dyDescent="0.2">
      <c r="E15629" s="7"/>
      <c r="F15629" s="7"/>
    </row>
    <row r="15630" spans="5:6" ht="15" customHeight="1" x14ac:dyDescent="0.2">
      <c r="E15630" s="7"/>
      <c r="F15630" s="7"/>
    </row>
    <row r="15631" spans="5:6" ht="15" customHeight="1" x14ac:dyDescent="0.2">
      <c r="E15631" s="7"/>
      <c r="F15631" s="7"/>
    </row>
    <row r="15632" spans="5:6" ht="15" customHeight="1" x14ac:dyDescent="0.2">
      <c r="E15632" s="7"/>
      <c r="F15632" s="7"/>
    </row>
    <row r="15633" spans="5:6" ht="15" customHeight="1" x14ac:dyDescent="0.2">
      <c r="E15633" s="7"/>
      <c r="F15633" s="7"/>
    </row>
    <row r="15634" spans="5:6" ht="15" customHeight="1" x14ac:dyDescent="0.2">
      <c r="E15634" s="7"/>
      <c r="F15634" s="7"/>
    </row>
    <row r="15635" spans="5:6" ht="15" customHeight="1" x14ac:dyDescent="0.2">
      <c r="E15635" s="7"/>
      <c r="F15635" s="7"/>
    </row>
    <row r="15636" spans="5:6" ht="15" customHeight="1" x14ac:dyDescent="0.2">
      <c r="E15636" s="7"/>
      <c r="F15636" s="7"/>
    </row>
    <row r="15637" spans="5:6" ht="15" customHeight="1" x14ac:dyDescent="0.2">
      <c r="E15637" s="7"/>
      <c r="F15637" s="7"/>
    </row>
    <row r="15638" spans="5:6" ht="15" customHeight="1" x14ac:dyDescent="0.2">
      <c r="E15638" s="7"/>
      <c r="F15638" s="7"/>
    </row>
    <row r="15639" spans="5:6" ht="15" customHeight="1" x14ac:dyDescent="0.2">
      <c r="E15639" s="7"/>
      <c r="F15639" s="7"/>
    </row>
    <row r="15640" spans="5:6" ht="15" customHeight="1" x14ac:dyDescent="0.2">
      <c r="E15640" s="7"/>
      <c r="F15640" s="7"/>
    </row>
    <row r="15641" spans="5:6" ht="15" customHeight="1" x14ac:dyDescent="0.2">
      <c r="E15641" s="7"/>
      <c r="F15641" s="7"/>
    </row>
    <row r="15642" spans="5:6" ht="15" customHeight="1" x14ac:dyDescent="0.2">
      <c r="E15642" s="7"/>
      <c r="F15642" s="7"/>
    </row>
    <row r="15643" spans="5:6" ht="15" customHeight="1" x14ac:dyDescent="0.2">
      <c r="E15643" s="7"/>
      <c r="F15643" s="7"/>
    </row>
    <row r="15644" spans="5:6" ht="15" customHeight="1" x14ac:dyDescent="0.2">
      <c r="E15644" s="7"/>
      <c r="F15644" s="7"/>
    </row>
    <row r="15645" spans="5:6" ht="15" customHeight="1" x14ac:dyDescent="0.2">
      <c r="E15645" s="7"/>
      <c r="F15645" s="7"/>
    </row>
    <row r="15646" spans="5:6" ht="15" customHeight="1" x14ac:dyDescent="0.2">
      <c r="E15646" s="7"/>
      <c r="F15646" s="7"/>
    </row>
    <row r="15647" spans="5:6" ht="15" customHeight="1" x14ac:dyDescent="0.2">
      <c r="E15647" s="7"/>
      <c r="F15647" s="7"/>
    </row>
    <row r="15648" spans="5:6" ht="15" customHeight="1" x14ac:dyDescent="0.2">
      <c r="E15648" s="7"/>
      <c r="F15648" s="7"/>
    </row>
    <row r="15649" spans="5:6" ht="15" customHeight="1" x14ac:dyDescent="0.2">
      <c r="E15649" s="7"/>
      <c r="F15649" s="7"/>
    </row>
    <row r="15650" spans="5:6" ht="15" customHeight="1" x14ac:dyDescent="0.2">
      <c r="E15650" s="7"/>
      <c r="F15650" s="7"/>
    </row>
    <row r="15651" spans="5:6" ht="15" customHeight="1" x14ac:dyDescent="0.2">
      <c r="E15651" s="7"/>
      <c r="F15651" s="7"/>
    </row>
    <row r="15652" spans="5:6" ht="15" customHeight="1" x14ac:dyDescent="0.2">
      <c r="E15652" s="7"/>
      <c r="F15652" s="7"/>
    </row>
    <row r="15653" spans="5:6" ht="15" customHeight="1" x14ac:dyDescent="0.2">
      <c r="E15653" s="7"/>
      <c r="F15653" s="7"/>
    </row>
    <row r="15654" spans="5:6" ht="15" customHeight="1" x14ac:dyDescent="0.2">
      <c r="E15654" s="7"/>
      <c r="F15654" s="7"/>
    </row>
    <row r="15655" spans="5:6" ht="15" customHeight="1" x14ac:dyDescent="0.2">
      <c r="E15655" s="7"/>
      <c r="F15655" s="7"/>
    </row>
    <row r="15656" spans="5:6" ht="15" customHeight="1" x14ac:dyDescent="0.2">
      <c r="E15656" s="7"/>
      <c r="F15656" s="7"/>
    </row>
    <row r="15657" spans="5:6" ht="15" customHeight="1" x14ac:dyDescent="0.2">
      <c r="E15657" s="7"/>
      <c r="F15657" s="7"/>
    </row>
    <row r="15658" spans="5:6" ht="15" customHeight="1" x14ac:dyDescent="0.2">
      <c r="E15658" s="7"/>
      <c r="F15658" s="7"/>
    </row>
    <row r="15659" spans="5:6" ht="15" customHeight="1" x14ac:dyDescent="0.2">
      <c r="E15659" s="7"/>
      <c r="F15659" s="7"/>
    </row>
    <row r="15660" spans="5:6" ht="15" customHeight="1" x14ac:dyDescent="0.2">
      <c r="E15660" s="7"/>
      <c r="F15660" s="7"/>
    </row>
    <row r="15661" spans="5:6" ht="15" customHeight="1" x14ac:dyDescent="0.2">
      <c r="E15661" s="7"/>
      <c r="F15661" s="7"/>
    </row>
    <row r="15662" spans="5:6" ht="15" customHeight="1" x14ac:dyDescent="0.2">
      <c r="E15662" s="7"/>
      <c r="F15662" s="7"/>
    </row>
    <row r="15663" spans="5:6" ht="15" customHeight="1" x14ac:dyDescent="0.2">
      <c r="E15663" s="7"/>
      <c r="F15663" s="7"/>
    </row>
    <row r="15664" spans="5:6" ht="15" customHeight="1" x14ac:dyDescent="0.2">
      <c r="E15664" s="7"/>
      <c r="F15664" s="7"/>
    </row>
    <row r="15665" spans="5:6" ht="15" customHeight="1" x14ac:dyDescent="0.2">
      <c r="E15665" s="7"/>
      <c r="F15665" s="7"/>
    </row>
    <row r="15666" spans="5:6" ht="15" customHeight="1" x14ac:dyDescent="0.2">
      <c r="E15666" s="7"/>
      <c r="F15666" s="7"/>
    </row>
    <row r="15667" spans="5:6" ht="15" customHeight="1" x14ac:dyDescent="0.2">
      <c r="E15667" s="7"/>
      <c r="F15667" s="7"/>
    </row>
    <row r="15668" spans="5:6" ht="15" customHeight="1" x14ac:dyDescent="0.2">
      <c r="E15668" s="7"/>
      <c r="F15668" s="7"/>
    </row>
    <row r="15669" spans="5:6" ht="15" customHeight="1" x14ac:dyDescent="0.2">
      <c r="E15669" s="7"/>
      <c r="F15669" s="7"/>
    </row>
    <row r="15670" spans="5:6" ht="15" customHeight="1" x14ac:dyDescent="0.2">
      <c r="E15670" s="7"/>
      <c r="F15670" s="7"/>
    </row>
    <row r="15671" spans="5:6" ht="15" customHeight="1" x14ac:dyDescent="0.2">
      <c r="E15671" s="7"/>
      <c r="F15671" s="7"/>
    </row>
    <row r="15672" spans="5:6" ht="15" customHeight="1" x14ac:dyDescent="0.2">
      <c r="E15672" s="7"/>
      <c r="F15672" s="7"/>
    </row>
    <row r="15673" spans="5:6" ht="15" customHeight="1" x14ac:dyDescent="0.2">
      <c r="E15673" s="7"/>
      <c r="F15673" s="7"/>
    </row>
    <row r="15674" spans="5:6" ht="15" customHeight="1" x14ac:dyDescent="0.2">
      <c r="E15674" s="7"/>
      <c r="F15674" s="7"/>
    </row>
    <row r="15675" spans="5:6" ht="15" customHeight="1" x14ac:dyDescent="0.2">
      <c r="E15675" s="7"/>
      <c r="F15675" s="7"/>
    </row>
    <row r="15676" spans="5:6" ht="15" customHeight="1" x14ac:dyDescent="0.2">
      <c r="E15676" s="7"/>
      <c r="F15676" s="7"/>
    </row>
    <row r="15677" spans="5:6" ht="15" customHeight="1" x14ac:dyDescent="0.2">
      <c r="E15677" s="7"/>
      <c r="F15677" s="7"/>
    </row>
    <row r="15678" spans="5:6" ht="15" customHeight="1" x14ac:dyDescent="0.2">
      <c r="E15678" s="7"/>
      <c r="F15678" s="7"/>
    </row>
    <row r="15679" spans="5:6" ht="15" customHeight="1" x14ac:dyDescent="0.2">
      <c r="E15679" s="7"/>
      <c r="F15679" s="7"/>
    </row>
    <row r="15680" spans="5:6" ht="15" customHeight="1" x14ac:dyDescent="0.2">
      <c r="E15680" s="7"/>
      <c r="F15680" s="7"/>
    </row>
    <row r="15681" spans="5:6" ht="15" customHeight="1" x14ac:dyDescent="0.2">
      <c r="E15681" s="7"/>
      <c r="F15681" s="7"/>
    </row>
    <row r="15682" spans="5:6" ht="15" customHeight="1" x14ac:dyDescent="0.2">
      <c r="E15682" s="7"/>
      <c r="F15682" s="7"/>
    </row>
    <row r="15683" spans="5:6" ht="15" customHeight="1" x14ac:dyDescent="0.2">
      <c r="E15683" s="7"/>
      <c r="F15683" s="7"/>
    </row>
    <row r="15684" spans="5:6" ht="15" customHeight="1" x14ac:dyDescent="0.2">
      <c r="E15684" s="7"/>
      <c r="F15684" s="7"/>
    </row>
    <row r="15685" spans="5:6" ht="15" customHeight="1" x14ac:dyDescent="0.2">
      <c r="E15685" s="7"/>
      <c r="F15685" s="7"/>
    </row>
    <row r="15686" spans="5:6" ht="15" customHeight="1" x14ac:dyDescent="0.2">
      <c r="E15686" s="7"/>
      <c r="F15686" s="7"/>
    </row>
    <row r="15687" spans="5:6" ht="15" customHeight="1" x14ac:dyDescent="0.2">
      <c r="E15687" s="7"/>
      <c r="F15687" s="7"/>
    </row>
    <row r="15688" spans="5:6" ht="15" customHeight="1" x14ac:dyDescent="0.2">
      <c r="E15688" s="7"/>
      <c r="F15688" s="7"/>
    </row>
    <row r="15689" spans="5:6" ht="15" customHeight="1" x14ac:dyDescent="0.2">
      <c r="E15689" s="7"/>
      <c r="F15689" s="7"/>
    </row>
    <row r="15690" spans="5:6" ht="15" customHeight="1" x14ac:dyDescent="0.2">
      <c r="E15690" s="7"/>
      <c r="F15690" s="7"/>
    </row>
    <row r="15691" spans="5:6" ht="15" customHeight="1" x14ac:dyDescent="0.2">
      <c r="E15691" s="7"/>
      <c r="F15691" s="7"/>
    </row>
    <row r="15692" spans="5:6" ht="15" customHeight="1" x14ac:dyDescent="0.2">
      <c r="E15692" s="7"/>
      <c r="F15692" s="7"/>
    </row>
    <row r="15693" spans="5:6" ht="15" customHeight="1" x14ac:dyDescent="0.2">
      <c r="E15693" s="7"/>
      <c r="F15693" s="7"/>
    </row>
    <row r="15694" spans="5:6" ht="15" customHeight="1" x14ac:dyDescent="0.2">
      <c r="E15694" s="7"/>
      <c r="F15694" s="7"/>
    </row>
    <row r="15695" spans="5:6" ht="15" customHeight="1" x14ac:dyDescent="0.2">
      <c r="E15695" s="7"/>
      <c r="F15695" s="7"/>
    </row>
    <row r="15696" spans="5:6" ht="15" customHeight="1" x14ac:dyDescent="0.2">
      <c r="E15696" s="7"/>
      <c r="F15696" s="7"/>
    </row>
    <row r="15697" spans="5:6" ht="15" customHeight="1" x14ac:dyDescent="0.2">
      <c r="E15697" s="7"/>
      <c r="F15697" s="7"/>
    </row>
    <row r="15698" spans="5:6" ht="15" customHeight="1" x14ac:dyDescent="0.2">
      <c r="E15698" s="7"/>
      <c r="F15698" s="7"/>
    </row>
    <row r="15699" spans="5:6" ht="15" customHeight="1" x14ac:dyDescent="0.2">
      <c r="E15699" s="7"/>
      <c r="F15699" s="7"/>
    </row>
    <row r="15700" spans="5:6" ht="15" customHeight="1" x14ac:dyDescent="0.2">
      <c r="E15700" s="7"/>
      <c r="F15700" s="7"/>
    </row>
    <row r="15701" spans="5:6" ht="15" customHeight="1" x14ac:dyDescent="0.2">
      <c r="E15701" s="7"/>
      <c r="F15701" s="7"/>
    </row>
    <row r="15702" spans="5:6" ht="15" customHeight="1" x14ac:dyDescent="0.2">
      <c r="E15702" s="7"/>
      <c r="F15702" s="7"/>
    </row>
    <row r="15703" spans="5:6" ht="15" customHeight="1" x14ac:dyDescent="0.2">
      <c r="E15703" s="7"/>
      <c r="F15703" s="7"/>
    </row>
    <row r="15704" spans="5:6" ht="15" customHeight="1" x14ac:dyDescent="0.2">
      <c r="E15704" s="7"/>
      <c r="F15704" s="7"/>
    </row>
    <row r="15705" spans="5:6" ht="15" customHeight="1" x14ac:dyDescent="0.2">
      <c r="E15705" s="7"/>
      <c r="F15705" s="7"/>
    </row>
    <row r="15706" spans="5:6" ht="15" customHeight="1" x14ac:dyDescent="0.2">
      <c r="E15706" s="7"/>
      <c r="F15706" s="7"/>
    </row>
    <row r="15707" spans="5:6" ht="15" customHeight="1" x14ac:dyDescent="0.2">
      <c r="E15707" s="7"/>
      <c r="F15707" s="7"/>
    </row>
    <row r="15708" spans="5:6" ht="15" customHeight="1" x14ac:dyDescent="0.2">
      <c r="E15708" s="7"/>
      <c r="F15708" s="7"/>
    </row>
    <row r="15709" spans="5:6" ht="15" customHeight="1" x14ac:dyDescent="0.2">
      <c r="E15709" s="7"/>
      <c r="F15709" s="7"/>
    </row>
    <row r="15710" spans="5:6" ht="15" customHeight="1" x14ac:dyDescent="0.2">
      <c r="E15710" s="7"/>
      <c r="F15710" s="7"/>
    </row>
    <row r="15711" spans="5:6" ht="15" customHeight="1" x14ac:dyDescent="0.2">
      <c r="E15711" s="7"/>
      <c r="F15711" s="7"/>
    </row>
    <row r="15712" spans="5:6" ht="15" customHeight="1" x14ac:dyDescent="0.2">
      <c r="E15712" s="7"/>
      <c r="F15712" s="7"/>
    </row>
    <row r="15713" spans="5:6" ht="15" customHeight="1" x14ac:dyDescent="0.2">
      <c r="E15713" s="7"/>
      <c r="F15713" s="7"/>
    </row>
    <row r="15714" spans="5:6" ht="15" customHeight="1" x14ac:dyDescent="0.2">
      <c r="E15714" s="7"/>
      <c r="F15714" s="7"/>
    </row>
    <row r="15715" spans="5:6" ht="15" customHeight="1" x14ac:dyDescent="0.2">
      <c r="E15715" s="7"/>
      <c r="F15715" s="7"/>
    </row>
    <row r="15716" spans="5:6" ht="15" customHeight="1" x14ac:dyDescent="0.2">
      <c r="E15716" s="7"/>
      <c r="F15716" s="7"/>
    </row>
    <row r="15717" spans="5:6" ht="15" customHeight="1" x14ac:dyDescent="0.2">
      <c r="E15717" s="7"/>
      <c r="F15717" s="7"/>
    </row>
    <row r="15718" spans="5:6" ht="15" customHeight="1" x14ac:dyDescent="0.2">
      <c r="E15718" s="7"/>
      <c r="F15718" s="7"/>
    </row>
    <row r="15719" spans="5:6" ht="15" customHeight="1" x14ac:dyDescent="0.2">
      <c r="E15719" s="7"/>
      <c r="F15719" s="7"/>
    </row>
    <row r="15720" spans="5:6" ht="15" customHeight="1" x14ac:dyDescent="0.2">
      <c r="E15720" s="7"/>
      <c r="F15720" s="7"/>
    </row>
    <row r="15721" spans="5:6" ht="15" customHeight="1" x14ac:dyDescent="0.2">
      <c r="E15721" s="7"/>
      <c r="F15721" s="7"/>
    </row>
    <row r="15722" spans="5:6" ht="15" customHeight="1" x14ac:dyDescent="0.2">
      <c r="E15722" s="7"/>
      <c r="F15722" s="7"/>
    </row>
    <row r="15723" spans="5:6" ht="15" customHeight="1" x14ac:dyDescent="0.2">
      <c r="E15723" s="7"/>
      <c r="F15723" s="7"/>
    </row>
    <row r="15724" spans="5:6" ht="15" customHeight="1" x14ac:dyDescent="0.2">
      <c r="E15724" s="7"/>
      <c r="F15724" s="7"/>
    </row>
    <row r="15725" spans="5:6" ht="15" customHeight="1" x14ac:dyDescent="0.2">
      <c r="E15725" s="7"/>
      <c r="F15725" s="7"/>
    </row>
    <row r="15726" spans="5:6" ht="15" customHeight="1" x14ac:dyDescent="0.2">
      <c r="E15726" s="7"/>
      <c r="F15726" s="7"/>
    </row>
    <row r="15727" spans="5:6" ht="15" customHeight="1" x14ac:dyDescent="0.2">
      <c r="E15727" s="7"/>
      <c r="F15727" s="7"/>
    </row>
    <row r="15728" spans="5:6" ht="15" customHeight="1" x14ac:dyDescent="0.2">
      <c r="E15728" s="7"/>
      <c r="F15728" s="7"/>
    </row>
    <row r="15729" spans="5:6" ht="15" customHeight="1" x14ac:dyDescent="0.2">
      <c r="E15729" s="7"/>
      <c r="F15729" s="7"/>
    </row>
    <row r="15730" spans="5:6" ht="15" customHeight="1" x14ac:dyDescent="0.2">
      <c r="E15730" s="7"/>
      <c r="F15730" s="7"/>
    </row>
    <row r="15731" spans="5:6" ht="15" customHeight="1" x14ac:dyDescent="0.2">
      <c r="E15731" s="7"/>
      <c r="F15731" s="7"/>
    </row>
    <row r="15732" spans="5:6" ht="15" customHeight="1" x14ac:dyDescent="0.2">
      <c r="E15732" s="7"/>
      <c r="F15732" s="7"/>
    </row>
    <row r="15733" spans="5:6" ht="15" customHeight="1" x14ac:dyDescent="0.2">
      <c r="E15733" s="7"/>
      <c r="F15733" s="7"/>
    </row>
    <row r="15734" spans="5:6" ht="15" customHeight="1" x14ac:dyDescent="0.2">
      <c r="E15734" s="7"/>
      <c r="F15734" s="7"/>
    </row>
    <row r="15735" spans="5:6" ht="15" customHeight="1" x14ac:dyDescent="0.2">
      <c r="E15735" s="7"/>
      <c r="F15735" s="7"/>
    </row>
    <row r="15736" spans="5:6" ht="15" customHeight="1" x14ac:dyDescent="0.2">
      <c r="E15736" s="7"/>
      <c r="F15736" s="7"/>
    </row>
    <row r="15737" spans="5:6" ht="15" customHeight="1" x14ac:dyDescent="0.2">
      <c r="E15737" s="7"/>
      <c r="F15737" s="7"/>
    </row>
    <row r="15738" spans="5:6" ht="15" customHeight="1" x14ac:dyDescent="0.2">
      <c r="E15738" s="7"/>
      <c r="F15738" s="7"/>
    </row>
    <row r="15739" spans="5:6" ht="15" customHeight="1" x14ac:dyDescent="0.2">
      <c r="E15739" s="7"/>
      <c r="F15739" s="7"/>
    </row>
    <row r="15740" spans="5:6" ht="15" customHeight="1" x14ac:dyDescent="0.2">
      <c r="E15740" s="7"/>
      <c r="F15740" s="7"/>
    </row>
    <row r="15741" spans="5:6" ht="15" customHeight="1" x14ac:dyDescent="0.2">
      <c r="E15741" s="7"/>
      <c r="F15741" s="7"/>
    </row>
    <row r="15742" spans="5:6" ht="15" customHeight="1" x14ac:dyDescent="0.2">
      <c r="E15742" s="7"/>
      <c r="F15742" s="7"/>
    </row>
    <row r="15743" spans="5:6" ht="15" customHeight="1" x14ac:dyDescent="0.2">
      <c r="E15743" s="7"/>
      <c r="F15743" s="7"/>
    </row>
    <row r="15744" spans="5:6" ht="15" customHeight="1" x14ac:dyDescent="0.2">
      <c r="E15744" s="7"/>
      <c r="F15744" s="7"/>
    </row>
    <row r="15745" spans="5:6" ht="15" customHeight="1" x14ac:dyDescent="0.2">
      <c r="E15745" s="7"/>
      <c r="F15745" s="7"/>
    </row>
    <row r="15746" spans="5:6" ht="15" customHeight="1" x14ac:dyDescent="0.2">
      <c r="E15746" s="7"/>
      <c r="F15746" s="7"/>
    </row>
    <row r="15747" spans="5:6" ht="15" customHeight="1" x14ac:dyDescent="0.2">
      <c r="E15747" s="7"/>
      <c r="F15747" s="7"/>
    </row>
    <row r="15748" spans="5:6" ht="15" customHeight="1" x14ac:dyDescent="0.2">
      <c r="E15748" s="7"/>
      <c r="F15748" s="7"/>
    </row>
    <row r="15749" spans="5:6" ht="15" customHeight="1" x14ac:dyDescent="0.2">
      <c r="E15749" s="7"/>
      <c r="F15749" s="7"/>
    </row>
    <row r="15750" spans="5:6" ht="15" customHeight="1" x14ac:dyDescent="0.2">
      <c r="E15750" s="7"/>
      <c r="F15750" s="7"/>
    </row>
    <row r="15751" spans="5:6" ht="15" customHeight="1" x14ac:dyDescent="0.2">
      <c r="E15751" s="7"/>
      <c r="F15751" s="7"/>
    </row>
    <row r="15752" spans="5:6" ht="15" customHeight="1" x14ac:dyDescent="0.2">
      <c r="E15752" s="7"/>
      <c r="F15752" s="7"/>
    </row>
    <row r="15753" spans="5:6" ht="15" customHeight="1" x14ac:dyDescent="0.2">
      <c r="E15753" s="7"/>
      <c r="F15753" s="7"/>
    </row>
    <row r="15754" spans="5:6" ht="15" customHeight="1" x14ac:dyDescent="0.2">
      <c r="E15754" s="7"/>
      <c r="F15754" s="7"/>
    </row>
    <row r="15755" spans="5:6" ht="15" customHeight="1" x14ac:dyDescent="0.2">
      <c r="E15755" s="7"/>
      <c r="F15755" s="7"/>
    </row>
    <row r="15756" spans="5:6" ht="15" customHeight="1" x14ac:dyDescent="0.2">
      <c r="E15756" s="7"/>
      <c r="F15756" s="7"/>
    </row>
    <row r="15757" spans="5:6" ht="15" customHeight="1" x14ac:dyDescent="0.2">
      <c r="E15757" s="7"/>
      <c r="F15757" s="7"/>
    </row>
    <row r="15758" spans="5:6" ht="15" customHeight="1" x14ac:dyDescent="0.2">
      <c r="E15758" s="7"/>
      <c r="F15758" s="7"/>
    </row>
    <row r="15759" spans="5:6" ht="15" customHeight="1" x14ac:dyDescent="0.2">
      <c r="E15759" s="7"/>
      <c r="F15759" s="7"/>
    </row>
    <row r="15760" spans="5:6" ht="15" customHeight="1" x14ac:dyDescent="0.2">
      <c r="E15760" s="7"/>
      <c r="F15760" s="7"/>
    </row>
    <row r="15761" spans="5:6" ht="15" customHeight="1" x14ac:dyDescent="0.2">
      <c r="E15761" s="7"/>
      <c r="F15761" s="7"/>
    </row>
    <row r="15762" spans="5:6" ht="15" customHeight="1" x14ac:dyDescent="0.2">
      <c r="E15762" s="7"/>
      <c r="F15762" s="7"/>
    </row>
    <row r="15763" spans="5:6" ht="15" customHeight="1" x14ac:dyDescent="0.2">
      <c r="E15763" s="7"/>
      <c r="F15763" s="7"/>
    </row>
    <row r="15764" spans="5:6" ht="15" customHeight="1" x14ac:dyDescent="0.2">
      <c r="E15764" s="7"/>
      <c r="F15764" s="7"/>
    </row>
    <row r="15765" spans="5:6" ht="15" customHeight="1" x14ac:dyDescent="0.2">
      <c r="E15765" s="7"/>
      <c r="F15765" s="7"/>
    </row>
    <row r="15766" spans="5:6" ht="15" customHeight="1" x14ac:dyDescent="0.2">
      <c r="E15766" s="7"/>
      <c r="F15766" s="7"/>
    </row>
    <row r="15767" spans="5:6" ht="15" customHeight="1" x14ac:dyDescent="0.2">
      <c r="E15767" s="7"/>
      <c r="F15767" s="7"/>
    </row>
    <row r="15768" spans="5:6" ht="15" customHeight="1" x14ac:dyDescent="0.2">
      <c r="E15768" s="7"/>
      <c r="F15768" s="7"/>
    </row>
    <row r="15769" spans="5:6" ht="15" customHeight="1" x14ac:dyDescent="0.2">
      <c r="E15769" s="7"/>
      <c r="F15769" s="7"/>
    </row>
    <row r="15770" spans="5:6" ht="15" customHeight="1" x14ac:dyDescent="0.2">
      <c r="E15770" s="7"/>
      <c r="F15770" s="7"/>
    </row>
    <row r="15771" spans="5:6" ht="15" customHeight="1" x14ac:dyDescent="0.2">
      <c r="E15771" s="7"/>
      <c r="F15771" s="7"/>
    </row>
    <row r="15772" spans="5:6" ht="15" customHeight="1" x14ac:dyDescent="0.2">
      <c r="E15772" s="7"/>
      <c r="F15772" s="7"/>
    </row>
    <row r="15773" spans="5:6" ht="15" customHeight="1" x14ac:dyDescent="0.2">
      <c r="E15773" s="7"/>
      <c r="F15773" s="7"/>
    </row>
    <row r="15774" spans="5:6" ht="15" customHeight="1" x14ac:dyDescent="0.2">
      <c r="E15774" s="7"/>
      <c r="F15774" s="7"/>
    </row>
    <row r="15775" spans="5:6" ht="15" customHeight="1" x14ac:dyDescent="0.2">
      <c r="E15775" s="7"/>
      <c r="F15775" s="7"/>
    </row>
    <row r="15776" spans="5:6" ht="15" customHeight="1" x14ac:dyDescent="0.2">
      <c r="E15776" s="7"/>
      <c r="F15776" s="7"/>
    </row>
    <row r="15777" spans="5:6" ht="15" customHeight="1" x14ac:dyDescent="0.2">
      <c r="E15777" s="7"/>
      <c r="F15777" s="7"/>
    </row>
    <row r="15778" spans="5:6" ht="15" customHeight="1" x14ac:dyDescent="0.2">
      <c r="E15778" s="7"/>
      <c r="F15778" s="7"/>
    </row>
    <row r="15779" spans="5:6" ht="15" customHeight="1" x14ac:dyDescent="0.2">
      <c r="E15779" s="7"/>
      <c r="F15779" s="7"/>
    </row>
    <row r="15780" spans="5:6" ht="15" customHeight="1" x14ac:dyDescent="0.2">
      <c r="E15780" s="7"/>
      <c r="F15780" s="7"/>
    </row>
    <row r="15781" spans="5:6" ht="15" customHeight="1" x14ac:dyDescent="0.2">
      <c r="E15781" s="7"/>
      <c r="F15781" s="7"/>
    </row>
    <row r="15782" spans="5:6" ht="15" customHeight="1" x14ac:dyDescent="0.2">
      <c r="E15782" s="7"/>
      <c r="F15782" s="7"/>
    </row>
    <row r="15783" spans="5:6" ht="15" customHeight="1" x14ac:dyDescent="0.2">
      <c r="E15783" s="7"/>
      <c r="F15783" s="7"/>
    </row>
    <row r="15784" spans="5:6" ht="15" customHeight="1" x14ac:dyDescent="0.2">
      <c r="E15784" s="7"/>
      <c r="F15784" s="7"/>
    </row>
    <row r="15785" spans="5:6" ht="15" customHeight="1" x14ac:dyDescent="0.2">
      <c r="E15785" s="7"/>
      <c r="F15785" s="7"/>
    </row>
    <row r="15786" spans="5:6" ht="15" customHeight="1" x14ac:dyDescent="0.2">
      <c r="E15786" s="7"/>
      <c r="F15786" s="7"/>
    </row>
    <row r="15787" spans="5:6" ht="15" customHeight="1" x14ac:dyDescent="0.2">
      <c r="E15787" s="7"/>
      <c r="F15787" s="7"/>
    </row>
    <row r="15788" spans="5:6" ht="15" customHeight="1" x14ac:dyDescent="0.2">
      <c r="E15788" s="7"/>
      <c r="F15788" s="7"/>
    </row>
    <row r="15789" spans="5:6" ht="15" customHeight="1" x14ac:dyDescent="0.2">
      <c r="E15789" s="7"/>
      <c r="F15789" s="7"/>
    </row>
    <row r="15790" spans="5:6" ht="15" customHeight="1" x14ac:dyDescent="0.2">
      <c r="E15790" s="7"/>
      <c r="F15790" s="7"/>
    </row>
    <row r="15791" spans="5:6" ht="15" customHeight="1" x14ac:dyDescent="0.2">
      <c r="E15791" s="7"/>
      <c r="F15791" s="7"/>
    </row>
    <row r="15792" spans="5:6" ht="15" customHeight="1" x14ac:dyDescent="0.2">
      <c r="E15792" s="7"/>
      <c r="F15792" s="7"/>
    </row>
    <row r="15793" spans="5:6" ht="15" customHeight="1" x14ac:dyDescent="0.2">
      <c r="E15793" s="7"/>
      <c r="F15793" s="7"/>
    </row>
    <row r="15794" spans="5:6" ht="15" customHeight="1" x14ac:dyDescent="0.2">
      <c r="E15794" s="7"/>
      <c r="F15794" s="7"/>
    </row>
    <row r="15795" spans="5:6" ht="15" customHeight="1" x14ac:dyDescent="0.2">
      <c r="E15795" s="7"/>
      <c r="F15795" s="7"/>
    </row>
    <row r="15796" spans="5:6" ht="15" customHeight="1" x14ac:dyDescent="0.2">
      <c r="E15796" s="7"/>
      <c r="F15796" s="7"/>
    </row>
    <row r="15797" spans="5:6" ht="15" customHeight="1" x14ac:dyDescent="0.2">
      <c r="E15797" s="7"/>
      <c r="F15797" s="7"/>
    </row>
    <row r="15798" spans="5:6" ht="15" customHeight="1" x14ac:dyDescent="0.2">
      <c r="E15798" s="7"/>
      <c r="F15798" s="7"/>
    </row>
    <row r="15799" spans="5:6" ht="15" customHeight="1" x14ac:dyDescent="0.2">
      <c r="E15799" s="7"/>
      <c r="F15799" s="7"/>
    </row>
    <row r="15800" spans="5:6" ht="15" customHeight="1" x14ac:dyDescent="0.2">
      <c r="E15800" s="7"/>
      <c r="F15800" s="7"/>
    </row>
    <row r="15801" spans="5:6" ht="15" customHeight="1" x14ac:dyDescent="0.2">
      <c r="E15801" s="7"/>
      <c r="F15801" s="7"/>
    </row>
    <row r="15802" spans="5:6" ht="15" customHeight="1" x14ac:dyDescent="0.2">
      <c r="E15802" s="7"/>
      <c r="F15802" s="7"/>
    </row>
    <row r="15803" spans="5:6" ht="15" customHeight="1" x14ac:dyDescent="0.2">
      <c r="E15803" s="7"/>
      <c r="F15803" s="7"/>
    </row>
    <row r="15804" spans="5:6" ht="15" customHeight="1" x14ac:dyDescent="0.2">
      <c r="E15804" s="7"/>
      <c r="F15804" s="7"/>
    </row>
    <row r="15805" spans="5:6" ht="15" customHeight="1" x14ac:dyDescent="0.2">
      <c r="E15805" s="7"/>
      <c r="F15805" s="7"/>
    </row>
    <row r="15806" spans="5:6" ht="15" customHeight="1" x14ac:dyDescent="0.2">
      <c r="E15806" s="7"/>
      <c r="F15806" s="7"/>
    </row>
    <row r="15807" spans="5:6" ht="15" customHeight="1" x14ac:dyDescent="0.2">
      <c r="E15807" s="7"/>
      <c r="F15807" s="7"/>
    </row>
    <row r="15808" spans="5:6" ht="15" customHeight="1" x14ac:dyDescent="0.2">
      <c r="E15808" s="7"/>
      <c r="F15808" s="7"/>
    </row>
    <row r="15809" spans="5:6" ht="15" customHeight="1" x14ac:dyDescent="0.2">
      <c r="E15809" s="7"/>
      <c r="F15809" s="7"/>
    </row>
    <row r="15810" spans="5:6" ht="15" customHeight="1" x14ac:dyDescent="0.2">
      <c r="E15810" s="7"/>
      <c r="F15810" s="7"/>
    </row>
    <row r="15811" spans="5:6" ht="15" customHeight="1" x14ac:dyDescent="0.2">
      <c r="E15811" s="7"/>
      <c r="F15811" s="7"/>
    </row>
    <row r="15812" spans="5:6" ht="15" customHeight="1" x14ac:dyDescent="0.2">
      <c r="E15812" s="7"/>
      <c r="F15812" s="7"/>
    </row>
    <row r="15813" spans="5:6" ht="15" customHeight="1" x14ac:dyDescent="0.2">
      <c r="E15813" s="7"/>
      <c r="F15813" s="7"/>
    </row>
    <row r="15814" spans="5:6" ht="15" customHeight="1" x14ac:dyDescent="0.2">
      <c r="E15814" s="7"/>
      <c r="F15814" s="7"/>
    </row>
    <row r="15815" spans="5:6" ht="15" customHeight="1" x14ac:dyDescent="0.2">
      <c r="E15815" s="7"/>
      <c r="F15815" s="7"/>
    </row>
    <row r="15816" spans="5:6" ht="15" customHeight="1" x14ac:dyDescent="0.2">
      <c r="E15816" s="7"/>
      <c r="F15816" s="7"/>
    </row>
    <row r="15817" spans="5:6" ht="15" customHeight="1" x14ac:dyDescent="0.2">
      <c r="E15817" s="7"/>
      <c r="F15817" s="7"/>
    </row>
    <row r="15818" spans="5:6" ht="15" customHeight="1" x14ac:dyDescent="0.2">
      <c r="E15818" s="7"/>
      <c r="F15818" s="7"/>
    </row>
    <row r="15819" spans="5:6" ht="15" customHeight="1" x14ac:dyDescent="0.2">
      <c r="E15819" s="7"/>
      <c r="F15819" s="7"/>
    </row>
    <row r="15820" spans="5:6" ht="15" customHeight="1" x14ac:dyDescent="0.2">
      <c r="E15820" s="7"/>
      <c r="F15820" s="7"/>
    </row>
    <row r="15821" spans="5:6" ht="15" customHeight="1" x14ac:dyDescent="0.2">
      <c r="E15821" s="7"/>
      <c r="F15821" s="7"/>
    </row>
    <row r="15822" spans="5:6" ht="15" customHeight="1" x14ac:dyDescent="0.2">
      <c r="E15822" s="7"/>
      <c r="F15822" s="7"/>
    </row>
    <row r="15823" spans="5:6" ht="15" customHeight="1" x14ac:dyDescent="0.2">
      <c r="E15823" s="7"/>
      <c r="F15823" s="7"/>
    </row>
    <row r="15824" spans="5:6" ht="15" customHeight="1" x14ac:dyDescent="0.2">
      <c r="E15824" s="7"/>
      <c r="F15824" s="7"/>
    </row>
    <row r="15825" spans="5:6" ht="15" customHeight="1" x14ac:dyDescent="0.2">
      <c r="E15825" s="7"/>
      <c r="F15825" s="7"/>
    </row>
    <row r="15826" spans="5:6" ht="15" customHeight="1" x14ac:dyDescent="0.2">
      <c r="E15826" s="7"/>
      <c r="F15826" s="7"/>
    </row>
    <row r="15827" spans="5:6" ht="15" customHeight="1" x14ac:dyDescent="0.2">
      <c r="E15827" s="7"/>
      <c r="F15827" s="7"/>
    </row>
    <row r="15828" spans="5:6" ht="15" customHeight="1" x14ac:dyDescent="0.2">
      <c r="E15828" s="7"/>
      <c r="F15828" s="7"/>
    </row>
    <row r="15829" spans="5:6" ht="15" customHeight="1" x14ac:dyDescent="0.2">
      <c r="E15829" s="7"/>
      <c r="F15829" s="7"/>
    </row>
    <row r="15830" spans="5:6" ht="15" customHeight="1" x14ac:dyDescent="0.2">
      <c r="E15830" s="7"/>
      <c r="F15830" s="7"/>
    </row>
    <row r="15831" spans="5:6" ht="15" customHeight="1" x14ac:dyDescent="0.2">
      <c r="E15831" s="7"/>
      <c r="F15831" s="7"/>
    </row>
    <row r="15832" spans="5:6" ht="15" customHeight="1" x14ac:dyDescent="0.2">
      <c r="E15832" s="7"/>
      <c r="F15832" s="7"/>
    </row>
    <row r="15833" spans="5:6" ht="15" customHeight="1" x14ac:dyDescent="0.2">
      <c r="E15833" s="7"/>
      <c r="F15833" s="7"/>
    </row>
    <row r="15834" spans="5:6" ht="15" customHeight="1" x14ac:dyDescent="0.2">
      <c r="E15834" s="7"/>
      <c r="F15834" s="7"/>
    </row>
    <row r="15835" spans="5:6" ht="15" customHeight="1" x14ac:dyDescent="0.2">
      <c r="E15835" s="7"/>
      <c r="F15835" s="7"/>
    </row>
    <row r="15836" spans="5:6" ht="15" customHeight="1" x14ac:dyDescent="0.2">
      <c r="E15836" s="7"/>
      <c r="F15836" s="7"/>
    </row>
    <row r="15837" spans="5:6" ht="15" customHeight="1" x14ac:dyDescent="0.2">
      <c r="E15837" s="7"/>
      <c r="F15837" s="7"/>
    </row>
    <row r="15838" spans="5:6" ht="15" customHeight="1" x14ac:dyDescent="0.2">
      <c r="E15838" s="7"/>
      <c r="F15838" s="7"/>
    </row>
    <row r="15839" spans="5:6" ht="15" customHeight="1" x14ac:dyDescent="0.2">
      <c r="E15839" s="7"/>
      <c r="F15839" s="7"/>
    </row>
    <row r="15840" spans="5:6" ht="15" customHeight="1" x14ac:dyDescent="0.2">
      <c r="E15840" s="7"/>
      <c r="F15840" s="7"/>
    </row>
    <row r="15841" spans="5:6" ht="15" customHeight="1" x14ac:dyDescent="0.2">
      <c r="E15841" s="7"/>
      <c r="F15841" s="7"/>
    </row>
    <row r="15842" spans="5:6" ht="15" customHeight="1" x14ac:dyDescent="0.2">
      <c r="E15842" s="7"/>
      <c r="F15842" s="7"/>
    </row>
    <row r="15843" spans="5:6" ht="15" customHeight="1" x14ac:dyDescent="0.2">
      <c r="E15843" s="7"/>
      <c r="F15843" s="7"/>
    </row>
    <row r="15844" spans="5:6" ht="15" customHeight="1" x14ac:dyDescent="0.2">
      <c r="E15844" s="7"/>
      <c r="F15844" s="7"/>
    </row>
    <row r="15845" spans="5:6" ht="15" customHeight="1" x14ac:dyDescent="0.2">
      <c r="E15845" s="7"/>
      <c r="F15845" s="7"/>
    </row>
    <row r="15846" spans="5:6" ht="15" customHeight="1" x14ac:dyDescent="0.2">
      <c r="E15846" s="7"/>
      <c r="F15846" s="7"/>
    </row>
    <row r="15847" spans="5:6" ht="15" customHeight="1" x14ac:dyDescent="0.2">
      <c r="E15847" s="7"/>
      <c r="F15847" s="7"/>
    </row>
    <row r="15848" spans="5:6" ht="15" customHeight="1" x14ac:dyDescent="0.2">
      <c r="E15848" s="7"/>
      <c r="F15848" s="7"/>
    </row>
    <row r="15849" spans="5:6" ht="15" customHeight="1" x14ac:dyDescent="0.2">
      <c r="E15849" s="7"/>
      <c r="F15849" s="7"/>
    </row>
    <row r="15850" spans="5:6" ht="15" customHeight="1" x14ac:dyDescent="0.2">
      <c r="E15850" s="7"/>
      <c r="F15850" s="7"/>
    </row>
    <row r="15851" spans="5:6" ht="15" customHeight="1" x14ac:dyDescent="0.2">
      <c r="E15851" s="7"/>
      <c r="F15851" s="7"/>
    </row>
    <row r="15852" spans="5:6" ht="15" customHeight="1" x14ac:dyDescent="0.2">
      <c r="E15852" s="7"/>
      <c r="F15852" s="7"/>
    </row>
    <row r="15853" spans="5:6" ht="15" customHeight="1" x14ac:dyDescent="0.2">
      <c r="E15853" s="7"/>
      <c r="F15853" s="7"/>
    </row>
    <row r="15854" spans="5:6" ht="15" customHeight="1" x14ac:dyDescent="0.2">
      <c r="E15854" s="7"/>
      <c r="F15854" s="7"/>
    </row>
    <row r="15855" spans="5:6" ht="15" customHeight="1" x14ac:dyDescent="0.2">
      <c r="E15855" s="7"/>
      <c r="F15855" s="7"/>
    </row>
    <row r="15856" spans="5:6" ht="15" customHeight="1" x14ac:dyDescent="0.2">
      <c r="E15856" s="7"/>
      <c r="F15856" s="7"/>
    </row>
    <row r="15857" spans="5:6" ht="15" customHeight="1" x14ac:dyDescent="0.2">
      <c r="E15857" s="7"/>
      <c r="F15857" s="7"/>
    </row>
    <row r="15858" spans="5:6" ht="15" customHeight="1" x14ac:dyDescent="0.2">
      <c r="E15858" s="7"/>
      <c r="F15858" s="7"/>
    </row>
    <row r="15859" spans="5:6" ht="15" customHeight="1" x14ac:dyDescent="0.2">
      <c r="E15859" s="7"/>
      <c r="F15859" s="7"/>
    </row>
    <row r="15860" spans="5:6" ht="15" customHeight="1" x14ac:dyDescent="0.2">
      <c r="E15860" s="7"/>
      <c r="F15860" s="7"/>
    </row>
    <row r="15861" spans="5:6" ht="15" customHeight="1" x14ac:dyDescent="0.2">
      <c r="E15861" s="7"/>
      <c r="F15861" s="7"/>
    </row>
    <row r="15862" spans="5:6" ht="15" customHeight="1" x14ac:dyDescent="0.2">
      <c r="E15862" s="7"/>
      <c r="F15862" s="7"/>
    </row>
    <row r="15863" spans="5:6" ht="15" customHeight="1" x14ac:dyDescent="0.2">
      <c r="E15863" s="7"/>
      <c r="F15863" s="7"/>
    </row>
    <row r="15864" spans="5:6" ht="15" customHeight="1" x14ac:dyDescent="0.2">
      <c r="E15864" s="7"/>
      <c r="F15864" s="7"/>
    </row>
    <row r="15865" spans="5:6" ht="15" customHeight="1" x14ac:dyDescent="0.2">
      <c r="E15865" s="7"/>
      <c r="F15865" s="7"/>
    </row>
    <row r="15866" spans="5:6" ht="15" customHeight="1" x14ac:dyDescent="0.2">
      <c r="E15866" s="7"/>
      <c r="F15866" s="7"/>
    </row>
    <row r="15867" spans="5:6" ht="15" customHeight="1" x14ac:dyDescent="0.2">
      <c r="E15867" s="7"/>
      <c r="F15867" s="7"/>
    </row>
    <row r="15868" spans="5:6" ht="15" customHeight="1" x14ac:dyDescent="0.2">
      <c r="E15868" s="7"/>
      <c r="F15868" s="7"/>
    </row>
    <row r="15869" spans="5:6" ht="15" customHeight="1" x14ac:dyDescent="0.2">
      <c r="E15869" s="7"/>
      <c r="F15869" s="7"/>
    </row>
    <row r="15870" spans="5:6" ht="15" customHeight="1" x14ac:dyDescent="0.2">
      <c r="E15870" s="7"/>
      <c r="F15870" s="7"/>
    </row>
    <row r="15871" spans="5:6" ht="15" customHeight="1" x14ac:dyDescent="0.2">
      <c r="E15871" s="7"/>
      <c r="F15871" s="7"/>
    </row>
    <row r="15872" spans="5:6" ht="15" customHeight="1" x14ac:dyDescent="0.2">
      <c r="E15872" s="7"/>
      <c r="F15872" s="7"/>
    </row>
    <row r="15873" spans="5:6" ht="15" customHeight="1" x14ac:dyDescent="0.2">
      <c r="E15873" s="7"/>
      <c r="F15873" s="7"/>
    </row>
    <row r="15874" spans="5:6" ht="15" customHeight="1" x14ac:dyDescent="0.2">
      <c r="E15874" s="7"/>
      <c r="F15874" s="7"/>
    </row>
    <row r="15875" spans="5:6" ht="15" customHeight="1" x14ac:dyDescent="0.2">
      <c r="E15875" s="7"/>
      <c r="F15875" s="7"/>
    </row>
    <row r="15876" spans="5:6" ht="15" customHeight="1" x14ac:dyDescent="0.2">
      <c r="E15876" s="7"/>
      <c r="F15876" s="7"/>
    </row>
    <row r="15877" spans="5:6" ht="15" customHeight="1" x14ac:dyDescent="0.2">
      <c r="E15877" s="7"/>
      <c r="F15877" s="7"/>
    </row>
    <row r="15878" spans="5:6" ht="15" customHeight="1" x14ac:dyDescent="0.2">
      <c r="E15878" s="7"/>
      <c r="F15878" s="7"/>
    </row>
    <row r="15879" spans="5:6" ht="15" customHeight="1" x14ac:dyDescent="0.2">
      <c r="E15879" s="7"/>
      <c r="F15879" s="7"/>
    </row>
    <row r="15880" spans="5:6" ht="15" customHeight="1" x14ac:dyDescent="0.2">
      <c r="E15880" s="7"/>
      <c r="F15880" s="7"/>
    </row>
    <row r="15881" spans="5:6" ht="15" customHeight="1" x14ac:dyDescent="0.2">
      <c r="E15881" s="7"/>
      <c r="F15881" s="7"/>
    </row>
    <row r="15882" spans="5:6" ht="15" customHeight="1" x14ac:dyDescent="0.2">
      <c r="E15882" s="7"/>
      <c r="F15882" s="7"/>
    </row>
    <row r="15883" spans="5:6" ht="15" customHeight="1" x14ac:dyDescent="0.2">
      <c r="E15883" s="7"/>
      <c r="F15883" s="7"/>
    </row>
    <row r="15884" spans="5:6" ht="15" customHeight="1" x14ac:dyDescent="0.2">
      <c r="E15884" s="7"/>
      <c r="F15884" s="7"/>
    </row>
    <row r="15885" spans="5:6" ht="15" customHeight="1" x14ac:dyDescent="0.2">
      <c r="E15885" s="7"/>
      <c r="F15885" s="7"/>
    </row>
    <row r="15886" spans="5:6" ht="15" customHeight="1" x14ac:dyDescent="0.2">
      <c r="E15886" s="7"/>
      <c r="F15886" s="7"/>
    </row>
    <row r="15887" spans="5:6" ht="15" customHeight="1" x14ac:dyDescent="0.2">
      <c r="E15887" s="7"/>
      <c r="F15887" s="7"/>
    </row>
    <row r="15888" spans="5:6" ht="15" customHeight="1" x14ac:dyDescent="0.2">
      <c r="E15888" s="7"/>
      <c r="F15888" s="7"/>
    </row>
    <row r="15889" spans="5:6" ht="15" customHeight="1" x14ac:dyDescent="0.2">
      <c r="E15889" s="7"/>
      <c r="F15889" s="7"/>
    </row>
    <row r="15890" spans="5:6" ht="15" customHeight="1" x14ac:dyDescent="0.2">
      <c r="E15890" s="7"/>
      <c r="F15890" s="7"/>
    </row>
    <row r="15891" spans="5:6" ht="15" customHeight="1" x14ac:dyDescent="0.2">
      <c r="E15891" s="7"/>
      <c r="F15891" s="7"/>
    </row>
    <row r="15892" spans="5:6" ht="15" customHeight="1" x14ac:dyDescent="0.2">
      <c r="E15892" s="7"/>
      <c r="F15892" s="7"/>
    </row>
    <row r="15893" spans="5:6" ht="15" customHeight="1" x14ac:dyDescent="0.2">
      <c r="E15893" s="7"/>
      <c r="F15893" s="7"/>
    </row>
    <row r="15894" spans="5:6" ht="15" customHeight="1" x14ac:dyDescent="0.2">
      <c r="E15894" s="7"/>
      <c r="F15894" s="7"/>
    </row>
    <row r="15895" spans="5:6" ht="15" customHeight="1" x14ac:dyDescent="0.2">
      <c r="E15895" s="7"/>
      <c r="F15895" s="7"/>
    </row>
    <row r="15896" spans="5:6" ht="15" customHeight="1" x14ac:dyDescent="0.2">
      <c r="E15896" s="7"/>
      <c r="F15896" s="7"/>
    </row>
    <row r="15897" spans="5:6" ht="15" customHeight="1" x14ac:dyDescent="0.2">
      <c r="E15897" s="7"/>
      <c r="F15897" s="7"/>
    </row>
    <row r="15898" spans="5:6" ht="15" customHeight="1" x14ac:dyDescent="0.2">
      <c r="E15898" s="7"/>
      <c r="F15898" s="7"/>
    </row>
    <row r="15899" spans="5:6" ht="15" customHeight="1" x14ac:dyDescent="0.2">
      <c r="E15899" s="7"/>
      <c r="F15899" s="7"/>
    </row>
    <row r="15900" spans="5:6" ht="15" customHeight="1" x14ac:dyDescent="0.2">
      <c r="E15900" s="7"/>
      <c r="F15900" s="7"/>
    </row>
    <row r="15901" spans="5:6" ht="15" customHeight="1" x14ac:dyDescent="0.2">
      <c r="E15901" s="7"/>
      <c r="F15901" s="7"/>
    </row>
    <row r="15902" spans="5:6" ht="15" customHeight="1" x14ac:dyDescent="0.2">
      <c r="E15902" s="7"/>
      <c r="F15902" s="7"/>
    </row>
    <row r="15903" spans="5:6" ht="15" customHeight="1" x14ac:dyDescent="0.2">
      <c r="E15903" s="7"/>
      <c r="F15903" s="7"/>
    </row>
    <row r="15904" spans="5:6" ht="15" customHeight="1" x14ac:dyDescent="0.2">
      <c r="E15904" s="7"/>
      <c r="F15904" s="7"/>
    </row>
    <row r="15905" spans="5:6" ht="15" customHeight="1" x14ac:dyDescent="0.2">
      <c r="E15905" s="7"/>
      <c r="F15905" s="7"/>
    </row>
    <row r="15906" spans="5:6" ht="15" customHeight="1" x14ac:dyDescent="0.2">
      <c r="E15906" s="7"/>
      <c r="F15906" s="7"/>
    </row>
    <row r="15907" spans="5:6" ht="15" customHeight="1" x14ac:dyDescent="0.2">
      <c r="E15907" s="7"/>
      <c r="F15907" s="7"/>
    </row>
    <row r="15908" spans="5:6" ht="15" customHeight="1" x14ac:dyDescent="0.2">
      <c r="E15908" s="7"/>
      <c r="F15908" s="7"/>
    </row>
    <row r="15909" spans="5:6" ht="15" customHeight="1" x14ac:dyDescent="0.2">
      <c r="E15909" s="7"/>
      <c r="F15909" s="7"/>
    </row>
    <row r="15910" spans="5:6" ht="15" customHeight="1" x14ac:dyDescent="0.2">
      <c r="E15910" s="7"/>
      <c r="F15910" s="7"/>
    </row>
    <row r="15911" spans="5:6" ht="15" customHeight="1" x14ac:dyDescent="0.2">
      <c r="E15911" s="7"/>
      <c r="F15911" s="7"/>
    </row>
    <row r="15912" spans="5:6" ht="15" customHeight="1" x14ac:dyDescent="0.2">
      <c r="E15912" s="7"/>
      <c r="F15912" s="7"/>
    </row>
    <row r="15913" spans="5:6" ht="15" customHeight="1" x14ac:dyDescent="0.2">
      <c r="E15913" s="7"/>
      <c r="F15913" s="7"/>
    </row>
    <row r="15914" spans="5:6" ht="15" customHeight="1" x14ac:dyDescent="0.2">
      <c r="E15914" s="7"/>
      <c r="F15914" s="7"/>
    </row>
    <row r="15915" spans="5:6" ht="15" customHeight="1" x14ac:dyDescent="0.2">
      <c r="E15915" s="7"/>
      <c r="F15915" s="7"/>
    </row>
    <row r="15916" spans="5:6" ht="15" customHeight="1" x14ac:dyDescent="0.2">
      <c r="E15916" s="7"/>
      <c r="F15916" s="7"/>
    </row>
    <row r="15917" spans="5:6" ht="15" customHeight="1" x14ac:dyDescent="0.2">
      <c r="E15917" s="7"/>
      <c r="F15917" s="7"/>
    </row>
    <row r="15918" spans="5:6" ht="15" customHeight="1" x14ac:dyDescent="0.2">
      <c r="E15918" s="7"/>
      <c r="F15918" s="7"/>
    </row>
    <row r="15919" spans="5:6" ht="15" customHeight="1" x14ac:dyDescent="0.2">
      <c r="E15919" s="7"/>
      <c r="F15919" s="7"/>
    </row>
    <row r="15920" spans="5:6" ht="15" customHeight="1" x14ac:dyDescent="0.2">
      <c r="E15920" s="7"/>
      <c r="F15920" s="7"/>
    </row>
    <row r="15921" spans="5:6" ht="15" customHeight="1" x14ac:dyDescent="0.2">
      <c r="E15921" s="7"/>
      <c r="F15921" s="7"/>
    </row>
    <row r="15922" spans="5:6" ht="15" customHeight="1" x14ac:dyDescent="0.2">
      <c r="E15922" s="7"/>
      <c r="F15922" s="7"/>
    </row>
    <row r="15923" spans="5:6" ht="15" customHeight="1" x14ac:dyDescent="0.2">
      <c r="E15923" s="7"/>
      <c r="F15923" s="7"/>
    </row>
    <row r="15924" spans="5:6" ht="15" customHeight="1" x14ac:dyDescent="0.2">
      <c r="E15924" s="7"/>
      <c r="F15924" s="7"/>
    </row>
    <row r="15925" spans="5:6" ht="15" customHeight="1" x14ac:dyDescent="0.2">
      <c r="E15925" s="7"/>
      <c r="F15925" s="7"/>
    </row>
    <row r="15926" spans="5:6" ht="15" customHeight="1" x14ac:dyDescent="0.2">
      <c r="E15926" s="7"/>
      <c r="F15926" s="7"/>
    </row>
    <row r="15927" spans="5:6" ht="15" customHeight="1" x14ac:dyDescent="0.2">
      <c r="E15927" s="7"/>
      <c r="F15927" s="7"/>
    </row>
    <row r="15928" spans="5:6" ht="15" customHeight="1" x14ac:dyDescent="0.2">
      <c r="E15928" s="7"/>
      <c r="F15928" s="7"/>
    </row>
    <row r="15929" spans="5:6" ht="15" customHeight="1" x14ac:dyDescent="0.2">
      <c r="E15929" s="7"/>
      <c r="F15929" s="7"/>
    </row>
    <row r="15930" spans="5:6" ht="15" customHeight="1" x14ac:dyDescent="0.2">
      <c r="E15930" s="7"/>
      <c r="F15930" s="7"/>
    </row>
    <row r="15931" spans="5:6" ht="15" customHeight="1" x14ac:dyDescent="0.2">
      <c r="E15931" s="7"/>
      <c r="F15931" s="7"/>
    </row>
    <row r="15932" spans="5:6" ht="15" customHeight="1" x14ac:dyDescent="0.2">
      <c r="E15932" s="7"/>
      <c r="F15932" s="7"/>
    </row>
    <row r="15933" spans="5:6" ht="15" customHeight="1" x14ac:dyDescent="0.2">
      <c r="E15933" s="7"/>
      <c r="F15933" s="7"/>
    </row>
    <row r="15934" spans="5:6" ht="15" customHeight="1" x14ac:dyDescent="0.2">
      <c r="E15934" s="7"/>
      <c r="F15934" s="7"/>
    </row>
    <row r="15935" spans="5:6" ht="15" customHeight="1" x14ac:dyDescent="0.2">
      <c r="E15935" s="7"/>
      <c r="F15935" s="7"/>
    </row>
    <row r="15936" spans="5:6" ht="15" customHeight="1" x14ac:dyDescent="0.2">
      <c r="E15936" s="7"/>
      <c r="F15936" s="7"/>
    </row>
    <row r="15937" spans="5:6" ht="15" customHeight="1" x14ac:dyDescent="0.2">
      <c r="E15937" s="7"/>
      <c r="F15937" s="7"/>
    </row>
    <row r="15938" spans="5:6" ht="15" customHeight="1" x14ac:dyDescent="0.2">
      <c r="E15938" s="7"/>
      <c r="F15938" s="7"/>
    </row>
    <row r="15939" spans="5:6" ht="15" customHeight="1" x14ac:dyDescent="0.2">
      <c r="E15939" s="7"/>
      <c r="F15939" s="7"/>
    </row>
    <row r="15940" spans="5:6" ht="15" customHeight="1" x14ac:dyDescent="0.2">
      <c r="E15940" s="7"/>
      <c r="F15940" s="7"/>
    </row>
    <row r="15941" spans="5:6" ht="15" customHeight="1" x14ac:dyDescent="0.2">
      <c r="E15941" s="7"/>
      <c r="F15941" s="7"/>
    </row>
    <row r="15942" spans="5:6" ht="15" customHeight="1" x14ac:dyDescent="0.2">
      <c r="E15942" s="7"/>
      <c r="F15942" s="7"/>
    </row>
    <row r="15943" spans="5:6" ht="15" customHeight="1" x14ac:dyDescent="0.2">
      <c r="E15943" s="7"/>
      <c r="F15943" s="7"/>
    </row>
    <row r="15944" spans="5:6" ht="15" customHeight="1" x14ac:dyDescent="0.2">
      <c r="E15944" s="7"/>
      <c r="F15944" s="7"/>
    </row>
    <row r="15945" spans="5:6" ht="15" customHeight="1" x14ac:dyDescent="0.2">
      <c r="E15945" s="7"/>
      <c r="F15945" s="7"/>
    </row>
    <row r="15946" spans="5:6" ht="15" customHeight="1" x14ac:dyDescent="0.2">
      <c r="E15946" s="7"/>
      <c r="F15946" s="7"/>
    </row>
    <row r="15947" spans="5:6" ht="15" customHeight="1" x14ac:dyDescent="0.2">
      <c r="E15947" s="7"/>
      <c r="F15947" s="7"/>
    </row>
    <row r="15948" spans="5:6" ht="15" customHeight="1" x14ac:dyDescent="0.2">
      <c r="E15948" s="7"/>
      <c r="F15948" s="7"/>
    </row>
    <row r="15949" spans="5:6" ht="15" customHeight="1" x14ac:dyDescent="0.2">
      <c r="E15949" s="7"/>
      <c r="F15949" s="7"/>
    </row>
    <row r="15950" spans="5:6" ht="15" customHeight="1" x14ac:dyDescent="0.2">
      <c r="E15950" s="7"/>
      <c r="F15950" s="7"/>
    </row>
    <row r="15951" spans="5:6" ht="15" customHeight="1" x14ac:dyDescent="0.2">
      <c r="E15951" s="7"/>
      <c r="F15951" s="7"/>
    </row>
    <row r="15952" spans="5:6" ht="15" customHeight="1" x14ac:dyDescent="0.2">
      <c r="E15952" s="7"/>
      <c r="F15952" s="7"/>
    </row>
    <row r="15953" spans="5:6" ht="15" customHeight="1" x14ac:dyDescent="0.2">
      <c r="E15953" s="7"/>
      <c r="F15953" s="7"/>
    </row>
    <row r="15954" spans="5:6" ht="15" customHeight="1" x14ac:dyDescent="0.2">
      <c r="E15954" s="7"/>
      <c r="F15954" s="7"/>
    </row>
    <row r="15955" spans="5:6" ht="15" customHeight="1" x14ac:dyDescent="0.2">
      <c r="E15955" s="7"/>
      <c r="F15955" s="7"/>
    </row>
    <row r="15956" spans="5:6" ht="15" customHeight="1" x14ac:dyDescent="0.2">
      <c r="E15956" s="7"/>
      <c r="F15956" s="7"/>
    </row>
    <row r="15957" spans="5:6" ht="15" customHeight="1" x14ac:dyDescent="0.2">
      <c r="E15957" s="7"/>
      <c r="F15957" s="7"/>
    </row>
    <row r="15958" spans="5:6" ht="15" customHeight="1" x14ac:dyDescent="0.2">
      <c r="E15958" s="7"/>
      <c r="F15958" s="7"/>
    </row>
    <row r="15959" spans="5:6" ht="15" customHeight="1" x14ac:dyDescent="0.2">
      <c r="E15959" s="7"/>
      <c r="F15959" s="7"/>
    </row>
    <row r="15960" spans="5:6" ht="15" customHeight="1" x14ac:dyDescent="0.2">
      <c r="E15960" s="7"/>
      <c r="F15960" s="7"/>
    </row>
    <row r="15961" spans="5:6" ht="15" customHeight="1" x14ac:dyDescent="0.2">
      <c r="E15961" s="7"/>
      <c r="F15961" s="7"/>
    </row>
    <row r="15962" spans="5:6" ht="15" customHeight="1" x14ac:dyDescent="0.2">
      <c r="E15962" s="7"/>
      <c r="F15962" s="7"/>
    </row>
    <row r="15963" spans="5:6" ht="15" customHeight="1" x14ac:dyDescent="0.2">
      <c r="E15963" s="7"/>
      <c r="F15963" s="7"/>
    </row>
    <row r="15964" spans="5:6" ht="15" customHeight="1" x14ac:dyDescent="0.2">
      <c r="E15964" s="7"/>
      <c r="F15964" s="7"/>
    </row>
    <row r="15965" spans="5:6" ht="15" customHeight="1" x14ac:dyDescent="0.2">
      <c r="E15965" s="7"/>
      <c r="F15965" s="7"/>
    </row>
    <row r="15966" spans="5:6" ht="15" customHeight="1" x14ac:dyDescent="0.2">
      <c r="E15966" s="7"/>
      <c r="F15966" s="7"/>
    </row>
    <row r="15967" spans="5:6" ht="15" customHeight="1" x14ac:dyDescent="0.2">
      <c r="E15967" s="7"/>
      <c r="F15967" s="7"/>
    </row>
    <row r="15968" spans="5:6" ht="15" customHeight="1" x14ac:dyDescent="0.2">
      <c r="E15968" s="7"/>
      <c r="F15968" s="7"/>
    </row>
    <row r="15969" spans="5:6" ht="15" customHeight="1" x14ac:dyDescent="0.2">
      <c r="E15969" s="7"/>
      <c r="F15969" s="7"/>
    </row>
    <row r="15970" spans="5:6" ht="15" customHeight="1" x14ac:dyDescent="0.2">
      <c r="E15970" s="7"/>
      <c r="F15970" s="7"/>
    </row>
    <row r="15971" spans="5:6" ht="15" customHeight="1" x14ac:dyDescent="0.2">
      <c r="E15971" s="7"/>
      <c r="F15971" s="7"/>
    </row>
    <row r="15972" spans="5:6" ht="15" customHeight="1" x14ac:dyDescent="0.2">
      <c r="E15972" s="7"/>
      <c r="F15972" s="7"/>
    </row>
    <row r="15973" spans="5:6" ht="15" customHeight="1" x14ac:dyDescent="0.2">
      <c r="E15973" s="7"/>
      <c r="F15973" s="7"/>
    </row>
    <row r="15974" spans="5:6" ht="15" customHeight="1" x14ac:dyDescent="0.2">
      <c r="E15974" s="7"/>
      <c r="F15974" s="7"/>
    </row>
    <row r="15975" spans="5:6" ht="15" customHeight="1" x14ac:dyDescent="0.2">
      <c r="E15975" s="7"/>
      <c r="F15975" s="7"/>
    </row>
    <row r="15976" spans="5:6" ht="15" customHeight="1" x14ac:dyDescent="0.2">
      <c r="E15976" s="7"/>
      <c r="F15976" s="7"/>
    </row>
    <row r="15977" spans="5:6" ht="15" customHeight="1" x14ac:dyDescent="0.2">
      <c r="E15977" s="7"/>
      <c r="F15977" s="7"/>
    </row>
    <row r="15978" spans="5:6" ht="15" customHeight="1" x14ac:dyDescent="0.2">
      <c r="E15978" s="7"/>
      <c r="F15978" s="7"/>
    </row>
    <row r="15979" spans="5:6" ht="15" customHeight="1" x14ac:dyDescent="0.2">
      <c r="E15979" s="7"/>
      <c r="F15979" s="7"/>
    </row>
    <row r="15980" spans="5:6" ht="15" customHeight="1" x14ac:dyDescent="0.2">
      <c r="E15980" s="7"/>
      <c r="F15980" s="7"/>
    </row>
    <row r="15981" spans="5:6" ht="15" customHeight="1" x14ac:dyDescent="0.2">
      <c r="E15981" s="7"/>
      <c r="F15981" s="7"/>
    </row>
    <row r="15982" spans="5:6" ht="15" customHeight="1" x14ac:dyDescent="0.2">
      <c r="E15982" s="7"/>
      <c r="F15982" s="7"/>
    </row>
    <row r="15983" spans="5:6" ht="15" customHeight="1" x14ac:dyDescent="0.2">
      <c r="E15983" s="7"/>
      <c r="F15983" s="7"/>
    </row>
    <row r="15984" spans="5:6" ht="15" customHeight="1" x14ac:dyDescent="0.2">
      <c r="E15984" s="7"/>
      <c r="F15984" s="7"/>
    </row>
    <row r="15985" spans="5:6" ht="15" customHeight="1" x14ac:dyDescent="0.2">
      <c r="E15985" s="7"/>
      <c r="F15985" s="7"/>
    </row>
    <row r="15986" spans="5:6" ht="15" customHeight="1" x14ac:dyDescent="0.2">
      <c r="E15986" s="7"/>
      <c r="F15986" s="7"/>
    </row>
    <row r="15987" spans="5:6" ht="15" customHeight="1" x14ac:dyDescent="0.2">
      <c r="E15987" s="7"/>
      <c r="F15987" s="7"/>
    </row>
    <row r="15988" spans="5:6" ht="15" customHeight="1" x14ac:dyDescent="0.2">
      <c r="E15988" s="7"/>
      <c r="F15988" s="7"/>
    </row>
    <row r="15989" spans="5:6" ht="15" customHeight="1" x14ac:dyDescent="0.2">
      <c r="E15989" s="7"/>
      <c r="F15989" s="7"/>
    </row>
    <row r="15990" spans="5:6" ht="15" customHeight="1" x14ac:dyDescent="0.2">
      <c r="E15990" s="7"/>
      <c r="F15990" s="7"/>
    </row>
    <row r="15991" spans="5:6" ht="15" customHeight="1" x14ac:dyDescent="0.2">
      <c r="E15991" s="7"/>
      <c r="F15991" s="7"/>
    </row>
    <row r="15992" spans="5:6" ht="15" customHeight="1" x14ac:dyDescent="0.2">
      <c r="E15992" s="7"/>
      <c r="F15992" s="7"/>
    </row>
    <row r="15993" spans="5:6" ht="15" customHeight="1" x14ac:dyDescent="0.2">
      <c r="E15993" s="7"/>
      <c r="F15993" s="7"/>
    </row>
    <row r="15994" spans="5:6" ht="15" customHeight="1" x14ac:dyDescent="0.2">
      <c r="E15994" s="7"/>
      <c r="F15994" s="7"/>
    </row>
    <row r="15995" spans="5:6" ht="15" customHeight="1" x14ac:dyDescent="0.2">
      <c r="E15995" s="7"/>
      <c r="F15995" s="7"/>
    </row>
    <row r="15996" spans="5:6" ht="15" customHeight="1" x14ac:dyDescent="0.2">
      <c r="E15996" s="7"/>
      <c r="F15996" s="7"/>
    </row>
    <row r="15997" spans="5:6" ht="15" customHeight="1" x14ac:dyDescent="0.2">
      <c r="E15997" s="7"/>
      <c r="F15997" s="7"/>
    </row>
    <row r="15998" spans="5:6" ht="15" customHeight="1" x14ac:dyDescent="0.2">
      <c r="E15998" s="7"/>
      <c r="F15998" s="7"/>
    </row>
    <row r="15999" spans="5:6" ht="15" customHeight="1" x14ac:dyDescent="0.2">
      <c r="E15999" s="7"/>
      <c r="F15999" s="7"/>
    </row>
    <row r="16000" spans="5:6" ht="15" customHeight="1" x14ac:dyDescent="0.2">
      <c r="E16000" s="7"/>
      <c r="F16000" s="7"/>
    </row>
    <row r="16001" spans="5:6" ht="15" customHeight="1" x14ac:dyDescent="0.2">
      <c r="E16001" s="7"/>
      <c r="F16001" s="7"/>
    </row>
    <row r="16002" spans="5:6" ht="15" customHeight="1" x14ac:dyDescent="0.2">
      <c r="E16002" s="7"/>
      <c r="F16002" s="7"/>
    </row>
    <row r="16003" spans="5:6" ht="15" customHeight="1" x14ac:dyDescent="0.2">
      <c r="E16003" s="7"/>
      <c r="F16003" s="7"/>
    </row>
    <row r="16004" spans="5:6" ht="15" customHeight="1" x14ac:dyDescent="0.2">
      <c r="E16004" s="7"/>
      <c r="F16004" s="7"/>
    </row>
    <row r="16005" spans="5:6" ht="15" customHeight="1" x14ac:dyDescent="0.2">
      <c r="E16005" s="7"/>
      <c r="F16005" s="7"/>
    </row>
    <row r="16006" spans="5:6" ht="15" customHeight="1" x14ac:dyDescent="0.2">
      <c r="E16006" s="7"/>
      <c r="F16006" s="7"/>
    </row>
    <row r="16007" spans="5:6" ht="15" customHeight="1" x14ac:dyDescent="0.2">
      <c r="E16007" s="7"/>
      <c r="F16007" s="7"/>
    </row>
    <row r="16008" spans="5:6" ht="15" customHeight="1" x14ac:dyDescent="0.2">
      <c r="E16008" s="7"/>
      <c r="F16008" s="7"/>
    </row>
    <row r="16009" spans="5:6" ht="15" customHeight="1" x14ac:dyDescent="0.2">
      <c r="E16009" s="7"/>
      <c r="F16009" s="7"/>
    </row>
    <row r="16010" spans="5:6" ht="15" customHeight="1" x14ac:dyDescent="0.2">
      <c r="E16010" s="7"/>
      <c r="F16010" s="7"/>
    </row>
    <row r="16011" spans="5:6" ht="15" customHeight="1" x14ac:dyDescent="0.2">
      <c r="E16011" s="7"/>
      <c r="F16011" s="7"/>
    </row>
    <row r="16012" spans="5:6" ht="15" customHeight="1" x14ac:dyDescent="0.2">
      <c r="E16012" s="7"/>
      <c r="F16012" s="7"/>
    </row>
    <row r="16013" spans="5:6" ht="15" customHeight="1" x14ac:dyDescent="0.2">
      <c r="E16013" s="7"/>
      <c r="F16013" s="7"/>
    </row>
    <row r="16014" spans="5:6" ht="15" customHeight="1" x14ac:dyDescent="0.2">
      <c r="E16014" s="7"/>
      <c r="F16014" s="7"/>
    </row>
    <row r="16015" spans="5:6" ht="15" customHeight="1" x14ac:dyDescent="0.2">
      <c r="E16015" s="7"/>
      <c r="F16015" s="7"/>
    </row>
    <row r="16016" spans="5:6" ht="15" customHeight="1" x14ac:dyDescent="0.2">
      <c r="E16016" s="7"/>
      <c r="F16016" s="7"/>
    </row>
    <row r="16017" spans="5:6" ht="15" customHeight="1" x14ac:dyDescent="0.2">
      <c r="E16017" s="7"/>
      <c r="F16017" s="7"/>
    </row>
    <row r="16018" spans="5:6" ht="15" customHeight="1" x14ac:dyDescent="0.2">
      <c r="E16018" s="7"/>
      <c r="F16018" s="7"/>
    </row>
    <row r="16019" spans="5:6" ht="15" customHeight="1" x14ac:dyDescent="0.2">
      <c r="E16019" s="7"/>
      <c r="F16019" s="7"/>
    </row>
    <row r="16020" spans="5:6" ht="15" customHeight="1" x14ac:dyDescent="0.2">
      <c r="E16020" s="7"/>
      <c r="F16020" s="7"/>
    </row>
    <row r="16021" spans="5:6" ht="15" customHeight="1" x14ac:dyDescent="0.2">
      <c r="E16021" s="7"/>
      <c r="F16021" s="7"/>
    </row>
    <row r="16022" spans="5:6" ht="15" customHeight="1" x14ac:dyDescent="0.2">
      <c r="E16022" s="7"/>
      <c r="F16022" s="7"/>
    </row>
    <row r="16023" spans="5:6" ht="15" customHeight="1" x14ac:dyDescent="0.2">
      <c r="E16023" s="7"/>
      <c r="F16023" s="7"/>
    </row>
    <row r="16024" spans="5:6" ht="15" customHeight="1" x14ac:dyDescent="0.2">
      <c r="E16024" s="7"/>
      <c r="F16024" s="7"/>
    </row>
    <row r="16025" spans="5:6" ht="15" customHeight="1" x14ac:dyDescent="0.2">
      <c r="E16025" s="7"/>
      <c r="F16025" s="7"/>
    </row>
    <row r="16026" spans="5:6" ht="15" customHeight="1" x14ac:dyDescent="0.2">
      <c r="E16026" s="7"/>
      <c r="F16026" s="7"/>
    </row>
    <row r="16027" spans="5:6" ht="15" customHeight="1" x14ac:dyDescent="0.2">
      <c r="E16027" s="7"/>
      <c r="F16027" s="7"/>
    </row>
    <row r="16028" spans="5:6" ht="15" customHeight="1" x14ac:dyDescent="0.2">
      <c r="E16028" s="7"/>
      <c r="F16028" s="7"/>
    </row>
    <row r="16029" spans="5:6" ht="15" customHeight="1" x14ac:dyDescent="0.2">
      <c r="E16029" s="7"/>
      <c r="F16029" s="7"/>
    </row>
    <row r="16030" spans="5:6" ht="15" customHeight="1" x14ac:dyDescent="0.2">
      <c r="E16030" s="7"/>
      <c r="F16030" s="7"/>
    </row>
    <row r="16031" spans="5:6" ht="15" customHeight="1" x14ac:dyDescent="0.2">
      <c r="E16031" s="7"/>
      <c r="F16031" s="7"/>
    </row>
    <row r="16032" spans="5:6" ht="15" customHeight="1" x14ac:dyDescent="0.2">
      <c r="E16032" s="7"/>
      <c r="F16032" s="7"/>
    </row>
    <row r="16033" spans="5:6" ht="15" customHeight="1" x14ac:dyDescent="0.2">
      <c r="E16033" s="7"/>
      <c r="F16033" s="7"/>
    </row>
    <row r="16034" spans="5:6" ht="15" customHeight="1" x14ac:dyDescent="0.2">
      <c r="E16034" s="7"/>
      <c r="F16034" s="7"/>
    </row>
    <row r="16035" spans="5:6" ht="15" customHeight="1" x14ac:dyDescent="0.2">
      <c r="E16035" s="7"/>
      <c r="F16035" s="7"/>
    </row>
    <row r="16036" spans="5:6" ht="15" customHeight="1" x14ac:dyDescent="0.2">
      <c r="E16036" s="7"/>
      <c r="F16036" s="7"/>
    </row>
    <row r="16037" spans="5:6" ht="15" customHeight="1" x14ac:dyDescent="0.2">
      <c r="E16037" s="7"/>
      <c r="F16037" s="7"/>
    </row>
    <row r="16038" spans="5:6" ht="15" customHeight="1" x14ac:dyDescent="0.2">
      <c r="E16038" s="7"/>
      <c r="F16038" s="7"/>
    </row>
    <row r="16039" spans="5:6" ht="15" customHeight="1" x14ac:dyDescent="0.2">
      <c r="E16039" s="7"/>
      <c r="F16039" s="7"/>
    </row>
    <row r="16040" spans="5:6" ht="15" customHeight="1" x14ac:dyDescent="0.2">
      <c r="E16040" s="7"/>
      <c r="F16040" s="7"/>
    </row>
    <row r="16041" spans="5:6" ht="15" customHeight="1" x14ac:dyDescent="0.2">
      <c r="E16041" s="7"/>
      <c r="F16041" s="7"/>
    </row>
    <row r="16042" spans="5:6" ht="15" customHeight="1" x14ac:dyDescent="0.2">
      <c r="E16042" s="7"/>
      <c r="F16042" s="7"/>
    </row>
    <row r="16043" spans="5:6" ht="15" customHeight="1" x14ac:dyDescent="0.2">
      <c r="E16043" s="7"/>
      <c r="F16043" s="7"/>
    </row>
    <row r="16044" spans="5:6" ht="15" customHeight="1" x14ac:dyDescent="0.2">
      <c r="E16044" s="7"/>
      <c r="F16044" s="7"/>
    </row>
    <row r="16045" spans="5:6" ht="15" customHeight="1" x14ac:dyDescent="0.2">
      <c r="E16045" s="7"/>
      <c r="F16045" s="7"/>
    </row>
    <row r="16046" spans="5:6" ht="15" customHeight="1" x14ac:dyDescent="0.2">
      <c r="E16046" s="7"/>
      <c r="F16046" s="7"/>
    </row>
    <row r="16047" spans="5:6" ht="15" customHeight="1" x14ac:dyDescent="0.2">
      <c r="E16047" s="7"/>
      <c r="F16047" s="7"/>
    </row>
    <row r="16048" spans="5:6" ht="15" customHeight="1" x14ac:dyDescent="0.2">
      <c r="E16048" s="7"/>
      <c r="F16048" s="7"/>
    </row>
    <row r="16049" spans="5:6" ht="15" customHeight="1" x14ac:dyDescent="0.2">
      <c r="E16049" s="7"/>
      <c r="F16049" s="7"/>
    </row>
    <row r="16050" spans="5:6" ht="15" customHeight="1" x14ac:dyDescent="0.2">
      <c r="E16050" s="7"/>
      <c r="F16050" s="7"/>
    </row>
    <row r="16051" spans="5:6" ht="15" customHeight="1" x14ac:dyDescent="0.2">
      <c r="E16051" s="7"/>
      <c r="F16051" s="7"/>
    </row>
    <row r="16052" spans="5:6" ht="15" customHeight="1" x14ac:dyDescent="0.2">
      <c r="E16052" s="7"/>
      <c r="F16052" s="7"/>
    </row>
    <row r="16053" spans="5:6" ht="15" customHeight="1" x14ac:dyDescent="0.2">
      <c r="E16053" s="7"/>
      <c r="F16053" s="7"/>
    </row>
    <row r="16054" spans="5:6" ht="15" customHeight="1" x14ac:dyDescent="0.2">
      <c r="E16054" s="7"/>
      <c r="F16054" s="7"/>
    </row>
    <row r="16055" spans="5:6" ht="15" customHeight="1" x14ac:dyDescent="0.2">
      <c r="E16055" s="7"/>
      <c r="F16055" s="7"/>
    </row>
    <row r="16056" spans="5:6" ht="15" customHeight="1" x14ac:dyDescent="0.2">
      <c r="E16056" s="7"/>
      <c r="F16056" s="7"/>
    </row>
    <row r="16057" spans="5:6" ht="15" customHeight="1" x14ac:dyDescent="0.2">
      <c r="E16057" s="7"/>
      <c r="F16057" s="7"/>
    </row>
    <row r="16058" spans="5:6" ht="15" customHeight="1" x14ac:dyDescent="0.2">
      <c r="E16058" s="7"/>
      <c r="F16058" s="7"/>
    </row>
    <row r="16059" spans="5:6" ht="15" customHeight="1" x14ac:dyDescent="0.2">
      <c r="E16059" s="7"/>
      <c r="F16059" s="7"/>
    </row>
    <row r="16060" spans="5:6" ht="15" customHeight="1" x14ac:dyDescent="0.2">
      <c r="E16060" s="7"/>
      <c r="F16060" s="7"/>
    </row>
    <row r="16061" spans="5:6" ht="15" customHeight="1" x14ac:dyDescent="0.2">
      <c r="E16061" s="7"/>
      <c r="F16061" s="7"/>
    </row>
    <row r="16062" spans="5:6" ht="15" customHeight="1" x14ac:dyDescent="0.2">
      <c r="E16062" s="7"/>
      <c r="F16062" s="7"/>
    </row>
    <row r="16063" spans="5:6" ht="15" customHeight="1" x14ac:dyDescent="0.2">
      <c r="E16063" s="7"/>
      <c r="F16063" s="7"/>
    </row>
    <row r="16064" spans="5:6" ht="15" customHeight="1" x14ac:dyDescent="0.2">
      <c r="E16064" s="7"/>
      <c r="F16064" s="7"/>
    </row>
    <row r="16065" spans="5:6" ht="15" customHeight="1" x14ac:dyDescent="0.2">
      <c r="E16065" s="7"/>
      <c r="F16065" s="7"/>
    </row>
    <row r="16066" spans="5:6" ht="15" customHeight="1" x14ac:dyDescent="0.2">
      <c r="E16066" s="7"/>
      <c r="F16066" s="7"/>
    </row>
    <row r="16067" spans="5:6" ht="15" customHeight="1" x14ac:dyDescent="0.2">
      <c r="E16067" s="7"/>
      <c r="F16067" s="7"/>
    </row>
    <row r="16068" spans="5:6" ht="15" customHeight="1" x14ac:dyDescent="0.2">
      <c r="E16068" s="7"/>
      <c r="F16068" s="7"/>
    </row>
    <row r="16069" spans="5:6" ht="15" customHeight="1" x14ac:dyDescent="0.2">
      <c r="E16069" s="7"/>
      <c r="F16069" s="7"/>
    </row>
    <row r="16070" spans="5:6" ht="15" customHeight="1" x14ac:dyDescent="0.2">
      <c r="E16070" s="7"/>
      <c r="F16070" s="7"/>
    </row>
    <row r="16071" spans="5:6" ht="15" customHeight="1" x14ac:dyDescent="0.2">
      <c r="E16071" s="7"/>
      <c r="F16071" s="7"/>
    </row>
    <row r="16072" spans="5:6" ht="15" customHeight="1" x14ac:dyDescent="0.2">
      <c r="E16072" s="7"/>
      <c r="F16072" s="7"/>
    </row>
    <row r="16073" spans="5:6" ht="15" customHeight="1" x14ac:dyDescent="0.2">
      <c r="E16073" s="7"/>
      <c r="F16073" s="7"/>
    </row>
    <row r="16074" spans="5:6" ht="15" customHeight="1" x14ac:dyDescent="0.2">
      <c r="E16074" s="7"/>
      <c r="F16074" s="7"/>
    </row>
    <row r="16075" spans="5:6" ht="15" customHeight="1" x14ac:dyDescent="0.2">
      <c r="E16075" s="7"/>
      <c r="F16075" s="7"/>
    </row>
    <row r="16076" spans="5:6" ht="15" customHeight="1" x14ac:dyDescent="0.2">
      <c r="E16076" s="7"/>
      <c r="F16076" s="7"/>
    </row>
    <row r="16077" spans="5:6" ht="15" customHeight="1" x14ac:dyDescent="0.2">
      <c r="E16077" s="7"/>
      <c r="F16077" s="7"/>
    </row>
    <row r="16078" spans="5:6" ht="15" customHeight="1" x14ac:dyDescent="0.2">
      <c r="E16078" s="7"/>
      <c r="F16078" s="7"/>
    </row>
    <row r="16079" spans="5:6" ht="15" customHeight="1" x14ac:dyDescent="0.2">
      <c r="E16079" s="7"/>
      <c r="F16079" s="7"/>
    </row>
    <row r="16080" spans="5:6" ht="15" customHeight="1" x14ac:dyDescent="0.2">
      <c r="E16080" s="7"/>
      <c r="F16080" s="7"/>
    </row>
    <row r="16081" spans="5:6" ht="15" customHeight="1" x14ac:dyDescent="0.2">
      <c r="E16081" s="7"/>
      <c r="F16081" s="7"/>
    </row>
    <row r="16082" spans="5:6" ht="15" customHeight="1" x14ac:dyDescent="0.2">
      <c r="E16082" s="7"/>
      <c r="F16082" s="7"/>
    </row>
    <row r="16083" spans="5:6" ht="15" customHeight="1" x14ac:dyDescent="0.2">
      <c r="E16083" s="7"/>
      <c r="F16083" s="7"/>
    </row>
    <row r="16084" spans="5:6" ht="15" customHeight="1" x14ac:dyDescent="0.2">
      <c r="E16084" s="7"/>
      <c r="F16084" s="7"/>
    </row>
    <row r="16085" spans="5:6" ht="15" customHeight="1" x14ac:dyDescent="0.2">
      <c r="E16085" s="7"/>
      <c r="F16085" s="7"/>
    </row>
    <row r="16086" spans="5:6" ht="15" customHeight="1" x14ac:dyDescent="0.2">
      <c r="E16086" s="7"/>
      <c r="F16086" s="7"/>
    </row>
    <row r="16087" spans="5:6" ht="15" customHeight="1" x14ac:dyDescent="0.2">
      <c r="E16087" s="7"/>
      <c r="F16087" s="7"/>
    </row>
    <row r="16088" spans="5:6" ht="15" customHeight="1" x14ac:dyDescent="0.2">
      <c r="E16088" s="7"/>
      <c r="F16088" s="7"/>
    </row>
    <row r="16089" spans="5:6" ht="15" customHeight="1" x14ac:dyDescent="0.2">
      <c r="E16089" s="7"/>
      <c r="F16089" s="7"/>
    </row>
    <row r="16090" spans="5:6" ht="15" customHeight="1" x14ac:dyDescent="0.2">
      <c r="E16090" s="7"/>
      <c r="F16090" s="7"/>
    </row>
    <row r="16091" spans="5:6" ht="15" customHeight="1" x14ac:dyDescent="0.2">
      <c r="E16091" s="7"/>
      <c r="F16091" s="7"/>
    </row>
    <row r="16092" spans="5:6" ht="15" customHeight="1" x14ac:dyDescent="0.2">
      <c r="E16092" s="7"/>
      <c r="F16092" s="7"/>
    </row>
    <row r="16093" spans="5:6" ht="15" customHeight="1" x14ac:dyDescent="0.2">
      <c r="E16093" s="7"/>
      <c r="F16093" s="7"/>
    </row>
    <row r="16094" spans="5:6" ht="15" customHeight="1" x14ac:dyDescent="0.2">
      <c r="E16094" s="7"/>
      <c r="F16094" s="7"/>
    </row>
    <row r="16095" spans="5:6" ht="15" customHeight="1" x14ac:dyDescent="0.2">
      <c r="E16095" s="7"/>
      <c r="F16095" s="7"/>
    </row>
    <row r="16096" spans="5:6" ht="15" customHeight="1" x14ac:dyDescent="0.2">
      <c r="E16096" s="7"/>
      <c r="F16096" s="7"/>
    </row>
    <row r="16097" spans="5:6" ht="15" customHeight="1" x14ac:dyDescent="0.2">
      <c r="E16097" s="7"/>
      <c r="F16097" s="7"/>
    </row>
    <row r="16098" spans="5:6" ht="15" customHeight="1" x14ac:dyDescent="0.2">
      <c r="E16098" s="7"/>
      <c r="F16098" s="7"/>
    </row>
    <row r="16099" spans="5:6" ht="15" customHeight="1" x14ac:dyDescent="0.2">
      <c r="E16099" s="7"/>
      <c r="F16099" s="7"/>
    </row>
    <row r="16100" spans="5:6" ht="15" customHeight="1" x14ac:dyDescent="0.2">
      <c r="E16100" s="7"/>
      <c r="F16100" s="7"/>
    </row>
    <row r="16101" spans="5:6" ht="15" customHeight="1" x14ac:dyDescent="0.2">
      <c r="E16101" s="7"/>
      <c r="F16101" s="7"/>
    </row>
    <row r="16102" spans="5:6" ht="15" customHeight="1" x14ac:dyDescent="0.2">
      <c r="E16102" s="7"/>
      <c r="F16102" s="7"/>
    </row>
    <row r="16103" spans="5:6" ht="15" customHeight="1" x14ac:dyDescent="0.2">
      <c r="E16103" s="7"/>
      <c r="F16103" s="7"/>
    </row>
    <row r="16104" spans="5:6" ht="15" customHeight="1" x14ac:dyDescent="0.2">
      <c r="E16104" s="7"/>
      <c r="F16104" s="7"/>
    </row>
    <row r="16105" spans="5:6" ht="15" customHeight="1" x14ac:dyDescent="0.2">
      <c r="E16105" s="7"/>
      <c r="F16105" s="7"/>
    </row>
    <row r="16106" spans="5:6" ht="15" customHeight="1" x14ac:dyDescent="0.2">
      <c r="E16106" s="7"/>
      <c r="F16106" s="7"/>
    </row>
    <row r="16107" spans="5:6" ht="15" customHeight="1" x14ac:dyDescent="0.2">
      <c r="E16107" s="7"/>
      <c r="F16107" s="7"/>
    </row>
    <row r="16108" spans="5:6" ht="15" customHeight="1" x14ac:dyDescent="0.2">
      <c r="E16108" s="7"/>
      <c r="F16108" s="7"/>
    </row>
    <row r="16109" spans="5:6" ht="15" customHeight="1" x14ac:dyDescent="0.2">
      <c r="E16109" s="7"/>
      <c r="F16109" s="7"/>
    </row>
    <row r="16110" spans="5:6" ht="15" customHeight="1" x14ac:dyDescent="0.2">
      <c r="E16110" s="7"/>
      <c r="F16110" s="7"/>
    </row>
    <row r="16111" spans="5:6" ht="15" customHeight="1" x14ac:dyDescent="0.2">
      <c r="E16111" s="7"/>
      <c r="F16111" s="7"/>
    </row>
    <row r="16112" spans="5:6" ht="15" customHeight="1" x14ac:dyDescent="0.2">
      <c r="E16112" s="7"/>
      <c r="F16112" s="7"/>
    </row>
    <row r="16113" spans="5:6" ht="15" customHeight="1" x14ac:dyDescent="0.2">
      <c r="E16113" s="7"/>
      <c r="F16113" s="7"/>
    </row>
    <row r="16114" spans="5:6" ht="15" customHeight="1" x14ac:dyDescent="0.2">
      <c r="E16114" s="7"/>
      <c r="F16114" s="7"/>
    </row>
    <row r="16115" spans="5:6" ht="15" customHeight="1" x14ac:dyDescent="0.2">
      <c r="E16115" s="7"/>
      <c r="F16115" s="7"/>
    </row>
    <row r="16116" spans="5:6" ht="15" customHeight="1" x14ac:dyDescent="0.2">
      <c r="E16116" s="7"/>
      <c r="F16116" s="7"/>
    </row>
    <row r="16117" spans="5:6" ht="15" customHeight="1" x14ac:dyDescent="0.2">
      <c r="E16117" s="7"/>
      <c r="F16117" s="7"/>
    </row>
    <row r="16118" spans="5:6" ht="15" customHeight="1" x14ac:dyDescent="0.2">
      <c r="E16118" s="7"/>
      <c r="F16118" s="7"/>
    </row>
    <row r="16119" spans="5:6" ht="15" customHeight="1" x14ac:dyDescent="0.2">
      <c r="E16119" s="7"/>
      <c r="F16119" s="7"/>
    </row>
    <row r="16120" spans="5:6" ht="15" customHeight="1" x14ac:dyDescent="0.2">
      <c r="E16120" s="7"/>
      <c r="F16120" s="7"/>
    </row>
    <row r="16121" spans="5:6" ht="15" customHeight="1" x14ac:dyDescent="0.2">
      <c r="E16121" s="7"/>
      <c r="F16121" s="7"/>
    </row>
    <row r="16122" spans="5:6" ht="15" customHeight="1" x14ac:dyDescent="0.2">
      <c r="E16122" s="7"/>
      <c r="F16122" s="7"/>
    </row>
    <row r="16123" spans="5:6" ht="15" customHeight="1" x14ac:dyDescent="0.2">
      <c r="E16123" s="7"/>
      <c r="F16123" s="7"/>
    </row>
    <row r="16124" spans="5:6" ht="15" customHeight="1" x14ac:dyDescent="0.2">
      <c r="E16124" s="7"/>
      <c r="F16124" s="7"/>
    </row>
    <row r="16125" spans="5:6" ht="15" customHeight="1" x14ac:dyDescent="0.2">
      <c r="E16125" s="7"/>
      <c r="F16125" s="7"/>
    </row>
    <row r="16126" spans="5:6" ht="15" customHeight="1" x14ac:dyDescent="0.2">
      <c r="E16126" s="7"/>
      <c r="F16126" s="7"/>
    </row>
    <row r="16127" spans="5:6" ht="15" customHeight="1" x14ac:dyDescent="0.2">
      <c r="E16127" s="7"/>
      <c r="F16127" s="7"/>
    </row>
    <row r="16128" spans="5:6" ht="15" customHeight="1" x14ac:dyDescent="0.2">
      <c r="E16128" s="7"/>
      <c r="F16128" s="7"/>
    </row>
    <row r="16129" spans="5:6" ht="15" customHeight="1" x14ac:dyDescent="0.2">
      <c r="E16129" s="7"/>
      <c r="F16129" s="7"/>
    </row>
    <row r="16130" spans="5:6" ht="15" customHeight="1" x14ac:dyDescent="0.2">
      <c r="E16130" s="7"/>
      <c r="F16130" s="7"/>
    </row>
    <row r="16131" spans="5:6" ht="15" customHeight="1" x14ac:dyDescent="0.2">
      <c r="E16131" s="7"/>
      <c r="F16131" s="7"/>
    </row>
    <row r="16132" spans="5:6" ht="15" customHeight="1" x14ac:dyDescent="0.2">
      <c r="E16132" s="7"/>
      <c r="F16132" s="7"/>
    </row>
    <row r="16133" spans="5:6" ht="15" customHeight="1" x14ac:dyDescent="0.2">
      <c r="E16133" s="7"/>
      <c r="F16133" s="7"/>
    </row>
    <row r="16134" spans="5:6" ht="15" customHeight="1" x14ac:dyDescent="0.2">
      <c r="E16134" s="7"/>
      <c r="F16134" s="7"/>
    </row>
    <row r="16135" spans="5:6" ht="15" customHeight="1" x14ac:dyDescent="0.2">
      <c r="E16135" s="7"/>
      <c r="F16135" s="7"/>
    </row>
    <row r="16136" spans="5:6" ht="15" customHeight="1" x14ac:dyDescent="0.2">
      <c r="E16136" s="7"/>
      <c r="F16136" s="7"/>
    </row>
    <row r="16137" spans="5:6" ht="15" customHeight="1" x14ac:dyDescent="0.2">
      <c r="E16137" s="7"/>
      <c r="F16137" s="7"/>
    </row>
    <row r="16138" spans="5:6" ht="15" customHeight="1" x14ac:dyDescent="0.2">
      <c r="E16138" s="7"/>
      <c r="F16138" s="7"/>
    </row>
    <row r="16139" spans="5:6" ht="15" customHeight="1" x14ac:dyDescent="0.2">
      <c r="E16139" s="7"/>
      <c r="F16139" s="7"/>
    </row>
    <row r="16140" spans="5:6" ht="15" customHeight="1" x14ac:dyDescent="0.2">
      <c r="E16140" s="7"/>
      <c r="F16140" s="7"/>
    </row>
    <row r="16141" spans="5:6" ht="15" customHeight="1" x14ac:dyDescent="0.2">
      <c r="E16141" s="7"/>
      <c r="F16141" s="7"/>
    </row>
    <row r="16142" spans="5:6" ht="15" customHeight="1" x14ac:dyDescent="0.2">
      <c r="E16142" s="7"/>
      <c r="F16142" s="7"/>
    </row>
    <row r="16143" spans="5:6" ht="15" customHeight="1" x14ac:dyDescent="0.2">
      <c r="E16143" s="7"/>
      <c r="F16143" s="7"/>
    </row>
    <row r="16144" spans="5:6" ht="15" customHeight="1" x14ac:dyDescent="0.2">
      <c r="E16144" s="7"/>
      <c r="F16144" s="7"/>
    </row>
    <row r="16145" spans="5:6" ht="15" customHeight="1" x14ac:dyDescent="0.2">
      <c r="E16145" s="7"/>
      <c r="F16145" s="7"/>
    </row>
    <row r="16146" spans="5:6" ht="15" customHeight="1" x14ac:dyDescent="0.2">
      <c r="E16146" s="7"/>
      <c r="F16146" s="7"/>
    </row>
    <row r="16147" spans="5:6" ht="15" customHeight="1" x14ac:dyDescent="0.2">
      <c r="E16147" s="7"/>
      <c r="F16147" s="7"/>
    </row>
    <row r="16148" spans="5:6" ht="15" customHeight="1" x14ac:dyDescent="0.2">
      <c r="E16148" s="7"/>
      <c r="F16148" s="7"/>
    </row>
    <row r="16149" spans="5:6" ht="15" customHeight="1" x14ac:dyDescent="0.2">
      <c r="E16149" s="7"/>
      <c r="F16149" s="7"/>
    </row>
    <row r="16150" spans="5:6" ht="15" customHeight="1" x14ac:dyDescent="0.2">
      <c r="E16150" s="7"/>
      <c r="F16150" s="7"/>
    </row>
    <row r="16151" spans="5:6" ht="15" customHeight="1" x14ac:dyDescent="0.2">
      <c r="E16151" s="7"/>
      <c r="F16151" s="7"/>
    </row>
    <row r="16152" spans="5:6" ht="15" customHeight="1" x14ac:dyDescent="0.2">
      <c r="E16152" s="7"/>
      <c r="F16152" s="7"/>
    </row>
    <row r="16153" spans="5:6" ht="15" customHeight="1" x14ac:dyDescent="0.2">
      <c r="E16153" s="7"/>
      <c r="F16153" s="7"/>
    </row>
    <row r="16154" spans="5:6" ht="15" customHeight="1" x14ac:dyDescent="0.2">
      <c r="E16154" s="7"/>
      <c r="F16154" s="7"/>
    </row>
    <row r="16155" spans="5:6" ht="15" customHeight="1" x14ac:dyDescent="0.2">
      <c r="E16155" s="7"/>
      <c r="F16155" s="7"/>
    </row>
    <row r="16156" spans="5:6" ht="15" customHeight="1" x14ac:dyDescent="0.2">
      <c r="E16156" s="7"/>
      <c r="F16156" s="7"/>
    </row>
    <row r="16157" spans="5:6" ht="15" customHeight="1" x14ac:dyDescent="0.2">
      <c r="E16157" s="7"/>
      <c r="F16157" s="7"/>
    </row>
    <row r="16158" spans="5:6" ht="15" customHeight="1" x14ac:dyDescent="0.2">
      <c r="E16158" s="7"/>
      <c r="F16158" s="7"/>
    </row>
    <row r="16159" spans="5:6" ht="15" customHeight="1" x14ac:dyDescent="0.2">
      <c r="E16159" s="7"/>
      <c r="F16159" s="7"/>
    </row>
    <row r="16160" spans="5:6" ht="15" customHeight="1" x14ac:dyDescent="0.2">
      <c r="E16160" s="7"/>
      <c r="F16160" s="7"/>
    </row>
    <row r="16161" spans="5:6" ht="15" customHeight="1" x14ac:dyDescent="0.2">
      <c r="E16161" s="7"/>
      <c r="F16161" s="7"/>
    </row>
    <row r="16162" spans="5:6" ht="15" customHeight="1" x14ac:dyDescent="0.2">
      <c r="E16162" s="7"/>
      <c r="F16162" s="7"/>
    </row>
    <row r="16163" spans="5:6" ht="15" customHeight="1" x14ac:dyDescent="0.2">
      <c r="E16163" s="7"/>
      <c r="F16163" s="7"/>
    </row>
    <row r="16164" spans="5:6" ht="15" customHeight="1" x14ac:dyDescent="0.2">
      <c r="E16164" s="7"/>
      <c r="F16164" s="7"/>
    </row>
    <row r="16165" spans="5:6" ht="15" customHeight="1" x14ac:dyDescent="0.2">
      <c r="E16165" s="7"/>
      <c r="F16165" s="7"/>
    </row>
    <row r="16166" spans="5:6" ht="15" customHeight="1" x14ac:dyDescent="0.2">
      <c r="E16166" s="7"/>
      <c r="F16166" s="7"/>
    </row>
    <row r="16167" spans="5:6" ht="15" customHeight="1" x14ac:dyDescent="0.2">
      <c r="E16167" s="7"/>
      <c r="F16167" s="7"/>
    </row>
    <row r="16168" spans="5:6" ht="15" customHeight="1" x14ac:dyDescent="0.2">
      <c r="E16168" s="7"/>
      <c r="F16168" s="7"/>
    </row>
    <row r="16169" spans="5:6" ht="15" customHeight="1" x14ac:dyDescent="0.2">
      <c r="E16169" s="7"/>
      <c r="F16169" s="7"/>
    </row>
    <row r="16170" spans="5:6" ht="15" customHeight="1" x14ac:dyDescent="0.2">
      <c r="E16170" s="7"/>
      <c r="F16170" s="7"/>
    </row>
    <row r="16171" spans="5:6" ht="15" customHeight="1" x14ac:dyDescent="0.2">
      <c r="E16171" s="7"/>
      <c r="F16171" s="7"/>
    </row>
    <row r="16172" spans="5:6" ht="15" customHeight="1" x14ac:dyDescent="0.2">
      <c r="E16172" s="7"/>
      <c r="F16172" s="7"/>
    </row>
    <row r="16173" spans="5:6" ht="15" customHeight="1" x14ac:dyDescent="0.2">
      <c r="E16173" s="7"/>
      <c r="F16173" s="7"/>
    </row>
    <row r="16174" spans="5:6" ht="15" customHeight="1" x14ac:dyDescent="0.2">
      <c r="E16174" s="7"/>
      <c r="F16174" s="7"/>
    </row>
    <row r="16175" spans="5:6" ht="15" customHeight="1" x14ac:dyDescent="0.2">
      <c r="E16175" s="7"/>
      <c r="F16175" s="7"/>
    </row>
    <row r="16176" spans="5:6" ht="15" customHeight="1" x14ac:dyDescent="0.2">
      <c r="E16176" s="7"/>
      <c r="F16176" s="7"/>
    </row>
    <row r="16177" spans="5:6" ht="15" customHeight="1" x14ac:dyDescent="0.2">
      <c r="E16177" s="7"/>
      <c r="F16177" s="7"/>
    </row>
    <row r="16178" spans="5:6" ht="15" customHeight="1" x14ac:dyDescent="0.2">
      <c r="E16178" s="7"/>
      <c r="F16178" s="7"/>
    </row>
    <row r="16179" spans="5:6" ht="15" customHeight="1" x14ac:dyDescent="0.2">
      <c r="E16179" s="7"/>
      <c r="F16179" s="7"/>
    </row>
    <row r="16180" spans="5:6" ht="15" customHeight="1" x14ac:dyDescent="0.2">
      <c r="E16180" s="7"/>
      <c r="F16180" s="7"/>
    </row>
    <row r="16181" spans="5:6" ht="15" customHeight="1" x14ac:dyDescent="0.2">
      <c r="E16181" s="7"/>
      <c r="F16181" s="7"/>
    </row>
    <row r="16182" spans="5:6" ht="15" customHeight="1" x14ac:dyDescent="0.2">
      <c r="E16182" s="7"/>
      <c r="F16182" s="7"/>
    </row>
    <row r="16183" spans="5:6" ht="15" customHeight="1" x14ac:dyDescent="0.2">
      <c r="E16183" s="7"/>
      <c r="F16183" s="7"/>
    </row>
    <row r="16184" spans="5:6" ht="15" customHeight="1" x14ac:dyDescent="0.2">
      <c r="E16184" s="7"/>
      <c r="F16184" s="7"/>
    </row>
    <row r="16185" spans="5:6" ht="15" customHeight="1" x14ac:dyDescent="0.2">
      <c r="E16185" s="7"/>
      <c r="F16185" s="7"/>
    </row>
    <row r="16186" spans="5:6" ht="15" customHeight="1" x14ac:dyDescent="0.2">
      <c r="E16186" s="7"/>
      <c r="F16186" s="7"/>
    </row>
    <row r="16187" spans="5:6" ht="15" customHeight="1" x14ac:dyDescent="0.2">
      <c r="E16187" s="7"/>
      <c r="F16187" s="7"/>
    </row>
    <row r="16188" spans="5:6" ht="15" customHeight="1" x14ac:dyDescent="0.2">
      <c r="E16188" s="7"/>
      <c r="F16188" s="7"/>
    </row>
    <row r="16189" spans="5:6" ht="15" customHeight="1" x14ac:dyDescent="0.2">
      <c r="E16189" s="7"/>
      <c r="F16189" s="7"/>
    </row>
    <row r="16190" spans="5:6" ht="15" customHeight="1" x14ac:dyDescent="0.2">
      <c r="E16190" s="7"/>
      <c r="F16190" s="7"/>
    </row>
    <row r="16191" spans="5:6" ht="15" customHeight="1" x14ac:dyDescent="0.2">
      <c r="E16191" s="7"/>
      <c r="F16191" s="7"/>
    </row>
    <row r="16192" spans="5:6" ht="15" customHeight="1" x14ac:dyDescent="0.2">
      <c r="E16192" s="7"/>
      <c r="F16192" s="7"/>
    </row>
    <row r="16193" spans="5:6" ht="15" customHeight="1" x14ac:dyDescent="0.2">
      <c r="E16193" s="7"/>
      <c r="F16193" s="7"/>
    </row>
    <row r="16194" spans="5:6" ht="15" customHeight="1" x14ac:dyDescent="0.2">
      <c r="E16194" s="7"/>
      <c r="F16194" s="7"/>
    </row>
    <row r="16195" spans="5:6" ht="15" customHeight="1" x14ac:dyDescent="0.2">
      <c r="E16195" s="7"/>
      <c r="F16195" s="7"/>
    </row>
    <row r="16196" spans="5:6" ht="15" customHeight="1" x14ac:dyDescent="0.2">
      <c r="E16196" s="7"/>
      <c r="F16196" s="7"/>
    </row>
    <row r="16197" spans="5:6" ht="15" customHeight="1" x14ac:dyDescent="0.2">
      <c r="E16197" s="7"/>
      <c r="F16197" s="7"/>
    </row>
    <row r="16198" spans="5:6" ht="15" customHeight="1" x14ac:dyDescent="0.2">
      <c r="E16198" s="7"/>
      <c r="F16198" s="7"/>
    </row>
    <row r="16199" spans="5:6" ht="15" customHeight="1" x14ac:dyDescent="0.2">
      <c r="E16199" s="7"/>
      <c r="F16199" s="7"/>
    </row>
    <row r="16200" spans="5:6" ht="15" customHeight="1" x14ac:dyDescent="0.2">
      <c r="E16200" s="7"/>
      <c r="F16200" s="7"/>
    </row>
    <row r="16201" spans="5:6" ht="15" customHeight="1" x14ac:dyDescent="0.2">
      <c r="E16201" s="7"/>
      <c r="F16201" s="7"/>
    </row>
    <row r="16202" spans="5:6" ht="15" customHeight="1" x14ac:dyDescent="0.2">
      <c r="E16202" s="7"/>
      <c r="F16202" s="7"/>
    </row>
    <row r="16203" spans="5:6" ht="15" customHeight="1" x14ac:dyDescent="0.2">
      <c r="E16203" s="7"/>
      <c r="F16203" s="7"/>
    </row>
    <row r="16204" spans="5:6" ht="15" customHeight="1" x14ac:dyDescent="0.2">
      <c r="E16204" s="7"/>
      <c r="F16204" s="7"/>
    </row>
    <row r="16205" spans="5:6" ht="15" customHeight="1" x14ac:dyDescent="0.2">
      <c r="E16205" s="7"/>
      <c r="F16205" s="7"/>
    </row>
    <row r="16206" spans="5:6" ht="15" customHeight="1" x14ac:dyDescent="0.2">
      <c r="E16206" s="7"/>
      <c r="F16206" s="7"/>
    </row>
    <row r="16207" spans="5:6" ht="15" customHeight="1" x14ac:dyDescent="0.2">
      <c r="E16207" s="7"/>
      <c r="F16207" s="7"/>
    </row>
    <row r="16208" spans="5:6" ht="15" customHeight="1" x14ac:dyDescent="0.2">
      <c r="E16208" s="7"/>
      <c r="F16208" s="7"/>
    </row>
    <row r="16209" spans="5:6" ht="15" customHeight="1" x14ac:dyDescent="0.2">
      <c r="E16209" s="7"/>
      <c r="F16209" s="7"/>
    </row>
    <row r="16210" spans="5:6" ht="15" customHeight="1" x14ac:dyDescent="0.2">
      <c r="E16210" s="7"/>
      <c r="F16210" s="7"/>
    </row>
    <row r="16211" spans="5:6" ht="15" customHeight="1" x14ac:dyDescent="0.2">
      <c r="E16211" s="7"/>
      <c r="F16211" s="7"/>
    </row>
    <row r="16212" spans="5:6" ht="15" customHeight="1" x14ac:dyDescent="0.2">
      <c r="E16212" s="7"/>
      <c r="F16212" s="7"/>
    </row>
    <row r="16213" spans="5:6" ht="15" customHeight="1" x14ac:dyDescent="0.2">
      <c r="E16213" s="7"/>
      <c r="F16213" s="7"/>
    </row>
    <row r="16214" spans="5:6" ht="15" customHeight="1" x14ac:dyDescent="0.2">
      <c r="E16214" s="7"/>
      <c r="F16214" s="7"/>
    </row>
    <row r="16215" spans="5:6" ht="15" customHeight="1" x14ac:dyDescent="0.2">
      <c r="E16215" s="7"/>
      <c r="F16215" s="7"/>
    </row>
    <row r="16216" spans="5:6" ht="15" customHeight="1" x14ac:dyDescent="0.2">
      <c r="E16216" s="7"/>
      <c r="F16216" s="7"/>
    </row>
    <row r="16217" spans="5:6" ht="15" customHeight="1" x14ac:dyDescent="0.2">
      <c r="E16217" s="7"/>
      <c r="F16217" s="7"/>
    </row>
    <row r="16218" spans="5:6" ht="15" customHeight="1" x14ac:dyDescent="0.2">
      <c r="E16218" s="7"/>
      <c r="F16218" s="7"/>
    </row>
    <row r="16219" spans="5:6" ht="15" customHeight="1" x14ac:dyDescent="0.2">
      <c r="E16219" s="7"/>
      <c r="F16219" s="7"/>
    </row>
    <row r="16220" spans="5:6" ht="15" customHeight="1" x14ac:dyDescent="0.2">
      <c r="E16220" s="7"/>
      <c r="F16220" s="7"/>
    </row>
    <row r="16221" spans="5:6" ht="15" customHeight="1" x14ac:dyDescent="0.2">
      <c r="E16221" s="7"/>
      <c r="F16221" s="7"/>
    </row>
    <row r="16222" spans="5:6" ht="15" customHeight="1" x14ac:dyDescent="0.2">
      <c r="E16222" s="7"/>
      <c r="F16222" s="7"/>
    </row>
    <row r="16223" spans="5:6" ht="15" customHeight="1" x14ac:dyDescent="0.2">
      <c r="E16223" s="7"/>
      <c r="F16223" s="7"/>
    </row>
    <row r="16224" spans="5:6" ht="15" customHeight="1" x14ac:dyDescent="0.2">
      <c r="E16224" s="7"/>
      <c r="F16224" s="7"/>
    </row>
    <row r="16225" spans="5:6" ht="15" customHeight="1" x14ac:dyDescent="0.2">
      <c r="E16225" s="7"/>
      <c r="F16225" s="7"/>
    </row>
    <row r="16226" spans="5:6" ht="15" customHeight="1" x14ac:dyDescent="0.2">
      <c r="E16226" s="7"/>
      <c r="F16226" s="7"/>
    </row>
    <row r="16227" spans="5:6" ht="15" customHeight="1" x14ac:dyDescent="0.2">
      <c r="E16227" s="7"/>
      <c r="F16227" s="7"/>
    </row>
    <row r="16228" spans="5:6" ht="15" customHeight="1" x14ac:dyDescent="0.2">
      <c r="E16228" s="7"/>
      <c r="F16228" s="7"/>
    </row>
    <row r="16229" spans="5:6" ht="15" customHeight="1" x14ac:dyDescent="0.2">
      <c r="E16229" s="7"/>
      <c r="F16229" s="7"/>
    </row>
    <row r="16230" spans="5:6" ht="15" customHeight="1" x14ac:dyDescent="0.2">
      <c r="E16230" s="7"/>
      <c r="F16230" s="7"/>
    </row>
    <row r="16231" spans="5:6" ht="15" customHeight="1" x14ac:dyDescent="0.2">
      <c r="E16231" s="7"/>
      <c r="F16231" s="7"/>
    </row>
    <row r="16232" spans="5:6" ht="15" customHeight="1" x14ac:dyDescent="0.2">
      <c r="E16232" s="7"/>
      <c r="F16232" s="7"/>
    </row>
    <row r="16233" spans="5:6" ht="15" customHeight="1" x14ac:dyDescent="0.2">
      <c r="E16233" s="7"/>
      <c r="F16233" s="7"/>
    </row>
    <row r="16234" spans="5:6" ht="15" customHeight="1" x14ac:dyDescent="0.2">
      <c r="E16234" s="7"/>
      <c r="F16234" s="7"/>
    </row>
    <row r="16235" spans="5:6" ht="15" customHeight="1" x14ac:dyDescent="0.2">
      <c r="E16235" s="7"/>
      <c r="F16235" s="7"/>
    </row>
    <row r="16236" spans="5:6" ht="15" customHeight="1" x14ac:dyDescent="0.2">
      <c r="E16236" s="7"/>
      <c r="F16236" s="7"/>
    </row>
    <row r="16237" spans="5:6" ht="15" customHeight="1" x14ac:dyDescent="0.2">
      <c r="E16237" s="7"/>
      <c r="F16237" s="7"/>
    </row>
    <row r="16238" spans="5:6" ht="15" customHeight="1" x14ac:dyDescent="0.2">
      <c r="E16238" s="7"/>
      <c r="F16238" s="7"/>
    </row>
    <row r="16239" spans="5:6" ht="15" customHeight="1" x14ac:dyDescent="0.2">
      <c r="E16239" s="7"/>
      <c r="F16239" s="7"/>
    </row>
    <row r="16240" spans="5:6" ht="15" customHeight="1" x14ac:dyDescent="0.2">
      <c r="E16240" s="7"/>
      <c r="F16240" s="7"/>
    </row>
    <row r="16241" spans="5:6" ht="15" customHeight="1" x14ac:dyDescent="0.2">
      <c r="E16241" s="7"/>
      <c r="F16241" s="7"/>
    </row>
    <row r="16242" spans="5:6" ht="15" customHeight="1" x14ac:dyDescent="0.2">
      <c r="E16242" s="7"/>
      <c r="F16242" s="7"/>
    </row>
    <row r="16243" spans="5:6" ht="15" customHeight="1" x14ac:dyDescent="0.2">
      <c r="E16243" s="7"/>
      <c r="F16243" s="7"/>
    </row>
    <row r="16244" spans="5:6" ht="15" customHeight="1" x14ac:dyDescent="0.2">
      <c r="E16244" s="7"/>
      <c r="F16244" s="7"/>
    </row>
    <row r="16245" spans="5:6" ht="15" customHeight="1" x14ac:dyDescent="0.2">
      <c r="E16245" s="7"/>
      <c r="F16245" s="7"/>
    </row>
    <row r="16246" spans="5:6" ht="15" customHeight="1" x14ac:dyDescent="0.2">
      <c r="E16246" s="7"/>
      <c r="F16246" s="7"/>
    </row>
    <row r="16247" spans="5:6" ht="15" customHeight="1" x14ac:dyDescent="0.2">
      <c r="E16247" s="7"/>
      <c r="F16247" s="7"/>
    </row>
    <row r="16248" spans="5:6" ht="15" customHeight="1" x14ac:dyDescent="0.2">
      <c r="E16248" s="7"/>
      <c r="F16248" s="7"/>
    </row>
    <row r="16249" spans="5:6" ht="15" customHeight="1" x14ac:dyDescent="0.2">
      <c r="E16249" s="7"/>
      <c r="F16249" s="7"/>
    </row>
    <row r="16250" spans="5:6" ht="15" customHeight="1" x14ac:dyDescent="0.2">
      <c r="E16250" s="7"/>
      <c r="F16250" s="7"/>
    </row>
    <row r="16251" spans="5:6" ht="15" customHeight="1" x14ac:dyDescent="0.2">
      <c r="E16251" s="7"/>
      <c r="F16251" s="7"/>
    </row>
    <row r="16252" spans="5:6" ht="15" customHeight="1" x14ac:dyDescent="0.2">
      <c r="E16252" s="7"/>
      <c r="F16252" s="7"/>
    </row>
    <row r="16253" spans="5:6" ht="15" customHeight="1" x14ac:dyDescent="0.2">
      <c r="E16253" s="7"/>
      <c r="F16253" s="7"/>
    </row>
    <row r="16254" spans="5:6" ht="15" customHeight="1" x14ac:dyDescent="0.2">
      <c r="E16254" s="7"/>
      <c r="F16254" s="7"/>
    </row>
    <row r="16255" spans="5:6" ht="15" customHeight="1" x14ac:dyDescent="0.2">
      <c r="E16255" s="7"/>
      <c r="F16255" s="7"/>
    </row>
    <row r="16256" spans="5:6" ht="15" customHeight="1" x14ac:dyDescent="0.2">
      <c r="E16256" s="7"/>
      <c r="F16256" s="7"/>
    </row>
    <row r="16257" spans="5:6" ht="15" customHeight="1" x14ac:dyDescent="0.2">
      <c r="E16257" s="7"/>
      <c r="F16257" s="7"/>
    </row>
    <row r="16258" spans="5:6" ht="15" customHeight="1" x14ac:dyDescent="0.2">
      <c r="E16258" s="7"/>
      <c r="F16258" s="7"/>
    </row>
    <row r="16259" spans="5:6" ht="15" customHeight="1" x14ac:dyDescent="0.2">
      <c r="E16259" s="7"/>
      <c r="F16259" s="7"/>
    </row>
    <row r="16260" spans="5:6" ht="15" customHeight="1" x14ac:dyDescent="0.2">
      <c r="E16260" s="7"/>
      <c r="F16260" s="7"/>
    </row>
    <row r="16261" spans="5:6" ht="15" customHeight="1" x14ac:dyDescent="0.2">
      <c r="E16261" s="7"/>
      <c r="F16261" s="7"/>
    </row>
    <row r="16262" spans="5:6" ht="15" customHeight="1" x14ac:dyDescent="0.2">
      <c r="E16262" s="7"/>
      <c r="F16262" s="7"/>
    </row>
    <row r="16263" spans="5:6" ht="15" customHeight="1" x14ac:dyDescent="0.2">
      <c r="E16263" s="7"/>
      <c r="F16263" s="7"/>
    </row>
    <row r="16264" spans="5:6" ht="15" customHeight="1" x14ac:dyDescent="0.2">
      <c r="E16264" s="7"/>
      <c r="F16264" s="7"/>
    </row>
    <row r="16265" spans="5:6" ht="15" customHeight="1" x14ac:dyDescent="0.2">
      <c r="E16265" s="7"/>
      <c r="F16265" s="7"/>
    </row>
    <row r="16266" spans="5:6" ht="15" customHeight="1" x14ac:dyDescent="0.2">
      <c r="E16266" s="7"/>
      <c r="F16266" s="7"/>
    </row>
    <row r="16267" spans="5:6" ht="15" customHeight="1" x14ac:dyDescent="0.2">
      <c r="E16267" s="7"/>
      <c r="F16267" s="7"/>
    </row>
    <row r="16268" spans="5:6" ht="15" customHeight="1" x14ac:dyDescent="0.2">
      <c r="E16268" s="7"/>
      <c r="F16268" s="7"/>
    </row>
    <row r="16269" spans="5:6" ht="15" customHeight="1" x14ac:dyDescent="0.2">
      <c r="E16269" s="7"/>
      <c r="F16269" s="7"/>
    </row>
    <row r="16270" spans="5:6" ht="15" customHeight="1" x14ac:dyDescent="0.2">
      <c r="E16270" s="7"/>
      <c r="F16270" s="7"/>
    </row>
    <row r="16271" spans="5:6" ht="15" customHeight="1" x14ac:dyDescent="0.2">
      <c r="E16271" s="7"/>
      <c r="F16271" s="7"/>
    </row>
    <row r="16272" spans="5:6" ht="15" customHeight="1" x14ac:dyDescent="0.2">
      <c r="E16272" s="7"/>
      <c r="F16272" s="7"/>
    </row>
    <row r="16273" spans="5:6" ht="15" customHeight="1" x14ac:dyDescent="0.2">
      <c r="E16273" s="7"/>
      <c r="F16273" s="7"/>
    </row>
    <row r="16274" spans="5:6" ht="15" customHeight="1" x14ac:dyDescent="0.2">
      <c r="E16274" s="7"/>
      <c r="F16274" s="7"/>
    </row>
    <row r="16275" spans="5:6" ht="15" customHeight="1" x14ac:dyDescent="0.2">
      <c r="E16275" s="7"/>
      <c r="F16275" s="7"/>
    </row>
    <row r="16276" spans="5:6" ht="15" customHeight="1" x14ac:dyDescent="0.2">
      <c r="E16276" s="7"/>
      <c r="F16276" s="7"/>
    </row>
    <row r="16277" spans="5:6" ht="15" customHeight="1" x14ac:dyDescent="0.2">
      <c r="E16277" s="7"/>
      <c r="F16277" s="7"/>
    </row>
    <row r="16278" spans="5:6" ht="15" customHeight="1" x14ac:dyDescent="0.2">
      <c r="E16278" s="7"/>
      <c r="F16278" s="7"/>
    </row>
    <row r="16279" spans="5:6" ht="15" customHeight="1" x14ac:dyDescent="0.2">
      <c r="E16279" s="7"/>
      <c r="F16279" s="7"/>
    </row>
    <row r="16280" spans="5:6" ht="15" customHeight="1" x14ac:dyDescent="0.2">
      <c r="E16280" s="7"/>
      <c r="F16280" s="7"/>
    </row>
    <row r="16281" spans="5:6" ht="15" customHeight="1" x14ac:dyDescent="0.2">
      <c r="E16281" s="7"/>
      <c r="F16281" s="7"/>
    </row>
    <row r="16282" spans="5:6" ht="15" customHeight="1" x14ac:dyDescent="0.2">
      <c r="E16282" s="7"/>
      <c r="F16282" s="7"/>
    </row>
    <row r="16283" spans="5:6" ht="15" customHeight="1" x14ac:dyDescent="0.2">
      <c r="E16283" s="7"/>
      <c r="F16283" s="7"/>
    </row>
    <row r="16284" spans="5:6" ht="15" customHeight="1" x14ac:dyDescent="0.2">
      <c r="E16284" s="7"/>
      <c r="F16284" s="7"/>
    </row>
    <row r="16285" spans="5:6" ht="15" customHeight="1" x14ac:dyDescent="0.2">
      <c r="E16285" s="7"/>
      <c r="F16285" s="7"/>
    </row>
    <row r="16286" spans="5:6" ht="15" customHeight="1" x14ac:dyDescent="0.2">
      <c r="E16286" s="7"/>
      <c r="F16286" s="7"/>
    </row>
    <row r="16287" spans="5:6" ht="15" customHeight="1" x14ac:dyDescent="0.2">
      <c r="E16287" s="7"/>
      <c r="F16287" s="7"/>
    </row>
    <row r="16288" spans="5:6" ht="15" customHeight="1" x14ac:dyDescent="0.2">
      <c r="E16288" s="7"/>
      <c r="F16288" s="7"/>
    </row>
    <row r="16289" spans="5:6" ht="15" customHeight="1" x14ac:dyDescent="0.2">
      <c r="E16289" s="7"/>
      <c r="F16289" s="7"/>
    </row>
    <row r="16290" spans="5:6" ht="15" customHeight="1" x14ac:dyDescent="0.2">
      <c r="E16290" s="7"/>
      <c r="F16290" s="7"/>
    </row>
    <row r="16291" spans="5:6" ht="15" customHeight="1" x14ac:dyDescent="0.2">
      <c r="E16291" s="7"/>
      <c r="F16291" s="7"/>
    </row>
    <row r="16292" spans="5:6" ht="15" customHeight="1" x14ac:dyDescent="0.2">
      <c r="E16292" s="7"/>
      <c r="F16292" s="7"/>
    </row>
    <row r="16293" spans="5:6" ht="15" customHeight="1" x14ac:dyDescent="0.2">
      <c r="E16293" s="7"/>
      <c r="F16293" s="7"/>
    </row>
    <row r="16294" spans="5:6" ht="15" customHeight="1" x14ac:dyDescent="0.2">
      <c r="E16294" s="7"/>
      <c r="F16294" s="7"/>
    </row>
    <row r="16295" spans="5:6" ht="15" customHeight="1" x14ac:dyDescent="0.2">
      <c r="E16295" s="7"/>
      <c r="F16295" s="7"/>
    </row>
    <row r="16296" spans="5:6" ht="15" customHeight="1" x14ac:dyDescent="0.2">
      <c r="E16296" s="7"/>
      <c r="F16296" s="7"/>
    </row>
    <row r="16297" spans="5:6" ht="15" customHeight="1" x14ac:dyDescent="0.2">
      <c r="E16297" s="7"/>
      <c r="F16297" s="7"/>
    </row>
    <row r="16298" spans="5:6" ht="15" customHeight="1" x14ac:dyDescent="0.2">
      <c r="E16298" s="7"/>
      <c r="F16298" s="7"/>
    </row>
    <row r="16299" spans="5:6" ht="15" customHeight="1" x14ac:dyDescent="0.2">
      <c r="E16299" s="7"/>
      <c r="F16299" s="7"/>
    </row>
    <row r="16300" spans="5:6" ht="15" customHeight="1" x14ac:dyDescent="0.2">
      <c r="E16300" s="7"/>
      <c r="F16300" s="7"/>
    </row>
    <row r="16301" spans="5:6" ht="15" customHeight="1" x14ac:dyDescent="0.2">
      <c r="E16301" s="7"/>
      <c r="F16301" s="7"/>
    </row>
    <row r="16302" spans="5:6" ht="15" customHeight="1" x14ac:dyDescent="0.2">
      <c r="E16302" s="7"/>
      <c r="F16302" s="7"/>
    </row>
    <row r="16303" spans="5:6" ht="15" customHeight="1" x14ac:dyDescent="0.2">
      <c r="E16303" s="7"/>
      <c r="F16303" s="7"/>
    </row>
    <row r="16304" spans="5:6" ht="15" customHeight="1" x14ac:dyDescent="0.2">
      <c r="E16304" s="7"/>
      <c r="F16304" s="7"/>
    </row>
    <row r="16305" spans="5:6" ht="15" customHeight="1" x14ac:dyDescent="0.2">
      <c r="E16305" s="7"/>
      <c r="F16305" s="7"/>
    </row>
    <row r="16306" spans="5:6" ht="15" customHeight="1" x14ac:dyDescent="0.2">
      <c r="E16306" s="7"/>
      <c r="F16306" s="7"/>
    </row>
    <row r="16307" spans="5:6" ht="15" customHeight="1" x14ac:dyDescent="0.2">
      <c r="E16307" s="7"/>
      <c r="F16307" s="7"/>
    </row>
    <row r="16308" spans="5:6" ht="15" customHeight="1" x14ac:dyDescent="0.2">
      <c r="E16308" s="7"/>
      <c r="F16308" s="7"/>
    </row>
    <row r="16309" spans="5:6" ht="15" customHeight="1" x14ac:dyDescent="0.2">
      <c r="E16309" s="7"/>
      <c r="F16309" s="7"/>
    </row>
    <row r="16310" spans="5:6" ht="15" customHeight="1" x14ac:dyDescent="0.2">
      <c r="E16310" s="7"/>
      <c r="F16310" s="7"/>
    </row>
    <row r="16311" spans="5:6" ht="15" customHeight="1" x14ac:dyDescent="0.2">
      <c r="E16311" s="7"/>
      <c r="F16311" s="7"/>
    </row>
    <row r="16312" spans="5:6" ht="15" customHeight="1" x14ac:dyDescent="0.2">
      <c r="E16312" s="7"/>
      <c r="F16312" s="7"/>
    </row>
    <row r="16313" spans="5:6" ht="15" customHeight="1" x14ac:dyDescent="0.2">
      <c r="E16313" s="7"/>
      <c r="F16313" s="7"/>
    </row>
    <row r="16314" spans="5:6" ht="15" customHeight="1" x14ac:dyDescent="0.2">
      <c r="E16314" s="7"/>
      <c r="F16314" s="7"/>
    </row>
    <row r="16315" spans="5:6" ht="15" customHeight="1" x14ac:dyDescent="0.2">
      <c r="E16315" s="7"/>
      <c r="F16315" s="7"/>
    </row>
    <row r="16316" spans="5:6" ht="15" customHeight="1" x14ac:dyDescent="0.2">
      <c r="E16316" s="7"/>
      <c r="F16316" s="7"/>
    </row>
    <row r="16317" spans="5:6" ht="15" customHeight="1" x14ac:dyDescent="0.2">
      <c r="E16317" s="7"/>
      <c r="F16317" s="7"/>
    </row>
    <row r="16318" spans="5:6" ht="15" customHeight="1" x14ac:dyDescent="0.2">
      <c r="E16318" s="7"/>
      <c r="F16318" s="7"/>
    </row>
    <row r="16319" spans="5:6" ht="15" customHeight="1" x14ac:dyDescent="0.2">
      <c r="E16319" s="7"/>
      <c r="F16319" s="7"/>
    </row>
    <row r="16320" spans="5:6" ht="15" customHeight="1" x14ac:dyDescent="0.2">
      <c r="E16320" s="7"/>
      <c r="F16320" s="7"/>
    </row>
    <row r="16321" spans="5:6" ht="15" customHeight="1" x14ac:dyDescent="0.2">
      <c r="E16321" s="7"/>
      <c r="F16321" s="7"/>
    </row>
    <row r="16322" spans="5:6" ht="15" customHeight="1" x14ac:dyDescent="0.2">
      <c r="E16322" s="7"/>
      <c r="F16322" s="7"/>
    </row>
    <row r="16323" spans="5:6" ht="15" customHeight="1" x14ac:dyDescent="0.2">
      <c r="E16323" s="7"/>
      <c r="F16323" s="7"/>
    </row>
    <row r="16324" spans="5:6" ht="15" customHeight="1" x14ac:dyDescent="0.2">
      <c r="E16324" s="7"/>
      <c r="F16324" s="7"/>
    </row>
    <row r="16325" spans="5:6" ht="15" customHeight="1" x14ac:dyDescent="0.2">
      <c r="E16325" s="7"/>
      <c r="F16325" s="7"/>
    </row>
    <row r="16326" spans="5:6" ht="15" customHeight="1" x14ac:dyDescent="0.2">
      <c r="E16326" s="7"/>
      <c r="F16326" s="7"/>
    </row>
    <row r="16327" spans="5:6" ht="15" customHeight="1" x14ac:dyDescent="0.2">
      <c r="E16327" s="7"/>
      <c r="F16327" s="7"/>
    </row>
    <row r="16328" spans="5:6" ht="15" customHeight="1" x14ac:dyDescent="0.2">
      <c r="E16328" s="7"/>
      <c r="F16328" s="7"/>
    </row>
    <row r="16329" spans="5:6" ht="15" customHeight="1" x14ac:dyDescent="0.2">
      <c r="E16329" s="7"/>
      <c r="F16329" s="7"/>
    </row>
    <row r="16330" spans="5:6" ht="15" customHeight="1" x14ac:dyDescent="0.2">
      <c r="E16330" s="7"/>
      <c r="F16330" s="7"/>
    </row>
    <row r="16331" spans="5:6" ht="15" customHeight="1" x14ac:dyDescent="0.2">
      <c r="E16331" s="7"/>
      <c r="F16331" s="7"/>
    </row>
    <row r="16332" spans="5:6" ht="15" customHeight="1" x14ac:dyDescent="0.2">
      <c r="E16332" s="7"/>
      <c r="F16332" s="7"/>
    </row>
    <row r="16333" spans="5:6" ht="15" customHeight="1" x14ac:dyDescent="0.2">
      <c r="E16333" s="7"/>
      <c r="F16333" s="7"/>
    </row>
    <row r="16334" spans="5:6" ht="15" customHeight="1" x14ac:dyDescent="0.2">
      <c r="E16334" s="7"/>
      <c r="F16334" s="7"/>
    </row>
    <row r="16335" spans="5:6" ht="15" customHeight="1" x14ac:dyDescent="0.2">
      <c r="E16335" s="7"/>
      <c r="F16335" s="7"/>
    </row>
    <row r="16336" spans="5:6" ht="15" customHeight="1" x14ac:dyDescent="0.2">
      <c r="E16336" s="7"/>
      <c r="F16336" s="7"/>
    </row>
    <row r="16337" spans="5:6" ht="15" customHeight="1" x14ac:dyDescent="0.2">
      <c r="E16337" s="7"/>
      <c r="F16337" s="7"/>
    </row>
    <row r="16338" spans="5:6" ht="15" customHeight="1" x14ac:dyDescent="0.2">
      <c r="E16338" s="7"/>
      <c r="F16338" s="7"/>
    </row>
    <row r="16339" spans="5:6" ht="15" customHeight="1" x14ac:dyDescent="0.2">
      <c r="E16339" s="7"/>
      <c r="F16339" s="7"/>
    </row>
    <row r="16340" spans="5:6" ht="15" customHeight="1" x14ac:dyDescent="0.2">
      <c r="E16340" s="7"/>
      <c r="F16340" s="7"/>
    </row>
    <row r="16341" spans="5:6" ht="15" customHeight="1" x14ac:dyDescent="0.2">
      <c r="E16341" s="7"/>
      <c r="F16341" s="7"/>
    </row>
    <row r="16342" spans="5:6" ht="15" customHeight="1" x14ac:dyDescent="0.2">
      <c r="E16342" s="7"/>
      <c r="F16342" s="7"/>
    </row>
    <row r="16343" spans="5:6" ht="15" customHeight="1" x14ac:dyDescent="0.2">
      <c r="E16343" s="7"/>
      <c r="F16343" s="7"/>
    </row>
    <row r="16344" spans="5:6" ht="15" customHeight="1" x14ac:dyDescent="0.2">
      <c r="E16344" s="7"/>
      <c r="F16344" s="7"/>
    </row>
    <row r="16345" spans="5:6" ht="15" customHeight="1" x14ac:dyDescent="0.2">
      <c r="E16345" s="7"/>
      <c r="F16345" s="7"/>
    </row>
    <row r="16346" spans="5:6" ht="15" customHeight="1" x14ac:dyDescent="0.2">
      <c r="E16346" s="7"/>
      <c r="F16346" s="7"/>
    </row>
    <row r="16347" spans="5:6" ht="15" customHeight="1" x14ac:dyDescent="0.2">
      <c r="E16347" s="7"/>
      <c r="F16347" s="7"/>
    </row>
    <row r="16348" spans="5:6" ht="15" customHeight="1" x14ac:dyDescent="0.2">
      <c r="E16348" s="7"/>
      <c r="F16348" s="7"/>
    </row>
    <row r="16349" spans="5:6" ht="15" customHeight="1" x14ac:dyDescent="0.2">
      <c r="E16349" s="7"/>
      <c r="F16349" s="7"/>
    </row>
    <row r="16350" spans="5:6" ht="15" customHeight="1" x14ac:dyDescent="0.2">
      <c r="E16350" s="7"/>
      <c r="F16350" s="7"/>
    </row>
    <row r="16351" spans="5:6" ht="15" customHeight="1" x14ac:dyDescent="0.2">
      <c r="E16351" s="7"/>
      <c r="F16351" s="7"/>
    </row>
    <row r="16352" spans="5:6" ht="15" customHeight="1" x14ac:dyDescent="0.2">
      <c r="E16352" s="7"/>
      <c r="F16352" s="7"/>
    </row>
    <row r="16353" spans="5:6" ht="15" customHeight="1" x14ac:dyDescent="0.2">
      <c r="E16353" s="7"/>
      <c r="F16353" s="7"/>
    </row>
    <row r="16354" spans="5:6" ht="15" customHeight="1" x14ac:dyDescent="0.2">
      <c r="E16354" s="7"/>
      <c r="F16354" s="7"/>
    </row>
    <row r="16355" spans="5:6" ht="15" customHeight="1" x14ac:dyDescent="0.2">
      <c r="E16355" s="7"/>
      <c r="F16355" s="7"/>
    </row>
    <row r="16356" spans="5:6" ht="15" customHeight="1" x14ac:dyDescent="0.2">
      <c r="E16356" s="7"/>
      <c r="F16356" s="7"/>
    </row>
    <row r="16357" spans="5:6" ht="15" customHeight="1" x14ac:dyDescent="0.2">
      <c r="E16357" s="7"/>
      <c r="F16357" s="7"/>
    </row>
    <row r="16358" spans="5:6" ht="15" customHeight="1" x14ac:dyDescent="0.2">
      <c r="E16358" s="7"/>
      <c r="F16358" s="7"/>
    </row>
    <row r="16359" spans="5:6" ht="15" customHeight="1" x14ac:dyDescent="0.2">
      <c r="E16359" s="7"/>
      <c r="F16359" s="7"/>
    </row>
    <row r="16360" spans="5:6" ht="15" customHeight="1" x14ac:dyDescent="0.2">
      <c r="E16360" s="7"/>
      <c r="F16360" s="7"/>
    </row>
    <row r="16361" spans="5:6" ht="15" customHeight="1" x14ac:dyDescent="0.2">
      <c r="E16361" s="7"/>
      <c r="F16361" s="7"/>
    </row>
    <row r="16362" spans="5:6" ht="15" customHeight="1" x14ac:dyDescent="0.2">
      <c r="E16362" s="7"/>
      <c r="F16362" s="7"/>
    </row>
    <row r="16363" spans="5:6" ht="15" customHeight="1" x14ac:dyDescent="0.2">
      <c r="E16363" s="7"/>
      <c r="F16363" s="7"/>
    </row>
    <row r="16364" spans="5:6" ht="15" customHeight="1" x14ac:dyDescent="0.2">
      <c r="E16364" s="7"/>
      <c r="F16364" s="7"/>
    </row>
    <row r="16365" spans="5:6" ht="15" customHeight="1" x14ac:dyDescent="0.2">
      <c r="E16365" s="7"/>
      <c r="F16365" s="7"/>
    </row>
    <row r="16366" spans="5:6" ht="15" customHeight="1" x14ac:dyDescent="0.2">
      <c r="E16366" s="7"/>
      <c r="F16366" s="7"/>
    </row>
    <row r="16367" spans="5:6" ht="15" customHeight="1" x14ac:dyDescent="0.2">
      <c r="E16367" s="7"/>
      <c r="F16367" s="7"/>
    </row>
    <row r="16368" spans="5:6" ht="15" customHeight="1" x14ac:dyDescent="0.2">
      <c r="E16368" s="7"/>
      <c r="F16368" s="7"/>
    </row>
    <row r="16369" spans="5:6" ht="15" customHeight="1" x14ac:dyDescent="0.2">
      <c r="E16369" s="7"/>
      <c r="F16369" s="7"/>
    </row>
    <row r="16370" spans="5:6" ht="15" customHeight="1" x14ac:dyDescent="0.2">
      <c r="E16370" s="7"/>
      <c r="F16370" s="7"/>
    </row>
    <row r="16371" spans="5:6" ht="15" customHeight="1" x14ac:dyDescent="0.2">
      <c r="E16371" s="7"/>
      <c r="F16371" s="7"/>
    </row>
    <row r="16372" spans="5:6" ht="15" customHeight="1" x14ac:dyDescent="0.2">
      <c r="E16372" s="7"/>
      <c r="F16372" s="7"/>
    </row>
    <row r="16373" spans="5:6" ht="15" customHeight="1" x14ac:dyDescent="0.2">
      <c r="E16373" s="7"/>
      <c r="F16373" s="7"/>
    </row>
    <row r="16374" spans="5:6" ht="15" customHeight="1" x14ac:dyDescent="0.2">
      <c r="E16374" s="7"/>
      <c r="F16374" s="7"/>
    </row>
    <row r="16375" spans="5:6" ht="15" customHeight="1" x14ac:dyDescent="0.2">
      <c r="E16375" s="7"/>
      <c r="F16375" s="7"/>
    </row>
    <row r="16376" spans="5:6" ht="15" customHeight="1" x14ac:dyDescent="0.2">
      <c r="E16376" s="7"/>
      <c r="F16376" s="7"/>
    </row>
    <row r="16377" spans="5:6" ht="15" customHeight="1" x14ac:dyDescent="0.2">
      <c r="E16377" s="7"/>
      <c r="F16377" s="7"/>
    </row>
    <row r="16378" spans="5:6" ht="15" customHeight="1" x14ac:dyDescent="0.2">
      <c r="E16378" s="7"/>
      <c r="F16378" s="7"/>
    </row>
    <row r="16379" spans="5:6" ht="15" customHeight="1" x14ac:dyDescent="0.2">
      <c r="E16379" s="7"/>
      <c r="F16379" s="7"/>
    </row>
    <row r="16380" spans="5:6" ht="15" customHeight="1" x14ac:dyDescent="0.2">
      <c r="E16380" s="7"/>
      <c r="F16380" s="7"/>
    </row>
    <row r="16381" spans="5:6" ht="15" customHeight="1" x14ac:dyDescent="0.2">
      <c r="E16381" s="7"/>
      <c r="F16381" s="7"/>
    </row>
    <row r="16382" spans="5:6" ht="15" customHeight="1" x14ac:dyDescent="0.2">
      <c r="E16382" s="7"/>
      <c r="F16382" s="7"/>
    </row>
    <row r="16383" spans="5:6" ht="15" customHeight="1" x14ac:dyDescent="0.2">
      <c r="E16383" s="7"/>
      <c r="F16383" s="7"/>
    </row>
    <row r="16384" spans="5:6" ht="15" customHeight="1" x14ac:dyDescent="0.2">
      <c r="E16384" s="7"/>
      <c r="F16384" s="7"/>
    </row>
    <row r="16385" spans="5:6" ht="15" customHeight="1" x14ac:dyDescent="0.2">
      <c r="E16385" s="7"/>
      <c r="F16385" s="7"/>
    </row>
    <row r="16386" spans="5:6" ht="15" customHeight="1" x14ac:dyDescent="0.2">
      <c r="E16386" s="7"/>
      <c r="F16386" s="7"/>
    </row>
    <row r="16387" spans="5:6" ht="15" customHeight="1" x14ac:dyDescent="0.2">
      <c r="E16387" s="7"/>
      <c r="F16387" s="7"/>
    </row>
    <row r="16388" spans="5:6" ht="15" customHeight="1" x14ac:dyDescent="0.2">
      <c r="E16388" s="7"/>
      <c r="F16388" s="7"/>
    </row>
    <row r="16389" spans="5:6" ht="15" customHeight="1" x14ac:dyDescent="0.2">
      <c r="E16389" s="7"/>
      <c r="F16389" s="7"/>
    </row>
    <row r="16390" spans="5:6" ht="15" customHeight="1" x14ac:dyDescent="0.2">
      <c r="E16390" s="7"/>
      <c r="F16390" s="7"/>
    </row>
    <row r="16391" spans="5:6" ht="15" customHeight="1" x14ac:dyDescent="0.2">
      <c r="E16391" s="7"/>
      <c r="F16391" s="7"/>
    </row>
    <row r="16392" spans="5:6" ht="15" customHeight="1" x14ac:dyDescent="0.2">
      <c r="E16392" s="7"/>
      <c r="F16392" s="7"/>
    </row>
    <row r="16393" spans="5:6" ht="15" customHeight="1" x14ac:dyDescent="0.2">
      <c r="E16393" s="7"/>
      <c r="F16393" s="7"/>
    </row>
    <row r="16394" spans="5:6" ht="15" customHeight="1" x14ac:dyDescent="0.2">
      <c r="E16394" s="7"/>
      <c r="F16394" s="7"/>
    </row>
    <row r="16395" spans="5:6" ht="15" customHeight="1" x14ac:dyDescent="0.2">
      <c r="E16395" s="7"/>
      <c r="F16395" s="7"/>
    </row>
    <row r="16396" spans="5:6" ht="15" customHeight="1" x14ac:dyDescent="0.2">
      <c r="E16396" s="7"/>
      <c r="F16396" s="7"/>
    </row>
    <row r="16397" spans="5:6" ht="15" customHeight="1" x14ac:dyDescent="0.2">
      <c r="E16397" s="7"/>
      <c r="F16397" s="7"/>
    </row>
    <row r="16398" spans="5:6" ht="15" customHeight="1" x14ac:dyDescent="0.2">
      <c r="E16398" s="7"/>
      <c r="F16398" s="7"/>
    </row>
    <row r="16399" spans="5:6" ht="15" customHeight="1" x14ac:dyDescent="0.2">
      <c r="E16399" s="7"/>
      <c r="F16399" s="7"/>
    </row>
    <row r="16400" spans="5:6" ht="15" customHeight="1" x14ac:dyDescent="0.2">
      <c r="E16400" s="7"/>
      <c r="F16400" s="7"/>
    </row>
    <row r="16401" spans="5:6" ht="15" customHeight="1" x14ac:dyDescent="0.2">
      <c r="E16401" s="7"/>
      <c r="F16401" s="7"/>
    </row>
    <row r="16402" spans="5:6" ht="15" customHeight="1" x14ac:dyDescent="0.2">
      <c r="E16402" s="7"/>
      <c r="F16402" s="7"/>
    </row>
    <row r="16403" spans="5:6" ht="15" customHeight="1" x14ac:dyDescent="0.2">
      <c r="E16403" s="7"/>
      <c r="F16403" s="7"/>
    </row>
    <row r="16404" spans="5:6" ht="15" customHeight="1" x14ac:dyDescent="0.2">
      <c r="E16404" s="7"/>
      <c r="F16404" s="7"/>
    </row>
    <row r="16405" spans="5:6" ht="15" customHeight="1" x14ac:dyDescent="0.2">
      <c r="E16405" s="7"/>
      <c r="F16405" s="7"/>
    </row>
    <row r="16406" spans="5:6" ht="15" customHeight="1" x14ac:dyDescent="0.2">
      <c r="E16406" s="7"/>
      <c r="F16406" s="7"/>
    </row>
    <row r="16407" spans="5:6" ht="15" customHeight="1" x14ac:dyDescent="0.2">
      <c r="E16407" s="7"/>
      <c r="F16407" s="7"/>
    </row>
    <row r="16408" spans="5:6" ht="15" customHeight="1" x14ac:dyDescent="0.2">
      <c r="E16408" s="7"/>
      <c r="F16408" s="7"/>
    </row>
    <row r="16409" spans="5:6" ht="15" customHeight="1" x14ac:dyDescent="0.2">
      <c r="E16409" s="7"/>
      <c r="F16409" s="7"/>
    </row>
    <row r="16410" spans="5:6" ht="15" customHeight="1" x14ac:dyDescent="0.2">
      <c r="E16410" s="7"/>
      <c r="F16410" s="7"/>
    </row>
    <row r="16411" spans="5:6" ht="15" customHeight="1" x14ac:dyDescent="0.2">
      <c r="E16411" s="7"/>
      <c r="F16411" s="7"/>
    </row>
    <row r="16412" spans="5:6" ht="15" customHeight="1" x14ac:dyDescent="0.2">
      <c r="E16412" s="7"/>
      <c r="F16412" s="7"/>
    </row>
    <row r="16413" spans="5:6" ht="15" customHeight="1" x14ac:dyDescent="0.2">
      <c r="E16413" s="7"/>
      <c r="F16413" s="7"/>
    </row>
    <row r="16414" spans="5:6" ht="15" customHeight="1" x14ac:dyDescent="0.2">
      <c r="E16414" s="7"/>
      <c r="F16414" s="7"/>
    </row>
    <row r="16415" spans="5:6" ht="15" customHeight="1" x14ac:dyDescent="0.2">
      <c r="E16415" s="7"/>
      <c r="F16415" s="7"/>
    </row>
    <row r="16416" spans="5:6" ht="15" customHeight="1" x14ac:dyDescent="0.2">
      <c r="E16416" s="7"/>
      <c r="F16416" s="7"/>
    </row>
    <row r="16417" spans="5:6" ht="15" customHeight="1" x14ac:dyDescent="0.2">
      <c r="E16417" s="7"/>
      <c r="F16417" s="7"/>
    </row>
    <row r="16418" spans="5:6" ht="15" customHeight="1" x14ac:dyDescent="0.2">
      <c r="E16418" s="7"/>
      <c r="F16418" s="7"/>
    </row>
    <row r="16419" spans="5:6" ht="15" customHeight="1" x14ac:dyDescent="0.2">
      <c r="E16419" s="7"/>
      <c r="F16419" s="7"/>
    </row>
    <row r="16420" spans="5:6" ht="15" customHeight="1" x14ac:dyDescent="0.2">
      <c r="E16420" s="7"/>
      <c r="F16420" s="7"/>
    </row>
    <row r="16421" spans="5:6" ht="15" customHeight="1" x14ac:dyDescent="0.2">
      <c r="E16421" s="7"/>
      <c r="F16421" s="7"/>
    </row>
    <row r="16422" spans="5:6" ht="15" customHeight="1" x14ac:dyDescent="0.2">
      <c r="E16422" s="7"/>
      <c r="F16422" s="7"/>
    </row>
    <row r="16423" spans="5:6" ht="15" customHeight="1" x14ac:dyDescent="0.2">
      <c r="E16423" s="7"/>
      <c r="F16423" s="7"/>
    </row>
    <row r="16424" spans="5:6" ht="15" customHeight="1" x14ac:dyDescent="0.2">
      <c r="E16424" s="7"/>
      <c r="F16424" s="7"/>
    </row>
    <row r="16425" spans="5:6" ht="15" customHeight="1" x14ac:dyDescent="0.2">
      <c r="E16425" s="7"/>
      <c r="F16425" s="7"/>
    </row>
    <row r="16426" spans="5:6" ht="15" customHeight="1" x14ac:dyDescent="0.2">
      <c r="E16426" s="7"/>
      <c r="F16426" s="7"/>
    </row>
    <row r="16427" spans="5:6" ht="15" customHeight="1" x14ac:dyDescent="0.2">
      <c r="E16427" s="7"/>
      <c r="F16427" s="7"/>
    </row>
    <row r="16428" spans="5:6" ht="15" customHeight="1" x14ac:dyDescent="0.2">
      <c r="E16428" s="7"/>
      <c r="F16428" s="7"/>
    </row>
    <row r="16429" spans="5:6" ht="15" customHeight="1" x14ac:dyDescent="0.2">
      <c r="E16429" s="7"/>
      <c r="F16429" s="7"/>
    </row>
    <row r="16430" spans="5:6" ht="15" customHeight="1" x14ac:dyDescent="0.2">
      <c r="E16430" s="7"/>
      <c r="F16430" s="7"/>
    </row>
    <row r="16431" spans="5:6" ht="15" customHeight="1" x14ac:dyDescent="0.2">
      <c r="E16431" s="7"/>
      <c r="F16431" s="7"/>
    </row>
    <row r="16432" spans="5:6" ht="15" customHeight="1" x14ac:dyDescent="0.2">
      <c r="E16432" s="7"/>
      <c r="F16432" s="7"/>
    </row>
    <row r="16433" spans="5:6" ht="15" customHeight="1" x14ac:dyDescent="0.2">
      <c r="E16433" s="7"/>
      <c r="F16433" s="7"/>
    </row>
    <row r="16434" spans="5:6" ht="15" customHeight="1" x14ac:dyDescent="0.2">
      <c r="E16434" s="7"/>
      <c r="F16434" s="7"/>
    </row>
    <row r="16435" spans="5:6" ht="15" customHeight="1" x14ac:dyDescent="0.2">
      <c r="E16435" s="7"/>
      <c r="F16435" s="7"/>
    </row>
    <row r="16436" spans="5:6" ht="15" customHeight="1" x14ac:dyDescent="0.2">
      <c r="E16436" s="7"/>
      <c r="F16436" s="7"/>
    </row>
    <row r="16437" spans="5:6" ht="15" customHeight="1" x14ac:dyDescent="0.2">
      <c r="E16437" s="7"/>
      <c r="F16437" s="7"/>
    </row>
    <row r="16438" spans="5:6" ht="15" customHeight="1" x14ac:dyDescent="0.2">
      <c r="E16438" s="7"/>
      <c r="F16438" s="7"/>
    </row>
    <row r="16439" spans="5:6" ht="15" customHeight="1" x14ac:dyDescent="0.2">
      <c r="E16439" s="7"/>
      <c r="F16439" s="7"/>
    </row>
    <row r="16440" spans="5:6" ht="15" customHeight="1" x14ac:dyDescent="0.2">
      <c r="E16440" s="7"/>
      <c r="F16440" s="7"/>
    </row>
    <row r="16441" spans="5:6" ht="15" customHeight="1" x14ac:dyDescent="0.2">
      <c r="E16441" s="7"/>
      <c r="F16441" s="7"/>
    </row>
    <row r="16442" spans="5:6" ht="15" customHeight="1" x14ac:dyDescent="0.2">
      <c r="E16442" s="7"/>
      <c r="F16442" s="7"/>
    </row>
    <row r="16443" spans="5:6" ht="15" customHeight="1" x14ac:dyDescent="0.2">
      <c r="E16443" s="7"/>
      <c r="F16443" s="7"/>
    </row>
    <row r="16444" spans="5:6" ht="15" customHeight="1" x14ac:dyDescent="0.2">
      <c r="E16444" s="7"/>
      <c r="F16444" s="7"/>
    </row>
    <row r="16445" spans="5:6" ht="15" customHeight="1" x14ac:dyDescent="0.2">
      <c r="E16445" s="7"/>
      <c r="F16445" s="7"/>
    </row>
    <row r="16446" spans="5:6" ht="15" customHeight="1" x14ac:dyDescent="0.2">
      <c r="E16446" s="7"/>
      <c r="F16446" s="7"/>
    </row>
    <row r="16447" spans="5:6" ht="15" customHeight="1" x14ac:dyDescent="0.2">
      <c r="E16447" s="7"/>
      <c r="F16447" s="7"/>
    </row>
    <row r="16448" spans="5:6" ht="15" customHeight="1" x14ac:dyDescent="0.2">
      <c r="E16448" s="7"/>
      <c r="F16448" s="7"/>
    </row>
    <row r="16449" spans="5:6" ht="15" customHeight="1" x14ac:dyDescent="0.2">
      <c r="E16449" s="7"/>
      <c r="F16449" s="7"/>
    </row>
    <row r="16450" spans="5:6" ht="15" customHeight="1" x14ac:dyDescent="0.2">
      <c r="E16450" s="7"/>
      <c r="F16450" s="7"/>
    </row>
    <row r="16451" spans="5:6" ht="15" customHeight="1" x14ac:dyDescent="0.2">
      <c r="E16451" s="7"/>
      <c r="F16451" s="7"/>
    </row>
    <row r="16452" spans="5:6" ht="15" customHeight="1" x14ac:dyDescent="0.2">
      <c r="E16452" s="7"/>
      <c r="F16452" s="7"/>
    </row>
    <row r="16453" spans="5:6" ht="15" customHeight="1" x14ac:dyDescent="0.2">
      <c r="E16453" s="7"/>
      <c r="F16453" s="7"/>
    </row>
    <row r="16454" spans="5:6" ht="15" customHeight="1" x14ac:dyDescent="0.2">
      <c r="E16454" s="7"/>
      <c r="F16454" s="7"/>
    </row>
    <row r="16455" spans="5:6" ht="15" customHeight="1" x14ac:dyDescent="0.2">
      <c r="E16455" s="7"/>
      <c r="F16455" s="7"/>
    </row>
    <row r="16456" spans="5:6" ht="15" customHeight="1" x14ac:dyDescent="0.2">
      <c r="E16456" s="7"/>
      <c r="F16456" s="7"/>
    </row>
    <row r="16457" spans="5:6" ht="15" customHeight="1" x14ac:dyDescent="0.2">
      <c r="E16457" s="7"/>
      <c r="F16457" s="7"/>
    </row>
    <row r="16458" spans="5:6" ht="15" customHeight="1" x14ac:dyDescent="0.2">
      <c r="E16458" s="7"/>
      <c r="F16458" s="7"/>
    </row>
    <row r="16459" spans="5:6" ht="15" customHeight="1" x14ac:dyDescent="0.2">
      <c r="E16459" s="7"/>
      <c r="F16459" s="7"/>
    </row>
    <row r="16460" spans="5:6" ht="15" customHeight="1" x14ac:dyDescent="0.2">
      <c r="E16460" s="7"/>
      <c r="F16460" s="7"/>
    </row>
    <row r="16461" spans="5:6" ht="15" customHeight="1" x14ac:dyDescent="0.2">
      <c r="E16461" s="7"/>
      <c r="F16461" s="7"/>
    </row>
    <row r="16462" spans="5:6" ht="15" customHeight="1" x14ac:dyDescent="0.2">
      <c r="E16462" s="7"/>
      <c r="F16462" s="7"/>
    </row>
    <row r="16463" spans="5:6" ht="15" customHeight="1" x14ac:dyDescent="0.2">
      <c r="E16463" s="7"/>
      <c r="F16463" s="7"/>
    </row>
    <row r="16464" spans="5:6" ht="15" customHeight="1" x14ac:dyDescent="0.2">
      <c r="E16464" s="7"/>
      <c r="F16464" s="7"/>
    </row>
    <row r="16465" spans="5:6" ht="15" customHeight="1" x14ac:dyDescent="0.2">
      <c r="E16465" s="7"/>
      <c r="F16465" s="7"/>
    </row>
    <row r="16466" spans="5:6" ht="15" customHeight="1" x14ac:dyDescent="0.2">
      <c r="E16466" s="7"/>
      <c r="F16466" s="7"/>
    </row>
    <row r="16467" spans="5:6" ht="15" customHeight="1" x14ac:dyDescent="0.2">
      <c r="E16467" s="7"/>
      <c r="F16467" s="7"/>
    </row>
    <row r="16468" spans="5:6" ht="15" customHeight="1" x14ac:dyDescent="0.2">
      <c r="E16468" s="7"/>
      <c r="F16468" s="7"/>
    </row>
    <row r="16469" spans="5:6" ht="15" customHeight="1" x14ac:dyDescent="0.2">
      <c r="E16469" s="7"/>
      <c r="F16469" s="7"/>
    </row>
    <row r="16470" spans="5:6" ht="15" customHeight="1" x14ac:dyDescent="0.2">
      <c r="E16470" s="7"/>
      <c r="F16470" s="7"/>
    </row>
    <row r="16471" spans="5:6" ht="15" customHeight="1" x14ac:dyDescent="0.2">
      <c r="E16471" s="7"/>
      <c r="F16471" s="7"/>
    </row>
    <row r="16472" spans="5:6" ht="15" customHeight="1" x14ac:dyDescent="0.2">
      <c r="E16472" s="7"/>
      <c r="F16472" s="7"/>
    </row>
    <row r="16473" spans="5:6" ht="15" customHeight="1" x14ac:dyDescent="0.2">
      <c r="E16473" s="7"/>
      <c r="F16473" s="7"/>
    </row>
    <row r="16474" spans="5:6" ht="15" customHeight="1" x14ac:dyDescent="0.2">
      <c r="E16474" s="7"/>
      <c r="F16474" s="7"/>
    </row>
    <row r="16475" spans="5:6" ht="15" customHeight="1" x14ac:dyDescent="0.2">
      <c r="E16475" s="7"/>
      <c r="F16475" s="7"/>
    </row>
    <row r="16476" spans="5:6" ht="15" customHeight="1" x14ac:dyDescent="0.2">
      <c r="E16476" s="7"/>
      <c r="F16476" s="7"/>
    </row>
    <row r="16477" spans="5:6" ht="15" customHeight="1" x14ac:dyDescent="0.2">
      <c r="E16477" s="7"/>
      <c r="F16477" s="7"/>
    </row>
    <row r="16478" spans="5:6" ht="15" customHeight="1" x14ac:dyDescent="0.2">
      <c r="E16478" s="7"/>
      <c r="F16478" s="7"/>
    </row>
    <row r="16479" spans="5:6" ht="15" customHeight="1" x14ac:dyDescent="0.2">
      <c r="E16479" s="7"/>
      <c r="F16479" s="7"/>
    </row>
    <row r="16480" spans="5:6" ht="15" customHeight="1" x14ac:dyDescent="0.2">
      <c r="E16480" s="7"/>
      <c r="F16480" s="7"/>
    </row>
    <row r="16481" spans="5:6" ht="15" customHeight="1" x14ac:dyDescent="0.2">
      <c r="E16481" s="7"/>
      <c r="F16481" s="7"/>
    </row>
    <row r="16482" spans="5:6" ht="15" customHeight="1" x14ac:dyDescent="0.2">
      <c r="E16482" s="7"/>
      <c r="F16482" s="7"/>
    </row>
    <row r="16483" spans="5:6" ht="15" customHeight="1" x14ac:dyDescent="0.2">
      <c r="E16483" s="7"/>
      <c r="F16483" s="7"/>
    </row>
    <row r="16484" spans="5:6" ht="15" customHeight="1" x14ac:dyDescent="0.2">
      <c r="E16484" s="7"/>
      <c r="F16484" s="7"/>
    </row>
    <row r="16485" spans="5:6" ht="15" customHeight="1" x14ac:dyDescent="0.2">
      <c r="E16485" s="7"/>
      <c r="F16485" s="7"/>
    </row>
    <row r="16486" spans="5:6" ht="15" customHeight="1" x14ac:dyDescent="0.2">
      <c r="E16486" s="7"/>
      <c r="F16486" s="7"/>
    </row>
    <row r="16487" spans="5:6" ht="15" customHeight="1" x14ac:dyDescent="0.2">
      <c r="E16487" s="7"/>
      <c r="F16487" s="7"/>
    </row>
    <row r="16488" spans="5:6" ht="15" customHeight="1" x14ac:dyDescent="0.2">
      <c r="E16488" s="7"/>
      <c r="F16488" s="7"/>
    </row>
    <row r="16489" spans="5:6" ht="15" customHeight="1" x14ac:dyDescent="0.2">
      <c r="E16489" s="7"/>
      <c r="F16489" s="7"/>
    </row>
    <row r="16490" spans="5:6" ht="15" customHeight="1" x14ac:dyDescent="0.2">
      <c r="E16490" s="7"/>
      <c r="F16490" s="7"/>
    </row>
    <row r="16491" spans="5:6" ht="15" customHeight="1" x14ac:dyDescent="0.2">
      <c r="E16491" s="7"/>
      <c r="F16491" s="7"/>
    </row>
    <row r="16492" spans="5:6" ht="15" customHeight="1" x14ac:dyDescent="0.2">
      <c r="E16492" s="7"/>
      <c r="F16492" s="7"/>
    </row>
    <row r="16493" spans="5:6" ht="15" customHeight="1" x14ac:dyDescent="0.2">
      <c r="E16493" s="7"/>
      <c r="F16493" s="7"/>
    </row>
    <row r="16494" spans="5:6" ht="15" customHeight="1" x14ac:dyDescent="0.2">
      <c r="E16494" s="7"/>
      <c r="F16494" s="7"/>
    </row>
    <row r="16495" spans="5:6" ht="15" customHeight="1" x14ac:dyDescent="0.2">
      <c r="E16495" s="7"/>
      <c r="F16495" s="7"/>
    </row>
    <row r="16496" spans="5:6" ht="15" customHeight="1" x14ac:dyDescent="0.2">
      <c r="E16496" s="7"/>
      <c r="F16496" s="7"/>
    </row>
    <row r="16497" spans="5:6" ht="15" customHeight="1" x14ac:dyDescent="0.2">
      <c r="E16497" s="7"/>
      <c r="F16497" s="7"/>
    </row>
    <row r="16498" spans="5:6" ht="15" customHeight="1" x14ac:dyDescent="0.2">
      <c r="E16498" s="7"/>
      <c r="F16498" s="7"/>
    </row>
    <row r="16499" spans="5:6" ht="15" customHeight="1" x14ac:dyDescent="0.2">
      <c r="E16499" s="7"/>
      <c r="F16499" s="7"/>
    </row>
    <row r="16500" spans="5:6" ht="15" customHeight="1" x14ac:dyDescent="0.2">
      <c r="E16500" s="7"/>
      <c r="F16500" s="7"/>
    </row>
    <row r="16501" spans="5:6" ht="15" customHeight="1" x14ac:dyDescent="0.2">
      <c r="E16501" s="7"/>
      <c r="F16501" s="7"/>
    </row>
    <row r="16502" spans="5:6" ht="15" customHeight="1" x14ac:dyDescent="0.2">
      <c r="E16502" s="7"/>
      <c r="F16502" s="7"/>
    </row>
    <row r="16503" spans="5:6" ht="15" customHeight="1" x14ac:dyDescent="0.2">
      <c r="E16503" s="7"/>
      <c r="F16503" s="7"/>
    </row>
    <row r="16504" spans="5:6" ht="15" customHeight="1" x14ac:dyDescent="0.2">
      <c r="E16504" s="7"/>
      <c r="F16504" s="7"/>
    </row>
    <row r="16505" spans="5:6" ht="15" customHeight="1" x14ac:dyDescent="0.2">
      <c r="E16505" s="7"/>
      <c r="F16505" s="7"/>
    </row>
    <row r="16506" spans="5:6" ht="15" customHeight="1" x14ac:dyDescent="0.2">
      <c r="E16506" s="7"/>
      <c r="F16506" s="7"/>
    </row>
    <row r="16507" spans="5:6" ht="15" customHeight="1" x14ac:dyDescent="0.2">
      <c r="E16507" s="7"/>
      <c r="F16507" s="7"/>
    </row>
    <row r="16508" spans="5:6" ht="15" customHeight="1" x14ac:dyDescent="0.2">
      <c r="E16508" s="7"/>
      <c r="F16508" s="7"/>
    </row>
    <row r="16509" spans="5:6" ht="15" customHeight="1" x14ac:dyDescent="0.2">
      <c r="E16509" s="7"/>
      <c r="F16509" s="7"/>
    </row>
    <row r="16510" spans="5:6" ht="15" customHeight="1" x14ac:dyDescent="0.2">
      <c r="E16510" s="7"/>
      <c r="F16510" s="7"/>
    </row>
    <row r="16511" spans="5:6" ht="15" customHeight="1" x14ac:dyDescent="0.2">
      <c r="E16511" s="7"/>
      <c r="F16511" s="7"/>
    </row>
    <row r="16512" spans="5:6" ht="15" customHeight="1" x14ac:dyDescent="0.2">
      <c r="E16512" s="7"/>
      <c r="F16512" s="7"/>
    </row>
    <row r="16513" spans="5:6" ht="15" customHeight="1" x14ac:dyDescent="0.2">
      <c r="E16513" s="7"/>
      <c r="F16513" s="7"/>
    </row>
    <row r="16514" spans="5:6" ht="15" customHeight="1" x14ac:dyDescent="0.2">
      <c r="E16514" s="7"/>
      <c r="F16514" s="7"/>
    </row>
    <row r="16515" spans="5:6" ht="15" customHeight="1" x14ac:dyDescent="0.2">
      <c r="E16515" s="7"/>
      <c r="F16515" s="7"/>
    </row>
    <row r="16516" spans="5:6" ht="15" customHeight="1" x14ac:dyDescent="0.2">
      <c r="E16516" s="7"/>
      <c r="F16516" s="7"/>
    </row>
    <row r="16517" spans="5:6" ht="15" customHeight="1" x14ac:dyDescent="0.2">
      <c r="E16517" s="7"/>
      <c r="F16517" s="7"/>
    </row>
    <row r="16518" spans="5:6" ht="15" customHeight="1" x14ac:dyDescent="0.2">
      <c r="E16518" s="7"/>
      <c r="F16518" s="7"/>
    </row>
    <row r="16519" spans="5:6" ht="15" customHeight="1" x14ac:dyDescent="0.2">
      <c r="E16519" s="7"/>
      <c r="F16519" s="7"/>
    </row>
    <row r="16520" spans="5:6" ht="15" customHeight="1" x14ac:dyDescent="0.2">
      <c r="E16520" s="7"/>
      <c r="F16520" s="7"/>
    </row>
    <row r="16521" spans="5:6" ht="15" customHeight="1" x14ac:dyDescent="0.2">
      <c r="E16521" s="7"/>
      <c r="F16521" s="7"/>
    </row>
    <row r="16522" spans="5:6" ht="15" customHeight="1" x14ac:dyDescent="0.2">
      <c r="E16522" s="7"/>
      <c r="F16522" s="7"/>
    </row>
    <row r="16523" spans="5:6" ht="15" customHeight="1" x14ac:dyDescent="0.2">
      <c r="E16523" s="7"/>
      <c r="F16523" s="7"/>
    </row>
    <row r="16524" spans="5:6" ht="15" customHeight="1" x14ac:dyDescent="0.2">
      <c r="E16524" s="7"/>
      <c r="F16524" s="7"/>
    </row>
    <row r="16525" spans="5:6" ht="15" customHeight="1" x14ac:dyDescent="0.2">
      <c r="E16525" s="7"/>
      <c r="F16525" s="7"/>
    </row>
    <row r="16526" spans="5:6" ht="15" customHeight="1" x14ac:dyDescent="0.2">
      <c r="E16526" s="7"/>
      <c r="F16526" s="7"/>
    </row>
    <row r="16527" spans="5:6" ht="15" customHeight="1" x14ac:dyDescent="0.2">
      <c r="E16527" s="7"/>
      <c r="F16527" s="7"/>
    </row>
    <row r="16528" spans="5:6" ht="15" customHeight="1" x14ac:dyDescent="0.2">
      <c r="E16528" s="7"/>
      <c r="F16528" s="7"/>
    </row>
    <row r="16529" spans="5:6" ht="15" customHeight="1" x14ac:dyDescent="0.2">
      <c r="E16529" s="7"/>
      <c r="F16529" s="7"/>
    </row>
    <row r="16530" spans="5:6" ht="15" customHeight="1" x14ac:dyDescent="0.2">
      <c r="E16530" s="7"/>
      <c r="F16530" s="7"/>
    </row>
    <row r="16531" spans="5:6" ht="15" customHeight="1" x14ac:dyDescent="0.2">
      <c r="E16531" s="7"/>
      <c r="F16531" s="7"/>
    </row>
    <row r="16532" spans="5:6" ht="15" customHeight="1" x14ac:dyDescent="0.2">
      <c r="E16532" s="7"/>
      <c r="F16532" s="7"/>
    </row>
    <row r="16533" spans="5:6" ht="15" customHeight="1" x14ac:dyDescent="0.2">
      <c r="E16533" s="7"/>
      <c r="F16533" s="7"/>
    </row>
    <row r="16534" spans="5:6" ht="15" customHeight="1" x14ac:dyDescent="0.2">
      <c r="E16534" s="7"/>
      <c r="F16534" s="7"/>
    </row>
    <row r="16535" spans="5:6" ht="15" customHeight="1" x14ac:dyDescent="0.2">
      <c r="E16535" s="7"/>
      <c r="F16535" s="7"/>
    </row>
    <row r="16536" spans="5:6" ht="15" customHeight="1" x14ac:dyDescent="0.2">
      <c r="E16536" s="7"/>
      <c r="F16536" s="7"/>
    </row>
    <row r="16537" spans="5:6" ht="15" customHeight="1" x14ac:dyDescent="0.2">
      <c r="E16537" s="7"/>
      <c r="F16537" s="7"/>
    </row>
    <row r="16538" spans="5:6" ht="15" customHeight="1" x14ac:dyDescent="0.2">
      <c r="E16538" s="7"/>
      <c r="F16538" s="7"/>
    </row>
    <row r="16539" spans="5:6" ht="15" customHeight="1" x14ac:dyDescent="0.2">
      <c r="E16539" s="7"/>
      <c r="F16539" s="7"/>
    </row>
    <row r="16540" spans="5:6" ht="15" customHeight="1" x14ac:dyDescent="0.2">
      <c r="E16540" s="7"/>
      <c r="F16540" s="7"/>
    </row>
    <row r="16541" spans="5:6" ht="15" customHeight="1" x14ac:dyDescent="0.2">
      <c r="E16541" s="7"/>
      <c r="F16541" s="7"/>
    </row>
    <row r="16542" spans="5:6" ht="15" customHeight="1" x14ac:dyDescent="0.2">
      <c r="E16542" s="7"/>
      <c r="F16542" s="7"/>
    </row>
    <row r="16543" spans="5:6" ht="15" customHeight="1" x14ac:dyDescent="0.2">
      <c r="E16543" s="7"/>
      <c r="F16543" s="7"/>
    </row>
    <row r="16544" spans="5:6" ht="15" customHeight="1" x14ac:dyDescent="0.2">
      <c r="E16544" s="7"/>
      <c r="F16544" s="7"/>
    </row>
    <row r="16545" spans="5:6" ht="15" customHeight="1" x14ac:dyDescent="0.2">
      <c r="E16545" s="7"/>
      <c r="F16545" s="7"/>
    </row>
    <row r="16546" spans="5:6" ht="15" customHeight="1" x14ac:dyDescent="0.2">
      <c r="E16546" s="7"/>
      <c r="F16546" s="7"/>
    </row>
    <row r="16547" spans="5:6" ht="15" customHeight="1" x14ac:dyDescent="0.2">
      <c r="E16547" s="7"/>
      <c r="F16547" s="7"/>
    </row>
    <row r="16548" spans="5:6" ht="15" customHeight="1" x14ac:dyDescent="0.2">
      <c r="E16548" s="7"/>
      <c r="F16548" s="7"/>
    </row>
    <row r="16549" spans="5:6" ht="15" customHeight="1" x14ac:dyDescent="0.2">
      <c r="E16549" s="7"/>
      <c r="F16549" s="7"/>
    </row>
    <row r="16550" spans="5:6" ht="15" customHeight="1" x14ac:dyDescent="0.2">
      <c r="E16550" s="7"/>
      <c r="F16550" s="7"/>
    </row>
    <row r="16551" spans="5:6" ht="15" customHeight="1" x14ac:dyDescent="0.2">
      <c r="E16551" s="7"/>
      <c r="F16551" s="7"/>
    </row>
    <row r="16552" spans="5:6" ht="15" customHeight="1" x14ac:dyDescent="0.2">
      <c r="E16552" s="7"/>
      <c r="F16552" s="7"/>
    </row>
    <row r="16553" spans="5:6" ht="15" customHeight="1" x14ac:dyDescent="0.2">
      <c r="E16553" s="7"/>
      <c r="F16553" s="7"/>
    </row>
    <row r="16554" spans="5:6" ht="15" customHeight="1" x14ac:dyDescent="0.2">
      <c r="E16554" s="7"/>
      <c r="F16554" s="7"/>
    </row>
    <row r="16555" spans="5:6" ht="15" customHeight="1" x14ac:dyDescent="0.2">
      <c r="E16555" s="7"/>
      <c r="F16555" s="7"/>
    </row>
    <row r="16556" spans="5:6" ht="15" customHeight="1" x14ac:dyDescent="0.2">
      <c r="E16556" s="7"/>
      <c r="F16556" s="7"/>
    </row>
    <row r="16557" spans="5:6" ht="15" customHeight="1" x14ac:dyDescent="0.2">
      <c r="E16557" s="7"/>
      <c r="F16557" s="7"/>
    </row>
    <row r="16558" spans="5:6" ht="15" customHeight="1" x14ac:dyDescent="0.2">
      <c r="E16558" s="7"/>
      <c r="F16558" s="7"/>
    </row>
    <row r="16559" spans="5:6" ht="15" customHeight="1" x14ac:dyDescent="0.2">
      <c r="E16559" s="7"/>
      <c r="F16559" s="7"/>
    </row>
    <row r="16560" spans="5:6" ht="15" customHeight="1" x14ac:dyDescent="0.2">
      <c r="E16560" s="7"/>
      <c r="F16560" s="7"/>
    </row>
    <row r="16561" spans="5:6" ht="15" customHeight="1" x14ac:dyDescent="0.2">
      <c r="E16561" s="7"/>
      <c r="F16561" s="7"/>
    </row>
    <row r="16562" spans="5:6" ht="15" customHeight="1" x14ac:dyDescent="0.2">
      <c r="E16562" s="7"/>
      <c r="F16562" s="7"/>
    </row>
    <row r="16563" spans="5:6" ht="15" customHeight="1" x14ac:dyDescent="0.2">
      <c r="E16563" s="7"/>
      <c r="F16563" s="7"/>
    </row>
    <row r="16564" spans="5:6" ht="15" customHeight="1" x14ac:dyDescent="0.2">
      <c r="E16564" s="7"/>
      <c r="F16564" s="7"/>
    </row>
    <row r="16565" spans="5:6" ht="15" customHeight="1" x14ac:dyDescent="0.2">
      <c r="E16565" s="7"/>
      <c r="F16565" s="7"/>
    </row>
    <row r="16566" spans="5:6" ht="15" customHeight="1" x14ac:dyDescent="0.2">
      <c r="E16566" s="7"/>
      <c r="F16566" s="7"/>
    </row>
    <row r="16567" spans="5:6" ht="15" customHeight="1" x14ac:dyDescent="0.2">
      <c r="E16567" s="7"/>
      <c r="F16567" s="7"/>
    </row>
    <row r="16568" spans="5:6" ht="15" customHeight="1" x14ac:dyDescent="0.2">
      <c r="E16568" s="7"/>
      <c r="F16568" s="7"/>
    </row>
    <row r="16569" spans="5:6" ht="15" customHeight="1" x14ac:dyDescent="0.2">
      <c r="E16569" s="7"/>
      <c r="F16569" s="7"/>
    </row>
    <row r="16570" spans="5:6" ht="15" customHeight="1" x14ac:dyDescent="0.2">
      <c r="E16570" s="7"/>
      <c r="F16570" s="7"/>
    </row>
    <row r="16571" spans="5:6" ht="15" customHeight="1" x14ac:dyDescent="0.2">
      <c r="E16571" s="7"/>
      <c r="F16571" s="7"/>
    </row>
    <row r="16572" spans="5:6" ht="15" customHeight="1" x14ac:dyDescent="0.2">
      <c r="E16572" s="7"/>
      <c r="F16572" s="7"/>
    </row>
    <row r="16573" spans="5:6" ht="15" customHeight="1" x14ac:dyDescent="0.2">
      <c r="E16573" s="7"/>
      <c r="F16573" s="7"/>
    </row>
    <row r="16574" spans="5:6" ht="15" customHeight="1" x14ac:dyDescent="0.2">
      <c r="E16574" s="7"/>
      <c r="F16574" s="7"/>
    </row>
    <row r="16575" spans="5:6" ht="15" customHeight="1" x14ac:dyDescent="0.2">
      <c r="E16575" s="7"/>
      <c r="F16575" s="7"/>
    </row>
    <row r="16576" spans="5:6" ht="15" customHeight="1" x14ac:dyDescent="0.2">
      <c r="E16576" s="7"/>
      <c r="F16576" s="7"/>
    </row>
    <row r="16577" spans="5:6" ht="15" customHeight="1" x14ac:dyDescent="0.2">
      <c r="E16577" s="7"/>
      <c r="F16577" s="7"/>
    </row>
    <row r="16578" spans="5:6" ht="15" customHeight="1" x14ac:dyDescent="0.2">
      <c r="E16578" s="7"/>
      <c r="F16578" s="7"/>
    </row>
    <row r="16579" spans="5:6" ht="15" customHeight="1" x14ac:dyDescent="0.2">
      <c r="E16579" s="7"/>
      <c r="F16579" s="7"/>
    </row>
    <row r="16580" spans="5:6" ht="15" customHeight="1" x14ac:dyDescent="0.2">
      <c r="E16580" s="7"/>
      <c r="F16580" s="7"/>
    </row>
    <row r="16581" spans="5:6" ht="15" customHeight="1" x14ac:dyDescent="0.2">
      <c r="E16581" s="7"/>
      <c r="F16581" s="7"/>
    </row>
    <row r="16582" spans="5:6" ht="15" customHeight="1" x14ac:dyDescent="0.2">
      <c r="E16582" s="7"/>
      <c r="F16582" s="7"/>
    </row>
    <row r="16583" spans="5:6" ht="15" customHeight="1" x14ac:dyDescent="0.2">
      <c r="E16583" s="7"/>
      <c r="F16583" s="7"/>
    </row>
    <row r="16584" spans="5:6" ht="15" customHeight="1" x14ac:dyDescent="0.2">
      <c r="E16584" s="7"/>
      <c r="F16584" s="7"/>
    </row>
    <row r="16585" spans="5:6" ht="15" customHeight="1" x14ac:dyDescent="0.2">
      <c r="E16585" s="7"/>
      <c r="F16585" s="7"/>
    </row>
    <row r="16586" spans="5:6" ht="15" customHeight="1" x14ac:dyDescent="0.2">
      <c r="E16586" s="7"/>
      <c r="F16586" s="7"/>
    </row>
    <row r="16587" spans="5:6" ht="15" customHeight="1" x14ac:dyDescent="0.2">
      <c r="E16587" s="7"/>
      <c r="F16587" s="7"/>
    </row>
    <row r="16588" spans="5:6" ht="15" customHeight="1" x14ac:dyDescent="0.2">
      <c r="E16588" s="7"/>
      <c r="F16588" s="7"/>
    </row>
    <row r="16589" spans="5:6" ht="15" customHeight="1" x14ac:dyDescent="0.2">
      <c r="E16589" s="7"/>
      <c r="F16589" s="7"/>
    </row>
    <row r="16590" spans="5:6" ht="15" customHeight="1" x14ac:dyDescent="0.2">
      <c r="E16590" s="7"/>
      <c r="F16590" s="7"/>
    </row>
    <row r="16591" spans="5:6" ht="15" customHeight="1" x14ac:dyDescent="0.2">
      <c r="E16591" s="7"/>
      <c r="F16591" s="7"/>
    </row>
    <row r="16592" spans="5:6" ht="15" customHeight="1" x14ac:dyDescent="0.2">
      <c r="E16592" s="7"/>
      <c r="F16592" s="7"/>
    </row>
    <row r="16593" spans="5:6" ht="15" customHeight="1" x14ac:dyDescent="0.2">
      <c r="E16593" s="7"/>
      <c r="F16593" s="7"/>
    </row>
    <row r="16594" spans="5:6" ht="15" customHeight="1" x14ac:dyDescent="0.2">
      <c r="E16594" s="7"/>
      <c r="F16594" s="7"/>
    </row>
    <row r="16595" spans="5:6" ht="15" customHeight="1" x14ac:dyDescent="0.2">
      <c r="E16595" s="7"/>
      <c r="F16595" s="7"/>
    </row>
    <row r="16596" spans="5:6" ht="15" customHeight="1" x14ac:dyDescent="0.2">
      <c r="E16596" s="7"/>
      <c r="F16596" s="7"/>
    </row>
    <row r="16597" spans="5:6" ht="15" customHeight="1" x14ac:dyDescent="0.2">
      <c r="E16597" s="7"/>
      <c r="F16597" s="7"/>
    </row>
    <row r="16598" spans="5:6" ht="15" customHeight="1" x14ac:dyDescent="0.2">
      <c r="E16598" s="7"/>
      <c r="F16598" s="7"/>
    </row>
    <row r="16599" spans="5:6" ht="15" customHeight="1" x14ac:dyDescent="0.2">
      <c r="E16599" s="7"/>
      <c r="F16599" s="7"/>
    </row>
    <row r="16600" spans="5:6" ht="15" customHeight="1" x14ac:dyDescent="0.2">
      <c r="E16600" s="7"/>
      <c r="F16600" s="7"/>
    </row>
    <row r="16601" spans="5:6" ht="15" customHeight="1" x14ac:dyDescent="0.2">
      <c r="E16601" s="7"/>
      <c r="F16601" s="7"/>
    </row>
    <row r="16602" spans="5:6" ht="15" customHeight="1" x14ac:dyDescent="0.2">
      <c r="E16602" s="7"/>
      <c r="F16602" s="7"/>
    </row>
    <row r="16603" spans="5:6" ht="15" customHeight="1" x14ac:dyDescent="0.2">
      <c r="E16603" s="7"/>
      <c r="F16603" s="7"/>
    </row>
    <row r="16604" spans="5:6" ht="15" customHeight="1" x14ac:dyDescent="0.2">
      <c r="E16604" s="7"/>
      <c r="F16604" s="7"/>
    </row>
    <row r="16605" spans="5:6" ht="15" customHeight="1" x14ac:dyDescent="0.2">
      <c r="E16605" s="7"/>
      <c r="F16605" s="7"/>
    </row>
    <row r="16606" spans="5:6" ht="15" customHeight="1" x14ac:dyDescent="0.2">
      <c r="E16606" s="7"/>
      <c r="F16606" s="7"/>
    </row>
    <row r="16607" spans="5:6" ht="15" customHeight="1" x14ac:dyDescent="0.2">
      <c r="E16607" s="7"/>
      <c r="F16607" s="7"/>
    </row>
    <row r="16608" spans="5:6" ht="15" customHeight="1" x14ac:dyDescent="0.2">
      <c r="E16608" s="7"/>
      <c r="F16608" s="7"/>
    </row>
    <row r="16609" spans="5:6" ht="15" customHeight="1" x14ac:dyDescent="0.2">
      <c r="E16609" s="7"/>
      <c r="F16609" s="7"/>
    </row>
    <row r="16610" spans="5:6" ht="15" customHeight="1" x14ac:dyDescent="0.2">
      <c r="E16610" s="7"/>
      <c r="F16610" s="7"/>
    </row>
    <row r="16611" spans="5:6" ht="15" customHeight="1" x14ac:dyDescent="0.2">
      <c r="E16611" s="7"/>
      <c r="F16611" s="7"/>
    </row>
    <row r="16612" spans="5:6" ht="15" customHeight="1" x14ac:dyDescent="0.2">
      <c r="E16612" s="7"/>
      <c r="F16612" s="7"/>
    </row>
    <row r="16613" spans="5:6" ht="15" customHeight="1" x14ac:dyDescent="0.2">
      <c r="E16613" s="7"/>
      <c r="F16613" s="7"/>
    </row>
    <row r="16614" spans="5:6" ht="15" customHeight="1" x14ac:dyDescent="0.2">
      <c r="E16614" s="7"/>
      <c r="F16614" s="7"/>
    </row>
    <row r="16615" spans="5:6" ht="15" customHeight="1" x14ac:dyDescent="0.2">
      <c r="E16615" s="7"/>
      <c r="F16615" s="7"/>
    </row>
    <row r="16616" spans="5:6" ht="15" customHeight="1" x14ac:dyDescent="0.2">
      <c r="E16616" s="7"/>
      <c r="F16616" s="7"/>
    </row>
    <row r="16617" spans="5:6" ht="15" customHeight="1" x14ac:dyDescent="0.2">
      <c r="E16617" s="7"/>
      <c r="F16617" s="7"/>
    </row>
    <row r="16618" spans="5:6" ht="15" customHeight="1" x14ac:dyDescent="0.2">
      <c r="E16618" s="7"/>
      <c r="F16618" s="7"/>
    </row>
    <row r="16619" spans="5:6" ht="15" customHeight="1" x14ac:dyDescent="0.2">
      <c r="E16619" s="7"/>
      <c r="F16619" s="7"/>
    </row>
    <row r="16620" spans="5:6" ht="15" customHeight="1" x14ac:dyDescent="0.2">
      <c r="E16620" s="7"/>
      <c r="F16620" s="7"/>
    </row>
    <row r="16621" spans="5:6" ht="15" customHeight="1" x14ac:dyDescent="0.2">
      <c r="E16621" s="7"/>
      <c r="F16621" s="7"/>
    </row>
    <row r="16622" spans="5:6" ht="15" customHeight="1" x14ac:dyDescent="0.2">
      <c r="E16622" s="7"/>
      <c r="F16622" s="7"/>
    </row>
    <row r="16623" spans="5:6" ht="15" customHeight="1" x14ac:dyDescent="0.2">
      <c r="E16623" s="7"/>
      <c r="F16623" s="7"/>
    </row>
    <row r="16624" spans="5:6" ht="15" customHeight="1" x14ac:dyDescent="0.2">
      <c r="E16624" s="7"/>
      <c r="F16624" s="7"/>
    </row>
    <row r="16625" spans="5:6" ht="15" customHeight="1" x14ac:dyDescent="0.2">
      <c r="E16625" s="7"/>
      <c r="F16625" s="7"/>
    </row>
    <row r="16626" spans="5:6" ht="15" customHeight="1" x14ac:dyDescent="0.2">
      <c r="E16626" s="7"/>
      <c r="F16626" s="7"/>
    </row>
    <row r="16627" spans="5:6" ht="15" customHeight="1" x14ac:dyDescent="0.2">
      <c r="E16627" s="7"/>
      <c r="F16627" s="7"/>
    </row>
    <row r="16628" spans="5:6" ht="15" customHeight="1" x14ac:dyDescent="0.2">
      <c r="E16628" s="7"/>
      <c r="F16628" s="7"/>
    </row>
    <row r="16629" spans="5:6" ht="15" customHeight="1" x14ac:dyDescent="0.2">
      <c r="E16629" s="7"/>
      <c r="F16629" s="7"/>
    </row>
    <row r="16630" spans="5:6" ht="15" customHeight="1" x14ac:dyDescent="0.2">
      <c r="E16630" s="7"/>
      <c r="F16630" s="7"/>
    </row>
    <row r="16631" spans="5:6" ht="15" customHeight="1" x14ac:dyDescent="0.2">
      <c r="E16631" s="7"/>
      <c r="F16631" s="7"/>
    </row>
    <row r="16632" spans="5:6" ht="15" customHeight="1" x14ac:dyDescent="0.2">
      <c r="E16632" s="7"/>
      <c r="F16632" s="7"/>
    </row>
    <row r="16633" spans="5:6" ht="15" customHeight="1" x14ac:dyDescent="0.2">
      <c r="E16633" s="7"/>
      <c r="F16633" s="7"/>
    </row>
    <row r="16634" spans="5:6" ht="15" customHeight="1" x14ac:dyDescent="0.2">
      <c r="E16634" s="7"/>
      <c r="F16634" s="7"/>
    </row>
    <row r="16635" spans="5:6" ht="15" customHeight="1" x14ac:dyDescent="0.2">
      <c r="E16635" s="7"/>
      <c r="F16635" s="7"/>
    </row>
    <row r="16636" spans="5:6" ht="15" customHeight="1" x14ac:dyDescent="0.2">
      <c r="E16636" s="7"/>
      <c r="F16636" s="7"/>
    </row>
    <row r="16637" spans="5:6" ht="15" customHeight="1" x14ac:dyDescent="0.2">
      <c r="E16637" s="7"/>
      <c r="F16637" s="7"/>
    </row>
    <row r="16638" spans="5:6" ht="15" customHeight="1" x14ac:dyDescent="0.2">
      <c r="E16638" s="7"/>
      <c r="F16638" s="7"/>
    </row>
    <row r="16639" spans="5:6" ht="15" customHeight="1" x14ac:dyDescent="0.2">
      <c r="E16639" s="7"/>
      <c r="F16639" s="7"/>
    </row>
    <row r="16640" spans="5:6" ht="15" customHeight="1" x14ac:dyDescent="0.2">
      <c r="E16640" s="7"/>
      <c r="F16640" s="7"/>
    </row>
    <row r="16641" spans="5:6" ht="15" customHeight="1" x14ac:dyDescent="0.2">
      <c r="E16641" s="7"/>
      <c r="F16641" s="7"/>
    </row>
    <row r="16642" spans="5:6" ht="15" customHeight="1" x14ac:dyDescent="0.2">
      <c r="E16642" s="7"/>
      <c r="F16642" s="7"/>
    </row>
    <row r="16643" spans="5:6" ht="15" customHeight="1" x14ac:dyDescent="0.2">
      <c r="E16643" s="7"/>
      <c r="F16643" s="7"/>
    </row>
    <row r="16644" spans="5:6" ht="15" customHeight="1" x14ac:dyDescent="0.2">
      <c r="E16644" s="7"/>
      <c r="F16644" s="7"/>
    </row>
    <row r="16645" spans="5:6" ht="15" customHeight="1" x14ac:dyDescent="0.2">
      <c r="E16645" s="7"/>
      <c r="F16645" s="7"/>
    </row>
    <row r="16646" spans="5:6" ht="15" customHeight="1" x14ac:dyDescent="0.2">
      <c r="E16646" s="7"/>
      <c r="F16646" s="7"/>
    </row>
    <row r="16647" spans="5:6" ht="15" customHeight="1" x14ac:dyDescent="0.2">
      <c r="E16647" s="7"/>
      <c r="F16647" s="7"/>
    </row>
    <row r="16648" spans="5:6" ht="15" customHeight="1" x14ac:dyDescent="0.2">
      <c r="E16648" s="7"/>
      <c r="F16648" s="7"/>
    </row>
    <row r="16649" spans="5:6" ht="15" customHeight="1" x14ac:dyDescent="0.2">
      <c r="E16649" s="7"/>
      <c r="F16649" s="7"/>
    </row>
    <row r="16650" spans="5:6" ht="15" customHeight="1" x14ac:dyDescent="0.2">
      <c r="E16650" s="7"/>
      <c r="F16650" s="7"/>
    </row>
    <row r="16651" spans="5:6" ht="15" customHeight="1" x14ac:dyDescent="0.2">
      <c r="E16651" s="7"/>
      <c r="F16651" s="7"/>
    </row>
    <row r="16652" spans="5:6" ht="15" customHeight="1" x14ac:dyDescent="0.2">
      <c r="E16652" s="7"/>
      <c r="F16652" s="7"/>
    </row>
    <row r="16653" spans="5:6" ht="15" customHeight="1" x14ac:dyDescent="0.2">
      <c r="E16653" s="7"/>
      <c r="F16653" s="7"/>
    </row>
    <row r="16654" spans="5:6" ht="15" customHeight="1" x14ac:dyDescent="0.2">
      <c r="E16654" s="7"/>
      <c r="F16654" s="7"/>
    </row>
    <row r="16655" spans="5:6" ht="15" customHeight="1" x14ac:dyDescent="0.2">
      <c r="E16655" s="7"/>
      <c r="F16655" s="7"/>
    </row>
    <row r="16656" spans="5:6" ht="15" customHeight="1" x14ac:dyDescent="0.2">
      <c r="E16656" s="7"/>
      <c r="F16656" s="7"/>
    </row>
    <row r="16657" spans="5:6" ht="15" customHeight="1" x14ac:dyDescent="0.2">
      <c r="E16657" s="7"/>
      <c r="F16657" s="7"/>
    </row>
    <row r="16658" spans="5:6" ht="15" customHeight="1" x14ac:dyDescent="0.2">
      <c r="E16658" s="7"/>
      <c r="F16658" s="7"/>
    </row>
    <row r="16659" spans="5:6" ht="15" customHeight="1" x14ac:dyDescent="0.2">
      <c r="E16659" s="7"/>
      <c r="F16659" s="7"/>
    </row>
    <row r="16660" spans="5:6" ht="15" customHeight="1" x14ac:dyDescent="0.2">
      <c r="E16660" s="7"/>
      <c r="F16660" s="7"/>
    </row>
    <row r="16661" spans="5:6" ht="15" customHeight="1" x14ac:dyDescent="0.2">
      <c r="E16661" s="7"/>
      <c r="F16661" s="7"/>
    </row>
    <row r="16662" spans="5:6" ht="15" customHeight="1" x14ac:dyDescent="0.2">
      <c r="E16662" s="7"/>
      <c r="F16662" s="7"/>
    </row>
    <row r="16663" spans="5:6" ht="15" customHeight="1" x14ac:dyDescent="0.2">
      <c r="E16663" s="7"/>
      <c r="F16663" s="7"/>
    </row>
    <row r="16664" spans="5:6" ht="15" customHeight="1" x14ac:dyDescent="0.2">
      <c r="E16664" s="7"/>
      <c r="F16664" s="7"/>
    </row>
    <row r="16665" spans="5:6" ht="15" customHeight="1" x14ac:dyDescent="0.2">
      <c r="E16665" s="7"/>
      <c r="F16665" s="7"/>
    </row>
    <row r="16666" spans="5:6" ht="15" customHeight="1" x14ac:dyDescent="0.2">
      <c r="E16666" s="7"/>
      <c r="F16666" s="7"/>
    </row>
    <row r="16667" spans="5:6" ht="15" customHeight="1" x14ac:dyDescent="0.2">
      <c r="E16667" s="7"/>
      <c r="F16667" s="7"/>
    </row>
    <row r="16668" spans="5:6" ht="15" customHeight="1" x14ac:dyDescent="0.2">
      <c r="E16668" s="7"/>
      <c r="F16668" s="7"/>
    </row>
    <row r="16669" spans="5:6" ht="15" customHeight="1" x14ac:dyDescent="0.2">
      <c r="E16669" s="7"/>
      <c r="F16669" s="7"/>
    </row>
    <row r="16670" spans="5:6" ht="15" customHeight="1" x14ac:dyDescent="0.2">
      <c r="E16670" s="7"/>
      <c r="F16670" s="7"/>
    </row>
    <row r="16671" spans="5:6" ht="15" customHeight="1" x14ac:dyDescent="0.2">
      <c r="E16671" s="7"/>
      <c r="F16671" s="7"/>
    </row>
    <row r="16672" spans="5:6" ht="15" customHeight="1" x14ac:dyDescent="0.2">
      <c r="E16672" s="7"/>
      <c r="F16672" s="7"/>
    </row>
    <row r="16673" spans="5:6" ht="15" customHeight="1" x14ac:dyDescent="0.2">
      <c r="E16673" s="7"/>
      <c r="F16673" s="7"/>
    </row>
    <row r="16674" spans="5:6" ht="15" customHeight="1" x14ac:dyDescent="0.2">
      <c r="E16674" s="7"/>
      <c r="F16674" s="7"/>
    </row>
    <row r="16675" spans="5:6" ht="15" customHeight="1" x14ac:dyDescent="0.2">
      <c r="E16675" s="7"/>
      <c r="F16675" s="7"/>
    </row>
    <row r="16676" spans="5:6" ht="15" customHeight="1" x14ac:dyDescent="0.2">
      <c r="E16676" s="7"/>
      <c r="F16676" s="7"/>
    </row>
    <row r="16677" spans="5:6" ht="15" customHeight="1" x14ac:dyDescent="0.2">
      <c r="E16677" s="7"/>
      <c r="F16677" s="7"/>
    </row>
    <row r="16678" spans="5:6" ht="15" customHeight="1" x14ac:dyDescent="0.2">
      <c r="E16678" s="7"/>
      <c r="F16678" s="7"/>
    </row>
    <row r="16679" spans="5:6" ht="15" customHeight="1" x14ac:dyDescent="0.2">
      <c r="E16679" s="7"/>
      <c r="F16679" s="7"/>
    </row>
    <row r="16680" spans="5:6" ht="15" customHeight="1" x14ac:dyDescent="0.2">
      <c r="E16680" s="7"/>
      <c r="F16680" s="7"/>
    </row>
    <row r="16681" spans="5:6" ht="15" customHeight="1" x14ac:dyDescent="0.2">
      <c r="E16681" s="7"/>
      <c r="F16681" s="7"/>
    </row>
    <row r="16682" spans="5:6" ht="15" customHeight="1" x14ac:dyDescent="0.2">
      <c r="E16682" s="7"/>
      <c r="F16682" s="7"/>
    </row>
    <row r="16683" spans="5:6" ht="15" customHeight="1" x14ac:dyDescent="0.2">
      <c r="E16683" s="7"/>
      <c r="F16683" s="7"/>
    </row>
    <row r="16684" spans="5:6" ht="15" customHeight="1" x14ac:dyDescent="0.2">
      <c r="E16684" s="7"/>
      <c r="F16684" s="7"/>
    </row>
    <row r="16685" spans="5:6" ht="15" customHeight="1" x14ac:dyDescent="0.2">
      <c r="E16685" s="7"/>
      <c r="F16685" s="7"/>
    </row>
    <row r="16686" spans="5:6" ht="15" customHeight="1" x14ac:dyDescent="0.2">
      <c r="E16686" s="7"/>
      <c r="F16686" s="7"/>
    </row>
    <row r="16687" spans="5:6" ht="15" customHeight="1" x14ac:dyDescent="0.2">
      <c r="E16687" s="7"/>
      <c r="F16687" s="7"/>
    </row>
    <row r="16688" spans="5:6" ht="15" customHeight="1" x14ac:dyDescent="0.2">
      <c r="E16688" s="7"/>
      <c r="F16688" s="7"/>
    </row>
    <row r="16689" spans="5:6" ht="15" customHeight="1" x14ac:dyDescent="0.2">
      <c r="E16689" s="7"/>
      <c r="F16689" s="7"/>
    </row>
    <row r="16690" spans="5:6" ht="15" customHeight="1" x14ac:dyDescent="0.2">
      <c r="E16690" s="7"/>
      <c r="F16690" s="7"/>
    </row>
    <row r="16691" spans="5:6" ht="15" customHeight="1" x14ac:dyDescent="0.2">
      <c r="E16691" s="7"/>
      <c r="F16691" s="7"/>
    </row>
    <row r="16692" spans="5:6" ht="15" customHeight="1" x14ac:dyDescent="0.2">
      <c r="E16692" s="7"/>
      <c r="F16692" s="7"/>
    </row>
    <row r="16693" spans="5:6" ht="15" customHeight="1" x14ac:dyDescent="0.2">
      <c r="E16693" s="7"/>
      <c r="F16693" s="7"/>
    </row>
    <row r="16694" spans="5:6" ht="15" customHeight="1" x14ac:dyDescent="0.2">
      <c r="E16694" s="7"/>
      <c r="F16694" s="7"/>
    </row>
    <row r="16695" spans="5:6" ht="15" customHeight="1" x14ac:dyDescent="0.2">
      <c r="E16695" s="7"/>
      <c r="F16695" s="7"/>
    </row>
    <row r="16696" spans="5:6" ht="15" customHeight="1" x14ac:dyDescent="0.2">
      <c r="E16696" s="7"/>
      <c r="F16696" s="7"/>
    </row>
    <row r="16697" spans="5:6" ht="15" customHeight="1" x14ac:dyDescent="0.2">
      <c r="E16697" s="7"/>
      <c r="F16697" s="7"/>
    </row>
    <row r="16698" spans="5:6" ht="15" customHeight="1" x14ac:dyDescent="0.2">
      <c r="E16698" s="7"/>
      <c r="F16698" s="7"/>
    </row>
    <row r="16699" spans="5:6" ht="15" customHeight="1" x14ac:dyDescent="0.2">
      <c r="E16699" s="7"/>
      <c r="F16699" s="7"/>
    </row>
    <row r="16700" spans="5:6" ht="15" customHeight="1" x14ac:dyDescent="0.2">
      <c r="E16700" s="7"/>
      <c r="F16700" s="7"/>
    </row>
    <row r="16701" spans="5:6" ht="15" customHeight="1" x14ac:dyDescent="0.2">
      <c r="E16701" s="7"/>
      <c r="F16701" s="7"/>
    </row>
    <row r="16702" spans="5:6" ht="15" customHeight="1" x14ac:dyDescent="0.2">
      <c r="E16702" s="7"/>
      <c r="F16702" s="7"/>
    </row>
    <row r="16703" spans="5:6" ht="15" customHeight="1" x14ac:dyDescent="0.2">
      <c r="E16703" s="7"/>
      <c r="F16703" s="7"/>
    </row>
    <row r="16704" spans="5:6" ht="15" customHeight="1" x14ac:dyDescent="0.2">
      <c r="E16704" s="7"/>
      <c r="F16704" s="7"/>
    </row>
    <row r="16705" spans="5:6" ht="15" customHeight="1" x14ac:dyDescent="0.2">
      <c r="E16705" s="7"/>
      <c r="F16705" s="7"/>
    </row>
    <row r="16706" spans="5:6" ht="15" customHeight="1" x14ac:dyDescent="0.2">
      <c r="E16706" s="7"/>
      <c r="F16706" s="7"/>
    </row>
    <row r="16707" spans="5:6" ht="15" customHeight="1" x14ac:dyDescent="0.2">
      <c r="E16707" s="7"/>
      <c r="F16707" s="7"/>
    </row>
    <row r="16708" spans="5:6" ht="15" customHeight="1" x14ac:dyDescent="0.2">
      <c r="E16708" s="7"/>
      <c r="F16708" s="7"/>
    </row>
    <row r="16709" spans="5:6" ht="15" customHeight="1" x14ac:dyDescent="0.2">
      <c r="E16709" s="7"/>
      <c r="F16709" s="7"/>
    </row>
    <row r="16710" spans="5:6" ht="15" customHeight="1" x14ac:dyDescent="0.2">
      <c r="E16710" s="7"/>
      <c r="F16710" s="7"/>
    </row>
    <row r="16711" spans="5:6" ht="15" customHeight="1" x14ac:dyDescent="0.2">
      <c r="E16711" s="7"/>
      <c r="F16711" s="7"/>
    </row>
    <row r="16712" spans="5:6" ht="15" customHeight="1" x14ac:dyDescent="0.2">
      <c r="E16712" s="7"/>
      <c r="F16712" s="7"/>
    </row>
    <row r="16713" spans="5:6" ht="15" customHeight="1" x14ac:dyDescent="0.2">
      <c r="E16713" s="7"/>
      <c r="F16713" s="7"/>
    </row>
    <row r="16714" spans="5:6" ht="15" customHeight="1" x14ac:dyDescent="0.2">
      <c r="E16714" s="7"/>
      <c r="F16714" s="7"/>
    </row>
    <row r="16715" spans="5:6" ht="15" customHeight="1" x14ac:dyDescent="0.2">
      <c r="E16715" s="7"/>
      <c r="F16715" s="7"/>
    </row>
    <row r="16716" spans="5:6" ht="15" customHeight="1" x14ac:dyDescent="0.2">
      <c r="E16716" s="7"/>
      <c r="F16716" s="7"/>
    </row>
    <row r="16717" spans="5:6" ht="15" customHeight="1" x14ac:dyDescent="0.2">
      <c r="E16717" s="7"/>
      <c r="F16717" s="7"/>
    </row>
    <row r="16718" spans="5:6" ht="15" customHeight="1" x14ac:dyDescent="0.2">
      <c r="E16718" s="7"/>
      <c r="F16718" s="7"/>
    </row>
    <row r="16719" spans="5:6" ht="15" customHeight="1" x14ac:dyDescent="0.2">
      <c r="E16719" s="7"/>
      <c r="F16719" s="7"/>
    </row>
    <row r="16720" spans="5:6" ht="15" customHeight="1" x14ac:dyDescent="0.2">
      <c r="E16720" s="7"/>
      <c r="F16720" s="7"/>
    </row>
    <row r="16721" spans="5:6" ht="15" customHeight="1" x14ac:dyDescent="0.2">
      <c r="E16721" s="7"/>
      <c r="F16721" s="7"/>
    </row>
    <row r="16722" spans="5:6" ht="15" customHeight="1" x14ac:dyDescent="0.2">
      <c r="E16722" s="7"/>
      <c r="F16722" s="7"/>
    </row>
    <row r="16723" spans="5:6" ht="15" customHeight="1" x14ac:dyDescent="0.2">
      <c r="E16723" s="7"/>
      <c r="F16723" s="7"/>
    </row>
    <row r="16724" spans="5:6" ht="15" customHeight="1" x14ac:dyDescent="0.2">
      <c r="E16724" s="7"/>
      <c r="F16724" s="7"/>
    </row>
    <row r="16725" spans="5:6" ht="15" customHeight="1" x14ac:dyDescent="0.2">
      <c r="E16725" s="7"/>
      <c r="F16725" s="7"/>
    </row>
    <row r="16726" spans="5:6" ht="15" customHeight="1" x14ac:dyDescent="0.2">
      <c r="E16726" s="7"/>
      <c r="F16726" s="7"/>
    </row>
    <row r="16727" spans="5:6" ht="15" customHeight="1" x14ac:dyDescent="0.2">
      <c r="E16727" s="7"/>
      <c r="F16727" s="7"/>
    </row>
    <row r="16728" spans="5:6" ht="15" customHeight="1" x14ac:dyDescent="0.2">
      <c r="E16728" s="7"/>
      <c r="F16728" s="7"/>
    </row>
    <row r="16729" spans="5:6" ht="15" customHeight="1" x14ac:dyDescent="0.2">
      <c r="E16729" s="7"/>
      <c r="F16729" s="7"/>
    </row>
    <row r="16730" spans="5:6" ht="15" customHeight="1" x14ac:dyDescent="0.2">
      <c r="E16730" s="7"/>
      <c r="F16730" s="7"/>
    </row>
    <row r="16731" spans="5:6" ht="15" customHeight="1" x14ac:dyDescent="0.2">
      <c r="E16731" s="7"/>
      <c r="F16731" s="7"/>
    </row>
    <row r="16732" spans="5:6" ht="15" customHeight="1" x14ac:dyDescent="0.2">
      <c r="E16732" s="7"/>
      <c r="F16732" s="7"/>
    </row>
    <row r="16733" spans="5:6" ht="15" customHeight="1" x14ac:dyDescent="0.2">
      <c r="E16733" s="7"/>
      <c r="F16733" s="7"/>
    </row>
    <row r="16734" spans="5:6" ht="15" customHeight="1" x14ac:dyDescent="0.2">
      <c r="E16734" s="7"/>
      <c r="F16734" s="7"/>
    </row>
    <row r="16735" spans="5:6" ht="15" customHeight="1" x14ac:dyDescent="0.2">
      <c r="E16735" s="7"/>
      <c r="F16735" s="7"/>
    </row>
    <row r="16736" spans="5:6" ht="15" customHeight="1" x14ac:dyDescent="0.2">
      <c r="E16736" s="7"/>
      <c r="F16736" s="7"/>
    </row>
    <row r="16737" spans="5:6" ht="15" customHeight="1" x14ac:dyDescent="0.2">
      <c r="E16737" s="7"/>
      <c r="F16737" s="7"/>
    </row>
    <row r="16738" spans="5:6" ht="15" customHeight="1" x14ac:dyDescent="0.2">
      <c r="E16738" s="7"/>
      <c r="F16738" s="7"/>
    </row>
    <row r="16739" spans="5:6" ht="15" customHeight="1" x14ac:dyDescent="0.2">
      <c r="E16739" s="7"/>
      <c r="F16739" s="7"/>
    </row>
    <row r="16740" spans="5:6" ht="15" customHeight="1" x14ac:dyDescent="0.2">
      <c r="E16740" s="7"/>
      <c r="F16740" s="7"/>
    </row>
    <row r="16741" spans="5:6" ht="15" customHeight="1" x14ac:dyDescent="0.2">
      <c r="E16741" s="7"/>
      <c r="F16741" s="7"/>
    </row>
    <row r="16742" spans="5:6" ht="15" customHeight="1" x14ac:dyDescent="0.2">
      <c r="E16742" s="7"/>
      <c r="F16742" s="7"/>
    </row>
    <row r="16743" spans="5:6" ht="15" customHeight="1" x14ac:dyDescent="0.2">
      <c r="E16743" s="7"/>
      <c r="F16743" s="7"/>
    </row>
    <row r="16744" spans="5:6" ht="15" customHeight="1" x14ac:dyDescent="0.2">
      <c r="E16744" s="7"/>
      <c r="F16744" s="7"/>
    </row>
    <row r="16745" spans="5:6" ht="15" customHeight="1" x14ac:dyDescent="0.2">
      <c r="E16745" s="7"/>
      <c r="F16745" s="7"/>
    </row>
    <row r="16746" spans="5:6" ht="15" customHeight="1" x14ac:dyDescent="0.2">
      <c r="E16746" s="7"/>
      <c r="F16746" s="7"/>
    </row>
    <row r="16747" spans="5:6" ht="15" customHeight="1" x14ac:dyDescent="0.2">
      <c r="E16747" s="7"/>
      <c r="F16747" s="7"/>
    </row>
    <row r="16748" spans="5:6" ht="15" customHeight="1" x14ac:dyDescent="0.2">
      <c r="E16748" s="7"/>
      <c r="F16748" s="7"/>
    </row>
    <row r="16749" spans="5:6" ht="15" customHeight="1" x14ac:dyDescent="0.2">
      <c r="E16749" s="7"/>
      <c r="F16749" s="7"/>
    </row>
    <row r="16750" spans="5:6" ht="15" customHeight="1" x14ac:dyDescent="0.2">
      <c r="E16750" s="7"/>
      <c r="F16750" s="7"/>
    </row>
    <row r="16751" spans="5:6" ht="15" customHeight="1" x14ac:dyDescent="0.2">
      <c r="E16751" s="7"/>
      <c r="F16751" s="7"/>
    </row>
    <row r="16752" spans="5:6" ht="15" customHeight="1" x14ac:dyDescent="0.2">
      <c r="E16752" s="7"/>
      <c r="F16752" s="7"/>
    </row>
    <row r="16753" spans="5:6" ht="15" customHeight="1" x14ac:dyDescent="0.2">
      <c r="E16753" s="7"/>
      <c r="F16753" s="7"/>
    </row>
    <row r="16754" spans="5:6" ht="15" customHeight="1" x14ac:dyDescent="0.2">
      <c r="E16754" s="7"/>
      <c r="F16754" s="7"/>
    </row>
    <row r="16755" spans="5:6" ht="15" customHeight="1" x14ac:dyDescent="0.2">
      <c r="E16755" s="7"/>
      <c r="F16755" s="7"/>
    </row>
    <row r="16756" spans="5:6" ht="15" customHeight="1" x14ac:dyDescent="0.2">
      <c r="E16756" s="7"/>
      <c r="F16756" s="7"/>
    </row>
    <row r="16757" spans="5:6" ht="15" customHeight="1" x14ac:dyDescent="0.2">
      <c r="E16757" s="7"/>
      <c r="F16757" s="7"/>
    </row>
    <row r="16758" spans="5:6" ht="15" customHeight="1" x14ac:dyDescent="0.2">
      <c r="E16758" s="7"/>
      <c r="F16758" s="7"/>
    </row>
    <row r="16759" spans="5:6" ht="15" customHeight="1" x14ac:dyDescent="0.2">
      <c r="E16759" s="7"/>
      <c r="F16759" s="7"/>
    </row>
    <row r="16760" spans="5:6" ht="15" customHeight="1" x14ac:dyDescent="0.2">
      <c r="E16760" s="7"/>
      <c r="F16760" s="7"/>
    </row>
    <row r="16761" spans="5:6" ht="15" customHeight="1" x14ac:dyDescent="0.2">
      <c r="E16761" s="7"/>
      <c r="F16761" s="7"/>
    </row>
    <row r="16762" spans="5:6" ht="15" customHeight="1" x14ac:dyDescent="0.2">
      <c r="E16762" s="7"/>
      <c r="F16762" s="7"/>
    </row>
    <row r="16763" spans="5:6" ht="15" customHeight="1" x14ac:dyDescent="0.2">
      <c r="E16763" s="7"/>
      <c r="F16763" s="7"/>
    </row>
    <row r="16764" spans="5:6" ht="15" customHeight="1" x14ac:dyDescent="0.2">
      <c r="E16764" s="7"/>
      <c r="F16764" s="7"/>
    </row>
    <row r="16765" spans="5:6" ht="15" customHeight="1" x14ac:dyDescent="0.2">
      <c r="E16765" s="7"/>
      <c r="F16765" s="7"/>
    </row>
    <row r="16766" spans="5:6" ht="15" customHeight="1" x14ac:dyDescent="0.2">
      <c r="E16766" s="7"/>
      <c r="F16766" s="7"/>
    </row>
    <row r="16767" spans="5:6" ht="15" customHeight="1" x14ac:dyDescent="0.2">
      <c r="E16767" s="7"/>
      <c r="F16767" s="7"/>
    </row>
    <row r="16768" spans="5:6" ht="15" customHeight="1" x14ac:dyDescent="0.2">
      <c r="E16768" s="7"/>
      <c r="F16768" s="7"/>
    </row>
    <row r="16769" spans="5:6" ht="15" customHeight="1" x14ac:dyDescent="0.2">
      <c r="E16769" s="7"/>
      <c r="F16769" s="7"/>
    </row>
    <row r="16770" spans="5:6" ht="15" customHeight="1" x14ac:dyDescent="0.2">
      <c r="E16770" s="7"/>
      <c r="F16770" s="7"/>
    </row>
    <row r="16771" spans="5:6" ht="15" customHeight="1" x14ac:dyDescent="0.2">
      <c r="E16771" s="7"/>
      <c r="F16771" s="7"/>
    </row>
    <row r="16772" spans="5:6" ht="15" customHeight="1" x14ac:dyDescent="0.2">
      <c r="E16772" s="7"/>
      <c r="F16772" s="7"/>
    </row>
    <row r="16773" spans="5:6" ht="15" customHeight="1" x14ac:dyDescent="0.2">
      <c r="E16773" s="7"/>
      <c r="F16773" s="7"/>
    </row>
    <row r="16774" spans="5:6" ht="15" customHeight="1" x14ac:dyDescent="0.2">
      <c r="E16774" s="7"/>
      <c r="F16774" s="7"/>
    </row>
    <row r="16775" spans="5:6" ht="15" customHeight="1" x14ac:dyDescent="0.2">
      <c r="E16775" s="7"/>
      <c r="F16775" s="7"/>
    </row>
    <row r="16776" spans="5:6" ht="15" customHeight="1" x14ac:dyDescent="0.2">
      <c r="E16776" s="7"/>
      <c r="F16776" s="7"/>
    </row>
    <row r="16777" spans="5:6" ht="15" customHeight="1" x14ac:dyDescent="0.2">
      <c r="E16777" s="7"/>
      <c r="F16777" s="7"/>
    </row>
    <row r="16778" spans="5:6" ht="15" customHeight="1" x14ac:dyDescent="0.2">
      <c r="E16778" s="7"/>
      <c r="F16778" s="7"/>
    </row>
    <row r="16779" spans="5:6" ht="15" customHeight="1" x14ac:dyDescent="0.2">
      <c r="E16779" s="7"/>
      <c r="F16779" s="7"/>
    </row>
    <row r="16780" spans="5:6" ht="15" customHeight="1" x14ac:dyDescent="0.2">
      <c r="E16780" s="7"/>
      <c r="F16780" s="7"/>
    </row>
    <row r="16781" spans="5:6" ht="15" customHeight="1" x14ac:dyDescent="0.2">
      <c r="E16781" s="7"/>
      <c r="F16781" s="7"/>
    </row>
    <row r="16782" spans="5:6" ht="15" customHeight="1" x14ac:dyDescent="0.2">
      <c r="E16782" s="7"/>
      <c r="F16782" s="7"/>
    </row>
    <row r="16783" spans="5:6" ht="15" customHeight="1" x14ac:dyDescent="0.2">
      <c r="E16783" s="7"/>
      <c r="F16783" s="7"/>
    </row>
    <row r="16784" spans="5:6" ht="15" customHeight="1" x14ac:dyDescent="0.2">
      <c r="E16784" s="7"/>
      <c r="F16784" s="7"/>
    </row>
    <row r="16785" spans="5:6" ht="15" customHeight="1" x14ac:dyDescent="0.2">
      <c r="E16785" s="7"/>
      <c r="F16785" s="7"/>
    </row>
    <row r="16786" spans="5:6" ht="15" customHeight="1" x14ac:dyDescent="0.2">
      <c r="E16786" s="7"/>
      <c r="F16786" s="7"/>
    </row>
    <row r="16787" spans="5:6" ht="15" customHeight="1" x14ac:dyDescent="0.2">
      <c r="E16787" s="7"/>
      <c r="F16787" s="7"/>
    </row>
    <row r="16788" spans="5:6" ht="15" customHeight="1" x14ac:dyDescent="0.2">
      <c r="E16788" s="7"/>
      <c r="F16788" s="7"/>
    </row>
    <row r="16789" spans="5:6" ht="15" customHeight="1" x14ac:dyDescent="0.2">
      <c r="E16789" s="7"/>
      <c r="F16789" s="7"/>
    </row>
    <row r="16790" spans="5:6" ht="15" customHeight="1" x14ac:dyDescent="0.2">
      <c r="E16790" s="7"/>
      <c r="F16790" s="7"/>
    </row>
    <row r="16791" spans="5:6" ht="15" customHeight="1" x14ac:dyDescent="0.2">
      <c r="E16791" s="7"/>
      <c r="F16791" s="7"/>
    </row>
    <row r="16792" spans="5:6" ht="15" customHeight="1" x14ac:dyDescent="0.2">
      <c r="E16792" s="7"/>
      <c r="F16792" s="7"/>
    </row>
    <row r="16793" spans="5:6" ht="15" customHeight="1" x14ac:dyDescent="0.2">
      <c r="E16793" s="7"/>
      <c r="F16793" s="7"/>
    </row>
    <row r="16794" spans="5:6" ht="15" customHeight="1" x14ac:dyDescent="0.2">
      <c r="E16794" s="7"/>
      <c r="F16794" s="7"/>
    </row>
    <row r="16795" spans="5:6" ht="15" customHeight="1" x14ac:dyDescent="0.2">
      <c r="E16795" s="7"/>
      <c r="F16795" s="7"/>
    </row>
    <row r="16796" spans="5:6" ht="15" customHeight="1" x14ac:dyDescent="0.2">
      <c r="E16796" s="7"/>
      <c r="F16796" s="7"/>
    </row>
    <row r="16797" spans="5:6" ht="15" customHeight="1" x14ac:dyDescent="0.2">
      <c r="E16797" s="7"/>
      <c r="F16797" s="7"/>
    </row>
    <row r="16798" spans="5:6" ht="15" customHeight="1" x14ac:dyDescent="0.2">
      <c r="E16798" s="7"/>
      <c r="F16798" s="7"/>
    </row>
    <row r="16799" spans="5:6" ht="15" customHeight="1" x14ac:dyDescent="0.2">
      <c r="E16799" s="7"/>
      <c r="F16799" s="7"/>
    </row>
    <row r="16800" spans="5:6" ht="15" customHeight="1" x14ac:dyDescent="0.2">
      <c r="E16800" s="7"/>
      <c r="F16800" s="7"/>
    </row>
    <row r="16801" spans="5:6" ht="15" customHeight="1" x14ac:dyDescent="0.2">
      <c r="E16801" s="7"/>
      <c r="F16801" s="7"/>
    </row>
    <row r="16802" spans="5:6" ht="15" customHeight="1" x14ac:dyDescent="0.2">
      <c r="E16802" s="7"/>
      <c r="F16802" s="7"/>
    </row>
    <row r="16803" spans="5:6" ht="15" customHeight="1" x14ac:dyDescent="0.2">
      <c r="E16803" s="7"/>
      <c r="F16803" s="7"/>
    </row>
    <row r="16804" spans="5:6" ht="15" customHeight="1" x14ac:dyDescent="0.2">
      <c r="E16804" s="7"/>
      <c r="F16804" s="7"/>
    </row>
    <row r="16805" spans="5:6" ht="15" customHeight="1" x14ac:dyDescent="0.2">
      <c r="E16805" s="7"/>
      <c r="F16805" s="7"/>
    </row>
    <row r="16806" spans="5:6" ht="15" customHeight="1" x14ac:dyDescent="0.2">
      <c r="E16806" s="7"/>
      <c r="F16806" s="7"/>
    </row>
    <row r="16807" spans="5:6" ht="15" customHeight="1" x14ac:dyDescent="0.2">
      <c r="E16807" s="7"/>
      <c r="F16807" s="7"/>
    </row>
    <row r="16808" spans="5:6" ht="15" customHeight="1" x14ac:dyDescent="0.2">
      <c r="E16808" s="7"/>
      <c r="F16808" s="7"/>
    </row>
    <row r="16809" spans="5:6" ht="15" customHeight="1" x14ac:dyDescent="0.2">
      <c r="E16809" s="7"/>
      <c r="F16809" s="7"/>
    </row>
    <row r="16810" spans="5:6" ht="15" customHeight="1" x14ac:dyDescent="0.2">
      <c r="E16810" s="7"/>
      <c r="F16810" s="7"/>
    </row>
    <row r="16811" spans="5:6" ht="15" customHeight="1" x14ac:dyDescent="0.2">
      <c r="E16811" s="7"/>
      <c r="F16811" s="7"/>
    </row>
    <row r="16812" spans="5:6" ht="15" customHeight="1" x14ac:dyDescent="0.2">
      <c r="E16812" s="7"/>
      <c r="F16812" s="7"/>
    </row>
    <row r="16813" spans="5:6" ht="15" customHeight="1" x14ac:dyDescent="0.2">
      <c r="E16813" s="7"/>
      <c r="F16813" s="7"/>
    </row>
    <row r="16814" spans="5:6" ht="15" customHeight="1" x14ac:dyDescent="0.2">
      <c r="E16814" s="7"/>
      <c r="F16814" s="7"/>
    </row>
    <row r="16815" spans="5:6" ht="15" customHeight="1" x14ac:dyDescent="0.2">
      <c r="E16815" s="7"/>
      <c r="F16815" s="7"/>
    </row>
    <row r="16816" spans="5:6" ht="15" customHeight="1" x14ac:dyDescent="0.2">
      <c r="E16816" s="7"/>
      <c r="F16816" s="7"/>
    </row>
    <row r="16817" spans="5:6" ht="15" customHeight="1" x14ac:dyDescent="0.2">
      <c r="E16817" s="7"/>
      <c r="F16817" s="7"/>
    </row>
    <row r="16818" spans="5:6" ht="15" customHeight="1" x14ac:dyDescent="0.2">
      <c r="E16818" s="7"/>
      <c r="F16818" s="7"/>
    </row>
    <row r="16819" spans="5:6" ht="15" customHeight="1" x14ac:dyDescent="0.2">
      <c r="E16819" s="7"/>
      <c r="F16819" s="7"/>
    </row>
    <row r="16820" spans="5:6" ht="15" customHeight="1" x14ac:dyDescent="0.2">
      <c r="E16820" s="7"/>
      <c r="F16820" s="7"/>
    </row>
    <row r="16821" spans="5:6" ht="15" customHeight="1" x14ac:dyDescent="0.2">
      <c r="E16821" s="7"/>
      <c r="F16821" s="7"/>
    </row>
    <row r="16822" spans="5:6" ht="15" customHeight="1" x14ac:dyDescent="0.2">
      <c r="E16822" s="7"/>
      <c r="F16822" s="7"/>
    </row>
    <row r="16823" spans="5:6" ht="15" customHeight="1" x14ac:dyDescent="0.2">
      <c r="E16823" s="7"/>
      <c r="F16823" s="7"/>
    </row>
    <row r="16824" spans="5:6" ht="15" customHeight="1" x14ac:dyDescent="0.2">
      <c r="E16824" s="7"/>
      <c r="F16824" s="7"/>
    </row>
    <row r="16825" spans="5:6" ht="15" customHeight="1" x14ac:dyDescent="0.2">
      <c r="E16825" s="7"/>
      <c r="F16825" s="7"/>
    </row>
    <row r="16826" spans="5:6" ht="15" customHeight="1" x14ac:dyDescent="0.2">
      <c r="E16826" s="7"/>
      <c r="F16826" s="7"/>
    </row>
    <row r="16827" spans="5:6" ht="15" customHeight="1" x14ac:dyDescent="0.2">
      <c r="E16827" s="7"/>
      <c r="F16827" s="7"/>
    </row>
    <row r="16828" spans="5:6" ht="15" customHeight="1" x14ac:dyDescent="0.2">
      <c r="E16828" s="7"/>
      <c r="F16828" s="7"/>
    </row>
    <row r="16829" spans="5:6" ht="15" customHeight="1" x14ac:dyDescent="0.2">
      <c r="E16829" s="7"/>
      <c r="F16829" s="7"/>
    </row>
    <row r="16830" spans="5:6" ht="15" customHeight="1" x14ac:dyDescent="0.2">
      <c r="E16830" s="7"/>
      <c r="F16830" s="7"/>
    </row>
    <row r="16831" spans="5:6" ht="15" customHeight="1" x14ac:dyDescent="0.2">
      <c r="E16831" s="7"/>
      <c r="F16831" s="7"/>
    </row>
    <row r="16832" spans="5:6" ht="15" customHeight="1" x14ac:dyDescent="0.2">
      <c r="E16832" s="7"/>
      <c r="F16832" s="7"/>
    </row>
    <row r="16833" spans="5:6" ht="15" customHeight="1" x14ac:dyDescent="0.2">
      <c r="E16833" s="7"/>
      <c r="F16833" s="7"/>
    </row>
    <row r="16834" spans="5:6" ht="15" customHeight="1" x14ac:dyDescent="0.2">
      <c r="E16834" s="7"/>
      <c r="F16834" s="7"/>
    </row>
    <row r="16835" spans="5:6" ht="15" customHeight="1" x14ac:dyDescent="0.2">
      <c r="E16835" s="7"/>
      <c r="F16835" s="7"/>
    </row>
    <row r="16836" spans="5:6" ht="15" customHeight="1" x14ac:dyDescent="0.2">
      <c r="E16836" s="7"/>
      <c r="F16836" s="7"/>
    </row>
    <row r="16837" spans="5:6" ht="15" customHeight="1" x14ac:dyDescent="0.2">
      <c r="E16837" s="7"/>
      <c r="F16837" s="7"/>
    </row>
    <row r="16838" spans="5:6" ht="15" customHeight="1" x14ac:dyDescent="0.2">
      <c r="E16838" s="7"/>
      <c r="F16838" s="7"/>
    </row>
    <row r="16839" spans="5:6" ht="15" customHeight="1" x14ac:dyDescent="0.2">
      <c r="E16839" s="7"/>
      <c r="F16839" s="7"/>
    </row>
    <row r="16840" spans="5:6" ht="15" customHeight="1" x14ac:dyDescent="0.2">
      <c r="E16840" s="7"/>
      <c r="F16840" s="7"/>
    </row>
    <row r="16841" spans="5:6" ht="15" customHeight="1" x14ac:dyDescent="0.2">
      <c r="E16841" s="7"/>
      <c r="F16841" s="7"/>
    </row>
    <row r="16842" spans="5:6" ht="15" customHeight="1" x14ac:dyDescent="0.2">
      <c r="E16842" s="7"/>
      <c r="F16842" s="7"/>
    </row>
    <row r="16843" spans="5:6" ht="15" customHeight="1" x14ac:dyDescent="0.2">
      <c r="E16843" s="7"/>
      <c r="F16843" s="7"/>
    </row>
    <row r="16844" spans="5:6" ht="15" customHeight="1" x14ac:dyDescent="0.2">
      <c r="E16844" s="7"/>
      <c r="F16844" s="7"/>
    </row>
    <row r="16845" spans="5:6" ht="15" customHeight="1" x14ac:dyDescent="0.2">
      <c r="E16845" s="7"/>
      <c r="F16845" s="7"/>
    </row>
    <row r="16846" spans="5:6" ht="15" customHeight="1" x14ac:dyDescent="0.2">
      <c r="E16846" s="7"/>
      <c r="F16846" s="7"/>
    </row>
    <row r="16847" spans="5:6" ht="15" customHeight="1" x14ac:dyDescent="0.2">
      <c r="E16847" s="7"/>
      <c r="F16847" s="7"/>
    </row>
    <row r="16848" spans="5:6" ht="15" customHeight="1" x14ac:dyDescent="0.2">
      <c r="E16848" s="7"/>
      <c r="F16848" s="7"/>
    </row>
    <row r="16849" spans="5:6" ht="15" customHeight="1" x14ac:dyDescent="0.2">
      <c r="E16849" s="7"/>
      <c r="F16849" s="7"/>
    </row>
    <row r="16850" spans="5:6" ht="15" customHeight="1" x14ac:dyDescent="0.2">
      <c r="E16850" s="7"/>
      <c r="F16850" s="7"/>
    </row>
    <row r="16851" spans="5:6" ht="15" customHeight="1" x14ac:dyDescent="0.2">
      <c r="E16851" s="7"/>
      <c r="F16851" s="7"/>
    </row>
    <row r="16852" spans="5:6" ht="15" customHeight="1" x14ac:dyDescent="0.2">
      <c r="E16852" s="7"/>
      <c r="F16852" s="7"/>
    </row>
    <row r="16853" spans="5:6" ht="15" customHeight="1" x14ac:dyDescent="0.2">
      <c r="E16853" s="7"/>
      <c r="F16853" s="7"/>
    </row>
    <row r="16854" spans="5:6" ht="15" customHeight="1" x14ac:dyDescent="0.2">
      <c r="E16854" s="7"/>
      <c r="F16854" s="7"/>
    </row>
    <row r="16855" spans="5:6" ht="15" customHeight="1" x14ac:dyDescent="0.2">
      <c r="E16855" s="7"/>
      <c r="F16855" s="7"/>
    </row>
    <row r="16856" spans="5:6" ht="15" customHeight="1" x14ac:dyDescent="0.2">
      <c r="E16856" s="7"/>
      <c r="F16856" s="7"/>
    </row>
    <row r="16857" spans="5:6" ht="15" customHeight="1" x14ac:dyDescent="0.2">
      <c r="E16857" s="7"/>
      <c r="F16857" s="7"/>
    </row>
    <row r="16858" spans="5:6" ht="15" customHeight="1" x14ac:dyDescent="0.2">
      <c r="E16858" s="7"/>
      <c r="F16858" s="7"/>
    </row>
    <row r="16859" spans="5:6" ht="15" customHeight="1" x14ac:dyDescent="0.2">
      <c r="E16859" s="7"/>
      <c r="F16859" s="7"/>
    </row>
    <row r="16860" spans="5:6" ht="15" customHeight="1" x14ac:dyDescent="0.2">
      <c r="E16860" s="7"/>
      <c r="F16860" s="7"/>
    </row>
    <row r="16861" spans="5:6" ht="15" customHeight="1" x14ac:dyDescent="0.2">
      <c r="E16861" s="7"/>
      <c r="F16861" s="7"/>
    </row>
    <row r="16862" spans="5:6" ht="15" customHeight="1" x14ac:dyDescent="0.2">
      <c r="E16862" s="7"/>
      <c r="F16862" s="7"/>
    </row>
    <row r="16863" spans="5:6" ht="15" customHeight="1" x14ac:dyDescent="0.2">
      <c r="E16863" s="7"/>
      <c r="F16863" s="7"/>
    </row>
    <row r="16864" spans="5:6" ht="15" customHeight="1" x14ac:dyDescent="0.2">
      <c r="E16864" s="7"/>
      <c r="F16864" s="7"/>
    </row>
    <row r="16865" spans="5:6" ht="15" customHeight="1" x14ac:dyDescent="0.2">
      <c r="E16865" s="7"/>
      <c r="F16865" s="7"/>
    </row>
    <row r="16866" spans="5:6" ht="15" customHeight="1" x14ac:dyDescent="0.2">
      <c r="E16866" s="7"/>
      <c r="F16866" s="7"/>
    </row>
    <row r="16867" spans="5:6" ht="15" customHeight="1" x14ac:dyDescent="0.2">
      <c r="E16867" s="7"/>
      <c r="F16867" s="7"/>
    </row>
    <row r="16868" spans="5:6" ht="15" customHeight="1" x14ac:dyDescent="0.2">
      <c r="E16868" s="7"/>
      <c r="F16868" s="7"/>
    </row>
    <row r="16869" spans="5:6" ht="15" customHeight="1" x14ac:dyDescent="0.2">
      <c r="E16869" s="7"/>
      <c r="F16869" s="7"/>
    </row>
    <row r="16870" spans="5:6" ht="15" customHeight="1" x14ac:dyDescent="0.2">
      <c r="E16870" s="7"/>
      <c r="F16870" s="7"/>
    </row>
    <row r="16871" spans="5:6" ht="15" customHeight="1" x14ac:dyDescent="0.2">
      <c r="E16871" s="7"/>
      <c r="F16871" s="7"/>
    </row>
    <row r="16872" spans="5:6" ht="15" customHeight="1" x14ac:dyDescent="0.2">
      <c r="E16872" s="7"/>
      <c r="F16872" s="7"/>
    </row>
    <row r="16873" spans="5:6" ht="15" customHeight="1" x14ac:dyDescent="0.2">
      <c r="E16873" s="7"/>
      <c r="F16873" s="7"/>
    </row>
    <row r="16874" spans="5:6" ht="15" customHeight="1" x14ac:dyDescent="0.2">
      <c r="E16874" s="7"/>
      <c r="F16874" s="7"/>
    </row>
    <row r="16875" spans="5:6" ht="15" customHeight="1" x14ac:dyDescent="0.2">
      <c r="E16875" s="7"/>
      <c r="F16875" s="7"/>
    </row>
    <row r="16876" spans="5:6" ht="15" customHeight="1" x14ac:dyDescent="0.2">
      <c r="E16876" s="7"/>
      <c r="F16876" s="7"/>
    </row>
    <row r="16877" spans="5:6" ht="15" customHeight="1" x14ac:dyDescent="0.2">
      <c r="E16877" s="7"/>
      <c r="F16877" s="7"/>
    </row>
    <row r="16878" spans="5:6" ht="15" customHeight="1" x14ac:dyDescent="0.2">
      <c r="E16878" s="7"/>
      <c r="F16878" s="7"/>
    </row>
    <row r="16879" spans="5:6" ht="15" customHeight="1" x14ac:dyDescent="0.2">
      <c r="E16879" s="7"/>
      <c r="F16879" s="7"/>
    </row>
    <row r="16880" spans="5:6" ht="15" customHeight="1" x14ac:dyDescent="0.2">
      <c r="E16880" s="7"/>
      <c r="F16880" s="7"/>
    </row>
    <row r="16881" spans="5:6" ht="15" customHeight="1" x14ac:dyDescent="0.2">
      <c r="E16881" s="7"/>
      <c r="F16881" s="7"/>
    </row>
    <row r="16882" spans="5:6" ht="15" customHeight="1" x14ac:dyDescent="0.2">
      <c r="E16882" s="7"/>
      <c r="F16882" s="7"/>
    </row>
    <row r="16883" spans="5:6" ht="15" customHeight="1" x14ac:dyDescent="0.2">
      <c r="E16883" s="7"/>
      <c r="F16883" s="7"/>
    </row>
    <row r="16884" spans="5:6" ht="15" customHeight="1" x14ac:dyDescent="0.2">
      <c r="E16884" s="7"/>
      <c r="F16884" s="7"/>
    </row>
    <row r="16885" spans="5:6" ht="15" customHeight="1" x14ac:dyDescent="0.2">
      <c r="E16885" s="7"/>
      <c r="F16885" s="7"/>
    </row>
    <row r="16886" spans="5:6" ht="15" customHeight="1" x14ac:dyDescent="0.2">
      <c r="E16886" s="7"/>
      <c r="F16886" s="7"/>
    </row>
    <row r="16887" spans="5:6" ht="15" customHeight="1" x14ac:dyDescent="0.2">
      <c r="E16887" s="7"/>
      <c r="F16887" s="7"/>
    </row>
    <row r="16888" spans="5:6" ht="15" customHeight="1" x14ac:dyDescent="0.2">
      <c r="E16888" s="7"/>
      <c r="F16888" s="7"/>
    </row>
    <row r="16889" spans="5:6" ht="15" customHeight="1" x14ac:dyDescent="0.2">
      <c r="E16889" s="7"/>
      <c r="F16889" s="7"/>
    </row>
    <row r="16890" spans="5:6" ht="15" customHeight="1" x14ac:dyDescent="0.2">
      <c r="E16890" s="7"/>
      <c r="F16890" s="7"/>
    </row>
    <row r="16891" spans="5:6" ht="15" customHeight="1" x14ac:dyDescent="0.2">
      <c r="E16891" s="7"/>
      <c r="F16891" s="7"/>
    </row>
    <row r="16892" spans="5:6" ht="15" customHeight="1" x14ac:dyDescent="0.2">
      <c r="E16892" s="7"/>
      <c r="F16892" s="7"/>
    </row>
    <row r="16893" spans="5:6" ht="15" customHeight="1" x14ac:dyDescent="0.2">
      <c r="E16893" s="7"/>
      <c r="F16893" s="7"/>
    </row>
    <row r="16894" spans="5:6" ht="15" customHeight="1" x14ac:dyDescent="0.2">
      <c r="E16894" s="7"/>
      <c r="F16894" s="7"/>
    </row>
    <row r="16895" spans="5:6" ht="15" customHeight="1" x14ac:dyDescent="0.2">
      <c r="E16895" s="7"/>
      <c r="F16895" s="7"/>
    </row>
    <row r="16896" spans="5:6" ht="15" customHeight="1" x14ac:dyDescent="0.2">
      <c r="E16896" s="7"/>
      <c r="F16896" s="7"/>
    </row>
    <row r="16897" spans="5:6" ht="15" customHeight="1" x14ac:dyDescent="0.2">
      <c r="E16897" s="7"/>
      <c r="F16897" s="7"/>
    </row>
    <row r="16898" spans="5:6" ht="15" customHeight="1" x14ac:dyDescent="0.2">
      <c r="E16898" s="7"/>
      <c r="F16898" s="7"/>
    </row>
    <row r="16899" spans="5:6" ht="15" customHeight="1" x14ac:dyDescent="0.2">
      <c r="E16899" s="7"/>
      <c r="F16899" s="7"/>
    </row>
    <row r="16900" spans="5:6" ht="15" customHeight="1" x14ac:dyDescent="0.2">
      <c r="E16900" s="7"/>
      <c r="F16900" s="7"/>
    </row>
    <row r="16901" spans="5:6" ht="15" customHeight="1" x14ac:dyDescent="0.2">
      <c r="E16901" s="7"/>
      <c r="F16901" s="7"/>
    </row>
    <row r="16902" spans="5:6" ht="15" customHeight="1" x14ac:dyDescent="0.2">
      <c r="E16902" s="7"/>
      <c r="F16902" s="7"/>
    </row>
    <row r="16903" spans="5:6" ht="15" customHeight="1" x14ac:dyDescent="0.2">
      <c r="E16903" s="7"/>
      <c r="F16903" s="7"/>
    </row>
    <row r="16904" spans="5:6" ht="15" customHeight="1" x14ac:dyDescent="0.2">
      <c r="E16904" s="7"/>
      <c r="F16904" s="7"/>
    </row>
    <row r="16905" spans="5:6" ht="15" customHeight="1" x14ac:dyDescent="0.2">
      <c r="E16905" s="7"/>
      <c r="F16905" s="7"/>
    </row>
    <row r="16906" spans="5:6" ht="15" customHeight="1" x14ac:dyDescent="0.2">
      <c r="E16906" s="7"/>
      <c r="F16906" s="7"/>
    </row>
    <row r="16907" spans="5:6" ht="15" customHeight="1" x14ac:dyDescent="0.2">
      <c r="E16907" s="7"/>
      <c r="F16907" s="7"/>
    </row>
    <row r="16908" spans="5:6" ht="15" customHeight="1" x14ac:dyDescent="0.2">
      <c r="E16908" s="7"/>
      <c r="F16908" s="7"/>
    </row>
    <row r="16909" spans="5:6" ht="15" customHeight="1" x14ac:dyDescent="0.2">
      <c r="E16909" s="7"/>
      <c r="F16909" s="7"/>
    </row>
    <row r="16910" spans="5:6" ht="15" customHeight="1" x14ac:dyDescent="0.2">
      <c r="E16910" s="7"/>
      <c r="F16910" s="7"/>
    </row>
    <row r="16911" spans="5:6" ht="15" customHeight="1" x14ac:dyDescent="0.2">
      <c r="E16911" s="7"/>
      <c r="F16911" s="7"/>
    </row>
    <row r="16912" spans="5:6" ht="15" customHeight="1" x14ac:dyDescent="0.2">
      <c r="E16912" s="7"/>
      <c r="F16912" s="7"/>
    </row>
    <row r="16913" spans="5:6" ht="15" customHeight="1" x14ac:dyDescent="0.2">
      <c r="E16913" s="7"/>
      <c r="F16913" s="7"/>
    </row>
    <row r="16914" spans="5:6" ht="15" customHeight="1" x14ac:dyDescent="0.2">
      <c r="E16914" s="7"/>
      <c r="F16914" s="7"/>
    </row>
    <row r="16915" spans="5:6" ht="15" customHeight="1" x14ac:dyDescent="0.2">
      <c r="E16915" s="7"/>
      <c r="F16915" s="7"/>
    </row>
    <row r="16916" spans="5:6" ht="15" customHeight="1" x14ac:dyDescent="0.2">
      <c r="E16916" s="7"/>
      <c r="F16916" s="7"/>
    </row>
    <row r="16917" spans="5:6" ht="15" customHeight="1" x14ac:dyDescent="0.2">
      <c r="E16917" s="7"/>
      <c r="F16917" s="7"/>
    </row>
    <row r="16918" spans="5:6" ht="15" customHeight="1" x14ac:dyDescent="0.2">
      <c r="E16918" s="7"/>
      <c r="F16918" s="7"/>
    </row>
    <row r="16919" spans="5:6" ht="15" customHeight="1" x14ac:dyDescent="0.2">
      <c r="E16919" s="7"/>
      <c r="F16919" s="7"/>
    </row>
    <row r="16920" spans="5:6" ht="15" customHeight="1" x14ac:dyDescent="0.2">
      <c r="E16920" s="7"/>
      <c r="F16920" s="7"/>
    </row>
    <row r="16921" spans="5:6" ht="15" customHeight="1" x14ac:dyDescent="0.2">
      <c r="E16921" s="7"/>
      <c r="F16921" s="7"/>
    </row>
    <row r="16922" spans="5:6" ht="15" customHeight="1" x14ac:dyDescent="0.2">
      <c r="E16922" s="7"/>
      <c r="F16922" s="7"/>
    </row>
    <row r="16923" spans="5:6" ht="15" customHeight="1" x14ac:dyDescent="0.2">
      <c r="E16923" s="7"/>
      <c r="F16923" s="7"/>
    </row>
    <row r="16924" spans="5:6" ht="15" customHeight="1" x14ac:dyDescent="0.2">
      <c r="E16924" s="7"/>
      <c r="F16924" s="7"/>
    </row>
    <row r="16925" spans="5:6" ht="15" customHeight="1" x14ac:dyDescent="0.2">
      <c r="E16925" s="7"/>
      <c r="F16925" s="7"/>
    </row>
    <row r="16926" spans="5:6" ht="15" customHeight="1" x14ac:dyDescent="0.2">
      <c r="E16926" s="7"/>
      <c r="F16926" s="7"/>
    </row>
    <row r="16927" spans="5:6" ht="15" customHeight="1" x14ac:dyDescent="0.2">
      <c r="E16927" s="7"/>
      <c r="F16927" s="7"/>
    </row>
    <row r="16928" spans="5:6" ht="15" customHeight="1" x14ac:dyDescent="0.2">
      <c r="E16928" s="7"/>
      <c r="F16928" s="7"/>
    </row>
    <row r="16929" spans="5:6" ht="15" customHeight="1" x14ac:dyDescent="0.2">
      <c r="E16929" s="7"/>
      <c r="F16929" s="7"/>
    </row>
    <row r="16930" spans="5:6" ht="15" customHeight="1" x14ac:dyDescent="0.2">
      <c r="E16930" s="7"/>
      <c r="F16930" s="7"/>
    </row>
    <row r="16931" spans="5:6" ht="15" customHeight="1" x14ac:dyDescent="0.2">
      <c r="E16931" s="7"/>
      <c r="F16931" s="7"/>
    </row>
    <row r="16932" spans="5:6" ht="15" customHeight="1" x14ac:dyDescent="0.2">
      <c r="E16932" s="7"/>
      <c r="F16932" s="7"/>
    </row>
    <row r="16933" spans="5:6" ht="15" customHeight="1" x14ac:dyDescent="0.2">
      <c r="E16933" s="7"/>
      <c r="F16933" s="7"/>
    </row>
    <row r="16934" spans="5:6" ht="15" customHeight="1" x14ac:dyDescent="0.2">
      <c r="E16934" s="7"/>
      <c r="F16934" s="7"/>
    </row>
    <row r="16935" spans="5:6" ht="15" customHeight="1" x14ac:dyDescent="0.2">
      <c r="E16935" s="7"/>
      <c r="F16935" s="7"/>
    </row>
    <row r="16936" spans="5:6" ht="15" customHeight="1" x14ac:dyDescent="0.2">
      <c r="E16936" s="7"/>
      <c r="F16936" s="7"/>
    </row>
    <row r="16937" spans="5:6" ht="15" customHeight="1" x14ac:dyDescent="0.2">
      <c r="E16937" s="7"/>
      <c r="F16937" s="7"/>
    </row>
    <row r="16938" spans="5:6" ht="15" customHeight="1" x14ac:dyDescent="0.2">
      <c r="E16938" s="7"/>
      <c r="F16938" s="7"/>
    </row>
    <row r="16939" spans="5:6" ht="15" customHeight="1" x14ac:dyDescent="0.2">
      <c r="E16939" s="7"/>
      <c r="F16939" s="7"/>
    </row>
    <row r="16940" spans="5:6" ht="15" customHeight="1" x14ac:dyDescent="0.2">
      <c r="E16940" s="7"/>
      <c r="F16940" s="7"/>
    </row>
    <row r="16941" spans="5:6" ht="15" customHeight="1" x14ac:dyDescent="0.2">
      <c r="E16941" s="7"/>
      <c r="F16941" s="7"/>
    </row>
    <row r="16942" spans="5:6" ht="15" customHeight="1" x14ac:dyDescent="0.2">
      <c r="E16942" s="7"/>
      <c r="F16942" s="7"/>
    </row>
    <row r="16943" spans="5:6" ht="15" customHeight="1" x14ac:dyDescent="0.2">
      <c r="E16943" s="7"/>
      <c r="F16943" s="7"/>
    </row>
    <row r="16944" spans="5:6" ht="15" customHeight="1" x14ac:dyDescent="0.2">
      <c r="E16944" s="7"/>
      <c r="F16944" s="7"/>
    </row>
    <row r="16945" spans="5:6" ht="15" customHeight="1" x14ac:dyDescent="0.2">
      <c r="E16945" s="7"/>
      <c r="F16945" s="7"/>
    </row>
    <row r="16946" spans="5:6" ht="15" customHeight="1" x14ac:dyDescent="0.2">
      <c r="E16946" s="7"/>
      <c r="F16946" s="7"/>
    </row>
    <row r="16947" spans="5:6" ht="15" customHeight="1" x14ac:dyDescent="0.2">
      <c r="E16947" s="7"/>
      <c r="F16947" s="7"/>
    </row>
    <row r="16948" spans="5:6" ht="15" customHeight="1" x14ac:dyDescent="0.2">
      <c r="E16948" s="7"/>
      <c r="F16948" s="7"/>
    </row>
    <row r="16949" spans="5:6" ht="15" customHeight="1" x14ac:dyDescent="0.2">
      <c r="E16949" s="7"/>
      <c r="F16949" s="7"/>
    </row>
    <row r="16950" spans="5:6" ht="15" customHeight="1" x14ac:dyDescent="0.2">
      <c r="E16950" s="7"/>
      <c r="F16950" s="7"/>
    </row>
    <row r="16951" spans="5:6" ht="15" customHeight="1" x14ac:dyDescent="0.2">
      <c r="E16951" s="7"/>
      <c r="F16951" s="7"/>
    </row>
    <row r="16952" spans="5:6" ht="15" customHeight="1" x14ac:dyDescent="0.2">
      <c r="E16952" s="7"/>
      <c r="F16952" s="7"/>
    </row>
    <row r="16953" spans="5:6" ht="15" customHeight="1" x14ac:dyDescent="0.2">
      <c r="E16953" s="7"/>
      <c r="F16953" s="7"/>
    </row>
    <row r="16954" spans="5:6" ht="15" customHeight="1" x14ac:dyDescent="0.2">
      <c r="E16954" s="7"/>
      <c r="F16954" s="7"/>
    </row>
    <row r="16955" spans="5:6" ht="15" customHeight="1" x14ac:dyDescent="0.2">
      <c r="E16955" s="7"/>
      <c r="F16955" s="7"/>
    </row>
    <row r="16956" spans="5:6" ht="15" customHeight="1" x14ac:dyDescent="0.2">
      <c r="E16956" s="7"/>
      <c r="F16956" s="7"/>
    </row>
    <row r="16957" spans="5:6" ht="15" customHeight="1" x14ac:dyDescent="0.2">
      <c r="E16957" s="7"/>
      <c r="F16957" s="7"/>
    </row>
    <row r="16958" spans="5:6" ht="15" customHeight="1" x14ac:dyDescent="0.2">
      <c r="E16958" s="7"/>
      <c r="F16958" s="7"/>
    </row>
    <row r="16959" spans="5:6" ht="15" customHeight="1" x14ac:dyDescent="0.2">
      <c r="E16959" s="7"/>
      <c r="F16959" s="7"/>
    </row>
    <row r="16960" spans="5:6" ht="15" customHeight="1" x14ac:dyDescent="0.2">
      <c r="E16960" s="7"/>
      <c r="F16960" s="7"/>
    </row>
    <row r="16961" spans="5:6" ht="15" customHeight="1" x14ac:dyDescent="0.2">
      <c r="E16961" s="7"/>
      <c r="F16961" s="7"/>
    </row>
    <row r="16962" spans="5:6" ht="15" customHeight="1" x14ac:dyDescent="0.2">
      <c r="E16962" s="7"/>
      <c r="F16962" s="7"/>
    </row>
    <row r="16963" spans="5:6" ht="15" customHeight="1" x14ac:dyDescent="0.2">
      <c r="E16963" s="7"/>
      <c r="F16963" s="7"/>
    </row>
    <row r="16964" spans="5:6" ht="15" customHeight="1" x14ac:dyDescent="0.2">
      <c r="E16964" s="7"/>
      <c r="F16964" s="7"/>
    </row>
    <row r="16965" spans="5:6" ht="15" customHeight="1" x14ac:dyDescent="0.2">
      <c r="E16965" s="7"/>
      <c r="F16965" s="7"/>
    </row>
    <row r="16966" spans="5:6" ht="15" customHeight="1" x14ac:dyDescent="0.2">
      <c r="E16966" s="7"/>
      <c r="F16966" s="7"/>
    </row>
    <row r="16967" spans="5:6" ht="15" customHeight="1" x14ac:dyDescent="0.2">
      <c r="E16967" s="7"/>
      <c r="F16967" s="7"/>
    </row>
    <row r="16968" spans="5:6" ht="15" customHeight="1" x14ac:dyDescent="0.2">
      <c r="E16968" s="7"/>
      <c r="F16968" s="7"/>
    </row>
    <row r="16969" spans="5:6" ht="15" customHeight="1" x14ac:dyDescent="0.2">
      <c r="E16969" s="7"/>
      <c r="F16969" s="7"/>
    </row>
    <row r="16970" spans="5:6" ht="15" customHeight="1" x14ac:dyDescent="0.2">
      <c r="E16970" s="7"/>
      <c r="F16970" s="7"/>
    </row>
    <row r="16971" spans="5:6" ht="15" customHeight="1" x14ac:dyDescent="0.2">
      <c r="E16971" s="7"/>
      <c r="F16971" s="7"/>
    </row>
    <row r="16972" spans="5:6" ht="15" customHeight="1" x14ac:dyDescent="0.2">
      <c r="E16972" s="7"/>
      <c r="F16972" s="7"/>
    </row>
    <row r="16973" spans="5:6" ht="15" customHeight="1" x14ac:dyDescent="0.2">
      <c r="E16973" s="7"/>
      <c r="F16973" s="7"/>
    </row>
    <row r="16974" spans="5:6" ht="15" customHeight="1" x14ac:dyDescent="0.2">
      <c r="E16974" s="7"/>
      <c r="F16974" s="7"/>
    </row>
    <row r="16975" spans="5:6" ht="15" customHeight="1" x14ac:dyDescent="0.2">
      <c r="E16975" s="7"/>
      <c r="F16975" s="7"/>
    </row>
    <row r="16976" spans="5:6" ht="15" customHeight="1" x14ac:dyDescent="0.2">
      <c r="E16976" s="7"/>
      <c r="F16976" s="7"/>
    </row>
    <row r="16977" spans="5:6" ht="15" customHeight="1" x14ac:dyDescent="0.2">
      <c r="E16977" s="7"/>
      <c r="F16977" s="7"/>
    </row>
    <row r="16978" spans="5:6" ht="15" customHeight="1" x14ac:dyDescent="0.2">
      <c r="E16978" s="7"/>
      <c r="F16978" s="7"/>
    </row>
    <row r="16979" spans="5:6" ht="15" customHeight="1" x14ac:dyDescent="0.2">
      <c r="E16979" s="7"/>
      <c r="F16979" s="7"/>
    </row>
    <row r="16980" spans="5:6" ht="15" customHeight="1" x14ac:dyDescent="0.2">
      <c r="E16980" s="7"/>
      <c r="F16980" s="7"/>
    </row>
    <row r="16981" spans="5:6" ht="15" customHeight="1" x14ac:dyDescent="0.2">
      <c r="E16981" s="7"/>
      <c r="F16981" s="7"/>
    </row>
    <row r="16982" spans="5:6" ht="15" customHeight="1" x14ac:dyDescent="0.2">
      <c r="E16982" s="7"/>
      <c r="F16982" s="7"/>
    </row>
    <row r="16983" spans="5:6" ht="15" customHeight="1" x14ac:dyDescent="0.2">
      <c r="E16983" s="7"/>
      <c r="F16983" s="7"/>
    </row>
    <row r="16984" spans="5:6" ht="15" customHeight="1" x14ac:dyDescent="0.2">
      <c r="E16984" s="7"/>
      <c r="F16984" s="7"/>
    </row>
    <row r="16985" spans="5:6" ht="15" customHeight="1" x14ac:dyDescent="0.2">
      <c r="E16985" s="7"/>
      <c r="F16985" s="7"/>
    </row>
    <row r="16986" spans="5:6" ht="15" customHeight="1" x14ac:dyDescent="0.2">
      <c r="E16986" s="7"/>
      <c r="F16986" s="7"/>
    </row>
    <row r="16987" spans="5:6" ht="15" customHeight="1" x14ac:dyDescent="0.2">
      <c r="E16987" s="7"/>
      <c r="F16987" s="7"/>
    </row>
    <row r="16988" spans="5:6" ht="15" customHeight="1" x14ac:dyDescent="0.2">
      <c r="E16988" s="7"/>
      <c r="F16988" s="7"/>
    </row>
    <row r="16989" spans="5:6" ht="15" customHeight="1" x14ac:dyDescent="0.2">
      <c r="E16989" s="7"/>
      <c r="F16989" s="7"/>
    </row>
    <row r="16990" spans="5:6" ht="15" customHeight="1" x14ac:dyDescent="0.2">
      <c r="E16990" s="7"/>
      <c r="F16990" s="7"/>
    </row>
    <row r="16991" spans="5:6" ht="15" customHeight="1" x14ac:dyDescent="0.2">
      <c r="E16991" s="7"/>
      <c r="F16991" s="7"/>
    </row>
    <row r="16992" spans="5:6" ht="15" customHeight="1" x14ac:dyDescent="0.2">
      <c r="E16992" s="7"/>
      <c r="F16992" s="7"/>
    </row>
    <row r="16993" spans="5:6" ht="15" customHeight="1" x14ac:dyDescent="0.2">
      <c r="E16993" s="7"/>
      <c r="F16993" s="7"/>
    </row>
    <row r="16994" spans="5:6" ht="15" customHeight="1" x14ac:dyDescent="0.2">
      <c r="E16994" s="7"/>
      <c r="F16994" s="7"/>
    </row>
    <row r="16995" spans="5:6" ht="15" customHeight="1" x14ac:dyDescent="0.2">
      <c r="E16995" s="7"/>
      <c r="F16995" s="7"/>
    </row>
    <row r="16996" spans="5:6" ht="15" customHeight="1" x14ac:dyDescent="0.2">
      <c r="E16996" s="7"/>
      <c r="F16996" s="7"/>
    </row>
    <row r="16997" spans="5:6" ht="15" customHeight="1" x14ac:dyDescent="0.2">
      <c r="E16997" s="7"/>
      <c r="F16997" s="7"/>
    </row>
    <row r="16998" spans="5:6" ht="15" customHeight="1" x14ac:dyDescent="0.2">
      <c r="E16998" s="7"/>
      <c r="F16998" s="7"/>
    </row>
    <row r="16999" spans="5:6" ht="15" customHeight="1" x14ac:dyDescent="0.2">
      <c r="E16999" s="7"/>
      <c r="F16999" s="7"/>
    </row>
    <row r="17000" spans="5:6" ht="15" customHeight="1" x14ac:dyDescent="0.2">
      <c r="E17000" s="7"/>
      <c r="F17000" s="7"/>
    </row>
    <row r="17001" spans="5:6" ht="15" customHeight="1" x14ac:dyDescent="0.2">
      <c r="E17001" s="7"/>
      <c r="F17001" s="7"/>
    </row>
    <row r="17002" spans="5:6" ht="15" customHeight="1" x14ac:dyDescent="0.2">
      <c r="E17002" s="7"/>
      <c r="F17002" s="7"/>
    </row>
    <row r="17003" spans="5:6" ht="15" customHeight="1" x14ac:dyDescent="0.2">
      <c r="E17003" s="7"/>
      <c r="F17003" s="7"/>
    </row>
    <row r="17004" spans="5:6" ht="15" customHeight="1" x14ac:dyDescent="0.2">
      <c r="E17004" s="7"/>
      <c r="F17004" s="7"/>
    </row>
    <row r="17005" spans="5:6" ht="15" customHeight="1" x14ac:dyDescent="0.2">
      <c r="E17005" s="7"/>
      <c r="F17005" s="7"/>
    </row>
    <row r="17006" spans="5:6" ht="15" customHeight="1" x14ac:dyDescent="0.2">
      <c r="E17006" s="7"/>
      <c r="F17006" s="7"/>
    </row>
    <row r="17007" spans="5:6" ht="15" customHeight="1" x14ac:dyDescent="0.2">
      <c r="E17007" s="7"/>
      <c r="F17007" s="7"/>
    </row>
    <row r="17008" spans="5:6" ht="15" customHeight="1" x14ac:dyDescent="0.2">
      <c r="E17008" s="7"/>
      <c r="F17008" s="7"/>
    </row>
    <row r="17009" spans="5:6" ht="15" customHeight="1" x14ac:dyDescent="0.2">
      <c r="E17009" s="7"/>
      <c r="F17009" s="7"/>
    </row>
    <row r="17010" spans="5:6" ht="15" customHeight="1" x14ac:dyDescent="0.2">
      <c r="E17010" s="7"/>
      <c r="F17010" s="7"/>
    </row>
    <row r="17011" spans="5:6" ht="15" customHeight="1" x14ac:dyDescent="0.2">
      <c r="E17011" s="7"/>
      <c r="F17011" s="7"/>
    </row>
    <row r="17012" spans="5:6" ht="15" customHeight="1" x14ac:dyDescent="0.2">
      <c r="E17012" s="7"/>
      <c r="F17012" s="7"/>
    </row>
    <row r="17013" spans="5:6" ht="15" customHeight="1" x14ac:dyDescent="0.2">
      <c r="E17013" s="7"/>
      <c r="F17013" s="7"/>
    </row>
    <row r="17014" spans="5:6" ht="15" customHeight="1" x14ac:dyDescent="0.2">
      <c r="E17014" s="7"/>
      <c r="F17014" s="7"/>
    </row>
    <row r="17015" spans="5:6" ht="15" customHeight="1" x14ac:dyDescent="0.2">
      <c r="E17015" s="7"/>
      <c r="F17015" s="7"/>
    </row>
    <row r="17016" spans="5:6" ht="15" customHeight="1" x14ac:dyDescent="0.2">
      <c r="E17016" s="7"/>
      <c r="F17016" s="7"/>
    </row>
    <row r="17017" spans="5:6" ht="15" customHeight="1" x14ac:dyDescent="0.2">
      <c r="E17017" s="7"/>
      <c r="F17017" s="7"/>
    </row>
    <row r="17018" spans="5:6" ht="15" customHeight="1" x14ac:dyDescent="0.2">
      <c r="E17018" s="7"/>
      <c r="F17018" s="7"/>
    </row>
    <row r="17019" spans="5:6" ht="15" customHeight="1" x14ac:dyDescent="0.2">
      <c r="E17019" s="7"/>
      <c r="F17019" s="7"/>
    </row>
    <row r="17020" spans="5:6" ht="15" customHeight="1" x14ac:dyDescent="0.2">
      <c r="E17020" s="7"/>
      <c r="F17020" s="7"/>
    </row>
    <row r="17021" spans="5:6" ht="15" customHeight="1" x14ac:dyDescent="0.2">
      <c r="E17021" s="7"/>
      <c r="F17021" s="7"/>
    </row>
    <row r="17022" spans="5:6" ht="15" customHeight="1" x14ac:dyDescent="0.2">
      <c r="E17022" s="7"/>
      <c r="F17022" s="7"/>
    </row>
    <row r="17023" spans="5:6" ht="15" customHeight="1" x14ac:dyDescent="0.2">
      <c r="E17023" s="7"/>
      <c r="F17023" s="7"/>
    </row>
    <row r="17024" spans="5:6" ht="15" customHeight="1" x14ac:dyDescent="0.2">
      <c r="E17024" s="7"/>
      <c r="F17024" s="7"/>
    </row>
    <row r="17025" spans="5:6" ht="15" customHeight="1" x14ac:dyDescent="0.2">
      <c r="E17025" s="7"/>
      <c r="F17025" s="7"/>
    </row>
    <row r="17026" spans="5:6" ht="15" customHeight="1" x14ac:dyDescent="0.2">
      <c r="E17026" s="7"/>
      <c r="F17026" s="7"/>
    </row>
    <row r="17027" spans="5:6" ht="15" customHeight="1" x14ac:dyDescent="0.2">
      <c r="E17027" s="7"/>
      <c r="F17027" s="7"/>
    </row>
    <row r="17028" spans="5:6" ht="15" customHeight="1" x14ac:dyDescent="0.2">
      <c r="E17028" s="7"/>
      <c r="F17028" s="7"/>
    </row>
    <row r="17029" spans="5:6" ht="15" customHeight="1" x14ac:dyDescent="0.2">
      <c r="E17029" s="7"/>
      <c r="F17029" s="7"/>
    </row>
    <row r="17030" spans="5:6" ht="15" customHeight="1" x14ac:dyDescent="0.2">
      <c r="E17030" s="7"/>
      <c r="F17030" s="7"/>
    </row>
    <row r="17031" spans="5:6" ht="15" customHeight="1" x14ac:dyDescent="0.2">
      <c r="E17031" s="7"/>
      <c r="F17031" s="7"/>
    </row>
    <row r="17032" spans="5:6" ht="15" customHeight="1" x14ac:dyDescent="0.2">
      <c r="E17032" s="7"/>
      <c r="F17032" s="7"/>
    </row>
    <row r="17033" spans="5:6" ht="15" customHeight="1" x14ac:dyDescent="0.2">
      <c r="E17033" s="7"/>
      <c r="F17033" s="7"/>
    </row>
    <row r="17034" spans="5:6" ht="15" customHeight="1" x14ac:dyDescent="0.2">
      <c r="E17034" s="7"/>
      <c r="F17034" s="7"/>
    </row>
    <row r="17035" spans="5:6" ht="15" customHeight="1" x14ac:dyDescent="0.2">
      <c r="E17035" s="7"/>
      <c r="F17035" s="7"/>
    </row>
    <row r="17036" spans="5:6" ht="15" customHeight="1" x14ac:dyDescent="0.2">
      <c r="E17036" s="7"/>
      <c r="F17036" s="7"/>
    </row>
    <row r="17037" spans="5:6" ht="15" customHeight="1" x14ac:dyDescent="0.2">
      <c r="E17037" s="7"/>
      <c r="F17037" s="7"/>
    </row>
    <row r="17038" spans="5:6" ht="15" customHeight="1" x14ac:dyDescent="0.2">
      <c r="E17038" s="7"/>
      <c r="F17038" s="7"/>
    </row>
    <row r="17039" spans="5:6" ht="15" customHeight="1" x14ac:dyDescent="0.2">
      <c r="E17039" s="7"/>
      <c r="F17039" s="7"/>
    </row>
    <row r="17040" spans="5:6" ht="15" customHeight="1" x14ac:dyDescent="0.2">
      <c r="E17040" s="7"/>
      <c r="F17040" s="7"/>
    </row>
    <row r="17041" spans="5:6" ht="15" customHeight="1" x14ac:dyDescent="0.2">
      <c r="E17041" s="7"/>
      <c r="F17041" s="7"/>
    </row>
    <row r="17042" spans="5:6" ht="15" customHeight="1" x14ac:dyDescent="0.2">
      <c r="E17042" s="7"/>
      <c r="F17042" s="7"/>
    </row>
    <row r="17043" spans="5:6" ht="15" customHeight="1" x14ac:dyDescent="0.2">
      <c r="E17043" s="7"/>
      <c r="F17043" s="7"/>
    </row>
    <row r="17044" spans="5:6" ht="15" customHeight="1" x14ac:dyDescent="0.2">
      <c r="E17044" s="7"/>
      <c r="F17044" s="7"/>
    </row>
    <row r="17045" spans="5:6" ht="15" customHeight="1" x14ac:dyDescent="0.2">
      <c r="E17045" s="7"/>
      <c r="F17045" s="7"/>
    </row>
    <row r="17046" spans="5:6" ht="15" customHeight="1" x14ac:dyDescent="0.2">
      <c r="E17046" s="7"/>
      <c r="F17046" s="7"/>
    </row>
    <row r="17047" spans="5:6" ht="15" customHeight="1" x14ac:dyDescent="0.2">
      <c r="E17047" s="7"/>
      <c r="F17047" s="7"/>
    </row>
    <row r="17048" spans="5:6" ht="15" customHeight="1" x14ac:dyDescent="0.2">
      <c r="E17048" s="7"/>
      <c r="F17048" s="7"/>
    </row>
    <row r="17049" spans="5:6" ht="15" customHeight="1" x14ac:dyDescent="0.2">
      <c r="E17049" s="7"/>
      <c r="F17049" s="7"/>
    </row>
    <row r="17050" spans="5:6" ht="15" customHeight="1" x14ac:dyDescent="0.2">
      <c r="E17050" s="7"/>
      <c r="F17050" s="7"/>
    </row>
    <row r="17051" spans="5:6" ht="15" customHeight="1" x14ac:dyDescent="0.2">
      <c r="E17051" s="7"/>
      <c r="F17051" s="7"/>
    </row>
    <row r="17052" spans="5:6" ht="15" customHeight="1" x14ac:dyDescent="0.2">
      <c r="E17052" s="7"/>
      <c r="F17052" s="7"/>
    </row>
    <row r="17053" spans="5:6" ht="15" customHeight="1" x14ac:dyDescent="0.2">
      <c r="E17053" s="7"/>
      <c r="F17053" s="7"/>
    </row>
    <row r="17054" spans="5:6" ht="15" customHeight="1" x14ac:dyDescent="0.2">
      <c r="E17054" s="7"/>
      <c r="F17054" s="7"/>
    </row>
    <row r="17055" spans="5:6" ht="15" customHeight="1" x14ac:dyDescent="0.2">
      <c r="E17055" s="7"/>
      <c r="F17055" s="7"/>
    </row>
    <row r="17056" spans="5:6" ht="15" customHeight="1" x14ac:dyDescent="0.2">
      <c r="E17056" s="7"/>
      <c r="F17056" s="7"/>
    </row>
    <row r="17057" spans="5:6" ht="15" customHeight="1" x14ac:dyDescent="0.2">
      <c r="E17057" s="7"/>
      <c r="F17057" s="7"/>
    </row>
    <row r="17058" spans="5:6" ht="15" customHeight="1" x14ac:dyDescent="0.2">
      <c r="E17058" s="7"/>
      <c r="F17058" s="7"/>
    </row>
    <row r="17059" spans="5:6" ht="15" customHeight="1" x14ac:dyDescent="0.2">
      <c r="E17059" s="7"/>
      <c r="F17059" s="7"/>
    </row>
    <row r="17060" spans="5:6" ht="15" customHeight="1" x14ac:dyDescent="0.2">
      <c r="E17060" s="7"/>
      <c r="F17060" s="7"/>
    </row>
    <row r="17061" spans="5:6" ht="15" customHeight="1" x14ac:dyDescent="0.2">
      <c r="E17061" s="7"/>
      <c r="F17061" s="7"/>
    </row>
    <row r="17062" spans="5:6" ht="15" customHeight="1" x14ac:dyDescent="0.2">
      <c r="E17062" s="7"/>
      <c r="F17062" s="7"/>
    </row>
    <row r="17063" spans="5:6" ht="15" customHeight="1" x14ac:dyDescent="0.2">
      <c r="E17063" s="7"/>
      <c r="F17063" s="7"/>
    </row>
    <row r="17064" spans="5:6" ht="15" customHeight="1" x14ac:dyDescent="0.2">
      <c r="E17064" s="7"/>
      <c r="F17064" s="7"/>
    </row>
    <row r="17065" spans="5:6" ht="15" customHeight="1" x14ac:dyDescent="0.2">
      <c r="E17065" s="7"/>
      <c r="F17065" s="7"/>
    </row>
    <row r="17066" spans="5:6" ht="15" customHeight="1" x14ac:dyDescent="0.2">
      <c r="E17066" s="7"/>
      <c r="F17066" s="7"/>
    </row>
    <row r="17067" spans="5:6" ht="15" customHeight="1" x14ac:dyDescent="0.2">
      <c r="E17067" s="7"/>
      <c r="F17067" s="7"/>
    </row>
    <row r="17068" spans="5:6" ht="15" customHeight="1" x14ac:dyDescent="0.2">
      <c r="E17068" s="7"/>
      <c r="F17068" s="7"/>
    </row>
    <row r="17069" spans="5:6" ht="15" customHeight="1" x14ac:dyDescent="0.2">
      <c r="E17069" s="7"/>
      <c r="F17069" s="7"/>
    </row>
    <row r="17070" spans="5:6" ht="15" customHeight="1" x14ac:dyDescent="0.2">
      <c r="E17070" s="7"/>
      <c r="F17070" s="7"/>
    </row>
    <row r="17071" spans="5:6" ht="15" customHeight="1" x14ac:dyDescent="0.2">
      <c r="E17071" s="7"/>
      <c r="F17071" s="7"/>
    </row>
    <row r="17072" spans="5:6" ht="15" customHeight="1" x14ac:dyDescent="0.2">
      <c r="E17072" s="7"/>
      <c r="F17072" s="7"/>
    </row>
    <row r="17073" spans="5:6" ht="15" customHeight="1" x14ac:dyDescent="0.2">
      <c r="E17073" s="7"/>
      <c r="F17073" s="7"/>
    </row>
    <row r="17074" spans="5:6" ht="15" customHeight="1" x14ac:dyDescent="0.2">
      <c r="E17074" s="7"/>
      <c r="F17074" s="7"/>
    </row>
    <row r="17075" spans="5:6" ht="15" customHeight="1" x14ac:dyDescent="0.2">
      <c r="E17075" s="7"/>
      <c r="F17075" s="7"/>
    </row>
    <row r="17076" spans="5:6" ht="15" customHeight="1" x14ac:dyDescent="0.2">
      <c r="E17076" s="7"/>
      <c r="F17076" s="7"/>
    </row>
    <row r="17077" spans="5:6" ht="15" customHeight="1" x14ac:dyDescent="0.2">
      <c r="E17077" s="7"/>
      <c r="F17077" s="7"/>
    </row>
    <row r="17078" spans="5:6" ht="15" customHeight="1" x14ac:dyDescent="0.2">
      <c r="E17078" s="7"/>
      <c r="F17078" s="7"/>
    </row>
    <row r="17079" spans="5:6" ht="15" customHeight="1" x14ac:dyDescent="0.2">
      <c r="E17079" s="7"/>
      <c r="F17079" s="7"/>
    </row>
    <row r="17080" spans="5:6" ht="15" customHeight="1" x14ac:dyDescent="0.2">
      <c r="E17080" s="7"/>
      <c r="F17080" s="7"/>
    </row>
    <row r="17081" spans="5:6" ht="15" customHeight="1" x14ac:dyDescent="0.2">
      <c r="E17081" s="7"/>
      <c r="F17081" s="7"/>
    </row>
    <row r="17082" spans="5:6" ht="15" customHeight="1" x14ac:dyDescent="0.2">
      <c r="E17082" s="7"/>
      <c r="F17082" s="7"/>
    </row>
    <row r="17083" spans="5:6" ht="15" customHeight="1" x14ac:dyDescent="0.2">
      <c r="E17083" s="7"/>
      <c r="F17083" s="7"/>
    </row>
    <row r="17084" spans="5:6" ht="15" customHeight="1" x14ac:dyDescent="0.2">
      <c r="E17084" s="7"/>
      <c r="F17084" s="7"/>
    </row>
    <row r="17085" spans="5:6" ht="15" customHeight="1" x14ac:dyDescent="0.2">
      <c r="E17085" s="7"/>
      <c r="F17085" s="7"/>
    </row>
    <row r="17086" spans="5:6" ht="15" customHeight="1" x14ac:dyDescent="0.2">
      <c r="E17086" s="7"/>
      <c r="F17086" s="7"/>
    </row>
    <row r="17087" spans="5:6" ht="15" customHeight="1" x14ac:dyDescent="0.2">
      <c r="E17087" s="7"/>
      <c r="F17087" s="7"/>
    </row>
    <row r="17088" spans="5:6" ht="15" customHeight="1" x14ac:dyDescent="0.2">
      <c r="E17088" s="7"/>
      <c r="F17088" s="7"/>
    </row>
    <row r="17089" spans="5:6" ht="15" customHeight="1" x14ac:dyDescent="0.2">
      <c r="E17089" s="7"/>
      <c r="F17089" s="7"/>
    </row>
    <row r="17090" spans="5:6" ht="15" customHeight="1" x14ac:dyDescent="0.2">
      <c r="E17090" s="7"/>
      <c r="F17090" s="7"/>
    </row>
    <row r="17091" spans="5:6" ht="15" customHeight="1" x14ac:dyDescent="0.2">
      <c r="E17091" s="7"/>
      <c r="F17091" s="7"/>
    </row>
    <row r="17092" spans="5:6" ht="15" customHeight="1" x14ac:dyDescent="0.2">
      <c r="E17092" s="7"/>
      <c r="F17092" s="7"/>
    </row>
    <row r="17093" spans="5:6" ht="15" customHeight="1" x14ac:dyDescent="0.2">
      <c r="E17093" s="7"/>
      <c r="F17093" s="7"/>
    </row>
    <row r="17094" spans="5:6" ht="15" customHeight="1" x14ac:dyDescent="0.2">
      <c r="E17094" s="7"/>
      <c r="F17094" s="7"/>
    </row>
    <row r="17095" spans="5:6" ht="15" customHeight="1" x14ac:dyDescent="0.2">
      <c r="E17095" s="7"/>
      <c r="F17095" s="7"/>
    </row>
    <row r="17096" spans="5:6" ht="15" customHeight="1" x14ac:dyDescent="0.2">
      <c r="E17096" s="7"/>
      <c r="F17096" s="7"/>
    </row>
    <row r="17097" spans="5:6" ht="15" customHeight="1" x14ac:dyDescent="0.2">
      <c r="E17097" s="7"/>
      <c r="F17097" s="7"/>
    </row>
    <row r="17098" spans="5:6" ht="15" customHeight="1" x14ac:dyDescent="0.2">
      <c r="E17098" s="7"/>
      <c r="F17098" s="7"/>
    </row>
    <row r="17099" spans="5:6" ht="15" customHeight="1" x14ac:dyDescent="0.2">
      <c r="E17099" s="7"/>
      <c r="F17099" s="7"/>
    </row>
    <row r="17100" spans="5:6" ht="15" customHeight="1" x14ac:dyDescent="0.2">
      <c r="E17100" s="7"/>
      <c r="F17100" s="7"/>
    </row>
    <row r="17101" spans="5:6" ht="15" customHeight="1" x14ac:dyDescent="0.2">
      <c r="E17101" s="7"/>
      <c r="F17101" s="7"/>
    </row>
    <row r="17102" spans="5:6" ht="15" customHeight="1" x14ac:dyDescent="0.2">
      <c r="E17102" s="7"/>
      <c r="F17102" s="7"/>
    </row>
    <row r="17103" spans="5:6" ht="15" customHeight="1" x14ac:dyDescent="0.2">
      <c r="E17103" s="7"/>
      <c r="F17103" s="7"/>
    </row>
    <row r="17104" spans="5:6" ht="15" customHeight="1" x14ac:dyDescent="0.2">
      <c r="E17104" s="7"/>
      <c r="F17104" s="7"/>
    </row>
    <row r="17105" spans="5:6" ht="15" customHeight="1" x14ac:dyDescent="0.2">
      <c r="E17105" s="7"/>
      <c r="F17105" s="7"/>
    </row>
    <row r="17106" spans="5:6" ht="15" customHeight="1" x14ac:dyDescent="0.2">
      <c r="E17106" s="7"/>
      <c r="F17106" s="7"/>
    </row>
    <row r="17107" spans="5:6" ht="15" customHeight="1" x14ac:dyDescent="0.2">
      <c r="E17107" s="7"/>
      <c r="F17107" s="7"/>
    </row>
    <row r="17108" spans="5:6" ht="15" customHeight="1" x14ac:dyDescent="0.2">
      <c r="E17108" s="7"/>
      <c r="F17108" s="7"/>
    </row>
    <row r="17109" spans="5:6" ht="15" customHeight="1" x14ac:dyDescent="0.2">
      <c r="E17109" s="7"/>
      <c r="F17109" s="7"/>
    </row>
    <row r="17110" spans="5:6" ht="15" customHeight="1" x14ac:dyDescent="0.2">
      <c r="E17110" s="7"/>
      <c r="F17110" s="7"/>
    </row>
    <row r="17111" spans="5:6" ht="15" customHeight="1" x14ac:dyDescent="0.2">
      <c r="E17111" s="7"/>
      <c r="F17111" s="7"/>
    </row>
    <row r="17112" spans="5:6" ht="15" customHeight="1" x14ac:dyDescent="0.2">
      <c r="E17112" s="7"/>
      <c r="F17112" s="7"/>
    </row>
    <row r="17113" spans="5:6" ht="15" customHeight="1" x14ac:dyDescent="0.2">
      <c r="E17113" s="7"/>
      <c r="F17113" s="7"/>
    </row>
    <row r="17114" spans="5:6" ht="15" customHeight="1" x14ac:dyDescent="0.2">
      <c r="E17114" s="7"/>
      <c r="F17114" s="7"/>
    </row>
    <row r="17115" spans="5:6" ht="15" customHeight="1" x14ac:dyDescent="0.2">
      <c r="E17115" s="7"/>
      <c r="F17115" s="7"/>
    </row>
    <row r="17116" spans="5:6" ht="15" customHeight="1" x14ac:dyDescent="0.2">
      <c r="E17116" s="7"/>
      <c r="F17116" s="7"/>
    </row>
    <row r="17117" spans="5:6" ht="15" customHeight="1" x14ac:dyDescent="0.2">
      <c r="E17117" s="7"/>
      <c r="F17117" s="7"/>
    </row>
    <row r="17118" spans="5:6" ht="15" customHeight="1" x14ac:dyDescent="0.2">
      <c r="E17118" s="7"/>
      <c r="F17118" s="7"/>
    </row>
    <row r="17119" spans="5:6" ht="15" customHeight="1" x14ac:dyDescent="0.2">
      <c r="E17119" s="7"/>
      <c r="F17119" s="7"/>
    </row>
    <row r="17120" spans="5:6" ht="15" customHeight="1" x14ac:dyDescent="0.2">
      <c r="E17120" s="7"/>
      <c r="F17120" s="7"/>
    </row>
    <row r="17121" spans="5:6" ht="15" customHeight="1" x14ac:dyDescent="0.2">
      <c r="E17121" s="7"/>
      <c r="F17121" s="7"/>
    </row>
    <row r="17122" spans="5:6" ht="15" customHeight="1" x14ac:dyDescent="0.2">
      <c r="E17122" s="7"/>
      <c r="F17122" s="7"/>
    </row>
    <row r="17123" spans="5:6" ht="15" customHeight="1" x14ac:dyDescent="0.2">
      <c r="E17123" s="7"/>
      <c r="F17123" s="7"/>
    </row>
    <row r="17124" spans="5:6" ht="15" customHeight="1" x14ac:dyDescent="0.2">
      <c r="E17124" s="7"/>
      <c r="F17124" s="7"/>
    </row>
    <row r="17125" spans="5:6" ht="15" customHeight="1" x14ac:dyDescent="0.2">
      <c r="E17125" s="7"/>
      <c r="F17125" s="7"/>
    </row>
    <row r="17126" spans="5:6" ht="15" customHeight="1" x14ac:dyDescent="0.2">
      <c r="E17126" s="7"/>
      <c r="F17126" s="7"/>
    </row>
    <row r="17127" spans="5:6" ht="15" customHeight="1" x14ac:dyDescent="0.2">
      <c r="E17127" s="7"/>
      <c r="F17127" s="7"/>
    </row>
    <row r="17128" spans="5:6" ht="15" customHeight="1" x14ac:dyDescent="0.2">
      <c r="E17128" s="7"/>
      <c r="F17128" s="7"/>
    </row>
    <row r="17129" spans="5:6" ht="15" customHeight="1" x14ac:dyDescent="0.2">
      <c r="E17129" s="7"/>
      <c r="F17129" s="7"/>
    </row>
    <row r="17130" spans="5:6" ht="15" customHeight="1" x14ac:dyDescent="0.2">
      <c r="E17130" s="7"/>
      <c r="F17130" s="7"/>
    </row>
    <row r="17131" spans="5:6" ht="15" customHeight="1" x14ac:dyDescent="0.2">
      <c r="E17131" s="7"/>
      <c r="F17131" s="7"/>
    </row>
    <row r="17132" spans="5:6" ht="15" customHeight="1" x14ac:dyDescent="0.2">
      <c r="E17132" s="7"/>
      <c r="F17132" s="7"/>
    </row>
    <row r="17133" spans="5:6" ht="15" customHeight="1" x14ac:dyDescent="0.2">
      <c r="E17133" s="7"/>
      <c r="F17133" s="7"/>
    </row>
    <row r="17134" spans="5:6" ht="15" customHeight="1" x14ac:dyDescent="0.2">
      <c r="E17134" s="7"/>
      <c r="F17134" s="7"/>
    </row>
    <row r="17135" spans="5:6" ht="15" customHeight="1" x14ac:dyDescent="0.2">
      <c r="E17135" s="7"/>
      <c r="F17135" s="7"/>
    </row>
    <row r="17136" spans="5:6" ht="15" customHeight="1" x14ac:dyDescent="0.2">
      <c r="E17136" s="7"/>
      <c r="F17136" s="7"/>
    </row>
    <row r="17137" spans="5:6" ht="15" customHeight="1" x14ac:dyDescent="0.2">
      <c r="E17137" s="7"/>
      <c r="F17137" s="7"/>
    </row>
    <row r="17138" spans="5:6" ht="15" customHeight="1" x14ac:dyDescent="0.2">
      <c r="E17138" s="7"/>
      <c r="F17138" s="7"/>
    </row>
    <row r="17139" spans="5:6" ht="15" customHeight="1" x14ac:dyDescent="0.2">
      <c r="E17139" s="7"/>
      <c r="F17139" s="7"/>
    </row>
    <row r="17140" spans="5:6" ht="15" customHeight="1" x14ac:dyDescent="0.2">
      <c r="E17140" s="7"/>
      <c r="F17140" s="7"/>
    </row>
    <row r="17141" spans="5:6" ht="15" customHeight="1" x14ac:dyDescent="0.2">
      <c r="E17141" s="7"/>
      <c r="F17141" s="7"/>
    </row>
    <row r="17142" spans="5:6" ht="15" customHeight="1" x14ac:dyDescent="0.2">
      <c r="E17142" s="7"/>
      <c r="F17142" s="7"/>
    </row>
    <row r="17143" spans="5:6" ht="15" customHeight="1" x14ac:dyDescent="0.2">
      <c r="E17143" s="7"/>
      <c r="F17143" s="7"/>
    </row>
    <row r="17144" spans="5:6" ht="15" customHeight="1" x14ac:dyDescent="0.2">
      <c r="E17144" s="7"/>
      <c r="F17144" s="7"/>
    </row>
    <row r="17145" spans="5:6" ht="15" customHeight="1" x14ac:dyDescent="0.2">
      <c r="E17145" s="7"/>
      <c r="F17145" s="7"/>
    </row>
    <row r="17146" spans="5:6" ht="15" customHeight="1" x14ac:dyDescent="0.2">
      <c r="E17146" s="7"/>
      <c r="F17146" s="7"/>
    </row>
    <row r="17147" spans="5:6" ht="15" customHeight="1" x14ac:dyDescent="0.2">
      <c r="E17147" s="7"/>
      <c r="F17147" s="7"/>
    </row>
    <row r="17148" spans="5:6" ht="15" customHeight="1" x14ac:dyDescent="0.2">
      <c r="E17148" s="7"/>
      <c r="F17148" s="7"/>
    </row>
    <row r="17149" spans="5:6" ht="15" customHeight="1" x14ac:dyDescent="0.2">
      <c r="E17149" s="7"/>
      <c r="F17149" s="7"/>
    </row>
    <row r="17150" spans="5:6" ht="15" customHeight="1" x14ac:dyDescent="0.2">
      <c r="E17150" s="7"/>
      <c r="F17150" s="7"/>
    </row>
    <row r="17151" spans="5:6" ht="15" customHeight="1" x14ac:dyDescent="0.2">
      <c r="E17151" s="7"/>
      <c r="F17151" s="7"/>
    </row>
    <row r="17152" spans="5:6" ht="15" customHeight="1" x14ac:dyDescent="0.2">
      <c r="E17152" s="7"/>
      <c r="F17152" s="7"/>
    </row>
    <row r="17153" spans="5:6" ht="15" customHeight="1" x14ac:dyDescent="0.2">
      <c r="E17153" s="7"/>
      <c r="F17153" s="7"/>
    </row>
    <row r="17154" spans="5:6" ht="15" customHeight="1" x14ac:dyDescent="0.2">
      <c r="E17154" s="7"/>
      <c r="F17154" s="7"/>
    </row>
    <row r="17155" spans="5:6" ht="15" customHeight="1" x14ac:dyDescent="0.2">
      <c r="E17155" s="7"/>
      <c r="F17155" s="7"/>
    </row>
    <row r="17156" spans="5:6" ht="15" customHeight="1" x14ac:dyDescent="0.2">
      <c r="E17156" s="7"/>
      <c r="F17156" s="7"/>
    </row>
    <row r="17157" spans="5:6" ht="15" customHeight="1" x14ac:dyDescent="0.2">
      <c r="E17157" s="7"/>
      <c r="F17157" s="7"/>
    </row>
    <row r="17158" spans="5:6" ht="15" customHeight="1" x14ac:dyDescent="0.2">
      <c r="E17158" s="7"/>
      <c r="F17158" s="7"/>
    </row>
    <row r="17159" spans="5:6" ht="15" customHeight="1" x14ac:dyDescent="0.2">
      <c r="E17159" s="7"/>
      <c r="F17159" s="7"/>
    </row>
    <row r="17160" spans="5:6" ht="15" customHeight="1" x14ac:dyDescent="0.2">
      <c r="E17160" s="7"/>
      <c r="F17160" s="7"/>
    </row>
    <row r="17161" spans="5:6" ht="15" customHeight="1" x14ac:dyDescent="0.2">
      <c r="E17161" s="7"/>
      <c r="F17161" s="7"/>
    </row>
    <row r="17162" spans="5:6" ht="15" customHeight="1" x14ac:dyDescent="0.2">
      <c r="E17162" s="7"/>
      <c r="F17162" s="7"/>
    </row>
    <row r="17163" spans="5:6" ht="15" customHeight="1" x14ac:dyDescent="0.2">
      <c r="E17163" s="7"/>
      <c r="F17163" s="7"/>
    </row>
    <row r="17164" spans="5:6" ht="15" customHeight="1" x14ac:dyDescent="0.2">
      <c r="E17164" s="7"/>
      <c r="F17164" s="7"/>
    </row>
    <row r="17165" spans="5:6" ht="15" customHeight="1" x14ac:dyDescent="0.2">
      <c r="E17165" s="7"/>
      <c r="F17165" s="7"/>
    </row>
    <row r="17166" spans="5:6" ht="15" customHeight="1" x14ac:dyDescent="0.2">
      <c r="E17166" s="7"/>
      <c r="F17166" s="7"/>
    </row>
    <row r="17167" spans="5:6" ht="15" customHeight="1" x14ac:dyDescent="0.2">
      <c r="E17167" s="7"/>
      <c r="F17167" s="7"/>
    </row>
    <row r="17168" spans="5:6" ht="15" customHeight="1" x14ac:dyDescent="0.2">
      <c r="E17168" s="7"/>
      <c r="F17168" s="7"/>
    </row>
    <row r="17169" spans="5:6" ht="15" customHeight="1" x14ac:dyDescent="0.2">
      <c r="E17169" s="7"/>
      <c r="F17169" s="7"/>
    </row>
    <row r="17170" spans="5:6" ht="15" customHeight="1" x14ac:dyDescent="0.2">
      <c r="E17170" s="7"/>
      <c r="F17170" s="7"/>
    </row>
    <row r="17171" spans="5:6" ht="15" customHeight="1" x14ac:dyDescent="0.2">
      <c r="E17171" s="7"/>
      <c r="F17171" s="7"/>
    </row>
    <row r="17172" spans="5:6" ht="15" customHeight="1" x14ac:dyDescent="0.2">
      <c r="E17172" s="7"/>
      <c r="F17172" s="7"/>
    </row>
    <row r="17173" spans="5:6" ht="15" customHeight="1" x14ac:dyDescent="0.2">
      <c r="E17173" s="7"/>
      <c r="F17173" s="7"/>
    </row>
    <row r="17174" spans="5:6" ht="15" customHeight="1" x14ac:dyDescent="0.2">
      <c r="E17174" s="7"/>
      <c r="F17174" s="7"/>
    </row>
    <row r="17175" spans="5:6" ht="15" customHeight="1" x14ac:dyDescent="0.2">
      <c r="E17175" s="7"/>
      <c r="F17175" s="7"/>
    </row>
    <row r="17176" spans="5:6" ht="15" customHeight="1" x14ac:dyDescent="0.2">
      <c r="E17176" s="7"/>
      <c r="F17176" s="7"/>
    </row>
    <row r="17177" spans="5:6" ht="15" customHeight="1" x14ac:dyDescent="0.2">
      <c r="E17177" s="7"/>
      <c r="F17177" s="7"/>
    </row>
    <row r="17178" spans="5:6" ht="15" customHeight="1" x14ac:dyDescent="0.2">
      <c r="E17178" s="7"/>
      <c r="F17178" s="7"/>
    </row>
    <row r="17179" spans="5:6" ht="15" customHeight="1" x14ac:dyDescent="0.2">
      <c r="E17179" s="7"/>
      <c r="F17179" s="7"/>
    </row>
    <row r="17180" spans="5:6" ht="15" customHeight="1" x14ac:dyDescent="0.2">
      <c r="E17180" s="7"/>
      <c r="F17180" s="7"/>
    </row>
    <row r="17181" spans="5:6" ht="15" customHeight="1" x14ac:dyDescent="0.2">
      <c r="E17181" s="7"/>
      <c r="F17181" s="7"/>
    </row>
    <row r="17182" spans="5:6" ht="15" customHeight="1" x14ac:dyDescent="0.2">
      <c r="E17182" s="7"/>
      <c r="F17182" s="7"/>
    </row>
    <row r="17183" spans="5:6" ht="15" customHeight="1" x14ac:dyDescent="0.2">
      <c r="E17183" s="7"/>
      <c r="F17183" s="7"/>
    </row>
    <row r="17184" spans="5:6" ht="15" customHeight="1" x14ac:dyDescent="0.2">
      <c r="E17184" s="7"/>
      <c r="F17184" s="7"/>
    </row>
    <row r="17185" spans="5:6" ht="15" customHeight="1" x14ac:dyDescent="0.2">
      <c r="E17185" s="7"/>
      <c r="F17185" s="7"/>
    </row>
    <row r="17186" spans="5:6" ht="15" customHeight="1" x14ac:dyDescent="0.2">
      <c r="E17186" s="7"/>
      <c r="F17186" s="7"/>
    </row>
    <row r="17187" spans="5:6" ht="15" customHeight="1" x14ac:dyDescent="0.2">
      <c r="E17187" s="7"/>
      <c r="F17187" s="7"/>
    </row>
    <row r="17188" spans="5:6" ht="15" customHeight="1" x14ac:dyDescent="0.2">
      <c r="E17188" s="7"/>
      <c r="F17188" s="7"/>
    </row>
    <row r="17189" spans="5:6" ht="15" customHeight="1" x14ac:dyDescent="0.2">
      <c r="E17189" s="7"/>
      <c r="F17189" s="7"/>
    </row>
    <row r="17190" spans="5:6" ht="15" customHeight="1" x14ac:dyDescent="0.2">
      <c r="E17190" s="7"/>
      <c r="F17190" s="7"/>
    </row>
    <row r="17191" spans="5:6" ht="15" customHeight="1" x14ac:dyDescent="0.2">
      <c r="E17191" s="7"/>
      <c r="F17191" s="7"/>
    </row>
    <row r="17192" spans="5:6" ht="15" customHeight="1" x14ac:dyDescent="0.2">
      <c r="E17192" s="7"/>
      <c r="F17192" s="7"/>
    </row>
    <row r="17193" spans="5:6" ht="15" customHeight="1" x14ac:dyDescent="0.2">
      <c r="E17193" s="7"/>
      <c r="F17193" s="7"/>
    </row>
    <row r="17194" spans="5:6" ht="15" customHeight="1" x14ac:dyDescent="0.2">
      <c r="E17194" s="7"/>
      <c r="F17194" s="7"/>
    </row>
    <row r="17195" spans="5:6" ht="15" customHeight="1" x14ac:dyDescent="0.2">
      <c r="E17195" s="7"/>
      <c r="F17195" s="7"/>
    </row>
    <row r="17196" spans="5:6" ht="15" customHeight="1" x14ac:dyDescent="0.2">
      <c r="E17196" s="7"/>
      <c r="F17196" s="7"/>
    </row>
    <row r="17197" spans="5:6" ht="15" customHeight="1" x14ac:dyDescent="0.2">
      <c r="E17197" s="7"/>
      <c r="F17197" s="7"/>
    </row>
    <row r="17198" spans="5:6" ht="15" customHeight="1" x14ac:dyDescent="0.2">
      <c r="E17198" s="7"/>
      <c r="F17198" s="7"/>
    </row>
    <row r="17199" spans="5:6" ht="15" customHeight="1" x14ac:dyDescent="0.2">
      <c r="E17199" s="7"/>
      <c r="F17199" s="7"/>
    </row>
    <row r="17200" spans="5:6" ht="15" customHeight="1" x14ac:dyDescent="0.2">
      <c r="E17200" s="7"/>
      <c r="F17200" s="7"/>
    </row>
    <row r="17201" spans="5:6" ht="15" customHeight="1" x14ac:dyDescent="0.2">
      <c r="E17201" s="7"/>
      <c r="F17201" s="7"/>
    </row>
    <row r="17202" spans="5:6" ht="15" customHeight="1" x14ac:dyDescent="0.2">
      <c r="E17202" s="7"/>
      <c r="F17202" s="7"/>
    </row>
    <row r="17203" spans="5:6" ht="15" customHeight="1" x14ac:dyDescent="0.2">
      <c r="E17203" s="7"/>
      <c r="F17203" s="7"/>
    </row>
    <row r="17204" spans="5:6" ht="15" customHeight="1" x14ac:dyDescent="0.2">
      <c r="E17204" s="7"/>
      <c r="F17204" s="7"/>
    </row>
    <row r="17205" spans="5:6" ht="15" customHeight="1" x14ac:dyDescent="0.2">
      <c r="E17205" s="7"/>
      <c r="F17205" s="7"/>
    </row>
    <row r="17206" spans="5:6" ht="15" customHeight="1" x14ac:dyDescent="0.2">
      <c r="E17206" s="7"/>
      <c r="F17206" s="7"/>
    </row>
    <row r="17207" spans="5:6" ht="15" customHeight="1" x14ac:dyDescent="0.2">
      <c r="E17207" s="7"/>
      <c r="F17207" s="7"/>
    </row>
    <row r="17208" spans="5:6" ht="15" customHeight="1" x14ac:dyDescent="0.2">
      <c r="E17208" s="7"/>
      <c r="F17208" s="7"/>
    </row>
    <row r="17209" spans="5:6" ht="15" customHeight="1" x14ac:dyDescent="0.2">
      <c r="E17209" s="7"/>
      <c r="F17209" s="7"/>
    </row>
    <row r="17210" spans="5:6" ht="15" customHeight="1" x14ac:dyDescent="0.2">
      <c r="E17210" s="7"/>
      <c r="F17210" s="7"/>
    </row>
    <row r="17211" spans="5:6" ht="15" customHeight="1" x14ac:dyDescent="0.2">
      <c r="E17211" s="7"/>
      <c r="F17211" s="7"/>
    </row>
    <row r="17212" spans="5:6" ht="15" customHeight="1" x14ac:dyDescent="0.2">
      <c r="E17212" s="7"/>
      <c r="F17212" s="7"/>
    </row>
    <row r="17213" spans="5:6" ht="15" customHeight="1" x14ac:dyDescent="0.2">
      <c r="E17213" s="7"/>
      <c r="F17213" s="7"/>
    </row>
    <row r="17214" spans="5:6" ht="15" customHeight="1" x14ac:dyDescent="0.2">
      <c r="E17214" s="7"/>
      <c r="F17214" s="7"/>
    </row>
    <row r="17215" spans="5:6" ht="15" customHeight="1" x14ac:dyDescent="0.2">
      <c r="E17215" s="7"/>
      <c r="F17215" s="7"/>
    </row>
    <row r="17216" spans="5:6" ht="15" customHeight="1" x14ac:dyDescent="0.2">
      <c r="E17216" s="7"/>
      <c r="F17216" s="7"/>
    </row>
    <row r="17217" spans="5:6" ht="15" customHeight="1" x14ac:dyDescent="0.2">
      <c r="E17217" s="7"/>
      <c r="F17217" s="7"/>
    </row>
    <row r="17218" spans="5:6" ht="15" customHeight="1" x14ac:dyDescent="0.2">
      <c r="E17218" s="7"/>
      <c r="F17218" s="7"/>
    </row>
    <row r="17219" spans="5:6" ht="15" customHeight="1" x14ac:dyDescent="0.2">
      <c r="E17219" s="7"/>
      <c r="F17219" s="7"/>
    </row>
    <row r="17220" spans="5:6" ht="15" customHeight="1" x14ac:dyDescent="0.2">
      <c r="E17220" s="7"/>
      <c r="F17220" s="7"/>
    </row>
    <row r="17221" spans="5:6" ht="15" customHeight="1" x14ac:dyDescent="0.2">
      <c r="E17221" s="7"/>
      <c r="F17221" s="7"/>
    </row>
    <row r="17222" spans="5:6" ht="15" customHeight="1" x14ac:dyDescent="0.2">
      <c r="E17222" s="7"/>
      <c r="F17222" s="7"/>
    </row>
    <row r="17223" spans="5:6" ht="15" customHeight="1" x14ac:dyDescent="0.2">
      <c r="E17223" s="7"/>
      <c r="F17223" s="7"/>
    </row>
    <row r="17224" spans="5:6" ht="15" customHeight="1" x14ac:dyDescent="0.2">
      <c r="E17224" s="7"/>
      <c r="F17224" s="7"/>
    </row>
    <row r="17225" spans="5:6" ht="15" customHeight="1" x14ac:dyDescent="0.2">
      <c r="E17225" s="7"/>
      <c r="F17225" s="7"/>
    </row>
    <row r="17226" spans="5:6" ht="15" customHeight="1" x14ac:dyDescent="0.2">
      <c r="E17226" s="7"/>
      <c r="F17226" s="7"/>
    </row>
    <row r="17227" spans="5:6" ht="15" customHeight="1" x14ac:dyDescent="0.2">
      <c r="E17227" s="7"/>
      <c r="F17227" s="7"/>
    </row>
    <row r="17228" spans="5:6" ht="15" customHeight="1" x14ac:dyDescent="0.2">
      <c r="E17228" s="7"/>
      <c r="F17228" s="7"/>
    </row>
    <row r="17229" spans="5:6" ht="15" customHeight="1" x14ac:dyDescent="0.2">
      <c r="E17229" s="7"/>
      <c r="F17229" s="7"/>
    </row>
    <row r="17230" spans="5:6" ht="15" customHeight="1" x14ac:dyDescent="0.2">
      <c r="E17230" s="7"/>
      <c r="F17230" s="7"/>
    </row>
    <row r="17231" spans="5:6" ht="15" customHeight="1" x14ac:dyDescent="0.2">
      <c r="E17231" s="7"/>
      <c r="F17231" s="7"/>
    </row>
    <row r="17232" spans="5:6" ht="15" customHeight="1" x14ac:dyDescent="0.2">
      <c r="E17232" s="7"/>
      <c r="F17232" s="7"/>
    </row>
    <row r="17233" spans="5:6" ht="15" customHeight="1" x14ac:dyDescent="0.2">
      <c r="E17233" s="7"/>
      <c r="F17233" s="7"/>
    </row>
    <row r="17234" spans="5:6" ht="15" customHeight="1" x14ac:dyDescent="0.2">
      <c r="E17234" s="7"/>
      <c r="F17234" s="7"/>
    </row>
    <row r="17235" spans="5:6" ht="15" customHeight="1" x14ac:dyDescent="0.2">
      <c r="E17235" s="7"/>
      <c r="F17235" s="7"/>
    </row>
    <row r="17236" spans="5:6" ht="15" customHeight="1" x14ac:dyDescent="0.2">
      <c r="E17236" s="7"/>
      <c r="F17236" s="7"/>
    </row>
    <row r="17237" spans="5:6" ht="15" customHeight="1" x14ac:dyDescent="0.2">
      <c r="E17237" s="7"/>
      <c r="F17237" s="7"/>
    </row>
    <row r="17238" spans="5:6" ht="15" customHeight="1" x14ac:dyDescent="0.2">
      <c r="E17238" s="7"/>
      <c r="F17238" s="7"/>
    </row>
    <row r="17239" spans="5:6" ht="15" customHeight="1" x14ac:dyDescent="0.2">
      <c r="E17239" s="7"/>
      <c r="F17239" s="7"/>
    </row>
    <row r="17240" spans="5:6" ht="15" customHeight="1" x14ac:dyDescent="0.2">
      <c r="E17240" s="7"/>
      <c r="F17240" s="7"/>
    </row>
    <row r="17241" spans="5:6" ht="15" customHeight="1" x14ac:dyDescent="0.2">
      <c r="E17241" s="7"/>
      <c r="F17241" s="7"/>
    </row>
    <row r="17242" spans="5:6" ht="15" customHeight="1" x14ac:dyDescent="0.2">
      <c r="E17242" s="7"/>
      <c r="F17242" s="7"/>
    </row>
    <row r="17243" spans="5:6" ht="15" customHeight="1" x14ac:dyDescent="0.2">
      <c r="E17243" s="7"/>
      <c r="F17243" s="7"/>
    </row>
    <row r="17244" spans="5:6" ht="15" customHeight="1" x14ac:dyDescent="0.2">
      <c r="E17244" s="7"/>
      <c r="F17244" s="7"/>
    </row>
    <row r="17245" spans="5:6" ht="15" customHeight="1" x14ac:dyDescent="0.2">
      <c r="E17245" s="7"/>
      <c r="F17245" s="7"/>
    </row>
    <row r="17246" spans="5:6" ht="15" customHeight="1" x14ac:dyDescent="0.2">
      <c r="E17246" s="7"/>
      <c r="F17246" s="7"/>
    </row>
    <row r="17247" spans="5:6" ht="15" customHeight="1" x14ac:dyDescent="0.2">
      <c r="E17247" s="7"/>
      <c r="F17247" s="7"/>
    </row>
    <row r="17248" spans="5:6" ht="15" customHeight="1" x14ac:dyDescent="0.2">
      <c r="E17248" s="7"/>
      <c r="F17248" s="7"/>
    </row>
    <row r="17249" spans="5:6" ht="15" customHeight="1" x14ac:dyDescent="0.2">
      <c r="E17249" s="7"/>
      <c r="F17249" s="7"/>
    </row>
    <row r="17250" spans="5:6" ht="15" customHeight="1" x14ac:dyDescent="0.2">
      <c r="E17250" s="7"/>
      <c r="F17250" s="7"/>
    </row>
    <row r="17251" spans="5:6" ht="15" customHeight="1" x14ac:dyDescent="0.2">
      <c r="E17251" s="7"/>
      <c r="F17251" s="7"/>
    </row>
    <row r="17252" spans="5:6" ht="15" customHeight="1" x14ac:dyDescent="0.2">
      <c r="E17252" s="7"/>
      <c r="F17252" s="7"/>
    </row>
    <row r="17253" spans="5:6" ht="15" customHeight="1" x14ac:dyDescent="0.2">
      <c r="E17253" s="7"/>
      <c r="F17253" s="7"/>
    </row>
    <row r="17254" spans="5:6" ht="15" customHeight="1" x14ac:dyDescent="0.2">
      <c r="E17254" s="7"/>
      <c r="F17254" s="7"/>
    </row>
    <row r="17255" spans="5:6" ht="15" customHeight="1" x14ac:dyDescent="0.2">
      <c r="E17255" s="7"/>
      <c r="F17255" s="7"/>
    </row>
    <row r="17256" spans="5:6" ht="15" customHeight="1" x14ac:dyDescent="0.2">
      <c r="E17256" s="7"/>
      <c r="F17256" s="7"/>
    </row>
    <row r="17257" spans="5:6" ht="15" customHeight="1" x14ac:dyDescent="0.2">
      <c r="E17257" s="7"/>
      <c r="F17257" s="7"/>
    </row>
    <row r="17258" spans="5:6" ht="15" customHeight="1" x14ac:dyDescent="0.2">
      <c r="E17258" s="7"/>
      <c r="F17258" s="7"/>
    </row>
    <row r="17259" spans="5:6" ht="15" customHeight="1" x14ac:dyDescent="0.2">
      <c r="E17259" s="7"/>
      <c r="F17259" s="7"/>
    </row>
    <row r="17260" spans="5:6" ht="15" customHeight="1" x14ac:dyDescent="0.2">
      <c r="E17260" s="7"/>
      <c r="F17260" s="7"/>
    </row>
    <row r="17261" spans="5:6" ht="15" customHeight="1" x14ac:dyDescent="0.2">
      <c r="E17261" s="7"/>
      <c r="F17261" s="7"/>
    </row>
    <row r="17262" spans="5:6" ht="15" customHeight="1" x14ac:dyDescent="0.2">
      <c r="E17262" s="7"/>
      <c r="F17262" s="7"/>
    </row>
    <row r="17263" spans="5:6" ht="15" customHeight="1" x14ac:dyDescent="0.2">
      <c r="E17263" s="7"/>
      <c r="F17263" s="7"/>
    </row>
    <row r="17264" spans="5:6" ht="15" customHeight="1" x14ac:dyDescent="0.2">
      <c r="E17264" s="7"/>
      <c r="F17264" s="7"/>
    </row>
    <row r="17265" spans="5:6" ht="15" customHeight="1" x14ac:dyDescent="0.2">
      <c r="E17265" s="7"/>
      <c r="F17265" s="7"/>
    </row>
    <row r="17266" spans="5:6" ht="15" customHeight="1" x14ac:dyDescent="0.2">
      <c r="E17266" s="7"/>
      <c r="F17266" s="7"/>
    </row>
    <row r="17267" spans="5:6" ht="15" customHeight="1" x14ac:dyDescent="0.2">
      <c r="E17267" s="7"/>
      <c r="F17267" s="7"/>
    </row>
    <row r="17268" spans="5:6" ht="15" customHeight="1" x14ac:dyDescent="0.2">
      <c r="E17268" s="7"/>
      <c r="F17268" s="7"/>
    </row>
    <row r="17269" spans="5:6" ht="15" customHeight="1" x14ac:dyDescent="0.2">
      <c r="E17269" s="7"/>
      <c r="F17269" s="7"/>
    </row>
    <row r="17270" spans="5:6" ht="15" customHeight="1" x14ac:dyDescent="0.2">
      <c r="E17270" s="7"/>
      <c r="F17270" s="7"/>
    </row>
    <row r="17271" spans="5:6" ht="15" customHeight="1" x14ac:dyDescent="0.2">
      <c r="E17271" s="7"/>
      <c r="F17271" s="7"/>
    </row>
    <row r="17272" spans="5:6" ht="15" customHeight="1" x14ac:dyDescent="0.2">
      <c r="E17272" s="7"/>
      <c r="F17272" s="7"/>
    </row>
    <row r="17273" spans="5:6" ht="15" customHeight="1" x14ac:dyDescent="0.2">
      <c r="E17273" s="7"/>
      <c r="F17273" s="7"/>
    </row>
    <row r="17274" spans="5:6" ht="15" customHeight="1" x14ac:dyDescent="0.2">
      <c r="E17274" s="7"/>
      <c r="F17274" s="7"/>
    </row>
    <row r="17275" spans="5:6" ht="15" customHeight="1" x14ac:dyDescent="0.2">
      <c r="E17275" s="7"/>
      <c r="F17275" s="7"/>
    </row>
    <row r="17276" spans="5:6" ht="15" customHeight="1" x14ac:dyDescent="0.2">
      <c r="E17276" s="7"/>
      <c r="F17276" s="7"/>
    </row>
    <row r="17277" spans="5:6" ht="15" customHeight="1" x14ac:dyDescent="0.2">
      <c r="E17277" s="7"/>
      <c r="F17277" s="7"/>
    </row>
    <row r="17278" spans="5:6" ht="15" customHeight="1" x14ac:dyDescent="0.2">
      <c r="E17278" s="7"/>
      <c r="F17278" s="7"/>
    </row>
    <row r="17279" spans="5:6" ht="15" customHeight="1" x14ac:dyDescent="0.2">
      <c r="E17279" s="7"/>
      <c r="F17279" s="7"/>
    </row>
    <row r="17280" spans="5:6" ht="15" customHeight="1" x14ac:dyDescent="0.2">
      <c r="E17280" s="7"/>
      <c r="F17280" s="7"/>
    </row>
    <row r="17281" spans="5:6" ht="15" customHeight="1" x14ac:dyDescent="0.2">
      <c r="E17281" s="7"/>
      <c r="F17281" s="7"/>
    </row>
    <row r="17282" spans="5:6" ht="15" customHeight="1" x14ac:dyDescent="0.2">
      <c r="E17282" s="7"/>
      <c r="F17282" s="7"/>
    </row>
    <row r="17283" spans="5:6" ht="15" customHeight="1" x14ac:dyDescent="0.2">
      <c r="E17283" s="7"/>
      <c r="F17283" s="7"/>
    </row>
    <row r="17284" spans="5:6" ht="15" customHeight="1" x14ac:dyDescent="0.2">
      <c r="E17284" s="7"/>
      <c r="F17284" s="7"/>
    </row>
    <row r="17285" spans="5:6" ht="15" customHeight="1" x14ac:dyDescent="0.2">
      <c r="E17285" s="7"/>
      <c r="F17285" s="7"/>
    </row>
    <row r="17286" spans="5:6" ht="15" customHeight="1" x14ac:dyDescent="0.2">
      <c r="E17286" s="7"/>
      <c r="F17286" s="7"/>
    </row>
    <row r="17287" spans="5:6" ht="15" customHeight="1" x14ac:dyDescent="0.2">
      <c r="E17287" s="7"/>
      <c r="F17287" s="7"/>
    </row>
    <row r="17288" spans="5:6" ht="15" customHeight="1" x14ac:dyDescent="0.2">
      <c r="E17288" s="7"/>
      <c r="F17288" s="7"/>
    </row>
    <row r="17289" spans="5:6" ht="15" customHeight="1" x14ac:dyDescent="0.2">
      <c r="E17289" s="7"/>
      <c r="F17289" s="7"/>
    </row>
    <row r="17290" spans="5:6" ht="15" customHeight="1" x14ac:dyDescent="0.2">
      <c r="E17290" s="7"/>
      <c r="F17290" s="7"/>
    </row>
    <row r="17291" spans="5:6" ht="15" customHeight="1" x14ac:dyDescent="0.2">
      <c r="E17291" s="7"/>
      <c r="F17291" s="7"/>
    </row>
    <row r="17292" spans="5:6" ht="15" customHeight="1" x14ac:dyDescent="0.2">
      <c r="E17292" s="7"/>
      <c r="F17292" s="7"/>
    </row>
    <row r="17293" spans="5:6" ht="15" customHeight="1" x14ac:dyDescent="0.2">
      <c r="E17293" s="7"/>
      <c r="F17293" s="7"/>
    </row>
    <row r="17294" spans="5:6" ht="15" customHeight="1" x14ac:dyDescent="0.2">
      <c r="E17294" s="7"/>
      <c r="F17294" s="7"/>
    </row>
    <row r="17295" spans="5:6" ht="15" customHeight="1" x14ac:dyDescent="0.2">
      <c r="E17295" s="7"/>
      <c r="F17295" s="7"/>
    </row>
    <row r="17296" spans="5:6" ht="15" customHeight="1" x14ac:dyDescent="0.2">
      <c r="E17296" s="7"/>
      <c r="F17296" s="7"/>
    </row>
    <row r="17297" spans="5:6" ht="15" customHeight="1" x14ac:dyDescent="0.2">
      <c r="E17297" s="7"/>
      <c r="F17297" s="7"/>
    </row>
    <row r="17298" spans="5:6" ht="15" customHeight="1" x14ac:dyDescent="0.2">
      <c r="E17298" s="7"/>
      <c r="F17298" s="7"/>
    </row>
    <row r="17299" spans="5:6" ht="15" customHeight="1" x14ac:dyDescent="0.2">
      <c r="E17299" s="7"/>
      <c r="F17299" s="7"/>
    </row>
    <row r="17300" spans="5:6" ht="15" customHeight="1" x14ac:dyDescent="0.2">
      <c r="E17300" s="7"/>
      <c r="F17300" s="7"/>
    </row>
    <row r="17301" spans="5:6" ht="15" customHeight="1" x14ac:dyDescent="0.2">
      <c r="E17301" s="7"/>
      <c r="F17301" s="7"/>
    </row>
    <row r="17302" spans="5:6" ht="15" customHeight="1" x14ac:dyDescent="0.2">
      <c r="E17302" s="7"/>
      <c r="F17302" s="7"/>
    </row>
    <row r="17303" spans="5:6" ht="15" customHeight="1" x14ac:dyDescent="0.2">
      <c r="E17303" s="7"/>
      <c r="F17303" s="7"/>
    </row>
    <row r="17304" spans="5:6" ht="15" customHeight="1" x14ac:dyDescent="0.2">
      <c r="E17304" s="7"/>
      <c r="F17304" s="7"/>
    </row>
    <row r="17305" spans="5:6" ht="15" customHeight="1" x14ac:dyDescent="0.2">
      <c r="E17305" s="7"/>
      <c r="F17305" s="7"/>
    </row>
    <row r="17306" spans="5:6" ht="15" customHeight="1" x14ac:dyDescent="0.2">
      <c r="E17306" s="7"/>
      <c r="F17306" s="7"/>
    </row>
    <row r="17307" spans="5:6" ht="15" customHeight="1" x14ac:dyDescent="0.2">
      <c r="E17307" s="7"/>
      <c r="F17307" s="7"/>
    </row>
    <row r="17308" spans="5:6" ht="15" customHeight="1" x14ac:dyDescent="0.2">
      <c r="E17308" s="7"/>
      <c r="F17308" s="7"/>
    </row>
    <row r="17309" spans="5:6" ht="15" customHeight="1" x14ac:dyDescent="0.2">
      <c r="E17309" s="7"/>
      <c r="F17309" s="7"/>
    </row>
    <row r="17310" spans="5:6" ht="15" customHeight="1" x14ac:dyDescent="0.2">
      <c r="E17310" s="7"/>
      <c r="F17310" s="7"/>
    </row>
    <row r="17311" spans="5:6" ht="15" customHeight="1" x14ac:dyDescent="0.2">
      <c r="E17311" s="7"/>
      <c r="F17311" s="7"/>
    </row>
    <row r="17312" spans="5:6" ht="15" customHeight="1" x14ac:dyDescent="0.2">
      <c r="E17312" s="7"/>
      <c r="F17312" s="7"/>
    </row>
    <row r="17313" spans="5:6" ht="15" customHeight="1" x14ac:dyDescent="0.2">
      <c r="E17313" s="7"/>
      <c r="F17313" s="7"/>
    </row>
    <row r="17314" spans="5:6" ht="15" customHeight="1" x14ac:dyDescent="0.2">
      <c r="E17314" s="7"/>
      <c r="F17314" s="7"/>
    </row>
    <row r="17315" spans="5:6" ht="15" customHeight="1" x14ac:dyDescent="0.2">
      <c r="E17315" s="7"/>
      <c r="F17315" s="7"/>
    </row>
    <row r="17316" spans="5:6" ht="15" customHeight="1" x14ac:dyDescent="0.2">
      <c r="E17316" s="7"/>
      <c r="F17316" s="7"/>
    </row>
    <row r="17317" spans="5:6" ht="15" customHeight="1" x14ac:dyDescent="0.2">
      <c r="E17317" s="7"/>
      <c r="F17317" s="7"/>
    </row>
    <row r="17318" spans="5:6" ht="15" customHeight="1" x14ac:dyDescent="0.2">
      <c r="E17318" s="7"/>
      <c r="F17318" s="7"/>
    </row>
    <row r="17319" spans="5:6" ht="15" customHeight="1" x14ac:dyDescent="0.2">
      <c r="E17319" s="7"/>
      <c r="F17319" s="7"/>
    </row>
    <row r="17320" spans="5:6" ht="15" customHeight="1" x14ac:dyDescent="0.2">
      <c r="E17320" s="7"/>
      <c r="F17320" s="7"/>
    </row>
    <row r="17321" spans="5:6" ht="15" customHeight="1" x14ac:dyDescent="0.2">
      <c r="E17321" s="7"/>
      <c r="F17321" s="7"/>
    </row>
    <row r="17322" spans="5:6" ht="15" customHeight="1" x14ac:dyDescent="0.2">
      <c r="E17322" s="7"/>
      <c r="F17322" s="7"/>
    </row>
    <row r="17323" spans="5:6" ht="15" customHeight="1" x14ac:dyDescent="0.2">
      <c r="E17323" s="7"/>
      <c r="F17323" s="7"/>
    </row>
    <row r="17324" spans="5:6" ht="15" customHeight="1" x14ac:dyDescent="0.2">
      <c r="E17324" s="7"/>
      <c r="F17324" s="7"/>
    </row>
    <row r="17325" spans="5:6" ht="15" customHeight="1" x14ac:dyDescent="0.2">
      <c r="E17325" s="7"/>
      <c r="F17325" s="7"/>
    </row>
    <row r="17326" spans="5:6" ht="15" customHeight="1" x14ac:dyDescent="0.2">
      <c r="E17326" s="7"/>
      <c r="F17326" s="7"/>
    </row>
    <row r="17327" spans="5:6" ht="15" customHeight="1" x14ac:dyDescent="0.2">
      <c r="E17327" s="7"/>
      <c r="F17327" s="7"/>
    </row>
    <row r="17328" spans="5:6" ht="15" customHeight="1" x14ac:dyDescent="0.2">
      <c r="E17328" s="7"/>
      <c r="F17328" s="7"/>
    </row>
    <row r="17329" spans="5:6" ht="15" customHeight="1" x14ac:dyDescent="0.2">
      <c r="E17329" s="7"/>
      <c r="F17329" s="7"/>
    </row>
    <row r="17330" spans="5:6" ht="15" customHeight="1" x14ac:dyDescent="0.2">
      <c r="E17330" s="7"/>
      <c r="F17330" s="7"/>
    </row>
    <row r="17331" spans="5:6" ht="15" customHeight="1" x14ac:dyDescent="0.2">
      <c r="E17331" s="7"/>
      <c r="F17331" s="7"/>
    </row>
    <row r="17332" spans="5:6" ht="15" customHeight="1" x14ac:dyDescent="0.2">
      <c r="E17332" s="7"/>
      <c r="F17332" s="7"/>
    </row>
    <row r="17333" spans="5:6" ht="15" customHeight="1" x14ac:dyDescent="0.2">
      <c r="E17333" s="7"/>
      <c r="F17333" s="7"/>
    </row>
    <row r="17334" spans="5:6" ht="15" customHeight="1" x14ac:dyDescent="0.2">
      <c r="E17334" s="7"/>
      <c r="F17334" s="7"/>
    </row>
    <row r="17335" spans="5:6" ht="15" customHeight="1" x14ac:dyDescent="0.2">
      <c r="E17335" s="7"/>
      <c r="F17335" s="7"/>
    </row>
    <row r="17336" spans="5:6" ht="15" customHeight="1" x14ac:dyDescent="0.2">
      <c r="E17336" s="7"/>
      <c r="F17336" s="7"/>
    </row>
    <row r="17337" spans="5:6" ht="15" customHeight="1" x14ac:dyDescent="0.2">
      <c r="E17337" s="7"/>
      <c r="F17337" s="7"/>
    </row>
    <row r="17338" spans="5:6" ht="15" customHeight="1" x14ac:dyDescent="0.2">
      <c r="E17338" s="7"/>
      <c r="F17338" s="7"/>
    </row>
    <row r="17339" spans="5:6" ht="15" customHeight="1" x14ac:dyDescent="0.2">
      <c r="E17339" s="7"/>
      <c r="F17339" s="7"/>
    </row>
    <row r="17340" spans="5:6" ht="15" customHeight="1" x14ac:dyDescent="0.2">
      <c r="E17340" s="7"/>
      <c r="F17340" s="7"/>
    </row>
    <row r="17341" spans="5:6" ht="15" customHeight="1" x14ac:dyDescent="0.2">
      <c r="E17341" s="7"/>
      <c r="F17341" s="7"/>
    </row>
    <row r="17342" spans="5:6" ht="15" customHeight="1" x14ac:dyDescent="0.2">
      <c r="E17342" s="7"/>
      <c r="F17342" s="7"/>
    </row>
    <row r="17343" spans="5:6" ht="15" customHeight="1" x14ac:dyDescent="0.2">
      <c r="E17343" s="7"/>
      <c r="F17343" s="7"/>
    </row>
    <row r="17344" spans="5:6" ht="15" customHeight="1" x14ac:dyDescent="0.2">
      <c r="E17344" s="7"/>
      <c r="F17344" s="7"/>
    </row>
    <row r="17345" spans="5:6" ht="15" customHeight="1" x14ac:dyDescent="0.2">
      <c r="E17345" s="7"/>
      <c r="F17345" s="7"/>
    </row>
    <row r="17346" spans="5:6" ht="15" customHeight="1" x14ac:dyDescent="0.2">
      <c r="E17346" s="7"/>
      <c r="F17346" s="7"/>
    </row>
    <row r="17347" spans="5:6" ht="15" customHeight="1" x14ac:dyDescent="0.2">
      <c r="E17347" s="7"/>
      <c r="F17347" s="7"/>
    </row>
    <row r="17348" spans="5:6" ht="15" customHeight="1" x14ac:dyDescent="0.2">
      <c r="E17348" s="7"/>
      <c r="F17348" s="7"/>
    </row>
    <row r="17349" spans="5:6" ht="15" customHeight="1" x14ac:dyDescent="0.2">
      <c r="E17349" s="7"/>
      <c r="F17349" s="7"/>
    </row>
    <row r="17350" spans="5:6" ht="15" customHeight="1" x14ac:dyDescent="0.2">
      <c r="E17350" s="7"/>
      <c r="F17350" s="7"/>
    </row>
    <row r="17351" spans="5:6" ht="15" customHeight="1" x14ac:dyDescent="0.2">
      <c r="E17351" s="7"/>
      <c r="F17351" s="7"/>
    </row>
    <row r="17352" spans="5:6" ht="15" customHeight="1" x14ac:dyDescent="0.2">
      <c r="E17352" s="7"/>
      <c r="F17352" s="7"/>
    </row>
    <row r="17353" spans="5:6" ht="15" customHeight="1" x14ac:dyDescent="0.2">
      <c r="E17353" s="7"/>
      <c r="F17353" s="7"/>
    </row>
    <row r="17354" spans="5:6" ht="15" customHeight="1" x14ac:dyDescent="0.2">
      <c r="E17354" s="7"/>
      <c r="F17354" s="7"/>
    </row>
    <row r="17355" spans="5:6" ht="15" customHeight="1" x14ac:dyDescent="0.2">
      <c r="E17355" s="7"/>
      <c r="F17355" s="7"/>
    </row>
    <row r="17356" spans="5:6" ht="15" customHeight="1" x14ac:dyDescent="0.2">
      <c r="E17356" s="7"/>
      <c r="F17356" s="7"/>
    </row>
    <row r="17357" spans="5:6" ht="15" customHeight="1" x14ac:dyDescent="0.2">
      <c r="E17357" s="7"/>
      <c r="F17357" s="7"/>
    </row>
    <row r="17358" spans="5:6" ht="15" customHeight="1" x14ac:dyDescent="0.2">
      <c r="E17358" s="7"/>
      <c r="F17358" s="7"/>
    </row>
    <row r="17359" spans="5:6" ht="15" customHeight="1" x14ac:dyDescent="0.2">
      <c r="E17359" s="7"/>
      <c r="F17359" s="7"/>
    </row>
    <row r="17360" spans="5:6" ht="15" customHeight="1" x14ac:dyDescent="0.2">
      <c r="E17360" s="7"/>
      <c r="F17360" s="7"/>
    </row>
    <row r="17361" spans="5:6" ht="15" customHeight="1" x14ac:dyDescent="0.2">
      <c r="E17361" s="7"/>
      <c r="F17361" s="7"/>
    </row>
    <row r="17362" spans="5:6" ht="15" customHeight="1" x14ac:dyDescent="0.2">
      <c r="E17362" s="7"/>
      <c r="F17362" s="7"/>
    </row>
    <row r="17363" spans="5:6" ht="15" customHeight="1" x14ac:dyDescent="0.2">
      <c r="E17363" s="7"/>
      <c r="F17363" s="7"/>
    </row>
    <row r="17364" spans="5:6" ht="15" customHeight="1" x14ac:dyDescent="0.2">
      <c r="E17364" s="7"/>
      <c r="F17364" s="7"/>
    </row>
    <row r="17365" spans="5:6" ht="15" customHeight="1" x14ac:dyDescent="0.2">
      <c r="E17365" s="7"/>
      <c r="F17365" s="7"/>
    </row>
    <row r="17366" spans="5:6" ht="15" customHeight="1" x14ac:dyDescent="0.2">
      <c r="E17366" s="7"/>
      <c r="F17366" s="7"/>
    </row>
    <row r="17367" spans="5:6" ht="15" customHeight="1" x14ac:dyDescent="0.2">
      <c r="E17367" s="7"/>
      <c r="F17367" s="7"/>
    </row>
    <row r="17368" spans="5:6" ht="15" customHeight="1" x14ac:dyDescent="0.2">
      <c r="E17368" s="7"/>
      <c r="F17368" s="7"/>
    </row>
    <row r="17369" spans="5:6" ht="15" customHeight="1" x14ac:dyDescent="0.2">
      <c r="E17369" s="7"/>
      <c r="F17369" s="7"/>
    </row>
    <row r="17370" spans="5:6" ht="15" customHeight="1" x14ac:dyDescent="0.2">
      <c r="E17370" s="7"/>
      <c r="F17370" s="7"/>
    </row>
    <row r="17371" spans="5:6" ht="15" customHeight="1" x14ac:dyDescent="0.2">
      <c r="E17371" s="7"/>
      <c r="F17371" s="7"/>
    </row>
    <row r="17372" spans="5:6" ht="15" customHeight="1" x14ac:dyDescent="0.2">
      <c r="E17372" s="7"/>
      <c r="F17372" s="7"/>
    </row>
    <row r="17373" spans="5:6" ht="15" customHeight="1" x14ac:dyDescent="0.2">
      <c r="E17373" s="7"/>
      <c r="F17373" s="7"/>
    </row>
    <row r="17374" spans="5:6" ht="15" customHeight="1" x14ac:dyDescent="0.2">
      <c r="E17374" s="7"/>
      <c r="F17374" s="7"/>
    </row>
    <row r="17375" spans="5:6" ht="15" customHeight="1" x14ac:dyDescent="0.2">
      <c r="E17375" s="7"/>
      <c r="F17375" s="7"/>
    </row>
    <row r="17376" spans="5:6" ht="15" customHeight="1" x14ac:dyDescent="0.2">
      <c r="E17376" s="7"/>
      <c r="F17376" s="7"/>
    </row>
    <row r="17377" spans="5:6" ht="15" customHeight="1" x14ac:dyDescent="0.2">
      <c r="E17377" s="7"/>
      <c r="F17377" s="7"/>
    </row>
    <row r="17378" spans="5:6" ht="15" customHeight="1" x14ac:dyDescent="0.2">
      <c r="E17378" s="7"/>
      <c r="F17378" s="7"/>
    </row>
    <row r="17379" spans="5:6" ht="15" customHeight="1" x14ac:dyDescent="0.2">
      <c r="E17379" s="7"/>
      <c r="F17379" s="7"/>
    </row>
    <row r="17380" spans="5:6" ht="15" customHeight="1" x14ac:dyDescent="0.2">
      <c r="E17380" s="7"/>
      <c r="F17380" s="7"/>
    </row>
    <row r="17381" spans="5:6" ht="15" customHeight="1" x14ac:dyDescent="0.2">
      <c r="E17381" s="7"/>
      <c r="F17381" s="7"/>
    </row>
    <row r="17382" spans="5:6" ht="15" customHeight="1" x14ac:dyDescent="0.2">
      <c r="E17382" s="7"/>
      <c r="F17382" s="7"/>
    </row>
    <row r="17383" spans="5:6" ht="15" customHeight="1" x14ac:dyDescent="0.2">
      <c r="E17383" s="7"/>
      <c r="F17383" s="7"/>
    </row>
    <row r="17384" spans="5:6" ht="15" customHeight="1" x14ac:dyDescent="0.2">
      <c r="E17384" s="7"/>
      <c r="F17384" s="7"/>
    </row>
    <row r="17385" spans="5:6" ht="15" customHeight="1" x14ac:dyDescent="0.2">
      <c r="E17385" s="7"/>
      <c r="F17385" s="7"/>
    </row>
    <row r="17386" spans="5:6" ht="15" customHeight="1" x14ac:dyDescent="0.2">
      <c r="E17386" s="7"/>
      <c r="F17386" s="7"/>
    </row>
    <row r="17387" spans="5:6" ht="15" customHeight="1" x14ac:dyDescent="0.2">
      <c r="E17387" s="7"/>
      <c r="F17387" s="7"/>
    </row>
    <row r="17388" spans="5:6" ht="15" customHeight="1" x14ac:dyDescent="0.2">
      <c r="E17388" s="7"/>
      <c r="F17388" s="7"/>
    </row>
    <row r="17389" spans="5:6" ht="15" customHeight="1" x14ac:dyDescent="0.2">
      <c r="E17389" s="7"/>
      <c r="F17389" s="7"/>
    </row>
    <row r="17390" spans="5:6" ht="15" customHeight="1" x14ac:dyDescent="0.2">
      <c r="E17390" s="7"/>
      <c r="F17390" s="7"/>
    </row>
    <row r="17391" spans="5:6" ht="15" customHeight="1" x14ac:dyDescent="0.2">
      <c r="E17391" s="7"/>
      <c r="F17391" s="7"/>
    </row>
    <row r="17392" spans="5:6" ht="15" customHeight="1" x14ac:dyDescent="0.2">
      <c r="E17392" s="7"/>
      <c r="F17392" s="7"/>
    </row>
    <row r="17393" spans="5:6" ht="15" customHeight="1" x14ac:dyDescent="0.2">
      <c r="E17393" s="7"/>
      <c r="F17393" s="7"/>
    </row>
    <row r="17394" spans="5:6" ht="15" customHeight="1" x14ac:dyDescent="0.2">
      <c r="E17394" s="7"/>
      <c r="F17394" s="7"/>
    </row>
    <row r="17395" spans="5:6" ht="15" customHeight="1" x14ac:dyDescent="0.2">
      <c r="E17395" s="7"/>
      <c r="F17395" s="7"/>
    </row>
    <row r="17396" spans="5:6" ht="15" customHeight="1" x14ac:dyDescent="0.2">
      <c r="E17396" s="7"/>
      <c r="F17396" s="7"/>
    </row>
    <row r="17397" spans="5:6" ht="15" customHeight="1" x14ac:dyDescent="0.2">
      <c r="E17397" s="7"/>
      <c r="F17397" s="7"/>
    </row>
    <row r="17398" spans="5:6" ht="15" customHeight="1" x14ac:dyDescent="0.2">
      <c r="E17398" s="7"/>
      <c r="F17398" s="7"/>
    </row>
    <row r="17399" spans="5:6" ht="15" customHeight="1" x14ac:dyDescent="0.2">
      <c r="E17399" s="7"/>
      <c r="F17399" s="7"/>
    </row>
    <row r="17400" spans="5:6" ht="15" customHeight="1" x14ac:dyDescent="0.2">
      <c r="E17400" s="7"/>
      <c r="F17400" s="7"/>
    </row>
    <row r="17401" spans="5:6" ht="15" customHeight="1" x14ac:dyDescent="0.2">
      <c r="E17401" s="7"/>
      <c r="F17401" s="7"/>
    </row>
    <row r="17402" spans="5:6" ht="15" customHeight="1" x14ac:dyDescent="0.2">
      <c r="E17402" s="7"/>
      <c r="F17402" s="7"/>
    </row>
    <row r="17403" spans="5:6" ht="15" customHeight="1" x14ac:dyDescent="0.2">
      <c r="E17403" s="7"/>
      <c r="F17403" s="7"/>
    </row>
    <row r="17404" spans="5:6" ht="15" customHeight="1" x14ac:dyDescent="0.2">
      <c r="E17404" s="7"/>
      <c r="F17404" s="7"/>
    </row>
    <row r="17405" spans="5:6" ht="15" customHeight="1" x14ac:dyDescent="0.2">
      <c r="E17405" s="7"/>
      <c r="F17405" s="7"/>
    </row>
    <row r="17406" spans="5:6" ht="15" customHeight="1" x14ac:dyDescent="0.2">
      <c r="E17406" s="7"/>
      <c r="F17406" s="7"/>
    </row>
    <row r="17407" spans="5:6" ht="15" customHeight="1" x14ac:dyDescent="0.2">
      <c r="E17407" s="7"/>
      <c r="F17407" s="7"/>
    </row>
    <row r="17408" spans="5:6" ht="15" customHeight="1" x14ac:dyDescent="0.2">
      <c r="E17408" s="7"/>
      <c r="F17408" s="7"/>
    </row>
    <row r="17409" spans="5:6" ht="15" customHeight="1" x14ac:dyDescent="0.2">
      <c r="E17409" s="7"/>
      <c r="F17409" s="7"/>
    </row>
    <row r="17410" spans="5:6" ht="15" customHeight="1" x14ac:dyDescent="0.2">
      <c r="E17410" s="7"/>
      <c r="F17410" s="7"/>
    </row>
    <row r="17411" spans="5:6" ht="15" customHeight="1" x14ac:dyDescent="0.2">
      <c r="E17411" s="7"/>
      <c r="F17411" s="7"/>
    </row>
    <row r="17412" spans="5:6" ht="15" customHeight="1" x14ac:dyDescent="0.2">
      <c r="E17412" s="7"/>
      <c r="F17412" s="7"/>
    </row>
    <row r="17413" spans="5:6" ht="15" customHeight="1" x14ac:dyDescent="0.2">
      <c r="E17413" s="7"/>
      <c r="F17413" s="7"/>
    </row>
    <row r="17414" spans="5:6" ht="15" customHeight="1" x14ac:dyDescent="0.2">
      <c r="E17414" s="7"/>
      <c r="F17414" s="7"/>
    </row>
    <row r="17415" spans="5:6" ht="15" customHeight="1" x14ac:dyDescent="0.2">
      <c r="E17415" s="7"/>
      <c r="F17415" s="7"/>
    </row>
    <row r="17416" spans="5:6" ht="15" customHeight="1" x14ac:dyDescent="0.2">
      <c r="E17416" s="7"/>
      <c r="F17416" s="7"/>
    </row>
    <row r="17417" spans="5:6" ht="15" customHeight="1" x14ac:dyDescent="0.2">
      <c r="E17417" s="7"/>
      <c r="F17417" s="7"/>
    </row>
    <row r="17418" spans="5:6" ht="15" customHeight="1" x14ac:dyDescent="0.2">
      <c r="E17418" s="7"/>
      <c r="F17418" s="7"/>
    </row>
    <row r="17419" spans="5:6" ht="15" customHeight="1" x14ac:dyDescent="0.2">
      <c r="E17419" s="7"/>
      <c r="F17419" s="7"/>
    </row>
    <row r="17420" spans="5:6" ht="15" customHeight="1" x14ac:dyDescent="0.2">
      <c r="E17420" s="7"/>
      <c r="F17420" s="7"/>
    </row>
    <row r="17421" spans="5:6" ht="15" customHeight="1" x14ac:dyDescent="0.2">
      <c r="E17421" s="7"/>
      <c r="F17421" s="7"/>
    </row>
    <row r="17422" spans="5:6" ht="15" customHeight="1" x14ac:dyDescent="0.2">
      <c r="E17422" s="7"/>
      <c r="F17422" s="7"/>
    </row>
    <row r="17423" spans="5:6" ht="15" customHeight="1" x14ac:dyDescent="0.2">
      <c r="E17423" s="7"/>
      <c r="F17423" s="7"/>
    </row>
    <row r="17424" spans="5:6" ht="15" customHeight="1" x14ac:dyDescent="0.2">
      <c r="E17424" s="7"/>
      <c r="F17424" s="7"/>
    </row>
    <row r="17425" spans="5:6" ht="15" customHeight="1" x14ac:dyDescent="0.2">
      <c r="E17425" s="7"/>
      <c r="F17425" s="7"/>
    </row>
    <row r="17426" spans="5:6" ht="15" customHeight="1" x14ac:dyDescent="0.2">
      <c r="E17426" s="7"/>
      <c r="F17426" s="7"/>
    </row>
    <row r="17427" spans="5:6" ht="15" customHeight="1" x14ac:dyDescent="0.2">
      <c r="E17427" s="7"/>
      <c r="F17427" s="7"/>
    </row>
    <row r="17428" spans="5:6" ht="15" customHeight="1" x14ac:dyDescent="0.2">
      <c r="E17428" s="7"/>
      <c r="F17428" s="7"/>
    </row>
    <row r="17429" spans="5:6" ht="15" customHeight="1" x14ac:dyDescent="0.2">
      <c r="E17429" s="7"/>
      <c r="F17429" s="7"/>
    </row>
    <row r="17430" spans="5:6" ht="15" customHeight="1" x14ac:dyDescent="0.2">
      <c r="E17430" s="7"/>
      <c r="F17430" s="7"/>
    </row>
    <row r="17431" spans="5:6" ht="15" customHeight="1" x14ac:dyDescent="0.2">
      <c r="E17431" s="7"/>
      <c r="F17431" s="7"/>
    </row>
    <row r="17432" spans="5:6" ht="15" customHeight="1" x14ac:dyDescent="0.2">
      <c r="E17432" s="7"/>
      <c r="F17432" s="7"/>
    </row>
    <row r="17433" spans="5:6" ht="15" customHeight="1" x14ac:dyDescent="0.2">
      <c r="E17433" s="7"/>
      <c r="F17433" s="7"/>
    </row>
    <row r="17434" spans="5:6" ht="15" customHeight="1" x14ac:dyDescent="0.2">
      <c r="E17434" s="7"/>
      <c r="F17434" s="7"/>
    </row>
    <row r="17435" spans="5:6" ht="15" customHeight="1" x14ac:dyDescent="0.2">
      <c r="E17435" s="7"/>
      <c r="F17435" s="7"/>
    </row>
    <row r="17436" spans="5:6" ht="15" customHeight="1" x14ac:dyDescent="0.2">
      <c r="E17436" s="7"/>
      <c r="F17436" s="7"/>
    </row>
    <row r="17437" spans="5:6" ht="15" customHeight="1" x14ac:dyDescent="0.2">
      <c r="E17437" s="7"/>
      <c r="F17437" s="7"/>
    </row>
    <row r="17438" spans="5:6" ht="15" customHeight="1" x14ac:dyDescent="0.2">
      <c r="E17438" s="7"/>
      <c r="F17438" s="7"/>
    </row>
    <row r="17439" spans="5:6" ht="15" customHeight="1" x14ac:dyDescent="0.2">
      <c r="E17439" s="7"/>
      <c r="F17439" s="7"/>
    </row>
    <row r="17440" spans="5:6" ht="15" customHeight="1" x14ac:dyDescent="0.2">
      <c r="E17440" s="7"/>
      <c r="F17440" s="7"/>
    </row>
    <row r="17441" spans="5:6" ht="15" customHeight="1" x14ac:dyDescent="0.2">
      <c r="E17441" s="7"/>
      <c r="F17441" s="7"/>
    </row>
    <row r="17442" spans="5:6" ht="15" customHeight="1" x14ac:dyDescent="0.2">
      <c r="E17442" s="7"/>
      <c r="F17442" s="7"/>
    </row>
    <row r="17443" spans="5:6" ht="15" customHeight="1" x14ac:dyDescent="0.2">
      <c r="E17443" s="7"/>
      <c r="F17443" s="7"/>
    </row>
    <row r="17444" spans="5:6" ht="15" customHeight="1" x14ac:dyDescent="0.2">
      <c r="E17444" s="7"/>
      <c r="F17444" s="7"/>
    </row>
    <row r="17445" spans="5:6" ht="15" customHeight="1" x14ac:dyDescent="0.2">
      <c r="E17445" s="7"/>
      <c r="F17445" s="7"/>
    </row>
    <row r="17446" spans="5:6" ht="15" customHeight="1" x14ac:dyDescent="0.2">
      <c r="E17446" s="7"/>
      <c r="F17446" s="7"/>
    </row>
    <row r="17447" spans="5:6" ht="15" customHeight="1" x14ac:dyDescent="0.2">
      <c r="E17447" s="7"/>
      <c r="F17447" s="7"/>
    </row>
    <row r="17448" spans="5:6" ht="15" customHeight="1" x14ac:dyDescent="0.2">
      <c r="E17448" s="7"/>
      <c r="F17448" s="7"/>
    </row>
    <row r="17449" spans="5:6" ht="15" customHeight="1" x14ac:dyDescent="0.2">
      <c r="E17449" s="7"/>
      <c r="F17449" s="7"/>
    </row>
    <row r="17450" spans="5:6" ht="15" customHeight="1" x14ac:dyDescent="0.2">
      <c r="E17450" s="7"/>
      <c r="F17450" s="7"/>
    </row>
    <row r="17451" spans="5:6" ht="15" customHeight="1" x14ac:dyDescent="0.2">
      <c r="E17451" s="7"/>
      <c r="F17451" s="7"/>
    </row>
    <row r="17452" spans="5:6" ht="15" customHeight="1" x14ac:dyDescent="0.2">
      <c r="E17452" s="7"/>
      <c r="F17452" s="7"/>
    </row>
    <row r="17453" spans="5:6" ht="15" customHeight="1" x14ac:dyDescent="0.2">
      <c r="E17453" s="7"/>
      <c r="F17453" s="7"/>
    </row>
    <row r="17454" spans="5:6" ht="15" customHeight="1" x14ac:dyDescent="0.2">
      <c r="E17454" s="7"/>
      <c r="F17454" s="7"/>
    </row>
    <row r="17455" spans="5:6" ht="15" customHeight="1" x14ac:dyDescent="0.2">
      <c r="E17455" s="7"/>
      <c r="F17455" s="7"/>
    </row>
    <row r="17456" spans="5:6" ht="15" customHeight="1" x14ac:dyDescent="0.2">
      <c r="E17456" s="7"/>
      <c r="F17456" s="7"/>
    </row>
    <row r="17457" spans="5:6" ht="15" customHeight="1" x14ac:dyDescent="0.2">
      <c r="E17457" s="7"/>
      <c r="F17457" s="7"/>
    </row>
    <row r="17458" spans="5:6" ht="15" customHeight="1" x14ac:dyDescent="0.2">
      <c r="E17458" s="7"/>
      <c r="F17458" s="7"/>
    </row>
    <row r="17459" spans="5:6" ht="15" customHeight="1" x14ac:dyDescent="0.2">
      <c r="E17459" s="7"/>
      <c r="F17459" s="7"/>
    </row>
    <row r="17460" spans="5:6" ht="15" customHeight="1" x14ac:dyDescent="0.2">
      <c r="E17460" s="7"/>
      <c r="F17460" s="7"/>
    </row>
    <row r="17461" spans="5:6" ht="15" customHeight="1" x14ac:dyDescent="0.2">
      <c r="E17461" s="7"/>
      <c r="F17461" s="7"/>
    </row>
    <row r="17462" spans="5:6" ht="15" customHeight="1" x14ac:dyDescent="0.2">
      <c r="E17462" s="7"/>
      <c r="F17462" s="7"/>
    </row>
    <row r="17463" spans="5:6" ht="15" customHeight="1" x14ac:dyDescent="0.2">
      <c r="E17463" s="7"/>
      <c r="F17463" s="7"/>
    </row>
    <row r="17464" spans="5:6" ht="15" customHeight="1" x14ac:dyDescent="0.2">
      <c r="E17464" s="7"/>
      <c r="F17464" s="7"/>
    </row>
    <row r="17465" spans="5:6" ht="15" customHeight="1" x14ac:dyDescent="0.2">
      <c r="E17465" s="7"/>
      <c r="F17465" s="7"/>
    </row>
    <row r="17466" spans="5:6" ht="15" customHeight="1" x14ac:dyDescent="0.2">
      <c r="E17466" s="7"/>
      <c r="F17466" s="7"/>
    </row>
    <row r="17467" spans="5:6" ht="15" customHeight="1" x14ac:dyDescent="0.2">
      <c r="E17467" s="7"/>
      <c r="F17467" s="7"/>
    </row>
    <row r="17468" spans="5:6" ht="15" customHeight="1" x14ac:dyDescent="0.2">
      <c r="E17468" s="7"/>
      <c r="F17468" s="7"/>
    </row>
    <row r="17469" spans="5:6" ht="15" customHeight="1" x14ac:dyDescent="0.2">
      <c r="E17469" s="7"/>
      <c r="F17469" s="7"/>
    </row>
    <row r="17470" spans="5:6" ht="15" customHeight="1" x14ac:dyDescent="0.2">
      <c r="E17470" s="7"/>
      <c r="F17470" s="7"/>
    </row>
    <row r="17471" spans="5:6" ht="15" customHeight="1" x14ac:dyDescent="0.2">
      <c r="E17471" s="7"/>
      <c r="F17471" s="7"/>
    </row>
    <row r="17472" spans="5:6" ht="15" customHeight="1" x14ac:dyDescent="0.2">
      <c r="E17472" s="7"/>
      <c r="F17472" s="7"/>
    </row>
    <row r="17473" spans="5:6" ht="15" customHeight="1" x14ac:dyDescent="0.2">
      <c r="E17473" s="7"/>
      <c r="F17473" s="7"/>
    </row>
    <row r="17474" spans="5:6" ht="15" customHeight="1" x14ac:dyDescent="0.2">
      <c r="E17474" s="7"/>
      <c r="F17474" s="7"/>
    </row>
    <row r="17475" spans="5:6" ht="15" customHeight="1" x14ac:dyDescent="0.2">
      <c r="E17475" s="7"/>
      <c r="F17475" s="7"/>
    </row>
    <row r="17476" spans="5:6" ht="15" customHeight="1" x14ac:dyDescent="0.2">
      <c r="E17476" s="7"/>
      <c r="F17476" s="7"/>
    </row>
    <row r="17477" spans="5:6" ht="15" customHeight="1" x14ac:dyDescent="0.2">
      <c r="E17477" s="7"/>
      <c r="F17477" s="7"/>
    </row>
    <row r="17478" spans="5:6" ht="15" customHeight="1" x14ac:dyDescent="0.2">
      <c r="E17478" s="7"/>
      <c r="F17478" s="7"/>
    </row>
    <row r="17479" spans="5:6" ht="15" customHeight="1" x14ac:dyDescent="0.2">
      <c r="E17479" s="7"/>
      <c r="F17479" s="7"/>
    </row>
    <row r="17480" spans="5:6" ht="15" customHeight="1" x14ac:dyDescent="0.2">
      <c r="E17480" s="7"/>
      <c r="F17480" s="7"/>
    </row>
    <row r="17481" spans="5:6" ht="15" customHeight="1" x14ac:dyDescent="0.2">
      <c r="E17481" s="7"/>
      <c r="F17481" s="7"/>
    </row>
    <row r="17482" spans="5:6" ht="15" customHeight="1" x14ac:dyDescent="0.2">
      <c r="E17482" s="7"/>
      <c r="F17482" s="7"/>
    </row>
    <row r="17483" spans="5:6" ht="15" customHeight="1" x14ac:dyDescent="0.2">
      <c r="E17483" s="7"/>
      <c r="F17483" s="7"/>
    </row>
    <row r="17484" spans="5:6" ht="15" customHeight="1" x14ac:dyDescent="0.2">
      <c r="E17484" s="7"/>
      <c r="F17484" s="7"/>
    </row>
    <row r="17485" spans="5:6" ht="15" customHeight="1" x14ac:dyDescent="0.2">
      <c r="E17485" s="7"/>
      <c r="F17485" s="7"/>
    </row>
    <row r="17486" spans="5:6" ht="15" customHeight="1" x14ac:dyDescent="0.2">
      <c r="E17486" s="7"/>
      <c r="F17486" s="7"/>
    </row>
    <row r="17487" spans="5:6" ht="15" customHeight="1" x14ac:dyDescent="0.2">
      <c r="E17487" s="7"/>
      <c r="F17487" s="7"/>
    </row>
    <row r="17488" spans="5:6" ht="15" customHeight="1" x14ac:dyDescent="0.2">
      <c r="E17488" s="7"/>
      <c r="F17488" s="7"/>
    </row>
    <row r="17489" spans="5:6" ht="15" customHeight="1" x14ac:dyDescent="0.2">
      <c r="E17489" s="7"/>
      <c r="F17489" s="7"/>
    </row>
    <row r="17490" spans="5:6" ht="15" customHeight="1" x14ac:dyDescent="0.2">
      <c r="E17490" s="7"/>
      <c r="F17490" s="7"/>
    </row>
    <row r="17491" spans="5:6" ht="15" customHeight="1" x14ac:dyDescent="0.2">
      <c r="E17491" s="7"/>
      <c r="F17491" s="7"/>
    </row>
    <row r="17492" spans="5:6" ht="15" customHeight="1" x14ac:dyDescent="0.2">
      <c r="E17492" s="7"/>
      <c r="F17492" s="7"/>
    </row>
    <row r="17493" spans="5:6" ht="15" customHeight="1" x14ac:dyDescent="0.2">
      <c r="E17493" s="7"/>
      <c r="F17493" s="7"/>
    </row>
    <row r="17494" spans="5:6" ht="15" customHeight="1" x14ac:dyDescent="0.2">
      <c r="E17494" s="7"/>
      <c r="F17494" s="7"/>
    </row>
    <row r="17495" spans="5:6" ht="15" customHeight="1" x14ac:dyDescent="0.2">
      <c r="E17495" s="7"/>
      <c r="F17495" s="7"/>
    </row>
    <row r="17496" spans="5:6" ht="15" customHeight="1" x14ac:dyDescent="0.2">
      <c r="E17496" s="7"/>
      <c r="F17496" s="7"/>
    </row>
    <row r="17497" spans="5:6" ht="15" customHeight="1" x14ac:dyDescent="0.2">
      <c r="E17497" s="7"/>
      <c r="F17497" s="7"/>
    </row>
    <row r="17498" spans="5:6" ht="15" customHeight="1" x14ac:dyDescent="0.2">
      <c r="E17498" s="7"/>
      <c r="F17498" s="7"/>
    </row>
    <row r="17499" spans="5:6" ht="15" customHeight="1" x14ac:dyDescent="0.2">
      <c r="E17499" s="7"/>
      <c r="F17499" s="7"/>
    </row>
    <row r="17500" spans="5:6" ht="15" customHeight="1" x14ac:dyDescent="0.2">
      <c r="E17500" s="7"/>
      <c r="F17500" s="7"/>
    </row>
    <row r="17501" spans="5:6" ht="15" customHeight="1" x14ac:dyDescent="0.2">
      <c r="E17501" s="7"/>
      <c r="F17501" s="7"/>
    </row>
    <row r="17502" spans="5:6" ht="15" customHeight="1" x14ac:dyDescent="0.2">
      <c r="E17502" s="7"/>
      <c r="F17502" s="7"/>
    </row>
    <row r="17503" spans="5:6" ht="15" customHeight="1" x14ac:dyDescent="0.2">
      <c r="E17503" s="7"/>
      <c r="F17503" s="7"/>
    </row>
    <row r="17504" spans="5:6" ht="15" customHeight="1" x14ac:dyDescent="0.2">
      <c r="E17504" s="7"/>
      <c r="F17504" s="7"/>
    </row>
    <row r="17505" spans="5:6" ht="15" customHeight="1" x14ac:dyDescent="0.2">
      <c r="E17505" s="7"/>
      <c r="F17505" s="7"/>
    </row>
    <row r="17506" spans="5:6" ht="15" customHeight="1" x14ac:dyDescent="0.2">
      <c r="E17506" s="7"/>
      <c r="F17506" s="7"/>
    </row>
    <row r="17507" spans="5:6" ht="15" customHeight="1" x14ac:dyDescent="0.2">
      <c r="E17507" s="7"/>
      <c r="F17507" s="7"/>
    </row>
    <row r="17508" spans="5:6" ht="15" customHeight="1" x14ac:dyDescent="0.2">
      <c r="E17508" s="7"/>
      <c r="F17508" s="7"/>
    </row>
    <row r="17509" spans="5:6" ht="15" customHeight="1" x14ac:dyDescent="0.2">
      <c r="E17509" s="7"/>
      <c r="F17509" s="7"/>
    </row>
    <row r="17510" spans="5:6" ht="15" customHeight="1" x14ac:dyDescent="0.2">
      <c r="E17510" s="7"/>
      <c r="F17510" s="7"/>
    </row>
    <row r="17511" spans="5:6" ht="15" customHeight="1" x14ac:dyDescent="0.2">
      <c r="E17511" s="7"/>
      <c r="F17511" s="7"/>
    </row>
    <row r="17512" spans="5:6" ht="15" customHeight="1" x14ac:dyDescent="0.2">
      <c r="E17512" s="7"/>
      <c r="F17512" s="7"/>
    </row>
    <row r="17513" spans="5:6" ht="15" customHeight="1" x14ac:dyDescent="0.2">
      <c r="E17513" s="7"/>
      <c r="F17513" s="7"/>
    </row>
    <row r="17514" spans="5:6" ht="15" customHeight="1" x14ac:dyDescent="0.2">
      <c r="E17514" s="7"/>
      <c r="F17514" s="7"/>
    </row>
    <row r="17515" spans="5:6" ht="15" customHeight="1" x14ac:dyDescent="0.2">
      <c r="E17515" s="7"/>
      <c r="F17515" s="7"/>
    </row>
    <row r="17516" spans="5:6" ht="15" customHeight="1" x14ac:dyDescent="0.2">
      <c r="E17516" s="7"/>
      <c r="F17516" s="7"/>
    </row>
    <row r="17517" spans="5:6" ht="15" customHeight="1" x14ac:dyDescent="0.2">
      <c r="E17517" s="7"/>
      <c r="F17517" s="7"/>
    </row>
    <row r="17518" spans="5:6" ht="15" customHeight="1" x14ac:dyDescent="0.2">
      <c r="E17518" s="7"/>
      <c r="F17518" s="7"/>
    </row>
    <row r="17519" spans="5:6" ht="15" customHeight="1" x14ac:dyDescent="0.2">
      <c r="E17519" s="7"/>
      <c r="F17519" s="7"/>
    </row>
    <row r="17520" spans="5:6" ht="15" customHeight="1" x14ac:dyDescent="0.2">
      <c r="E17520" s="7"/>
      <c r="F17520" s="7"/>
    </row>
    <row r="17521" spans="5:6" ht="15" customHeight="1" x14ac:dyDescent="0.2">
      <c r="E17521" s="7"/>
      <c r="F17521" s="7"/>
    </row>
    <row r="17522" spans="5:6" ht="15" customHeight="1" x14ac:dyDescent="0.2">
      <c r="E17522" s="7"/>
      <c r="F17522" s="7"/>
    </row>
    <row r="17523" spans="5:6" ht="15" customHeight="1" x14ac:dyDescent="0.2">
      <c r="E17523" s="7"/>
      <c r="F17523" s="7"/>
    </row>
    <row r="17524" spans="5:6" ht="15" customHeight="1" x14ac:dyDescent="0.2">
      <c r="E17524" s="7"/>
      <c r="F17524" s="7"/>
    </row>
    <row r="17525" spans="5:6" ht="15" customHeight="1" x14ac:dyDescent="0.2">
      <c r="E17525" s="7"/>
      <c r="F17525" s="7"/>
    </row>
    <row r="17526" spans="5:6" ht="15" customHeight="1" x14ac:dyDescent="0.2">
      <c r="E17526" s="7"/>
      <c r="F17526" s="7"/>
    </row>
    <row r="17527" spans="5:6" ht="15" customHeight="1" x14ac:dyDescent="0.2">
      <c r="E17527" s="7"/>
      <c r="F17527" s="7"/>
    </row>
    <row r="17528" spans="5:6" ht="15" customHeight="1" x14ac:dyDescent="0.2">
      <c r="E17528" s="7"/>
      <c r="F17528" s="7"/>
    </row>
    <row r="17529" spans="5:6" ht="15" customHeight="1" x14ac:dyDescent="0.2">
      <c r="E17529" s="7"/>
      <c r="F17529" s="7"/>
    </row>
    <row r="17530" spans="5:6" ht="15" customHeight="1" x14ac:dyDescent="0.2">
      <c r="E17530" s="7"/>
      <c r="F17530" s="7"/>
    </row>
    <row r="17531" spans="5:6" ht="15" customHeight="1" x14ac:dyDescent="0.2">
      <c r="E17531" s="7"/>
      <c r="F17531" s="7"/>
    </row>
    <row r="17532" spans="5:6" ht="15" customHeight="1" x14ac:dyDescent="0.2">
      <c r="E17532" s="7"/>
      <c r="F17532" s="7"/>
    </row>
    <row r="17533" spans="5:6" ht="15" customHeight="1" x14ac:dyDescent="0.2">
      <c r="E17533" s="7"/>
      <c r="F17533" s="7"/>
    </row>
    <row r="17534" spans="5:6" ht="15" customHeight="1" x14ac:dyDescent="0.2">
      <c r="E17534" s="7"/>
      <c r="F17534" s="7"/>
    </row>
    <row r="17535" spans="5:6" ht="15" customHeight="1" x14ac:dyDescent="0.2">
      <c r="E17535" s="7"/>
      <c r="F17535" s="7"/>
    </row>
    <row r="17536" spans="5:6" ht="15" customHeight="1" x14ac:dyDescent="0.2">
      <c r="E17536" s="7"/>
      <c r="F17536" s="7"/>
    </row>
    <row r="17537" spans="5:6" ht="15" customHeight="1" x14ac:dyDescent="0.2">
      <c r="E17537" s="7"/>
      <c r="F17537" s="7"/>
    </row>
    <row r="17538" spans="5:6" ht="15" customHeight="1" x14ac:dyDescent="0.2">
      <c r="E17538" s="7"/>
      <c r="F17538" s="7"/>
    </row>
    <row r="17539" spans="5:6" ht="15" customHeight="1" x14ac:dyDescent="0.2">
      <c r="E17539" s="7"/>
      <c r="F17539" s="7"/>
    </row>
    <row r="17540" spans="5:6" ht="15" customHeight="1" x14ac:dyDescent="0.2">
      <c r="E17540" s="7"/>
      <c r="F17540" s="7"/>
    </row>
    <row r="17541" spans="5:6" ht="15" customHeight="1" x14ac:dyDescent="0.2">
      <c r="E17541" s="7"/>
      <c r="F17541" s="7"/>
    </row>
    <row r="17542" spans="5:6" ht="15" customHeight="1" x14ac:dyDescent="0.2">
      <c r="E17542" s="7"/>
      <c r="F17542" s="7"/>
    </row>
    <row r="17543" spans="5:6" ht="15" customHeight="1" x14ac:dyDescent="0.2">
      <c r="E17543" s="7"/>
      <c r="F17543" s="7"/>
    </row>
    <row r="17544" spans="5:6" ht="15" customHeight="1" x14ac:dyDescent="0.2">
      <c r="E17544" s="7"/>
      <c r="F17544" s="7"/>
    </row>
    <row r="17545" spans="5:6" ht="15" customHeight="1" x14ac:dyDescent="0.2">
      <c r="E17545" s="7"/>
      <c r="F17545" s="7"/>
    </row>
    <row r="17546" spans="5:6" ht="15" customHeight="1" x14ac:dyDescent="0.2">
      <c r="E17546" s="7"/>
      <c r="F17546" s="7"/>
    </row>
    <row r="17547" spans="5:6" ht="15" customHeight="1" x14ac:dyDescent="0.2">
      <c r="E17547" s="7"/>
      <c r="F17547" s="7"/>
    </row>
    <row r="17548" spans="5:6" ht="15" customHeight="1" x14ac:dyDescent="0.2">
      <c r="E17548" s="7"/>
      <c r="F17548" s="7"/>
    </row>
    <row r="17549" spans="5:6" ht="15" customHeight="1" x14ac:dyDescent="0.2">
      <c r="E17549" s="7"/>
      <c r="F17549" s="7"/>
    </row>
    <row r="17550" spans="5:6" ht="15" customHeight="1" x14ac:dyDescent="0.2">
      <c r="E17550" s="7"/>
      <c r="F17550" s="7"/>
    </row>
    <row r="17551" spans="5:6" ht="15" customHeight="1" x14ac:dyDescent="0.2">
      <c r="E17551" s="7"/>
      <c r="F17551" s="7"/>
    </row>
    <row r="17552" spans="5:6" ht="15" customHeight="1" x14ac:dyDescent="0.2">
      <c r="E17552" s="7"/>
      <c r="F17552" s="7"/>
    </row>
    <row r="17553" spans="5:6" ht="15" customHeight="1" x14ac:dyDescent="0.2">
      <c r="E17553" s="7"/>
      <c r="F17553" s="7"/>
    </row>
    <row r="17554" spans="5:6" ht="15" customHeight="1" x14ac:dyDescent="0.2">
      <c r="E17554" s="7"/>
      <c r="F17554" s="7"/>
    </row>
    <row r="17555" spans="5:6" ht="15" customHeight="1" x14ac:dyDescent="0.2">
      <c r="E17555" s="7"/>
      <c r="F17555" s="7"/>
    </row>
    <row r="17556" spans="5:6" ht="15" customHeight="1" x14ac:dyDescent="0.2">
      <c r="E17556" s="7"/>
      <c r="F17556" s="7"/>
    </row>
    <row r="17557" spans="5:6" ht="15" customHeight="1" x14ac:dyDescent="0.2">
      <c r="E17557" s="7"/>
      <c r="F17557" s="7"/>
    </row>
    <row r="17558" spans="5:6" ht="15" customHeight="1" x14ac:dyDescent="0.2">
      <c r="E17558" s="7"/>
      <c r="F17558" s="7"/>
    </row>
    <row r="17559" spans="5:6" ht="15" customHeight="1" x14ac:dyDescent="0.2">
      <c r="E17559" s="7"/>
      <c r="F17559" s="7"/>
    </row>
    <row r="17560" spans="5:6" ht="15" customHeight="1" x14ac:dyDescent="0.2">
      <c r="E17560" s="7"/>
      <c r="F17560" s="7"/>
    </row>
    <row r="17561" spans="5:6" ht="15" customHeight="1" x14ac:dyDescent="0.2">
      <c r="E17561" s="7"/>
      <c r="F17561" s="7"/>
    </row>
    <row r="17562" spans="5:6" ht="15" customHeight="1" x14ac:dyDescent="0.2">
      <c r="E17562" s="7"/>
      <c r="F17562" s="7"/>
    </row>
    <row r="17563" spans="5:6" ht="15" customHeight="1" x14ac:dyDescent="0.2">
      <c r="E17563" s="7"/>
      <c r="F17563" s="7"/>
    </row>
    <row r="17564" spans="5:6" ht="15" customHeight="1" x14ac:dyDescent="0.2">
      <c r="E17564" s="7"/>
      <c r="F17564" s="7"/>
    </row>
    <row r="17565" spans="5:6" ht="15" customHeight="1" x14ac:dyDescent="0.2">
      <c r="E17565" s="7"/>
      <c r="F17565" s="7"/>
    </row>
    <row r="17566" spans="5:6" ht="15" customHeight="1" x14ac:dyDescent="0.2">
      <c r="E17566" s="7"/>
      <c r="F17566" s="7"/>
    </row>
    <row r="17567" spans="5:6" ht="15" customHeight="1" x14ac:dyDescent="0.2">
      <c r="E17567" s="7"/>
      <c r="F17567" s="7"/>
    </row>
    <row r="17568" spans="5:6" ht="15" customHeight="1" x14ac:dyDescent="0.2">
      <c r="E17568" s="7"/>
      <c r="F17568" s="7"/>
    </row>
    <row r="17569" spans="5:6" ht="15" customHeight="1" x14ac:dyDescent="0.2">
      <c r="E17569" s="7"/>
      <c r="F17569" s="7"/>
    </row>
    <row r="17570" spans="5:6" ht="15" customHeight="1" x14ac:dyDescent="0.2">
      <c r="E17570" s="7"/>
      <c r="F17570" s="7"/>
    </row>
    <row r="17571" spans="5:6" ht="15" customHeight="1" x14ac:dyDescent="0.2">
      <c r="E17571" s="7"/>
      <c r="F17571" s="7"/>
    </row>
    <row r="17572" spans="5:6" ht="15" customHeight="1" x14ac:dyDescent="0.2">
      <c r="E17572" s="7"/>
      <c r="F17572" s="7"/>
    </row>
    <row r="17573" spans="5:6" ht="15" customHeight="1" x14ac:dyDescent="0.2">
      <c r="E17573" s="7"/>
      <c r="F17573" s="7"/>
    </row>
    <row r="17574" spans="5:6" ht="15" customHeight="1" x14ac:dyDescent="0.2">
      <c r="E17574" s="7"/>
      <c r="F17574" s="7"/>
    </row>
    <row r="17575" spans="5:6" ht="15" customHeight="1" x14ac:dyDescent="0.2">
      <c r="E17575" s="7"/>
      <c r="F17575" s="7"/>
    </row>
    <row r="17576" spans="5:6" ht="15" customHeight="1" x14ac:dyDescent="0.2">
      <c r="E17576" s="7"/>
      <c r="F17576" s="7"/>
    </row>
    <row r="17577" spans="5:6" ht="15" customHeight="1" x14ac:dyDescent="0.2">
      <c r="E17577" s="7"/>
      <c r="F17577" s="7"/>
    </row>
    <row r="17578" spans="5:6" ht="15" customHeight="1" x14ac:dyDescent="0.2">
      <c r="E17578" s="7"/>
      <c r="F17578" s="7"/>
    </row>
    <row r="17579" spans="5:6" ht="15" customHeight="1" x14ac:dyDescent="0.2">
      <c r="E17579" s="7"/>
      <c r="F17579" s="7"/>
    </row>
    <row r="17580" spans="5:6" ht="15" customHeight="1" x14ac:dyDescent="0.2">
      <c r="E17580" s="7"/>
      <c r="F17580" s="7"/>
    </row>
    <row r="17581" spans="5:6" ht="15" customHeight="1" x14ac:dyDescent="0.2">
      <c r="E17581" s="7"/>
      <c r="F17581" s="7"/>
    </row>
    <row r="17582" spans="5:6" ht="15" customHeight="1" x14ac:dyDescent="0.2">
      <c r="E17582" s="7"/>
      <c r="F17582" s="7"/>
    </row>
    <row r="17583" spans="5:6" ht="15" customHeight="1" x14ac:dyDescent="0.2">
      <c r="E17583" s="7"/>
      <c r="F17583" s="7"/>
    </row>
    <row r="17584" spans="5:6" ht="15" customHeight="1" x14ac:dyDescent="0.2">
      <c r="E17584" s="7"/>
      <c r="F17584" s="7"/>
    </row>
    <row r="17585" spans="5:6" ht="15" customHeight="1" x14ac:dyDescent="0.2">
      <c r="E17585" s="7"/>
      <c r="F17585" s="7"/>
    </row>
    <row r="17586" spans="5:6" ht="15" customHeight="1" x14ac:dyDescent="0.2">
      <c r="E17586" s="7"/>
      <c r="F17586" s="7"/>
    </row>
    <row r="17587" spans="5:6" ht="15" customHeight="1" x14ac:dyDescent="0.2">
      <c r="E17587" s="7"/>
      <c r="F17587" s="7"/>
    </row>
    <row r="17588" spans="5:6" ht="15" customHeight="1" x14ac:dyDescent="0.2">
      <c r="E17588" s="7"/>
      <c r="F17588" s="7"/>
    </row>
    <row r="17589" spans="5:6" ht="15" customHeight="1" x14ac:dyDescent="0.2">
      <c r="E17589" s="7"/>
      <c r="F17589" s="7"/>
    </row>
    <row r="17590" spans="5:6" ht="15" customHeight="1" x14ac:dyDescent="0.2">
      <c r="E17590" s="7"/>
      <c r="F17590" s="7"/>
    </row>
    <row r="17591" spans="5:6" ht="15" customHeight="1" x14ac:dyDescent="0.2">
      <c r="E17591" s="7"/>
      <c r="F17591" s="7"/>
    </row>
    <row r="17592" spans="5:6" ht="15" customHeight="1" x14ac:dyDescent="0.2">
      <c r="E17592" s="7"/>
      <c r="F17592" s="7"/>
    </row>
    <row r="17593" spans="5:6" ht="15" customHeight="1" x14ac:dyDescent="0.2">
      <c r="E17593" s="7"/>
      <c r="F17593" s="7"/>
    </row>
    <row r="17594" spans="5:6" ht="15" customHeight="1" x14ac:dyDescent="0.2">
      <c r="E17594" s="7"/>
      <c r="F17594" s="7"/>
    </row>
    <row r="17595" spans="5:6" ht="15" customHeight="1" x14ac:dyDescent="0.2">
      <c r="E17595" s="7"/>
      <c r="F17595" s="7"/>
    </row>
    <row r="17596" spans="5:6" ht="15" customHeight="1" x14ac:dyDescent="0.2">
      <c r="E17596" s="7"/>
      <c r="F17596" s="7"/>
    </row>
    <row r="17597" spans="5:6" ht="15" customHeight="1" x14ac:dyDescent="0.2">
      <c r="E17597" s="7"/>
      <c r="F17597" s="7"/>
    </row>
    <row r="17598" spans="5:6" ht="15" customHeight="1" x14ac:dyDescent="0.2">
      <c r="E17598" s="7"/>
      <c r="F17598" s="7"/>
    </row>
    <row r="17599" spans="5:6" ht="15" customHeight="1" x14ac:dyDescent="0.2">
      <c r="E17599" s="7"/>
      <c r="F17599" s="7"/>
    </row>
    <row r="17600" spans="5:6" ht="15" customHeight="1" x14ac:dyDescent="0.2">
      <c r="E17600" s="7"/>
      <c r="F17600" s="7"/>
    </row>
    <row r="17601" spans="5:6" ht="15" customHeight="1" x14ac:dyDescent="0.2">
      <c r="E17601" s="7"/>
      <c r="F17601" s="7"/>
    </row>
    <row r="17602" spans="5:6" ht="15" customHeight="1" x14ac:dyDescent="0.2">
      <c r="E17602" s="7"/>
      <c r="F17602" s="7"/>
    </row>
    <row r="17603" spans="5:6" ht="15" customHeight="1" x14ac:dyDescent="0.2">
      <c r="E17603" s="7"/>
      <c r="F17603" s="7"/>
    </row>
    <row r="17604" spans="5:6" ht="15" customHeight="1" x14ac:dyDescent="0.2">
      <c r="E17604" s="7"/>
      <c r="F17604" s="7"/>
    </row>
    <row r="17605" spans="5:6" ht="15" customHeight="1" x14ac:dyDescent="0.2">
      <c r="E17605" s="7"/>
      <c r="F17605" s="7"/>
    </row>
    <row r="17606" spans="5:6" ht="15" customHeight="1" x14ac:dyDescent="0.2">
      <c r="E17606" s="7"/>
      <c r="F17606" s="7"/>
    </row>
    <row r="17607" spans="5:6" ht="15" customHeight="1" x14ac:dyDescent="0.2">
      <c r="E17607" s="7"/>
      <c r="F17607" s="7"/>
    </row>
    <row r="17608" spans="5:6" ht="15" customHeight="1" x14ac:dyDescent="0.2">
      <c r="E17608" s="7"/>
      <c r="F17608" s="7"/>
    </row>
    <row r="17609" spans="5:6" ht="15" customHeight="1" x14ac:dyDescent="0.2">
      <c r="E17609" s="7"/>
      <c r="F17609" s="7"/>
    </row>
    <row r="17610" spans="5:6" ht="15" customHeight="1" x14ac:dyDescent="0.2">
      <c r="E17610" s="7"/>
      <c r="F17610" s="7"/>
    </row>
    <row r="17611" spans="5:6" ht="15" customHeight="1" x14ac:dyDescent="0.2">
      <c r="E17611" s="7"/>
      <c r="F17611" s="7"/>
    </row>
    <row r="17612" spans="5:6" ht="15" customHeight="1" x14ac:dyDescent="0.2">
      <c r="E17612" s="7"/>
      <c r="F17612" s="7"/>
    </row>
    <row r="17613" spans="5:6" ht="15" customHeight="1" x14ac:dyDescent="0.2">
      <c r="E17613" s="7"/>
      <c r="F17613" s="7"/>
    </row>
    <row r="17614" spans="5:6" ht="15" customHeight="1" x14ac:dyDescent="0.2">
      <c r="E17614" s="7"/>
      <c r="F17614" s="7"/>
    </row>
    <row r="17615" spans="5:6" ht="15" customHeight="1" x14ac:dyDescent="0.2">
      <c r="E17615" s="7"/>
      <c r="F17615" s="7"/>
    </row>
    <row r="17616" spans="5:6" ht="15" customHeight="1" x14ac:dyDescent="0.2">
      <c r="E17616" s="7"/>
      <c r="F17616" s="7"/>
    </row>
    <row r="17617" spans="5:6" ht="15" customHeight="1" x14ac:dyDescent="0.2">
      <c r="E17617" s="7"/>
      <c r="F17617" s="7"/>
    </row>
    <row r="17618" spans="5:6" ht="15" customHeight="1" x14ac:dyDescent="0.2">
      <c r="E17618" s="7"/>
      <c r="F17618" s="7"/>
    </row>
    <row r="17619" spans="5:6" ht="15" customHeight="1" x14ac:dyDescent="0.2">
      <c r="E17619" s="7"/>
      <c r="F17619" s="7"/>
    </row>
    <row r="17620" spans="5:6" ht="15" customHeight="1" x14ac:dyDescent="0.2">
      <c r="E17620" s="7"/>
      <c r="F17620" s="7"/>
    </row>
    <row r="17621" spans="5:6" ht="15" customHeight="1" x14ac:dyDescent="0.2">
      <c r="E17621" s="7"/>
      <c r="F17621" s="7"/>
    </row>
    <row r="17622" spans="5:6" ht="15" customHeight="1" x14ac:dyDescent="0.2">
      <c r="E17622" s="7"/>
      <c r="F17622" s="7"/>
    </row>
    <row r="17623" spans="5:6" ht="15" customHeight="1" x14ac:dyDescent="0.2">
      <c r="E17623" s="7"/>
      <c r="F17623" s="7"/>
    </row>
    <row r="17624" spans="5:6" ht="15" customHeight="1" x14ac:dyDescent="0.2">
      <c r="E17624" s="7"/>
      <c r="F17624" s="7"/>
    </row>
    <row r="17625" spans="5:6" ht="15" customHeight="1" x14ac:dyDescent="0.2">
      <c r="E17625" s="7"/>
      <c r="F17625" s="7"/>
    </row>
    <row r="17626" spans="5:6" ht="15" customHeight="1" x14ac:dyDescent="0.2">
      <c r="E17626" s="7"/>
      <c r="F17626" s="7"/>
    </row>
    <row r="17627" spans="5:6" ht="15" customHeight="1" x14ac:dyDescent="0.2">
      <c r="E17627" s="7"/>
      <c r="F17627" s="7"/>
    </row>
    <row r="17628" spans="5:6" ht="15" customHeight="1" x14ac:dyDescent="0.2">
      <c r="E17628" s="7"/>
      <c r="F17628" s="7"/>
    </row>
    <row r="17629" spans="5:6" ht="15" customHeight="1" x14ac:dyDescent="0.2">
      <c r="E17629" s="7"/>
      <c r="F17629" s="7"/>
    </row>
    <row r="17630" spans="5:6" ht="15" customHeight="1" x14ac:dyDescent="0.2">
      <c r="E17630" s="7"/>
      <c r="F17630" s="7"/>
    </row>
    <row r="17631" spans="5:6" ht="15" customHeight="1" x14ac:dyDescent="0.2">
      <c r="E17631" s="7"/>
      <c r="F17631" s="7"/>
    </row>
    <row r="17632" spans="5:6" ht="15" customHeight="1" x14ac:dyDescent="0.2">
      <c r="E17632" s="7"/>
      <c r="F17632" s="7"/>
    </row>
    <row r="17633" spans="5:6" ht="15" customHeight="1" x14ac:dyDescent="0.2">
      <c r="E17633" s="7"/>
      <c r="F17633" s="7"/>
    </row>
    <row r="17634" spans="5:6" ht="15" customHeight="1" x14ac:dyDescent="0.2">
      <c r="E17634" s="7"/>
      <c r="F17634" s="7"/>
    </row>
    <row r="17635" spans="5:6" ht="15" customHeight="1" x14ac:dyDescent="0.2">
      <c r="E17635" s="7"/>
      <c r="F17635" s="7"/>
    </row>
    <row r="17636" spans="5:6" ht="15" customHeight="1" x14ac:dyDescent="0.2">
      <c r="E17636" s="7"/>
      <c r="F17636" s="7"/>
    </row>
    <row r="17637" spans="5:6" ht="15" customHeight="1" x14ac:dyDescent="0.2">
      <c r="E17637" s="7"/>
      <c r="F17637" s="7"/>
    </row>
    <row r="17638" spans="5:6" ht="15" customHeight="1" x14ac:dyDescent="0.2">
      <c r="E17638" s="7"/>
      <c r="F17638" s="7"/>
    </row>
    <row r="17639" spans="5:6" ht="15" customHeight="1" x14ac:dyDescent="0.2">
      <c r="E17639" s="7"/>
      <c r="F17639" s="7"/>
    </row>
    <row r="17640" spans="5:6" ht="15" customHeight="1" x14ac:dyDescent="0.2">
      <c r="E17640" s="7"/>
      <c r="F17640" s="7"/>
    </row>
    <row r="17641" spans="5:6" ht="15" customHeight="1" x14ac:dyDescent="0.2">
      <c r="E17641" s="7"/>
      <c r="F17641" s="7"/>
    </row>
    <row r="17642" spans="5:6" ht="15" customHeight="1" x14ac:dyDescent="0.2">
      <c r="E17642" s="7"/>
      <c r="F17642" s="7"/>
    </row>
    <row r="17643" spans="5:6" ht="15" customHeight="1" x14ac:dyDescent="0.2">
      <c r="E17643" s="7"/>
      <c r="F17643" s="7"/>
    </row>
    <row r="17644" spans="5:6" ht="15" customHeight="1" x14ac:dyDescent="0.2">
      <c r="E17644" s="7"/>
      <c r="F17644" s="7"/>
    </row>
    <row r="17645" spans="5:6" ht="15" customHeight="1" x14ac:dyDescent="0.2">
      <c r="E17645" s="7"/>
      <c r="F17645" s="7"/>
    </row>
    <row r="17646" spans="5:6" ht="15" customHeight="1" x14ac:dyDescent="0.2">
      <c r="E17646" s="7"/>
      <c r="F17646" s="7"/>
    </row>
    <row r="17647" spans="5:6" ht="15" customHeight="1" x14ac:dyDescent="0.2">
      <c r="E17647" s="7"/>
      <c r="F17647" s="7"/>
    </row>
    <row r="17648" spans="5:6" ht="15" customHeight="1" x14ac:dyDescent="0.2">
      <c r="E17648" s="7"/>
      <c r="F17648" s="7"/>
    </row>
    <row r="17649" spans="5:6" ht="15" customHeight="1" x14ac:dyDescent="0.2">
      <c r="E17649" s="7"/>
      <c r="F17649" s="7"/>
    </row>
    <row r="17650" spans="5:6" ht="15" customHeight="1" x14ac:dyDescent="0.2">
      <c r="E17650" s="7"/>
      <c r="F17650" s="7"/>
    </row>
    <row r="17651" spans="5:6" ht="15" customHeight="1" x14ac:dyDescent="0.2">
      <c r="E17651" s="7"/>
      <c r="F17651" s="7"/>
    </row>
    <row r="17652" spans="5:6" ht="15" customHeight="1" x14ac:dyDescent="0.2">
      <c r="E17652" s="7"/>
      <c r="F17652" s="7"/>
    </row>
    <row r="17653" spans="5:6" ht="15" customHeight="1" x14ac:dyDescent="0.2">
      <c r="E17653" s="7"/>
      <c r="F17653" s="7"/>
    </row>
    <row r="17654" spans="5:6" ht="15" customHeight="1" x14ac:dyDescent="0.2">
      <c r="E17654" s="7"/>
      <c r="F17654" s="7"/>
    </row>
    <row r="17655" spans="5:6" ht="15" customHeight="1" x14ac:dyDescent="0.2">
      <c r="E17655" s="7"/>
      <c r="F17655" s="7"/>
    </row>
    <row r="17656" spans="5:6" ht="15" customHeight="1" x14ac:dyDescent="0.2">
      <c r="E17656" s="7"/>
      <c r="F17656" s="7"/>
    </row>
    <row r="17657" spans="5:6" ht="15" customHeight="1" x14ac:dyDescent="0.2">
      <c r="E17657" s="7"/>
      <c r="F17657" s="7"/>
    </row>
    <row r="17658" spans="5:6" ht="15" customHeight="1" x14ac:dyDescent="0.2">
      <c r="E17658" s="7"/>
      <c r="F17658" s="7"/>
    </row>
    <row r="17659" spans="5:6" ht="15" customHeight="1" x14ac:dyDescent="0.2">
      <c r="E17659" s="7"/>
      <c r="F17659" s="7"/>
    </row>
    <row r="17660" spans="5:6" ht="15" customHeight="1" x14ac:dyDescent="0.2">
      <c r="E17660" s="7"/>
      <c r="F17660" s="7"/>
    </row>
    <row r="17661" spans="5:6" ht="15" customHeight="1" x14ac:dyDescent="0.2">
      <c r="E17661" s="7"/>
      <c r="F17661" s="7"/>
    </row>
    <row r="17662" spans="5:6" ht="15" customHeight="1" x14ac:dyDescent="0.2">
      <c r="E17662" s="7"/>
      <c r="F17662" s="7"/>
    </row>
    <row r="17663" spans="5:6" ht="15" customHeight="1" x14ac:dyDescent="0.2">
      <c r="E17663" s="7"/>
      <c r="F17663" s="7"/>
    </row>
    <row r="17664" spans="5:6" ht="15" customHeight="1" x14ac:dyDescent="0.2">
      <c r="E17664" s="7"/>
      <c r="F17664" s="7"/>
    </row>
    <row r="17665" spans="5:6" ht="15" customHeight="1" x14ac:dyDescent="0.2">
      <c r="E17665" s="7"/>
      <c r="F17665" s="7"/>
    </row>
    <row r="17666" spans="5:6" ht="15" customHeight="1" x14ac:dyDescent="0.2">
      <c r="E17666" s="7"/>
      <c r="F17666" s="7"/>
    </row>
    <row r="17667" spans="5:6" ht="15" customHeight="1" x14ac:dyDescent="0.2">
      <c r="E17667" s="7"/>
      <c r="F17667" s="7"/>
    </row>
    <row r="17668" spans="5:6" ht="15" customHeight="1" x14ac:dyDescent="0.2">
      <c r="E17668" s="7"/>
      <c r="F17668" s="7"/>
    </row>
    <row r="17669" spans="5:6" ht="15" customHeight="1" x14ac:dyDescent="0.2">
      <c r="E17669" s="7"/>
      <c r="F17669" s="7"/>
    </row>
    <row r="17670" spans="5:6" ht="15" customHeight="1" x14ac:dyDescent="0.2">
      <c r="E17670" s="7"/>
      <c r="F17670" s="7"/>
    </row>
    <row r="17671" spans="5:6" ht="15" customHeight="1" x14ac:dyDescent="0.2">
      <c r="E17671" s="7"/>
      <c r="F17671" s="7"/>
    </row>
    <row r="17672" spans="5:6" ht="15" customHeight="1" x14ac:dyDescent="0.2">
      <c r="E17672" s="7"/>
      <c r="F17672" s="7"/>
    </row>
    <row r="17673" spans="5:6" ht="15" customHeight="1" x14ac:dyDescent="0.2">
      <c r="E17673" s="7"/>
      <c r="F17673" s="7"/>
    </row>
    <row r="17674" spans="5:6" ht="15" customHeight="1" x14ac:dyDescent="0.2">
      <c r="E17674" s="7"/>
      <c r="F17674" s="7"/>
    </row>
    <row r="17675" spans="5:6" ht="15" customHeight="1" x14ac:dyDescent="0.2">
      <c r="E17675" s="7"/>
      <c r="F17675" s="7"/>
    </row>
    <row r="17676" spans="5:6" ht="15" customHeight="1" x14ac:dyDescent="0.2">
      <c r="E17676" s="7"/>
      <c r="F17676" s="7"/>
    </row>
    <row r="17677" spans="5:6" ht="15" customHeight="1" x14ac:dyDescent="0.2">
      <c r="E17677" s="7"/>
      <c r="F17677" s="7"/>
    </row>
    <row r="17678" spans="5:6" ht="15" customHeight="1" x14ac:dyDescent="0.2">
      <c r="E17678" s="7"/>
      <c r="F17678" s="7"/>
    </row>
    <row r="17679" spans="5:6" ht="15" customHeight="1" x14ac:dyDescent="0.2">
      <c r="E17679" s="7"/>
      <c r="F17679" s="7"/>
    </row>
    <row r="17680" spans="5:6" ht="15" customHeight="1" x14ac:dyDescent="0.2">
      <c r="E17680" s="7"/>
      <c r="F17680" s="7"/>
    </row>
    <row r="17681" spans="5:6" ht="15" customHeight="1" x14ac:dyDescent="0.2">
      <c r="E17681" s="7"/>
      <c r="F17681" s="7"/>
    </row>
    <row r="17682" spans="5:6" ht="15" customHeight="1" x14ac:dyDescent="0.2">
      <c r="E17682" s="7"/>
      <c r="F17682" s="7"/>
    </row>
    <row r="17683" spans="5:6" ht="15" customHeight="1" x14ac:dyDescent="0.2">
      <c r="E17683" s="7"/>
      <c r="F17683" s="7"/>
    </row>
    <row r="17684" spans="5:6" ht="15" customHeight="1" x14ac:dyDescent="0.2">
      <c r="E17684" s="7"/>
      <c r="F17684" s="7"/>
    </row>
    <row r="17685" spans="5:6" ht="15" customHeight="1" x14ac:dyDescent="0.2">
      <c r="E17685" s="7"/>
      <c r="F17685" s="7"/>
    </row>
    <row r="17686" spans="5:6" ht="15" customHeight="1" x14ac:dyDescent="0.2">
      <c r="E17686" s="7"/>
      <c r="F17686" s="7"/>
    </row>
    <row r="17687" spans="5:6" ht="15" customHeight="1" x14ac:dyDescent="0.2">
      <c r="E17687" s="7"/>
      <c r="F17687" s="7"/>
    </row>
    <row r="17688" spans="5:6" ht="15" customHeight="1" x14ac:dyDescent="0.2">
      <c r="E17688" s="7"/>
      <c r="F17688" s="7"/>
    </row>
    <row r="17689" spans="5:6" ht="15" customHeight="1" x14ac:dyDescent="0.2">
      <c r="E17689" s="7"/>
      <c r="F17689" s="7"/>
    </row>
    <row r="17690" spans="5:6" ht="15" customHeight="1" x14ac:dyDescent="0.2">
      <c r="E17690" s="7"/>
      <c r="F17690" s="7"/>
    </row>
    <row r="17691" spans="5:6" ht="15" customHeight="1" x14ac:dyDescent="0.2">
      <c r="E17691" s="7"/>
      <c r="F17691" s="7"/>
    </row>
    <row r="17692" spans="5:6" ht="15" customHeight="1" x14ac:dyDescent="0.2">
      <c r="E17692" s="7"/>
      <c r="F17692" s="7"/>
    </row>
    <row r="17693" spans="5:6" ht="15" customHeight="1" x14ac:dyDescent="0.2">
      <c r="E17693" s="7"/>
      <c r="F17693" s="7"/>
    </row>
    <row r="17694" spans="5:6" ht="15" customHeight="1" x14ac:dyDescent="0.2">
      <c r="E17694" s="7"/>
      <c r="F17694" s="7"/>
    </row>
    <row r="17695" spans="5:6" ht="15" customHeight="1" x14ac:dyDescent="0.2">
      <c r="E17695" s="7"/>
      <c r="F17695" s="7"/>
    </row>
    <row r="17696" spans="5:6" ht="15" customHeight="1" x14ac:dyDescent="0.2">
      <c r="E17696" s="7"/>
      <c r="F17696" s="7"/>
    </row>
    <row r="17697" spans="5:6" ht="15" customHeight="1" x14ac:dyDescent="0.2">
      <c r="E17697" s="7"/>
      <c r="F17697" s="7"/>
    </row>
    <row r="17698" spans="5:6" ht="15" customHeight="1" x14ac:dyDescent="0.2">
      <c r="E17698" s="7"/>
      <c r="F17698" s="7"/>
    </row>
    <row r="17699" spans="5:6" ht="15" customHeight="1" x14ac:dyDescent="0.2">
      <c r="E17699" s="7"/>
      <c r="F17699" s="7"/>
    </row>
    <row r="17700" spans="5:6" ht="15" customHeight="1" x14ac:dyDescent="0.2">
      <c r="E17700" s="7"/>
      <c r="F17700" s="7"/>
    </row>
    <row r="17701" spans="5:6" ht="15" customHeight="1" x14ac:dyDescent="0.2">
      <c r="E17701" s="7"/>
      <c r="F17701" s="7"/>
    </row>
    <row r="17702" spans="5:6" ht="15" customHeight="1" x14ac:dyDescent="0.2">
      <c r="E17702" s="7"/>
      <c r="F17702" s="7"/>
    </row>
    <row r="17703" spans="5:6" ht="15" customHeight="1" x14ac:dyDescent="0.2">
      <c r="E17703" s="7"/>
      <c r="F17703" s="7"/>
    </row>
    <row r="17704" spans="5:6" ht="15" customHeight="1" x14ac:dyDescent="0.2">
      <c r="E17704" s="7"/>
      <c r="F17704" s="7"/>
    </row>
    <row r="17705" spans="5:6" ht="15" customHeight="1" x14ac:dyDescent="0.2">
      <c r="E17705" s="7"/>
      <c r="F17705" s="7"/>
    </row>
    <row r="17706" spans="5:6" ht="15" customHeight="1" x14ac:dyDescent="0.2">
      <c r="E17706" s="7"/>
      <c r="F17706" s="7"/>
    </row>
    <row r="17707" spans="5:6" ht="15" customHeight="1" x14ac:dyDescent="0.2">
      <c r="E17707" s="7"/>
      <c r="F17707" s="7"/>
    </row>
    <row r="17708" spans="5:6" ht="15" customHeight="1" x14ac:dyDescent="0.2">
      <c r="E17708" s="7"/>
      <c r="F17708" s="7"/>
    </row>
    <row r="17709" spans="5:6" ht="15" customHeight="1" x14ac:dyDescent="0.2">
      <c r="E17709" s="7"/>
      <c r="F17709" s="7"/>
    </row>
    <row r="17710" spans="5:6" ht="15" customHeight="1" x14ac:dyDescent="0.2">
      <c r="E17710" s="7"/>
      <c r="F17710" s="7"/>
    </row>
    <row r="17711" spans="5:6" ht="15" customHeight="1" x14ac:dyDescent="0.2">
      <c r="E17711" s="7"/>
      <c r="F17711" s="7"/>
    </row>
    <row r="17712" spans="5:6" ht="15" customHeight="1" x14ac:dyDescent="0.2">
      <c r="E17712" s="7"/>
      <c r="F17712" s="7"/>
    </row>
    <row r="17713" spans="5:6" ht="15" customHeight="1" x14ac:dyDescent="0.2">
      <c r="E17713" s="7"/>
      <c r="F17713" s="7"/>
    </row>
    <row r="17714" spans="5:6" ht="15" customHeight="1" x14ac:dyDescent="0.2">
      <c r="E17714" s="7"/>
      <c r="F17714" s="7"/>
    </row>
    <row r="17715" spans="5:6" ht="15" customHeight="1" x14ac:dyDescent="0.2">
      <c r="E17715" s="7"/>
      <c r="F17715" s="7"/>
    </row>
    <row r="17716" spans="5:6" ht="15" customHeight="1" x14ac:dyDescent="0.2">
      <c r="E17716" s="7"/>
      <c r="F17716" s="7"/>
    </row>
    <row r="17717" spans="5:6" ht="15" customHeight="1" x14ac:dyDescent="0.2">
      <c r="E17717" s="7"/>
      <c r="F17717" s="7"/>
    </row>
    <row r="17718" spans="5:6" ht="15" customHeight="1" x14ac:dyDescent="0.2">
      <c r="E17718" s="7"/>
      <c r="F17718" s="7"/>
    </row>
    <row r="17719" spans="5:6" ht="15" customHeight="1" x14ac:dyDescent="0.2">
      <c r="E17719" s="7"/>
      <c r="F17719" s="7"/>
    </row>
    <row r="17720" spans="5:6" ht="15" customHeight="1" x14ac:dyDescent="0.2">
      <c r="E17720" s="7"/>
      <c r="F17720" s="7"/>
    </row>
    <row r="17721" spans="5:6" ht="15" customHeight="1" x14ac:dyDescent="0.2">
      <c r="E17721" s="7"/>
      <c r="F17721" s="7"/>
    </row>
    <row r="17722" spans="5:6" ht="15" customHeight="1" x14ac:dyDescent="0.2">
      <c r="E17722" s="7"/>
      <c r="F17722" s="7"/>
    </row>
    <row r="17723" spans="5:6" ht="15" customHeight="1" x14ac:dyDescent="0.2">
      <c r="E17723" s="7"/>
      <c r="F17723" s="7"/>
    </row>
    <row r="17724" spans="5:6" ht="15" customHeight="1" x14ac:dyDescent="0.2">
      <c r="E17724" s="7"/>
      <c r="F17724" s="7"/>
    </row>
    <row r="17725" spans="5:6" ht="15" customHeight="1" x14ac:dyDescent="0.2">
      <c r="E17725" s="7"/>
      <c r="F17725" s="7"/>
    </row>
    <row r="17726" spans="5:6" ht="15" customHeight="1" x14ac:dyDescent="0.2">
      <c r="E17726" s="7"/>
      <c r="F17726" s="7"/>
    </row>
    <row r="17727" spans="5:6" ht="15" customHeight="1" x14ac:dyDescent="0.2">
      <c r="E17727" s="7"/>
      <c r="F17727" s="7"/>
    </row>
    <row r="17728" spans="5:6" ht="15" customHeight="1" x14ac:dyDescent="0.2">
      <c r="E17728" s="7"/>
      <c r="F17728" s="7"/>
    </row>
    <row r="17729" spans="5:6" ht="15" customHeight="1" x14ac:dyDescent="0.2">
      <c r="E17729" s="7"/>
      <c r="F17729" s="7"/>
    </row>
    <row r="17730" spans="5:6" ht="15" customHeight="1" x14ac:dyDescent="0.2">
      <c r="E17730" s="7"/>
      <c r="F17730" s="7"/>
    </row>
    <row r="17731" spans="5:6" ht="15" customHeight="1" x14ac:dyDescent="0.2">
      <c r="E17731" s="7"/>
      <c r="F17731" s="7"/>
    </row>
    <row r="17732" spans="5:6" ht="15" customHeight="1" x14ac:dyDescent="0.2">
      <c r="E17732" s="7"/>
      <c r="F17732" s="7"/>
    </row>
    <row r="17733" spans="5:6" ht="15" customHeight="1" x14ac:dyDescent="0.2">
      <c r="E17733" s="7"/>
      <c r="F17733" s="7"/>
    </row>
    <row r="17734" spans="5:6" ht="15" customHeight="1" x14ac:dyDescent="0.2">
      <c r="E17734" s="7"/>
      <c r="F17734" s="7"/>
    </row>
    <row r="17735" spans="5:6" ht="15" customHeight="1" x14ac:dyDescent="0.2">
      <c r="E17735" s="7"/>
      <c r="F17735" s="7"/>
    </row>
    <row r="17736" spans="5:6" ht="15" customHeight="1" x14ac:dyDescent="0.2">
      <c r="E17736" s="7"/>
      <c r="F17736" s="7"/>
    </row>
    <row r="17737" spans="5:6" ht="15" customHeight="1" x14ac:dyDescent="0.2">
      <c r="E17737" s="7"/>
      <c r="F17737" s="7"/>
    </row>
    <row r="17738" spans="5:6" ht="15" customHeight="1" x14ac:dyDescent="0.2">
      <c r="E17738" s="7"/>
      <c r="F17738" s="7"/>
    </row>
    <row r="17739" spans="5:6" ht="15" customHeight="1" x14ac:dyDescent="0.2">
      <c r="E17739" s="7"/>
      <c r="F17739" s="7"/>
    </row>
    <row r="17740" spans="5:6" ht="15" customHeight="1" x14ac:dyDescent="0.2">
      <c r="E17740" s="7"/>
      <c r="F17740" s="7"/>
    </row>
    <row r="17741" spans="5:6" ht="15" customHeight="1" x14ac:dyDescent="0.2">
      <c r="E17741" s="7"/>
      <c r="F17741" s="7"/>
    </row>
    <row r="17742" spans="5:6" ht="15" customHeight="1" x14ac:dyDescent="0.2">
      <c r="E17742" s="7"/>
      <c r="F17742" s="7"/>
    </row>
    <row r="17743" spans="5:6" ht="15" customHeight="1" x14ac:dyDescent="0.2">
      <c r="E17743" s="7"/>
      <c r="F17743" s="7"/>
    </row>
    <row r="17744" spans="5:6" ht="15" customHeight="1" x14ac:dyDescent="0.2">
      <c r="E17744" s="7"/>
      <c r="F17744" s="7"/>
    </row>
    <row r="17745" spans="5:6" ht="15" customHeight="1" x14ac:dyDescent="0.2">
      <c r="E17745" s="7"/>
      <c r="F17745" s="7"/>
    </row>
    <row r="17746" spans="5:6" ht="15" customHeight="1" x14ac:dyDescent="0.2">
      <c r="E17746" s="7"/>
      <c r="F17746" s="7"/>
    </row>
    <row r="17747" spans="5:6" ht="15" customHeight="1" x14ac:dyDescent="0.2">
      <c r="E17747" s="7"/>
      <c r="F17747" s="7"/>
    </row>
    <row r="17748" spans="5:6" ht="15" customHeight="1" x14ac:dyDescent="0.2">
      <c r="E17748" s="7"/>
      <c r="F17748" s="7"/>
    </row>
    <row r="17749" spans="5:6" ht="15" customHeight="1" x14ac:dyDescent="0.2">
      <c r="E17749" s="7"/>
      <c r="F17749" s="7"/>
    </row>
    <row r="17750" spans="5:6" ht="15" customHeight="1" x14ac:dyDescent="0.2">
      <c r="E17750" s="7"/>
      <c r="F17750" s="7"/>
    </row>
    <row r="17751" spans="5:6" ht="15" customHeight="1" x14ac:dyDescent="0.2">
      <c r="E17751" s="7"/>
      <c r="F17751" s="7"/>
    </row>
    <row r="17752" spans="5:6" ht="15" customHeight="1" x14ac:dyDescent="0.2">
      <c r="E17752" s="7"/>
      <c r="F17752" s="7"/>
    </row>
    <row r="17753" spans="5:6" ht="15" customHeight="1" x14ac:dyDescent="0.2">
      <c r="E17753" s="7"/>
      <c r="F17753" s="7"/>
    </row>
    <row r="17754" spans="5:6" ht="15" customHeight="1" x14ac:dyDescent="0.2">
      <c r="E17754" s="7"/>
      <c r="F17754" s="7"/>
    </row>
    <row r="17755" spans="5:6" ht="15" customHeight="1" x14ac:dyDescent="0.2">
      <c r="E17755" s="7"/>
      <c r="F17755" s="7"/>
    </row>
    <row r="17756" spans="5:6" ht="15" customHeight="1" x14ac:dyDescent="0.2">
      <c r="E17756" s="7"/>
      <c r="F17756" s="7"/>
    </row>
    <row r="17757" spans="5:6" ht="15" customHeight="1" x14ac:dyDescent="0.2">
      <c r="E17757" s="7"/>
      <c r="F17757" s="7"/>
    </row>
    <row r="17758" spans="5:6" ht="15" customHeight="1" x14ac:dyDescent="0.2">
      <c r="E17758" s="7"/>
      <c r="F17758" s="7"/>
    </row>
    <row r="17759" spans="5:6" ht="15" customHeight="1" x14ac:dyDescent="0.2">
      <c r="E17759" s="7"/>
      <c r="F17759" s="7"/>
    </row>
    <row r="17760" spans="5:6" ht="15" customHeight="1" x14ac:dyDescent="0.2">
      <c r="E17760" s="7"/>
      <c r="F17760" s="7"/>
    </row>
    <row r="17761" spans="5:6" ht="15" customHeight="1" x14ac:dyDescent="0.2">
      <c r="E17761" s="7"/>
      <c r="F17761" s="7"/>
    </row>
    <row r="17762" spans="5:6" ht="15" customHeight="1" x14ac:dyDescent="0.2">
      <c r="E17762" s="7"/>
      <c r="F17762" s="7"/>
    </row>
    <row r="17763" spans="5:6" ht="15" customHeight="1" x14ac:dyDescent="0.2">
      <c r="E17763" s="7"/>
      <c r="F17763" s="7"/>
    </row>
    <row r="17764" spans="5:6" ht="15" customHeight="1" x14ac:dyDescent="0.2">
      <c r="E17764" s="7"/>
      <c r="F17764" s="7"/>
    </row>
    <row r="17765" spans="5:6" ht="15" customHeight="1" x14ac:dyDescent="0.2">
      <c r="E17765" s="7"/>
      <c r="F17765" s="7"/>
    </row>
    <row r="17766" spans="5:6" ht="15" customHeight="1" x14ac:dyDescent="0.2">
      <c r="E17766" s="7"/>
      <c r="F17766" s="7"/>
    </row>
    <row r="17767" spans="5:6" ht="15" customHeight="1" x14ac:dyDescent="0.2">
      <c r="E17767" s="7"/>
      <c r="F17767" s="7"/>
    </row>
    <row r="17768" spans="5:6" ht="15" customHeight="1" x14ac:dyDescent="0.2">
      <c r="E17768" s="7"/>
      <c r="F17768" s="7"/>
    </row>
    <row r="17769" spans="5:6" ht="15" customHeight="1" x14ac:dyDescent="0.2">
      <c r="E17769" s="7"/>
      <c r="F17769" s="7"/>
    </row>
    <row r="17770" spans="5:6" ht="15" customHeight="1" x14ac:dyDescent="0.2">
      <c r="E17770" s="7"/>
      <c r="F17770" s="7"/>
    </row>
    <row r="17771" spans="5:6" ht="15" customHeight="1" x14ac:dyDescent="0.2">
      <c r="E17771" s="7"/>
      <c r="F17771" s="7"/>
    </row>
    <row r="17772" spans="5:6" ht="15" customHeight="1" x14ac:dyDescent="0.2">
      <c r="E17772" s="7"/>
      <c r="F17772" s="7"/>
    </row>
    <row r="17773" spans="5:6" ht="15" customHeight="1" x14ac:dyDescent="0.2">
      <c r="E17773" s="7"/>
      <c r="F17773" s="7"/>
    </row>
    <row r="17774" spans="5:6" ht="15" customHeight="1" x14ac:dyDescent="0.2">
      <c r="E17774" s="7"/>
      <c r="F17774" s="7"/>
    </row>
    <row r="17775" spans="5:6" ht="15" customHeight="1" x14ac:dyDescent="0.2">
      <c r="E17775" s="7"/>
      <c r="F17775" s="7"/>
    </row>
    <row r="17776" spans="5:6" ht="15" customHeight="1" x14ac:dyDescent="0.2">
      <c r="E17776" s="7"/>
      <c r="F17776" s="7"/>
    </row>
    <row r="17777" spans="5:6" ht="15" customHeight="1" x14ac:dyDescent="0.2">
      <c r="E17777" s="7"/>
      <c r="F17777" s="7"/>
    </row>
    <row r="17778" spans="5:6" ht="15" customHeight="1" x14ac:dyDescent="0.2">
      <c r="E17778" s="7"/>
      <c r="F17778" s="7"/>
    </row>
    <row r="17779" spans="5:6" ht="15" customHeight="1" x14ac:dyDescent="0.2">
      <c r="E17779" s="7"/>
      <c r="F17779" s="7"/>
    </row>
    <row r="17780" spans="5:6" ht="15" customHeight="1" x14ac:dyDescent="0.2">
      <c r="E17780" s="7"/>
      <c r="F17780" s="7"/>
    </row>
    <row r="17781" spans="5:6" ht="15" customHeight="1" x14ac:dyDescent="0.2">
      <c r="E17781" s="7"/>
      <c r="F17781" s="7"/>
    </row>
    <row r="17782" spans="5:6" ht="15" customHeight="1" x14ac:dyDescent="0.2">
      <c r="E17782" s="7"/>
      <c r="F17782" s="7"/>
    </row>
    <row r="17783" spans="5:6" ht="15" customHeight="1" x14ac:dyDescent="0.2">
      <c r="E17783" s="7"/>
      <c r="F17783" s="7"/>
    </row>
    <row r="17784" spans="5:6" ht="15" customHeight="1" x14ac:dyDescent="0.2">
      <c r="E17784" s="7"/>
      <c r="F17784" s="7"/>
    </row>
    <row r="17785" spans="5:6" ht="15" customHeight="1" x14ac:dyDescent="0.2">
      <c r="E17785" s="7"/>
      <c r="F17785" s="7"/>
    </row>
    <row r="17786" spans="5:6" ht="15" customHeight="1" x14ac:dyDescent="0.2">
      <c r="E17786" s="7"/>
      <c r="F17786" s="7"/>
    </row>
    <row r="17787" spans="5:6" ht="15" customHeight="1" x14ac:dyDescent="0.2">
      <c r="E17787" s="7"/>
      <c r="F17787" s="7"/>
    </row>
    <row r="17788" spans="5:6" ht="15" customHeight="1" x14ac:dyDescent="0.2">
      <c r="E17788" s="7"/>
      <c r="F17788" s="7"/>
    </row>
    <row r="17789" spans="5:6" ht="15" customHeight="1" x14ac:dyDescent="0.2">
      <c r="E17789" s="7"/>
      <c r="F17789" s="7"/>
    </row>
    <row r="17790" spans="5:6" ht="15" customHeight="1" x14ac:dyDescent="0.2">
      <c r="E17790" s="7"/>
      <c r="F17790" s="7"/>
    </row>
    <row r="17791" spans="5:6" ht="15" customHeight="1" x14ac:dyDescent="0.2">
      <c r="E17791" s="7"/>
      <c r="F17791" s="7"/>
    </row>
    <row r="17792" spans="5:6" ht="15" customHeight="1" x14ac:dyDescent="0.2">
      <c r="E17792" s="7"/>
      <c r="F17792" s="7"/>
    </row>
    <row r="17793" spans="5:6" ht="15" customHeight="1" x14ac:dyDescent="0.2">
      <c r="E17793" s="7"/>
      <c r="F17793" s="7"/>
    </row>
    <row r="17794" spans="5:6" ht="15" customHeight="1" x14ac:dyDescent="0.2">
      <c r="E17794" s="7"/>
      <c r="F17794" s="7"/>
    </row>
    <row r="17795" spans="5:6" ht="15" customHeight="1" x14ac:dyDescent="0.2">
      <c r="E17795" s="7"/>
      <c r="F17795" s="7"/>
    </row>
    <row r="17796" spans="5:6" ht="15" customHeight="1" x14ac:dyDescent="0.2">
      <c r="E17796" s="7"/>
      <c r="F17796" s="7"/>
    </row>
    <row r="17797" spans="5:6" ht="15" customHeight="1" x14ac:dyDescent="0.2">
      <c r="E17797" s="7"/>
      <c r="F17797" s="7"/>
    </row>
    <row r="17798" spans="5:6" ht="15" customHeight="1" x14ac:dyDescent="0.2">
      <c r="E17798" s="7"/>
      <c r="F17798" s="7"/>
    </row>
    <row r="17799" spans="5:6" ht="15" customHeight="1" x14ac:dyDescent="0.2">
      <c r="E17799" s="7"/>
      <c r="F17799" s="7"/>
    </row>
    <row r="17800" spans="5:6" ht="15" customHeight="1" x14ac:dyDescent="0.2">
      <c r="E17800" s="7"/>
      <c r="F17800" s="7"/>
    </row>
    <row r="17801" spans="5:6" ht="15" customHeight="1" x14ac:dyDescent="0.2">
      <c r="E17801" s="7"/>
      <c r="F17801" s="7"/>
    </row>
    <row r="17802" spans="5:6" ht="15" customHeight="1" x14ac:dyDescent="0.2">
      <c r="E17802" s="7"/>
      <c r="F17802" s="7"/>
    </row>
    <row r="17803" spans="5:6" ht="15" customHeight="1" x14ac:dyDescent="0.2">
      <c r="E17803" s="7"/>
      <c r="F17803" s="7"/>
    </row>
    <row r="17804" spans="5:6" ht="15" customHeight="1" x14ac:dyDescent="0.2">
      <c r="E17804" s="7"/>
      <c r="F17804" s="7"/>
    </row>
    <row r="17805" spans="5:6" ht="15" customHeight="1" x14ac:dyDescent="0.2">
      <c r="E17805" s="7"/>
      <c r="F17805" s="7"/>
    </row>
    <row r="17806" spans="5:6" ht="15" customHeight="1" x14ac:dyDescent="0.2">
      <c r="E17806" s="7"/>
      <c r="F17806" s="7"/>
    </row>
    <row r="17807" spans="5:6" ht="15" customHeight="1" x14ac:dyDescent="0.2">
      <c r="E17807" s="7"/>
      <c r="F17807" s="7"/>
    </row>
    <row r="17808" spans="5:6" ht="15" customHeight="1" x14ac:dyDescent="0.2">
      <c r="E17808" s="7"/>
      <c r="F17808" s="7"/>
    </row>
    <row r="17809" spans="5:6" ht="15" customHeight="1" x14ac:dyDescent="0.2">
      <c r="E17809" s="7"/>
      <c r="F17809" s="7"/>
    </row>
    <row r="17810" spans="5:6" ht="15" customHeight="1" x14ac:dyDescent="0.2">
      <c r="E17810" s="7"/>
      <c r="F17810" s="7"/>
    </row>
    <row r="17811" spans="5:6" ht="15" customHeight="1" x14ac:dyDescent="0.2">
      <c r="E17811" s="7"/>
      <c r="F17811" s="7"/>
    </row>
    <row r="17812" spans="5:6" ht="15" customHeight="1" x14ac:dyDescent="0.2">
      <c r="E17812" s="7"/>
      <c r="F17812" s="7"/>
    </row>
    <row r="17813" spans="5:6" ht="15" customHeight="1" x14ac:dyDescent="0.2">
      <c r="E17813" s="7"/>
      <c r="F17813" s="7"/>
    </row>
    <row r="17814" spans="5:6" ht="15" customHeight="1" x14ac:dyDescent="0.2">
      <c r="E17814" s="7"/>
      <c r="F17814" s="7"/>
    </row>
    <row r="17815" spans="5:6" ht="15" customHeight="1" x14ac:dyDescent="0.2">
      <c r="E17815" s="7"/>
      <c r="F17815" s="7"/>
    </row>
    <row r="17816" spans="5:6" ht="15" customHeight="1" x14ac:dyDescent="0.2">
      <c r="E17816" s="7"/>
      <c r="F17816" s="7"/>
    </row>
    <row r="17817" spans="5:6" ht="15" customHeight="1" x14ac:dyDescent="0.2">
      <c r="E17817" s="7"/>
      <c r="F17817" s="7"/>
    </row>
    <row r="17818" spans="5:6" ht="15" customHeight="1" x14ac:dyDescent="0.2">
      <c r="E17818" s="7"/>
      <c r="F17818" s="7"/>
    </row>
    <row r="17819" spans="5:6" ht="15" customHeight="1" x14ac:dyDescent="0.2">
      <c r="E17819" s="7"/>
      <c r="F17819" s="7"/>
    </row>
    <row r="17820" spans="5:6" ht="15" customHeight="1" x14ac:dyDescent="0.2">
      <c r="E17820" s="7"/>
      <c r="F17820" s="7"/>
    </row>
    <row r="17821" spans="5:6" ht="15" customHeight="1" x14ac:dyDescent="0.2">
      <c r="E17821" s="7"/>
      <c r="F17821" s="7"/>
    </row>
    <row r="17822" spans="5:6" ht="15" customHeight="1" x14ac:dyDescent="0.2">
      <c r="E17822" s="7"/>
      <c r="F17822" s="7"/>
    </row>
    <row r="17823" spans="5:6" ht="15" customHeight="1" x14ac:dyDescent="0.2">
      <c r="E17823" s="7"/>
      <c r="F17823" s="7"/>
    </row>
    <row r="17824" spans="5:6" ht="15" customHeight="1" x14ac:dyDescent="0.2">
      <c r="E17824" s="7"/>
      <c r="F17824" s="7"/>
    </row>
    <row r="17825" spans="5:6" ht="15" customHeight="1" x14ac:dyDescent="0.2">
      <c r="E17825" s="7"/>
      <c r="F17825" s="7"/>
    </row>
    <row r="17826" spans="5:6" ht="15" customHeight="1" x14ac:dyDescent="0.2">
      <c r="E17826" s="7"/>
      <c r="F17826" s="7"/>
    </row>
    <row r="17827" spans="5:6" ht="15" customHeight="1" x14ac:dyDescent="0.2">
      <c r="E17827" s="7"/>
      <c r="F17827" s="7"/>
    </row>
    <row r="17828" spans="5:6" ht="15" customHeight="1" x14ac:dyDescent="0.2">
      <c r="E17828" s="7"/>
      <c r="F17828" s="7"/>
    </row>
    <row r="17829" spans="5:6" ht="15" customHeight="1" x14ac:dyDescent="0.2">
      <c r="E17829" s="7"/>
      <c r="F17829" s="7"/>
    </row>
    <row r="17830" spans="5:6" ht="15" customHeight="1" x14ac:dyDescent="0.2">
      <c r="E17830" s="7"/>
      <c r="F17830" s="7"/>
    </row>
    <row r="17831" spans="5:6" ht="15" customHeight="1" x14ac:dyDescent="0.2">
      <c r="E17831" s="7"/>
      <c r="F17831" s="7"/>
    </row>
    <row r="17832" spans="5:6" ht="15" customHeight="1" x14ac:dyDescent="0.2">
      <c r="E17832" s="7"/>
      <c r="F17832" s="7"/>
    </row>
    <row r="17833" spans="5:6" ht="15" customHeight="1" x14ac:dyDescent="0.2">
      <c r="E17833" s="7"/>
      <c r="F17833" s="7"/>
    </row>
    <row r="17834" spans="5:6" ht="15" customHeight="1" x14ac:dyDescent="0.2">
      <c r="E17834" s="7"/>
      <c r="F17834" s="7"/>
    </row>
    <row r="17835" spans="5:6" ht="15" customHeight="1" x14ac:dyDescent="0.2">
      <c r="E17835" s="7"/>
      <c r="F17835" s="7"/>
    </row>
    <row r="17836" spans="5:6" ht="15" customHeight="1" x14ac:dyDescent="0.2">
      <c r="E17836" s="7"/>
      <c r="F17836" s="7"/>
    </row>
    <row r="17837" spans="5:6" ht="15" customHeight="1" x14ac:dyDescent="0.2">
      <c r="E17837" s="7"/>
      <c r="F17837" s="7"/>
    </row>
    <row r="17838" spans="5:6" ht="15" customHeight="1" x14ac:dyDescent="0.2">
      <c r="E17838" s="7"/>
      <c r="F17838" s="7"/>
    </row>
    <row r="17839" spans="5:6" ht="15" customHeight="1" x14ac:dyDescent="0.2">
      <c r="E17839" s="7"/>
      <c r="F17839" s="7"/>
    </row>
    <row r="17840" spans="5:6" ht="15" customHeight="1" x14ac:dyDescent="0.2">
      <c r="E17840" s="7"/>
      <c r="F17840" s="7"/>
    </row>
    <row r="17841" spans="5:6" ht="15" customHeight="1" x14ac:dyDescent="0.2">
      <c r="E17841" s="7"/>
      <c r="F17841" s="7"/>
    </row>
    <row r="17842" spans="5:6" ht="15" customHeight="1" x14ac:dyDescent="0.2">
      <c r="E17842" s="7"/>
      <c r="F17842" s="7"/>
    </row>
    <row r="17843" spans="5:6" ht="15" customHeight="1" x14ac:dyDescent="0.2">
      <c r="E17843" s="7"/>
      <c r="F17843" s="7"/>
    </row>
    <row r="17844" spans="5:6" ht="15" customHeight="1" x14ac:dyDescent="0.2">
      <c r="E17844" s="7"/>
      <c r="F17844" s="7"/>
    </row>
    <row r="17845" spans="5:6" ht="15" customHeight="1" x14ac:dyDescent="0.2">
      <c r="E17845" s="7"/>
      <c r="F17845" s="7"/>
    </row>
    <row r="17846" spans="5:6" ht="15" customHeight="1" x14ac:dyDescent="0.2">
      <c r="E17846" s="7"/>
      <c r="F17846" s="7"/>
    </row>
    <row r="17847" spans="5:6" ht="15" customHeight="1" x14ac:dyDescent="0.2">
      <c r="E17847" s="7"/>
      <c r="F17847" s="7"/>
    </row>
    <row r="17848" spans="5:6" ht="15" customHeight="1" x14ac:dyDescent="0.2">
      <c r="E17848" s="7"/>
      <c r="F17848" s="7"/>
    </row>
    <row r="17849" spans="5:6" ht="15" customHeight="1" x14ac:dyDescent="0.2">
      <c r="E17849" s="7"/>
      <c r="F17849" s="7"/>
    </row>
    <row r="17850" spans="5:6" ht="15" customHeight="1" x14ac:dyDescent="0.2">
      <c r="E17850" s="7"/>
      <c r="F17850" s="7"/>
    </row>
    <row r="17851" spans="5:6" ht="15" customHeight="1" x14ac:dyDescent="0.2">
      <c r="E17851" s="7"/>
      <c r="F17851" s="7"/>
    </row>
    <row r="17852" spans="5:6" ht="15" customHeight="1" x14ac:dyDescent="0.2">
      <c r="E17852" s="7"/>
      <c r="F17852" s="7"/>
    </row>
    <row r="17853" spans="5:6" ht="15" customHeight="1" x14ac:dyDescent="0.2">
      <c r="E17853" s="7"/>
      <c r="F17853" s="7"/>
    </row>
    <row r="17854" spans="5:6" ht="15" customHeight="1" x14ac:dyDescent="0.2">
      <c r="E17854" s="7"/>
      <c r="F17854" s="7"/>
    </row>
    <row r="17855" spans="5:6" ht="15" customHeight="1" x14ac:dyDescent="0.2">
      <c r="E17855" s="7"/>
      <c r="F17855" s="7"/>
    </row>
    <row r="17856" spans="5:6" ht="15" customHeight="1" x14ac:dyDescent="0.2">
      <c r="E17856" s="7"/>
      <c r="F17856" s="7"/>
    </row>
    <row r="17857" spans="5:6" ht="15" customHeight="1" x14ac:dyDescent="0.2">
      <c r="E17857" s="7"/>
      <c r="F17857" s="7"/>
    </row>
    <row r="17858" spans="5:6" ht="15" customHeight="1" x14ac:dyDescent="0.2">
      <c r="E17858" s="7"/>
      <c r="F17858" s="7"/>
    </row>
    <row r="17859" spans="5:6" ht="15" customHeight="1" x14ac:dyDescent="0.2">
      <c r="E17859" s="7"/>
      <c r="F17859" s="7"/>
    </row>
    <row r="17860" spans="5:6" ht="15" customHeight="1" x14ac:dyDescent="0.2">
      <c r="E17860" s="7"/>
      <c r="F17860" s="7"/>
    </row>
    <row r="17861" spans="5:6" ht="15" customHeight="1" x14ac:dyDescent="0.2">
      <c r="E17861" s="7"/>
      <c r="F17861" s="7"/>
    </row>
    <row r="17862" spans="5:6" ht="15" customHeight="1" x14ac:dyDescent="0.2">
      <c r="E17862" s="7"/>
      <c r="F17862" s="7"/>
    </row>
    <row r="17863" spans="5:6" ht="15" customHeight="1" x14ac:dyDescent="0.2">
      <c r="E17863" s="7"/>
      <c r="F17863" s="7"/>
    </row>
    <row r="17864" spans="5:6" ht="15" customHeight="1" x14ac:dyDescent="0.2">
      <c r="E17864" s="7"/>
      <c r="F17864" s="7"/>
    </row>
    <row r="17865" spans="5:6" ht="15" customHeight="1" x14ac:dyDescent="0.2">
      <c r="E17865" s="7"/>
      <c r="F17865" s="7"/>
    </row>
    <row r="17866" spans="5:6" ht="15" customHeight="1" x14ac:dyDescent="0.2">
      <c r="E17866" s="7"/>
      <c r="F17866" s="7"/>
    </row>
    <row r="17867" spans="5:6" ht="15" customHeight="1" x14ac:dyDescent="0.2">
      <c r="E17867" s="7"/>
      <c r="F17867" s="7"/>
    </row>
    <row r="17868" spans="5:6" ht="15" customHeight="1" x14ac:dyDescent="0.2">
      <c r="E17868" s="7"/>
      <c r="F17868" s="7"/>
    </row>
    <row r="17869" spans="5:6" ht="15" customHeight="1" x14ac:dyDescent="0.2">
      <c r="E17869" s="7"/>
      <c r="F17869" s="7"/>
    </row>
    <row r="17870" spans="5:6" ht="15" customHeight="1" x14ac:dyDescent="0.2">
      <c r="E17870" s="7"/>
      <c r="F17870" s="7"/>
    </row>
    <row r="17871" spans="5:6" ht="15" customHeight="1" x14ac:dyDescent="0.2">
      <c r="E17871" s="7"/>
      <c r="F17871" s="7"/>
    </row>
    <row r="17872" spans="5:6" ht="15" customHeight="1" x14ac:dyDescent="0.2">
      <c r="E17872" s="7"/>
      <c r="F17872" s="7"/>
    </row>
    <row r="17873" spans="5:6" ht="15" customHeight="1" x14ac:dyDescent="0.2">
      <c r="E17873" s="7"/>
      <c r="F17873" s="7"/>
    </row>
    <row r="17874" spans="5:6" ht="15" customHeight="1" x14ac:dyDescent="0.2">
      <c r="E17874" s="7"/>
      <c r="F17874" s="7"/>
    </row>
    <row r="17875" spans="5:6" ht="15" customHeight="1" x14ac:dyDescent="0.2">
      <c r="E17875" s="7"/>
      <c r="F17875" s="7"/>
    </row>
    <row r="17876" spans="5:6" ht="15" customHeight="1" x14ac:dyDescent="0.2">
      <c r="E17876" s="7"/>
      <c r="F17876" s="7"/>
    </row>
    <row r="17877" spans="5:6" ht="15" customHeight="1" x14ac:dyDescent="0.2">
      <c r="E17877" s="7"/>
      <c r="F17877" s="7"/>
    </row>
    <row r="17878" spans="5:6" ht="15" customHeight="1" x14ac:dyDescent="0.2">
      <c r="E17878" s="7"/>
      <c r="F17878" s="7"/>
    </row>
    <row r="17879" spans="5:6" ht="15" customHeight="1" x14ac:dyDescent="0.2">
      <c r="E17879" s="7"/>
      <c r="F17879" s="7"/>
    </row>
    <row r="17880" spans="5:6" ht="15" customHeight="1" x14ac:dyDescent="0.2">
      <c r="E17880" s="7"/>
      <c r="F17880" s="7"/>
    </row>
    <row r="17881" spans="5:6" ht="15" customHeight="1" x14ac:dyDescent="0.2">
      <c r="E17881" s="7"/>
      <c r="F17881" s="7"/>
    </row>
    <row r="17882" spans="5:6" ht="15" customHeight="1" x14ac:dyDescent="0.2">
      <c r="E17882" s="7"/>
      <c r="F17882" s="7"/>
    </row>
    <row r="17883" spans="5:6" ht="15" customHeight="1" x14ac:dyDescent="0.2">
      <c r="E17883" s="7"/>
      <c r="F17883" s="7"/>
    </row>
    <row r="17884" spans="5:6" ht="15" customHeight="1" x14ac:dyDescent="0.2">
      <c r="E17884" s="7"/>
      <c r="F17884" s="7"/>
    </row>
    <row r="17885" spans="5:6" ht="15" customHeight="1" x14ac:dyDescent="0.2">
      <c r="E17885" s="7"/>
      <c r="F17885" s="7"/>
    </row>
    <row r="17886" spans="5:6" ht="15" customHeight="1" x14ac:dyDescent="0.2">
      <c r="E17886" s="7"/>
      <c r="F17886" s="7"/>
    </row>
    <row r="17887" spans="5:6" ht="15" customHeight="1" x14ac:dyDescent="0.2">
      <c r="E17887" s="7"/>
      <c r="F17887" s="7"/>
    </row>
    <row r="17888" spans="5:6" ht="15" customHeight="1" x14ac:dyDescent="0.2">
      <c r="E17888" s="7"/>
      <c r="F17888" s="7"/>
    </row>
    <row r="17889" spans="5:6" ht="15" customHeight="1" x14ac:dyDescent="0.2">
      <c r="E17889" s="7"/>
      <c r="F17889" s="7"/>
    </row>
    <row r="17890" spans="5:6" ht="15" customHeight="1" x14ac:dyDescent="0.2">
      <c r="E17890" s="7"/>
      <c r="F17890" s="7"/>
    </row>
    <row r="17891" spans="5:6" ht="15" customHeight="1" x14ac:dyDescent="0.2">
      <c r="E17891" s="7"/>
      <c r="F17891" s="7"/>
    </row>
    <row r="17892" spans="5:6" ht="15" customHeight="1" x14ac:dyDescent="0.2">
      <c r="E17892" s="7"/>
      <c r="F17892" s="7"/>
    </row>
    <row r="17893" spans="5:6" ht="15" customHeight="1" x14ac:dyDescent="0.2">
      <c r="E17893" s="7"/>
      <c r="F17893" s="7"/>
    </row>
    <row r="17894" spans="5:6" ht="15" customHeight="1" x14ac:dyDescent="0.2">
      <c r="E17894" s="7"/>
      <c r="F17894" s="7"/>
    </row>
    <row r="17895" spans="5:6" ht="15" customHeight="1" x14ac:dyDescent="0.2">
      <c r="E17895" s="7"/>
      <c r="F17895" s="7"/>
    </row>
    <row r="17896" spans="5:6" ht="15" customHeight="1" x14ac:dyDescent="0.2">
      <c r="E17896" s="7"/>
      <c r="F17896" s="7"/>
    </row>
    <row r="17897" spans="5:6" ht="15" customHeight="1" x14ac:dyDescent="0.2">
      <c r="E17897" s="7"/>
      <c r="F17897" s="7"/>
    </row>
    <row r="17898" spans="5:6" ht="15" customHeight="1" x14ac:dyDescent="0.2">
      <c r="E17898" s="7"/>
      <c r="F17898" s="7"/>
    </row>
    <row r="17899" spans="5:6" ht="15" customHeight="1" x14ac:dyDescent="0.2">
      <c r="E17899" s="7"/>
      <c r="F17899" s="7"/>
    </row>
    <row r="17900" spans="5:6" ht="15" customHeight="1" x14ac:dyDescent="0.2">
      <c r="E17900" s="7"/>
      <c r="F17900" s="7"/>
    </row>
    <row r="17901" spans="5:6" ht="15" customHeight="1" x14ac:dyDescent="0.2">
      <c r="E17901" s="7"/>
      <c r="F17901" s="7"/>
    </row>
    <row r="17902" spans="5:6" ht="15" customHeight="1" x14ac:dyDescent="0.2">
      <c r="E17902" s="7"/>
      <c r="F17902" s="7"/>
    </row>
    <row r="17903" spans="5:6" ht="15" customHeight="1" x14ac:dyDescent="0.2">
      <c r="E17903" s="7"/>
      <c r="F17903" s="7"/>
    </row>
    <row r="17904" spans="5:6" ht="15" customHeight="1" x14ac:dyDescent="0.2">
      <c r="E17904" s="7"/>
      <c r="F17904" s="7"/>
    </row>
    <row r="17905" spans="5:6" ht="15" customHeight="1" x14ac:dyDescent="0.2">
      <c r="E17905" s="7"/>
      <c r="F17905" s="7"/>
    </row>
    <row r="17906" spans="5:6" ht="15" customHeight="1" x14ac:dyDescent="0.2">
      <c r="E17906" s="7"/>
      <c r="F17906" s="7"/>
    </row>
    <row r="17907" spans="5:6" ht="15" customHeight="1" x14ac:dyDescent="0.2">
      <c r="E17907" s="7"/>
      <c r="F17907" s="7"/>
    </row>
    <row r="17908" spans="5:6" ht="15" customHeight="1" x14ac:dyDescent="0.2">
      <c r="E17908" s="7"/>
      <c r="F17908" s="7"/>
    </row>
    <row r="17909" spans="5:6" ht="15" customHeight="1" x14ac:dyDescent="0.2">
      <c r="E17909" s="7"/>
      <c r="F17909" s="7"/>
    </row>
    <row r="17910" spans="5:6" ht="15" customHeight="1" x14ac:dyDescent="0.2">
      <c r="E17910" s="7"/>
      <c r="F17910" s="7"/>
    </row>
    <row r="17911" spans="5:6" ht="15" customHeight="1" x14ac:dyDescent="0.2">
      <c r="E17911" s="7"/>
      <c r="F17911" s="7"/>
    </row>
    <row r="17912" spans="5:6" ht="15" customHeight="1" x14ac:dyDescent="0.2">
      <c r="E17912" s="7"/>
      <c r="F17912" s="7"/>
    </row>
    <row r="17913" spans="5:6" ht="15" customHeight="1" x14ac:dyDescent="0.2">
      <c r="E17913" s="7"/>
      <c r="F17913" s="7"/>
    </row>
    <row r="17914" spans="5:6" ht="15" customHeight="1" x14ac:dyDescent="0.2">
      <c r="E17914" s="7"/>
      <c r="F17914" s="7"/>
    </row>
    <row r="17915" spans="5:6" ht="15" customHeight="1" x14ac:dyDescent="0.2">
      <c r="E17915" s="7"/>
      <c r="F17915" s="7"/>
    </row>
    <row r="17916" spans="5:6" ht="15" customHeight="1" x14ac:dyDescent="0.2">
      <c r="E17916" s="7"/>
      <c r="F17916" s="7"/>
    </row>
    <row r="17917" spans="5:6" ht="15" customHeight="1" x14ac:dyDescent="0.2">
      <c r="E17917" s="7"/>
      <c r="F17917" s="7"/>
    </row>
    <row r="17918" spans="5:6" ht="15" customHeight="1" x14ac:dyDescent="0.2">
      <c r="E17918" s="7"/>
      <c r="F17918" s="7"/>
    </row>
    <row r="17919" spans="5:6" ht="15" customHeight="1" x14ac:dyDescent="0.2">
      <c r="E17919" s="7"/>
      <c r="F17919" s="7"/>
    </row>
    <row r="17920" spans="5:6" ht="15" customHeight="1" x14ac:dyDescent="0.2">
      <c r="E17920" s="7"/>
      <c r="F17920" s="7"/>
    </row>
    <row r="17921" spans="5:6" ht="15" customHeight="1" x14ac:dyDescent="0.2">
      <c r="E17921" s="7"/>
      <c r="F17921" s="7"/>
    </row>
    <row r="17922" spans="5:6" ht="15" customHeight="1" x14ac:dyDescent="0.2">
      <c r="E17922" s="7"/>
      <c r="F17922" s="7"/>
    </row>
    <row r="17923" spans="5:6" ht="15" customHeight="1" x14ac:dyDescent="0.2">
      <c r="E17923" s="7"/>
      <c r="F17923" s="7"/>
    </row>
    <row r="17924" spans="5:6" ht="15" customHeight="1" x14ac:dyDescent="0.2">
      <c r="E17924" s="7"/>
      <c r="F17924" s="7"/>
    </row>
    <row r="17925" spans="5:6" ht="15" customHeight="1" x14ac:dyDescent="0.2">
      <c r="E17925" s="7"/>
      <c r="F17925" s="7"/>
    </row>
    <row r="17926" spans="5:6" ht="15" customHeight="1" x14ac:dyDescent="0.2">
      <c r="E17926" s="7"/>
      <c r="F17926" s="7"/>
    </row>
    <row r="17927" spans="5:6" ht="15" customHeight="1" x14ac:dyDescent="0.2">
      <c r="E17927" s="7"/>
      <c r="F17927" s="7"/>
    </row>
    <row r="17928" spans="5:6" ht="15" customHeight="1" x14ac:dyDescent="0.2">
      <c r="E17928" s="7"/>
      <c r="F17928" s="7"/>
    </row>
    <row r="17929" spans="5:6" ht="15" customHeight="1" x14ac:dyDescent="0.2">
      <c r="E17929" s="7"/>
      <c r="F17929" s="7"/>
    </row>
    <row r="17930" spans="5:6" ht="15" customHeight="1" x14ac:dyDescent="0.2">
      <c r="E17930" s="7"/>
      <c r="F17930" s="7"/>
    </row>
    <row r="17931" spans="5:6" ht="15" customHeight="1" x14ac:dyDescent="0.2">
      <c r="E17931" s="7"/>
      <c r="F17931" s="7"/>
    </row>
    <row r="17932" spans="5:6" ht="15" customHeight="1" x14ac:dyDescent="0.2">
      <c r="E17932" s="7"/>
      <c r="F17932" s="7"/>
    </row>
    <row r="17933" spans="5:6" ht="15" customHeight="1" x14ac:dyDescent="0.2">
      <c r="E17933" s="7"/>
      <c r="F17933" s="7"/>
    </row>
    <row r="17934" spans="5:6" ht="15" customHeight="1" x14ac:dyDescent="0.2">
      <c r="E17934" s="7"/>
      <c r="F17934" s="7"/>
    </row>
    <row r="17935" spans="5:6" ht="15" customHeight="1" x14ac:dyDescent="0.2">
      <c r="E17935" s="7"/>
      <c r="F17935" s="7"/>
    </row>
    <row r="17936" spans="5:6" ht="15" customHeight="1" x14ac:dyDescent="0.2">
      <c r="E17936" s="7"/>
      <c r="F17936" s="7"/>
    </row>
    <row r="17937" spans="5:6" ht="15" customHeight="1" x14ac:dyDescent="0.2">
      <c r="E17937" s="7"/>
      <c r="F17937" s="7"/>
    </row>
    <row r="17938" spans="5:6" ht="15" customHeight="1" x14ac:dyDescent="0.2">
      <c r="E17938" s="7"/>
      <c r="F17938" s="7"/>
    </row>
    <row r="17939" spans="5:6" ht="15" customHeight="1" x14ac:dyDescent="0.2">
      <c r="E17939" s="7"/>
      <c r="F17939" s="7"/>
    </row>
    <row r="17940" spans="5:6" ht="15" customHeight="1" x14ac:dyDescent="0.2">
      <c r="E17940" s="7"/>
      <c r="F17940" s="7"/>
    </row>
    <row r="17941" spans="5:6" ht="15" customHeight="1" x14ac:dyDescent="0.2">
      <c r="E17941" s="7"/>
      <c r="F17941" s="7"/>
    </row>
    <row r="17942" spans="5:6" ht="15" customHeight="1" x14ac:dyDescent="0.2">
      <c r="E17942" s="7"/>
      <c r="F17942" s="7"/>
    </row>
    <row r="17943" spans="5:6" ht="15" customHeight="1" x14ac:dyDescent="0.2">
      <c r="E17943" s="7"/>
      <c r="F17943" s="7"/>
    </row>
    <row r="17944" spans="5:6" ht="15" customHeight="1" x14ac:dyDescent="0.2">
      <c r="E17944" s="7"/>
      <c r="F17944" s="7"/>
    </row>
    <row r="17945" spans="5:6" ht="15" customHeight="1" x14ac:dyDescent="0.2">
      <c r="E17945" s="7"/>
      <c r="F17945" s="7"/>
    </row>
    <row r="17946" spans="5:6" ht="15" customHeight="1" x14ac:dyDescent="0.2">
      <c r="E17946" s="7"/>
      <c r="F17946" s="7"/>
    </row>
    <row r="17947" spans="5:6" ht="15" customHeight="1" x14ac:dyDescent="0.2">
      <c r="E17947" s="7"/>
      <c r="F17947" s="7"/>
    </row>
    <row r="17948" spans="5:6" ht="15" customHeight="1" x14ac:dyDescent="0.2">
      <c r="E17948" s="7"/>
      <c r="F17948" s="7"/>
    </row>
    <row r="17949" spans="5:6" ht="15" customHeight="1" x14ac:dyDescent="0.2">
      <c r="E17949" s="7"/>
      <c r="F17949" s="7"/>
    </row>
    <row r="17950" spans="5:6" ht="15" customHeight="1" x14ac:dyDescent="0.2">
      <c r="E17950" s="7"/>
      <c r="F17950" s="7"/>
    </row>
    <row r="17951" spans="5:6" ht="15" customHeight="1" x14ac:dyDescent="0.2">
      <c r="E17951" s="7"/>
      <c r="F17951" s="7"/>
    </row>
    <row r="17952" spans="5:6" ht="15" customHeight="1" x14ac:dyDescent="0.2">
      <c r="E17952" s="7"/>
      <c r="F17952" s="7"/>
    </row>
    <row r="17953" spans="5:6" ht="15" customHeight="1" x14ac:dyDescent="0.2">
      <c r="E17953" s="7"/>
      <c r="F17953" s="7"/>
    </row>
    <row r="17954" spans="5:6" ht="15" customHeight="1" x14ac:dyDescent="0.2">
      <c r="E17954" s="7"/>
      <c r="F17954" s="7"/>
    </row>
    <row r="17955" spans="5:6" ht="15" customHeight="1" x14ac:dyDescent="0.2">
      <c r="E17955" s="7"/>
      <c r="F17955" s="7"/>
    </row>
    <row r="17956" spans="5:6" ht="15" customHeight="1" x14ac:dyDescent="0.2">
      <c r="E17956" s="7"/>
      <c r="F17956" s="7"/>
    </row>
    <row r="17957" spans="5:6" ht="15" customHeight="1" x14ac:dyDescent="0.2">
      <c r="E17957" s="7"/>
      <c r="F17957" s="7"/>
    </row>
    <row r="17958" spans="5:6" ht="15" customHeight="1" x14ac:dyDescent="0.2">
      <c r="E17958" s="7"/>
      <c r="F17958" s="7"/>
    </row>
    <row r="17959" spans="5:6" ht="15" customHeight="1" x14ac:dyDescent="0.2">
      <c r="E17959" s="7"/>
      <c r="F17959" s="7"/>
    </row>
    <row r="17960" spans="5:6" ht="15" customHeight="1" x14ac:dyDescent="0.2">
      <c r="E17960" s="7"/>
      <c r="F17960" s="7"/>
    </row>
    <row r="17961" spans="5:6" ht="15" customHeight="1" x14ac:dyDescent="0.2">
      <c r="E17961" s="7"/>
      <c r="F17961" s="7"/>
    </row>
    <row r="17962" spans="5:6" ht="15" customHeight="1" x14ac:dyDescent="0.2">
      <c r="E17962" s="7"/>
      <c r="F17962" s="7"/>
    </row>
    <row r="17963" spans="5:6" ht="15" customHeight="1" x14ac:dyDescent="0.2">
      <c r="E17963" s="7"/>
      <c r="F17963" s="7"/>
    </row>
    <row r="17964" spans="5:6" ht="15" customHeight="1" x14ac:dyDescent="0.2">
      <c r="E17964" s="7"/>
      <c r="F17964" s="7"/>
    </row>
    <row r="17965" spans="5:6" ht="15" customHeight="1" x14ac:dyDescent="0.2">
      <c r="E17965" s="7"/>
      <c r="F17965" s="7"/>
    </row>
    <row r="17966" spans="5:6" ht="15" customHeight="1" x14ac:dyDescent="0.2">
      <c r="E17966" s="7"/>
      <c r="F17966" s="7"/>
    </row>
    <row r="17967" spans="5:6" ht="15" customHeight="1" x14ac:dyDescent="0.2">
      <c r="E17967" s="7"/>
      <c r="F17967" s="7"/>
    </row>
    <row r="17968" spans="5:6" ht="15" customHeight="1" x14ac:dyDescent="0.2">
      <c r="E17968" s="7"/>
      <c r="F17968" s="7"/>
    </row>
    <row r="17969" spans="5:6" ht="15" customHeight="1" x14ac:dyDescent="0.2">
      <c r="E17969" s="7"/>
      <c r="F17969" s="7"/>
    </row>
    <row r="17970" spans="5:6" ht="15" customHeight="1" x14ac:dyDescent="0.2">
      <c r="E17970" s="7"/>
      <c r="F17970" s="7"/>
    </row>
    <row r="17971" spans="5:6" ht="15" customHeight="1" x14ac:dyDescent="0.2">
      <c r="E17971" s="7"/>
      <c r="F17971" s="7"/>
    </row>
    <row r="17972" spans="5:6" ht="15" customHeight="1" x14ac:dyDescent="0.2">
      <c r="E17972" s="7"/>
      <c r="F17972" s="7"/>
    </row>
    <row r="17973" spans="5:6" ht="15" customHeight="1" x14ac:dyDescent="0.2">
      <c r="E17973" s="7"/>
      <c r="F17973" s="7"/>
    </row>
    <row r="17974" spans="5:6" ht="15" customHeight="1" x14ac:dyDescent="0.2">
      <c r="E17974" s="7"/>
      <c r="F17974" s="7"/>
    </row>
    <row r="17975" spans="5:6" ht="15" customHeight="1" x14ac:dyDescent="0.2">
      <c r="E17975" s="7"/>
      <c r="F17975" s="7"/>
    </row>
    <row r="17976" spans="5:6" ht="15" customHeight="1" x14ac:dyDescent="0.2">
      <c r="E17976" s="7"/>
      <c r="F17976" s="7"/>
    </row>
    <row r="17977" spans="5:6" ht="15" customHeight="1" x14ac:dyDescent="0.2">
      <c r="E17977" s="7"/>
      <c r="F17977" s="7"/>
    </row>
    <row r="17978" spans="5:6" ht="15" customHeight="1" x14ac:dyDescent="0.2">
      <c r="E17978" s="7"/>
      <c r="F17978" s="7"/>
    </row>
    <row r="17979" spans="5:6" ht="15" customHeight="1" x14ac:dyDescent="0.2">
      <c r="E17979" s="7"/>
      <c r="F17979" s="7"/>
    </row>
    <row r="17980" spans="5:6" ht="15" customHeight="1" x14ac:dyDescent="0.2">
      <c r="E17980" s="7"/>
      <c r="F17980" s="7"/>
    </row>
    <row r="17981" spans="5:6" ht="15" customHeight="1" x14ac:dyDescent="0.2">
      <c r="E17981" s="7"/>
      <c r="F17981" s="7"/>
    </row>
    <row r="17982" spans="5:6" ht="15" customHeight="1" x14ac:dyDescent="0.2">
      <c r="E17982" s="7"/>
      <c r="F17982" s="7"/>
    </row>
    <row r="17983" spans="5:6" ht="15" customHeight="1" x14ac:dyDescent="0.2">
      <c r="E17983" s="7"/>
      <c r="F17983" s="7"/>
    </row>
    <row r="17984" spans="5:6" ht="15" customHeight="1" x14ac:dyDescent="0.2">
      <c r="E17984" s="7"/>
      <c r="F17984" s="7"/>
    </row>
    <row r="17985" spans="5:6" ht="15" customHeight="1" x14ac:dyDescent="0.2">
      <c r="E17985" s="7"/>
      <c r="F17985" s="7"/>
    </row>
    <row r="17986" spans="5:6" ht="15" customHeight="1" x14ac:dyDescent="0.2">
      <c r="E17986" s="7"/>
      <c r="F17986" s="7"/>
    </row>
    <row r="17987" spans="5:6" ht="15" customHeight="1" x14ac:dyDescent="0.2">
      <c r="E17987" s="7"/>
      <c r="F17987" s="7"/>
    </row>
    <row r="17988" spans="5:6" ht="15" customHeight="1" x14ac:dyDescent="0.2">
      <c r="E17988" s="7"/>
      <c r="F17988" s="7"/>
    </row>
    <row r="17989" spans="5:6" ht="15" customHeight="1" x14ac:dyDescent="0.2">
      <c r="E17989" s="7"/>
      <c r="F17989" s="7"/>
    </row>
    <row r="17990" spans="5:6" ht="15" customHeight="1" x14ac:dyDescent="0.2">
      <c r="E17990" s="7"/>
      <c r="F17990" s="7"/>
    </row>
    <row r="17991" spans="5:6" ht="15" customHeight="1" x14ac:dyDescent="0.2">
      <c r="E17991" s="7"/>
      <c r="F17991" s="7"/>
    </row>
    <row r="17992" spans="5:6" ht="15" customHeight="1" x14ac:dyDescent="0.2">
      <c r="E17992" s="7"/>
      <c r="F17992" s="7"/>
    </row>
    <row r="17993" spans="5:6" ht="15" customHeight="1" x14ac:dyDescent="0.2">
      <c r="E17993" s="7"/>
      <c r="F17993" s="7"/>
    </row>
    <row r="17994" spans="5:6" ht="15" customHeight="1" x14ac:dyDescent="0.2">
      <c r="E17994" s="7"/>
      <c r="F17994" s="7"/>
    </row>
    <row r="17995" spans="5:6" ht="15" customHeight="1" x14ac:dyDescent="0.2">
      <c r="E17995" s="7"/>
      <c r="F17995" s="7"/>
    </row>
    <row r="17996" spans="5:6" ht="15" customHeight="1" x14ac:dyDescent="0.2">
      <c r="E17996" s="7"/>
      <c r="F17996" s="7"/>
    </row>
    <row r="17997" spans="5:6" ht="15" customHeight="1" x14ac:dyDescent="0.2">
      <c r="E17997" s="7"/>
      <c r="F17997" s="7"/>
    </row>
    <row r="17998" spans="5:6" ht="15" customHeight="1" x14ac:dyDescent="0.2">
      <c r="E17998" s="7"/>
      <c r="F17998" s="7"/>
    </row>
    <row r="17999" spans="5:6" ht="15" customHeight="1" x14ac:dyDescent="0.2">
      <c r="E17999" s="7"/>
      <c r="F17999" s="7"/>
    </row>
    <row r="18000" spans="5:6" ht="15" customHeight="1" x14ac:dyDescent="0.2">
      <c r="E18000" s="7"/>
      <c r="F18000" s="7"/>
    </row>
    <row r="18001" spans="5:6" ht="15" customHeight="1" x14ac:dyDescent="0.2">
      <c r="E18001" s="7"/>
      <c r="F18001" s="7"/>
    </row>
    <row r="18002" spans="5:6" ht="15" customHeight="1" x14ac:dyDescent="0.2">
      <c r="E18002" s="7"/>
      <c r="F18002" s="7"/>
    </row>
    <row r="18003" spans="5:6" ht="15" customHeight="1" x14ac:dyDescent="0.2">
      <c r="E18003" s="7"/>
      <c r="F18003" s="7"/>
    </row>
    <row r="18004" spans="5:6" ht="15" customHeight="1" x14ac:dyDescent="0.2">
      <c r="E18004" s="7"/>
      <c r="F18004" s="7"/>
    </row>
    <row r="18005" spans="5:6" ht="15" customHeight="1" x14ac:dyDescent="0.2">
      <c r="E18005" s="7"/>
      <c r="F18005" s="7"/>
    </row>
    <row r="18006" spans="5:6" ht="15" customHeight="1" x14ac:dyDescent="0.2">
      <c r="E18006" s="7"/>
      <c r="F18006" s="7"/>
    </row>
    <row r="18007" spans="5:6" ht="15" customHeight="1" x14ac:dyDescent="0.2">
      <c r="E18007" s="7"/>
      <c r="F18007" s="7"/>
    </row>
    <row r="18008" spans="5:6" ht="15" customHeight="1" x14ac:dyDescent="0.2">
      <c r="E18008" s="7"/>
      <c r="F18008" s="7"/>
    </row>
    <row r="18009" spans="5:6" ht="15" customHeight="1" x14ac:dyDescent="0.2">
      <c r="E18009" s="7"/>
      <c r="F18009" s="7"/>
    </row>
    <row r="18010" spans="5:6" ht="15" customHeight="1" x14ac:dyDescent="0.2">
      <c r="E18010" s="7"/>
      <c r="F18010" s="7"/>
    </row>
    <row r="18011" spans="5:6" ht="15" customHeight="1" x14ac:dyDescent="0.2">
      <c r="E18011" s="7"/>
      <c r="F18011" s="7"/>
    </row>
    <row r="18012" spans="5:6" ht="15" customHeight="1" x14ac:dyDescent="0.2">
      <c r="E18012" s="7"/>
      <c r="F18012" s="7"/>
    </row>
    <row r="18013" spans="5:6" ht="15" customHeight="1" x14ac:dyDescent="0.2">
      <c r="E18013" s="7"/>
      <c r="F18013" s="7"/>
    </row>
    <row r="18014" spans="5:6" ht="15" customHeight="1" x14ac:dyDescent="0.2">
      <c r="E18014" s="7"/>
      <c r="F18014" s="7"/>
    </row>
    <row r="18015" spans="5:6" ht="15" customHeight="1" x14ac:dyDescent="0.2">
      <c r="E18015" s="7"/>
      <c r="F18015" s="7"/>
    </row>
    <row r="18016" spans="5:6" ht="15" customHeight="1" x14ac:dyDescent="0.2">
      <c r="E18016" s="7"/>
      <c r="F18016" s="7"/>
    </row>
    <row r="18017" spans="5:6" ht="15" customHeight="1" x14ac:dyDescent="0.2">
      <c r="E18017" s="7"/>
      <c r="F18017" s="7"/>
    </row>
    <row r="18018" spans="5:6" ht="15" customHeight="1" x14ac:dyDescent="0.2">
      <c r="E18018" s="7"/>
      <c r="F18018" s="7"/>
    </row>
    <row r="18019" spans="5:6" ht="15" customHeight="1" x14ac:dyDescent="0.2">
      <c r="E18019" s="7"/>
      <c r="F18019" s="7"/>
    </row>
    <row r="18020" spans="5:6" ht="15" customHeight="1" x14ac:dyDescent="0.2">
      <c r="E18020" s="7"/>
      <c r="F18020" s="7"/>
    </row>
    <row r="18021" spans="5:6" ht="15" customHeight="1" x14ac:dyDescent="0.2">
      <c r="E18021" s="7"/>
      <c r="F18021" s="7"/>
    </row>
    <row r="18022" spans="5:6" ht="15" customHeight="1" x14ac:dyDescent="0.2">
      <c r="E18022" s="7"/>
      <c r="F18022" s="7"/>
    </row>
    <row r="18023" spans="5:6" ht="15" customHeight="1" x14ac:dyDescent="0.2">
      <c r="E18023" s="7"/>
      <c r="F18023" s="7"/>
    </row>
    <row r="18024" spans="5:6" ht="15" customHeight="1" x14ac:dyDescent="0.2">
      <c r="E18024" s="7"/>
      <c r="F18024" s="7"/>
    </row>
    <row r="18025" spans="5:6" ht="15" customHeight="1" x14ac:dyDescent="0.2">
      <c r="E18025" s="7"/>
      <c r="F18025" s="7"/>
    </row>
    <row r="18026" spans="5:6" ht="15" customHeight="1" x14ac:dyDescent="0.2">
      <c r="E18026" s="7"/>
      <c r="F18026" s="7"/>
    </row>
    <row r="18027" spans="5:6" ht="15" customHeight="1" x14ac:dyDescent="0.2">
      <c r="E18027" s="7"/>
      <c r="F18027" s="7"/>
    </row>
    <row r="18028" spans="5:6" ht="15" customHeight="1" x14ac:dyDescent="0.2">
      <c r="E18028" s="7"/>
      <c r="F18028" s="7"/>
    </row>
    <row r="18029" spans="5:6" ht="15" customHeight="1" x14ac:dyDescent="0.2">
      <c r="E18029" s="7"/>
      <c r="F18029" s="7"/>
    </row>
    <row r="18030" spans="5:6" ht="15" customHeight="1" x14ac:dyDescent="0.2">
      <c r="E18030" s="7"/>
      <c r="F18030" s="7"/>
    </row>
    <row r="18031" spans="5:6" ht="15" customHeight="1" x14ac:dyDescent="0.2">
      <c r="E18031" s="7"/>
      <c r="F18031" s="7"/>
    </row>
    <row r="18032" spans="5:6" ht="15" customHeight="1" x14ac:dyDescent="0.2">
      <c r="E18032" s="7"/>
      <c r="F18032" s="7"/>
    </row>
    <row r="18033" spans="5:6" ht="15" customHeight="1" x14ac:dyDescent="0.2">
      <c r="E18033" s="7"/>
      <c r="F18033" s="7"/>
    </row>
    <row r="18034" spans="5:6" ht="15" customHeight="1" x14ac:dyDescent="0.2">
      <c r="E18034" s="7"/>
      <c r="F18034" s="7"/>
    </row>
    <row r="18035" spans="5:6" ht="15" customHeight="1" x14ac:dyDescent="0.2">
      <c r="E18035" s="7"/>
      <c r="F18035" s="7"/>
    </row>
    <row r="18036" spans="5:6" ht="15" customHeight="1" x14ac:dyDescent="0.2">
      <c r="E18036" s="7"/>
      <c r="F18036" s="7"/>
    </row>
    <row r="18037" spans="5:6" ht="15" customHeight="1" x14ac:dyDescent="0.2">
      <c r="E18037" s="7"/>
      <c r="F18037" s="7"/>
    </row>
    <row r="18038" spans="5:6" ht="15" customHeight="1" x14ac:dyDescent="0.2">
      <c r="E18038" s="7"/>
      <c r="F18038" s="7"/>
    </row>
    <row r="18039" spans="5:6" ht="15" customHeight="1" x14ac:dyDescent="0.2">
      <c r="E18039" s="7"/>
      <c r="F18039" s="7"/>
    </row>
    <row r="18040" spans="5:6" ht="15" customHeight="1" x14ac:dyDescent="0.2">
      <c r="E18040" s="7"/>
      <c r="F18040" s="7"/>
    </row>
    <row r="18041" spans="5:6" ht="15" customHeight="1" x14ac:dyDescent="0.2">
      <c r="E18041" s="7"/>
      <c r="F18041" s="7"/>
    </row>
    <row r="18042" spans="5:6" ht="15" customHeight="1" x14ac:dyDescent="0.2">
      <c r="E18042" s="7"/>
      <c r="F18042" s="7"/>
    </row>
    <row r="18043" spans="5:6" ht="15" customHeight="1" x14ac:dyDescent="0.2">
      <c r="E18043" s="7"/>
      <c r="F18043" s="7"/>
    </row>
    <row r="18044" spans="5:6" ht="15" customHeight="1" x14ac:dyDescent="0.2">
      <c r="E18044" s="7"/>
      <c r="F18044" s="7"/>
    </row>
    <row r="18045" spans="5:6" ht="15" customHeight="1" x14ac:dyDescent="0.2">
      <c r="E18045" s="7"/>
      <c r="F18045" s="7"/>
    </row>
    <row r="18046" spans="5:6" ht="15" customHeight="1" x14ac:dyDescent="0.2">
      <c r="E18046" s="7"/>
      <c r="F18046" s="7"/>
    </row>
    <row r="18047" spans="5:6" ht="15" customHeight="1" x14ac:dyDescent="0.2">
      <c r="E18047" s="7"/>
      <c r="F18047" s="7"/>
    </row>
    <row r="18048" spans="5:6" ht="15" customHeight="1" x14ac:dyDescent="0.2">
      <c r="E18048" s="7"/>
      <c r="F18048" s="7"/>
    </row>
    <row r="18049" spans="5:6" ht="15" customHeight="1" x14ac:dyDescent="0.2">
      <c r="E18049" s="7"/>
      <c r="F18049" s="7"/>
    </row>
    <row r="18050" spans="5:6" ht="15" customHeight="1" x14ac:dyDescent="0.2">
      <c r="E18050" s="7"/>
      <c r="F18050" s="7"/>
    </row>
    <row r="18051" spans="5:6" ht="15" customHeight="1" x14ac:dyDescent="0.2">
      <c r="E18051" s="7"/>
      <c r="F18051" s="7"/>
    </row>
    <row r="18052" spans="5:6" ht="15" customHeight="1" x14ac:dyDescent="0.2">
      <c r="E18052" s="7"/>
      <c r="F18052" s="7"/>
    </row>
    <row r="18053" spans="5:6" ht="15" customHeight="1" x14ac:dyDescent="0.2">
      <c r="E18053" s="7"/>
      <c r="F18053" s="7"/>
    </row>
    <row r="18054" spans="5:6" ht="15" customHeight="1" x14ac:dyDescent="0.2">
      <c r="E18054" s="7"/>
      <c r="F18054" s="7"/>
    </row>
    <row r="18055" spans="5:6" ht="15" customHeight="1" x14ac:dyDescent="0.2">
      <c r="E18055" s="7"/>
      <c r="F18055" s="7"/>
    </row>
    <row r="18056" spans="5:6" ht="15" customHeight="1" x14ac:dyDescent="0.2">
      <c r="E18056" s="7"/>
      <c r="F18056" s="7"/>
    </row>
    <row r="18057" spans="5:6" ht="15" customHeight="1" x14ac:dyDescent="0.2">
      <c r="E18057" s="7"/>
      <c r="F18057" s="7"/>
    </row>
    <row r="18058" spans="5:6" ht="15" customHeight="1" x14ac:dyDescent="0.2">
      <c r="E18058" s="7"/>
      <c r="F18058" s="7"/>
    </row>
    <row r="18059" spans="5:6" ht="15" customHeight="1" x14ac:dyDescent="0.2">
      <c r="E18059" s="7"/>
      <c r="F18059" s="7"/>
    </row>
    <row r="18060" spans="5:6" ht="15" customHeight="1" x14ac:dyDescent="0.2">
      <c r="E18060" s="7"/>
      <c r="F18060" s="7"/>
    </row>
    <row r="18061" spans="5:6" ht="15" customHeight="1" x14ac:dyDescent="0.2">
      <c r="E18061" s="7"/>
      <c r="F18061" s="7"/>
    </row>
    <row r="18062" spans="5:6" ht="15" customHeight="1" x14ac:dyDescent="0.2">
      <c r="E18062" s="7"/>
      <c r="F18062" s="7"/>
    </row>
    <row r="18063" spans="5:6" ht="15" customHeight="1" x14ac:dyDescent="0.2">
      <c r="E18063" s="7"/>
      <c r="F18063" s="7"/>
    </row>
    <row r="18064" spans="5:6" ht="15" customHeight="1" x14ac:dyDescent="0.2">
      <c r="E18064" s="7"/>
      <c r="F18064" s="7"/>
    </row>
    <row r="18065" spans="5:6" ht="15" customHeight="1" x14ac:dyDescent="0.2">
      <c r="E18065" s="7"/>
      <c r="F18065" s="7"/>
    </row>
    <row r="18066" spans="5:6" ht="15" customHeight="1" x14ac:dyDescent="0.2">
      <c r="E18066" s="7"/>
      <c r="F18066" s="7"/>
    </row>
    <row r="18067" spans="5:6" ht="15" customHeight="1" x14ac:dyDescent="0.2">
      <c r="E18067" s="7"/>
      <c r="F18067" s="7"/>
    </row>
    <row r="18068" spans="5:6" ht="15" customHeight="1" x14ac:dyDescent="0.2">
      <c r="E18068" s="7"/>
      <c r="F18068" s="7"/>
    </row>
    <row r="18069" spans="5:6" ht="15" customHeight="1" x14ac:dyDescent="0.2">
      <c r="E18069" s="7"/>
      <c r="F18069" s="7"/>
    </row>
    <row r="18070" spans="5:6" ht="15" customHeight="1" x14ac:dyDescent="0.2">
      <c r="E18070" s="7"/>
      <c r="F18070" s="7"/>
    </row>
    <row r="18071" spans="5:6" ht="15" customHeight="1" x14ac:dyDescent="0.2">
      <c r="E18071" s="7"/>
      <c r="F18071" s="7"/>
    </row>
    <row r="18072" spans="5:6" ht="15" customHeight="1" x14ac:dyDescent="0.2">
      <c r="E18072" s="7"/>
      <c r="F18072" s="7"/>
    </row>
    <row r="18073" spans="5:6" ht="15" customHeight="1" x14ac:dyDescent="0.2">
      <c r="E18073" s="7"/>
      <c r="F18073" s="7"/>
    </row>
    <row r="18074" spans="5:6" ht="15" customHeight="1" x14ac:dyDescent="0.2">
      <c r="E18074" s="7"/>
      <c r="F18074" s="7"/>
    </row>
    <row r="18075" spans="5:6" ht="15" customHeight="1" x14ac:dyDescent="0.2">
      <c r="E18075" s="7"/>
      <c r="F18075" s="7"/>
    </row>
    <row r="18076" spans="5:6" ht="15" customHeight="1" x14ac:dyDescent="0.2">
      <c r="E18076" s="7"/>
      <c r="F18076" s="7"/>
    </row>
    <row r="18077" spans="5:6" ht="15" customHeight="1" x14ac:dyDescent="0.2">
      <c r="E18077" s="7"/>
      <c r="F18077" s="7"/>
    </row>
    <row r="18078" spans="5:6" ht="15" customHeight="1" x14ac:dyDescent="0.2">
      <c r="E18078" s="7"/>
      <c r="F18078" s="7"/>
    </row>
    <row r="18079" spans="5:6" ht="15" customHeight="1" x14ac:dyDescent="0.2">
      <c r="E18079" s="7"/>
      <c r="F18079" s="7"/>
    </row>
    <row r="18080" spans="5:6" ht="15" customHeight="1" x14ac:dyDescent="0.2">
      <c r="E18080" s="7"/>
      <c r="F18080" s="7"/>
    </row>
    <row r="18081" spans="5:6" ht="15" customHeight="1" x14ac:dyDescent="0.2">
      <c r="E18081" s="7"/>
      <c r="F18081" s="7"/>
    </row>
    <row r="18082" spans="5:6" ht="15" customHeight="1" x14ac:dyDescent="0.2">
      <c r="E18082" s="7"/>
      <c r="F18082" s="7"/>
    </row>
    <row r="18083" spans="5:6" ht="15" customHeight="1" x14ac:dyDescent="0.2">
      <c r="E18083" s="7"/>
      <c r="F18083" s="7"/>
    </row>
    <row r="18084" spans="5:6" ht="15" customHeight="1" x14ac:dyDescent="0.2">
      <c r="E18084" s="7"/>
      <c r="F18084" s="7"/>
    </row>
    <row r="18085" spans="5:6" ht="15" customHeight="1" x14ac:dyDescent="0.2">
      <c r="E18085" s="7"/>
      <c r="F18085" s="7"/>
    </row>
    <row r="18086" spans="5:6" ht="15" customHeight="1" x14ac:dyDescent="0.2">
      <c r="E18086" s="7"/>
      <c r="F18086" s="7"/>
    </row>
    <row r="18087" spans="5:6" ht="15" customHeight="1" x14ac:dyDescent="0.2">
      <c r="E18087" s="7"/>
      <c r="F18087" s="7"/>
    </row>
    <row r="18088" spans="5:6" ht="15" customHeight="1" x14ac:dyDescent="0.2">
      <c r="E18088" s="7"/>
      <c r="F18088" s="7"/>
    </row>
    <row r="18089" spans="5:6" ht="15" customHeight="1" x14ac:dyDescent="0.2">
      <c r="E18089" s="7"/>
      <c r="F18089" s="7"/>
    </row>
    <row r="18090" spans="5:6" ht="15" customHeight="1" x14ac:dyDescent="0.2">
      <c r="E18090" s="7"/>
      <c r="F18090" s="7"/>
    </row>
    <row r="18091" spans="5:6" ht="15" customHeight="1" x14ac:dyDescent="0.2">
      <c r="E18091" s="7"/>
      <c r="F18091" s="7"/>
    </row>
    <row r="18092" spans="5:6" ht="15" customHeight="1" x14ac:dyDescent="0.2">
      <c r="E18092" s="7"/>
      <c r="F18092" s="7"/>
    </row>
    <row r="18093" spans="5:6" ht="15" customHeight="1" x14ac:dyDescent="0.2">
      <c r="E18093" s="7"/>
      <c r="F18093" s="7"/>
    </row>
    <row r="18094" spans="5:6" ht="15" customHeight="1" x14ac:dyDescent="0.2">
      <c r="E18094" s="7"/>
      <c r="F18094" s="7"/>
    </row>
    <row r="18095" spans="5:6" ht="15" customHeight="1" x14ac:dyDescent="0.2">
      <c r="E18095" s="7"/>
      <c r="F18095" s="7"/>
    </row>
    <row r="18096" spans="5:6" ht="15" customHeight="1" x14ac:dyDescent="0.2">
      <c r="E18096" s="7"/>
      <c r="F18096" s="7"/>
    </row>
    <row r="18097" spans="5:6" ht="15" customHeight="1" x14ac:dyDescent="0.2">
      <c r="E18097" s="7"/>
      <c r="F18097" s="7"/>
    </row>
    <row r="18098" spans="5:6" ht="15" customHeight="1" x14ac:dyDescent="0.2">
      <c r="E18098" s="7"/>
      <c r="F18098" s="7"/>
    </row>
    <row r="18099" spans="5:6" ht="15" customHeight="1" x14ac:dyDescent="0.2">
      <c r="E18099" s="7"/>
      <c r="F18099" s="7"/>
    </row>
    <row r="18100" spans="5:6" ht="15" customHeight="1" x14ac:dyDescent="0.2">
      <c r="E18100" s="7"/>
      <c r="F18100" s="7"/>
    </row>
    <row r="18101" spans="5:6" ht="15" customHeight="1" x14ac:dyDescent="0.2">
      <c r="E18101" s="7"/>
      <c r="F18101" s="7"/>
    </row>
    <row r="18102" spans="5:6" ht="15" customHeight="1" x14ac:dyDescent="0.2">
      <c r="E18102" s="7"/>
      <c r="F18102" s="7"/>
    </row>
    <row r="18103" spans="5:6" ht="15" customHeight="1" x14ac:dyDescent="0.2">
      <c r="E18103" s="7"/>
      <c r="F18103" s="7"/>
    </row>
    <row r="18104" spans="5:6" ht="15" customHeight="1" x14ac:dyDescent="0.2">
      <c r="E18104" s="7"/>
      <c r="F18104" s="7"/>
    </row>
    <row r="18105" spans="5:6" ht="15" customHeight="1" x14ac:dyDescent="0.2">
      <c r="E18105" s="7"/>
      <c r="F18105" s="7"/>
    </row>
    <row r="18106" spans="5:6" ht="15" customHeight="1" x14ac:dyDescent="0.2">
      <c r="E18106" s="7"/>
      <c r="F18106" s="7"/>
    </row>
    <row r="18107" spans="5:6" ht="15" customHeight="1" x14ac:dyDescent="0.2">
      <c r="E18107" s="7"/>
      <c r="F18107" s="7"/>
    </row>
    <row r="18108" spans="5:6" ht="15" customHeight="1" x14ac:dyDescent="0.2">
      <c r="E18108" s="7"/>
      <c r="F18108" s="7"/>
    </row>
    <row r="18109" spans="5:6" ht="15" customHeight="1" x14ac:dyDescent="0.2">
      <c r="E18109" s="7"/>
      <c r="F18109" s="7"/>
    </row>
    <row r="18110" spans="5:6" ht="15" customHeight="1" x14ac:dyDescent="0.2">
      <c r="E18110" s="7"/>
      <c r="F18110" s="7"/>
    </row>
    <row r="18111" spans="5:6" ht="15" customHeight="1" x14ac:dyDescent="0.2">
      <c r="E18111" s="7"/>
      <c r="F18111" s="7"/>
    </row>
    <row r="18112" spans="5:6" ht="15" customHeight="1" x14ac:dyDescent="0.2">
      <c r="E18112" s="7"/>
      <c r="F18112" s="7"/>
    </row>
    <row r="18113" spans="5:6" ht="15" customHeight="1" x14ac:dyDescent="0.2">
      <c r="E18113" s="7"/>
      <c r="F18113" s="7"/>
    </row>
    <row r="18114" spans="5:6" ht="15" customHeight="1" x14ac:dyDescent="0.2">
      <c r="E18114" s="7"/>
      <c r="F18114" s="7"/>
    </row>
    <row r="18115" spans="5:6" ht="15" customHeight="1" x14ac:dyDescent="0.2">
      <c r="E18115" s="7"/>
      <c r="F18115" s="7"/>
    </row>
    <row r="18116" spans="5:6" ht="15" customHeight="1" x14ac:dyDescent="0.2">
      <c r="E18116" s="7"/>
      <c r="F18116" s="7"/>
    </row>
    <row r="18117" spans="5:6" ht="15" customHeight="1" x14ac:dyDescent="0.2">
      <c r="E18117" s="7"/>
      <c r="F18117" s="7"/>
    </row>
    <row r="18118" spans="5:6" ht="15" customHeight="1" x14ac:dyDescent="0.2">
      <c r="E18118" s="7"/>
      <c r="F18118" s="7"/>
    </row>
    <row r="18119" spans="5:6" ht="15" customHeight="1" x14ac:dyDescent="0.2">
      <c r="E18119" s="7"/>
      <c r="F18119" s="7"/>
    </row>
    <row r="18120" spans="5:6" ht="15" customHeight="1" x14ac:dyDescent="0.2">
      <c r="E18120" s="7"/>
      <c r="F18120" s="7"/>
    </row>
    <row r="18121" spans="5:6" ht="15" customHeight="1" x14ac:dyDescent="0.2">
      <c r="E18121" s="7"/>
      <c r="F18121" s="7"/>
    </row>
    <row r="18122" spans="5:6" ht="15" customHeight="1" x14ac:dyDescent="0.2">
      <c r="E18122" s="7"/>
      <c r="F18122" s="7"/>
    </row>
    <row r="18123" spans="5:6" ht="15" customHeight="1" x14ac:dyDescent="0.2">
      <c r="E18123" s="7"/>
      <c r="F18123" s="7"/>
    </row>
    <row r="18124" spans="5:6" ht="15" customHeight="1" x14ac:dyDescent="0.2">
      <c r="E18124" s="7"/>
      <c r="F18124" s="7"/>
    </row>
    <row r="18125" spans="5:6" ht="15" customHeight="1" x14ac:dyDescent="0.2">
      <c r="E18125" s="7"/>
      <c r="F18125" s="7"/>
    </row>
    <row r="18126" spans="5:6" ht="15" customHeight="1" x14ac:dyDescent="0.2">
      <c r="E18126" s="7"/>
      <c r="F18126" s="7"/>
    </row>
    <row r="18127" spans="5:6" ht="15" customHeight="1" x14ac:dyDescent="0.2">
      <c r="E18127" s="7"/>
      <c r="F18127" s="7"/>
    </row>
    <row r="18128" spans="5:6" ht="15" customHeight="1" x14ac:dyDescent="0.2">
      <c r="E18128" s="7"/>
      <c r="F18128" s="7"/>
    </row>
    <row r="18129" spans="5:6" ht="15" customHeight="1" x14ac:dyDescent="0.2">
      <c r="E18129" s="7"/>
      <c r="F18129" s="7"/>
    </row>
    <row r="18130" spans="5:6" ht="15" customHeight="1" x14ac:dyDescent="0.2">
      <c r="E18130" s="7"/>
      <c r="F18130" s="7"/>
    </row>
    <row r="18131" spans="5:6" ht="15" customHeight="1" x14ac:dyDescent="0.2">
      <c r="E18131" s="7"/>
      <c r="F18131" s="7"/>
    </row>
    <row r="18132" spans="5:6" ht="15" customHeight="1" x14ac:dyDescent="0.2">
      <c r="E18132" s="7"/>
      <c r="F18132" s="7"/>
    </row>
    <row r="18133" spans="5:6" ht="15" customHeight="1" x14ac:dyDescent="0.2">
      <c r="E18133" s="7"/>
      <c r="F18133" s="7"/>
    </row>
    <row r="18134" spans="5:6" ht="15" customHeight="1" x14ac:dyDescent="0.2">
      <c r="E18134" s="7"/>
      <c r="F18134" s="7"/>
    </row>
    <row r="18135" spans="5:6" ht="15" customHeight="1" x14ac:dyDescent="0.2">
      <c r="E18135" s="7"/>
      <c r="F18135" s="7"/>
    </row>
    <row r="18136" spans="5:6" ht="15" customHeight="1" x14ac:dyDescent="0.2">
      <c r="E18136" s="7"/>
      <c r="F18136" s="7"/>
    </row>
    <row r="18137" spans="5:6" ht="15" customHeight="1" x14ac:dyDescent="0.2">
      <c r="E18137" s="7"/>
      <c r="F18137" s="7"/>
    </row>
    <row r="18138" spans="5:6" ht="15" customHeight="1" x14ac:dyDescent="0.2">
      <c r="E18138" s="7"/>
      <c r="F18138" s="7"/>
    </row>
    <row r="18139" spans="5:6" ht="15" customHeight="1" x14ac:dyDescent="0.2">
      <c r="E18139" s="7"/>
      <c r="F18139" s="7"/>
    </row>
    <row r="18140" spans="5:6" ht="15" customHeight="1" x14ac:dyDescent="0.2">
      <c r="E18140" s="7"/>
      <c r="F18140" s="7"/>
    </row>
    <row r="18141" spans="5:6" ht="15" customHeight="1" x14ac:dyDescent="0.2">
      <c r="E18141" s="7"/>
      <c r="F18141" s="7"/>
    </row>
    <row r="18142" spans="5:6" ht="15" customHeight="1" x14ac:dyDescent="0.2">
      <c r="E18142" s="7"/>
      <c r="F18142" s="7"/>
    </row>
    <row r="18143" spans="5:6" ht="15" customHeight="1" x14ac:dyDescent="0.2">
      <c r="E18143" s="7"/>
      <c r="F18143" s="7"/>
    </row>
    <row r="18144" spans="5:6" ht="15" customHeight="1" x14ac:dyDescent="0.2">
      <c r="E18144" s="7"/>
      <c r="F18144" s="7"/>
    </row>
    <row r="18145" spans="5:6" ht="15" customHeight="1" x14ac:dyDescent="0.2">
      <c r="E18145" s="7"/>
      <c r="F18145" s="7"/>
    </row>
    <row r="18146" spans="5:6" ht="15" customHeight="1" x14ac:dyDescent="0.2">
      <c r="E18146" s="7"/>
      <c r="F18146" s="7"/>
    </row>
    <row r="18147" spans="5:6" ht="15" customHeight="1" x14ac:dyDescent="0.2">
      <c r="E18147" s="7"/>
      <c r="F18147" s="7"/>
    </row>
    <row r="18148" spans="5:6" ht="15" customHeight="1" x14ac:dyDescent="0.2">
      <c r="E18148" s="7"/>
      <c r="F18148" s="7"/>
    </row>
    <row r="18149" spans="5:6" ht="15" customHeight="1" x14ac:dyDescent="0.2">
      <c r="E18149" s="7"/>
      <c r="F18149" s="7"/>
    </row>
    <row r="18150" spans="5:6" ht="15" customHeight="1" x14ac:dyDescent="0.2">
      <c r="E18150" s="7"/>
      <c r="F18150" s="7"/>
    </row>
    <row r="18151" spans="5:6" ht="15" customHeight="1" x14ac:dyDescent="0.2">
      <c r="E18151" s="7"/>
      <c r="F18151" s="7"/>
    </row>
    <row r="18152" spans="5:6" ht="15" customHeight="1" x14ac:dyDescent="0.2">
      <c r="E18152" s="7"/>
      <c r="F18152" s="7"/>
    </row>
    <row r="18153" spans="5:6" ht="15" customHeight="1" x14ac:dyDescent="0.2">
      <c r="E18153" s="7"/>
      <c r="F18153" s="7"/>
    </row>
    <row r="18154" spans="5:6" ht="15" customHeight="1" x14ac:dyDescent="0.2">
      <c r="E18154" s="7"/>
      <c r="F18154" s="7"/>
    </row>
    <row r="18155" spans="5:6" ht="15" customHeight="1" x14ac:dyDescent="0.2">
      <c r="E18155" s="7"/>
      <c r="F18155" s="7"/>
    </row>
    <row r="18156" spans="5:6" ht="15" customHeight="1" x14ac:dyDescent="0.2">
      <c r="E18156" s="7"/>
      <c r="F18156" s="7"/>
    </row>
    <row r="18157" spans="5:6" ht="15" customHeight="1" x14ac:dyDescent="0.2">
      <c r="E18157" s="7"/>
      <c r="F18157" s="7"/>
    </row>
    <row r="18158" spans="5:6" ht="15" customHeight="1" x14ac:dyDescent="0.2">
      <c r="E18158" s="7"/>
      <c r="F18158" s="7"/>
    </row>
    <row r="18159" spans="5:6" ht="15" customHeight="1" x14ac:dyDescent="0.2">
      <c r="E18159" s="7"/>
      <c r="F18159" s="7"/>
    </row>
    <row r="18160" spans="5:6" ht="15" customHeight="1" x14ac:dyDescent="0.2">
      <c r="E18160" s="7"/>
      <c r="F18160" s="7"/>
    </row>
    <row r="18161" spans="5:6" ht="15" customHeight="1" x14ac:dyDescent="0.2">
      <c r="E18161" s="7"/>
      <c r="F18161" s="7"/>
    </row>
    <row r="18162" spans="5:6" ht="15" customHeight="1" x14ac:dyDescent="0.2">
      <c r="E18162" s="7"/>
      <c r="F18162" s="7"/>
    </row>
    <row r="18163" spans="5:6" ht="15" customHeight="1" x14ac:dyDescent="0.2">
      <c r="E18163" s="7"/>
      <c r="F18163" s="7"/>
    </row>
    <row r="18164" spans="5:6" ht="15" customHeight="1" x14ac:dyDescent="0.2">
      <c r="E18164" s="7"/>
      <c r="F18164" s="7"/>
    </row>
    <row r="18165" spans="5:6" ht="15" customHeight="1" x14ac:dyDescent="0.2">
      <c r="E18165" s="7"/>
      <c r="F18165" s="7"/>
    </row>
    <row r="18166" spans="5:6" ht="15" customHeight="1" x14ac:dyDescent="0.2">
      <c r="E18166" s="7"/>
      <c r="F18166" s="7"/>
    </row>
    <row r="18167" spans="5:6" ht="15" customHeight="1" x14ac:dyDescent="0.2">
      <c r="E18167" s="7"/>
      <c r="F18167" s="7"/>
    </row>
    <row r="18168" spans="5:6" ht="15" customHeight="1" x14ac:dyDescent="0.2">
      <c r="E18168" s="7"/>
      <c r="F18168" s="7"/>
    </row>
    <row r="18169" spans="5:6" ht="15" customHeight="1" x14ac:dyDescent="0.2">
      <c r="E18169" s="7"/>
      <c r="F18169" s="7"/>
    </row>
    <row r="18170" spans="5:6" ht="15" customHeight="1" x14ac:dyDescent="0.2">
      <c r="E18170" s="7"/>
      <c r="F18170" s="7"/>
    </row>
    <row r="18171" spans="5:6" ht="15" customHeight="1" x14ac:dyDescent="0.2">
      <c r="E18171" s="7"/>
      <c r="F18171" s="7"/>
    </row>
    <row r="18172" spans="5:6" ht="15" customHeight="1" x14ac:dyDescent="0.2">
      <c r="E18172" s="7"/>
      <c r="F18172" s="7"/>
    </row>
    <row r="18173" spans="5:6" ht="15" customHeight="1" x14ac:dyDescent="0.2">
      <c r="E18173" s="7"/>
      <c r="F18173" s="7"/>
    </row>
    <row r="18174" spans="5:6" ht="15" customHeight="1" x14ac:dyDescent="0.2">
      <c r="E18174" s="7"/>
      <c r="F18174" s="7"/>
    </row>
    <row r="18175" spans="5:6" ht="15" customHeight="1" x14ac:dyDescent="0.2">
      <c r="E18175" s="7"/>
      <c r="F18175" s="7"/>
    </row>
    <row r="18176" spans="5:6" ht="15" customHeight="1" x14ac:dyDescent="0.2">
      <c r="E18176" s="7"/>
      <c r="F18176" s="7"/>
    </row>
    <row r="18177" spans="5:6" ht="15" customHeight="1" x14ac:dyDescent="0.2">
      <c r="E18177" s="7"/>
      <c r="F18177" s="7"/>
    </row>
    <row r="18178" spans="5:6" ht="15" customHeight="1" x14ac:dyDescent="0.2">
      <c r="E18178" s="7"/>
      <c r="F18178" s="7"/>
    </row>
    <row r="18179" spans="5:6" ht="15" customHeight="1" x14ac:dyDescent="0.2">
      <c r="E18179" s="7"/>
      <c r="F18179" s="7"/>
    </row>
    <row r="18180" spans="5:6" ht="15" customHeight="1" x14ac:dyDescent="0.2">
      <c r="E18180" s="7"/>
      <c r="F18180" s="7"/>
    </row>
    <row r="18181" spans="5:6" ht="15" customHeight="1" x14ac:dyDescent="0.2">
      <c r="E18181" s="7"/>
      <c r="F18181" s="7"/>
    </row>
    <row r="18182" spans="5:6" ht="15" customHeight="1" x14ac:dyDescent="0.2">
      <c r="E18182" s="7"/>
      <c r="F18182" s="7"/>
    </row>
    <row r="18183" spans="5:6" ht="15" customHeight="1" x14ac:dyDescent="0.2">
      <c r="E18183" s="7"/>
      <c r="F18183" s="7"/>
    </row>
    <row r="18184" spans="5:6" ht="15" customHeight="1" x14ac:dyDescent="0.2">
      <c r="E18184" s="7"/>
      <c r="F18184" s="7"/>
    </row>
    <row r="18185" spans="5:6" ht="15" customHeight="1" x14ac:dyDescent="0.2">
      <c r="E18185" s="7"/>
      <c r="F18185" s="7"/>
    </row>
    <row r="18186" spans="5:6" ht="15" customHeight="1" x14ac:dyDescent="0.2">
      <c r="E18186" s="7"/>
      <c r="F18186" s="7"/>
    </row>
    <row r="18187" spans="5:6" ht="15" customHeight="1" x14ac:dyDescent="0.2">
      <c r="E18187" s="7"/>
      <c r="F18187" s="7"/>
    </row>
    <row r="18188" spans="5:6" ht="15" customHeight="1" x14ac:dyDescent="0.2">
      <c r="E18188" s="7"/>
      <c r="F18188" s="7"/>
    </row>
    <row r="18189" spans="5:6" ht="15" customHeight="1" x14ac:dyDescent="0.2">
      <c r="E18189" s="7"/>
      <c r="F18189" s="7"/>
    </row>
    <row r="18190" spans="5:6" ht="15" customHeight="1" x14ac:dyDescent="0.2">
      <c r="E18190" s="7"/>
      <c r="F18190" s="7"/>
    </row>
    <row r="18191" spans="5:6" ht="15" customHeight="1" x14ac:dyDescent="0.2">
      <c r="E18191" s="7"/>
      <c r="F18191" s="7"/>
    </row>
    <row r="18192" spans="5:6" ht="15" customHeight="1" x14ac:dyDescent="0.2">
      <c r="E18192" s="7"/>
      <c r="F18192" s="7"/>
    </row>
    <row r="18193" spans="5:6" ht="15" customHeight="1" x14ac:dyDescent="0.2">
      <c r="E18193" s="7"/>
      <c r="F18193" s="7"/>
    </row>
    <row r="18194" spans="5:6" ht="15" customHeight="1" x14ac:dyDescent="0.2">
      <c r="E18194" s="7"/>
      <c r="F18194" s="7"/>
    </row>
    <row r="18195" spans="5:6" ht="15" customHeight="1" x14ac:dyDescent="0.2">
      <c r="E18195" s="7"/>
      <c r="F18195" s="7"/>
    </row>
    <row r="18196" spans="5:6" ht="15" customHeight="1" x14ac:dyDescent="0.2">
      <c r="E18196" s="7"/>
      <c r="F18196" s="7"/>
    </row>
    <row r="18197" spans="5:6" ht="15" customHeight="1" x14ac:dyDescent="0.2">
      <c r="E18197" s="7"/>
      <c r="F18197" s="7"/>
    </row>
    <row r="18198" spans="5:6" ht="15" customHeight="1" x14ac:dyDescent="0.2">
      <c r="E18198" s="7"/>
      <c r="F18198" s="7"/>
    </row>
    <row r="18199" spans="5:6" ht="15" customHeight="1" x14ac:dyDescent="0.2">
      <c r="E18199" s="7"/>
      <c r="F18199" s="7"/>
    </row>
    <row r="18200" spans="5:6" ht="15" customHeight="1" x14ac:dyDescent="0.2">
      <c r="E18200" s="7"/>
      <c r="F18200" s="7"/>
    </row>
    <row r="18201" spans="5:6" ht="15" customHeight="1" x14ac:dyDescent="0.2">
      <c r="E18201" s="7"/>
      <c r="F18201" s="7"/>
    </row>
    <row r="18202" spans="5:6" ht="15" customHeight="1" x14ac:dyDescent="0.2">
      <c r="E18202" s="7"/>
      <c r="F18202" s="7"/>
    </row>
    <row r="18203" spans="5:6" ht="15" customHeight="1" x14ac:dyDescent="0.2">
      <c r="E18203" s="7"/>
      <c r="F18203" s="7"/>
    </row>
    <row r="18204" spans="5:6" ht="15" customHeight="1" x14ac:dyDescent="0.2">
      <c r="E18204" s="7"/>
      <c r="F18204" s="7"/>
    </row>
    <row r="18205" spans="5:6" ht="15" customHeight="1" x14ac:dyDescent="0.2">
      <c r="E18205" s="7"/>
      <c r="F18205" s="7"/>
    </row>
    <row r="18206" spans="5:6" ht="15" customHeight="1" x14ac:dyDescent="0.2">
      <c r="E18206" s="7"/>
      <c r="F18206" s="7"/>
    </row>
    <row r="18207" spans="5:6" ht="15" customHeight="1" x14ac:dyDescent="0.2">
      <c r="E18207" s="7"/>
      <c r="F18207" s="7"/>
    </row>
    <row r="18208" spans="5:6" ht="15" customHeight="1" x14ac:dyDescent="0.2">
      <c r="E18208" s="7"/>
      <c r="F18208" s="7"/>
    </row>
    <row r="18209" spans="5:6" ht="15" customHeight="1" x14ac:dyDescent="0.2">
      <c r="E18209" s="7"/>
      <c r="F18209" s="7"/>
    </row>
    <row r="18210" spans="5:6" ht="15" customHeight="1" x14ac:dyDescent="0.2">
      <c r="E18210" s="7"/>
      <c r="F18210" s="7"/>
    </row>
    <row r="18211" spans="5:6" ht="15" customHeight="1" x14ac:dyDescent="0.2">
      <c r="E18211" s="7"/>
      <c r="F18211" s="7"/>
    </row>
    <row r="18212" spans="5:6" ht="15" customHeight="1" x14ac:dyDescent="0.2">
      <c r="E18212" s="7"/>
      <c r="F18212" s="7"/>
    </row>
    <row r="18213" spans="5:6" ht="15" customHeight="1" x14ac:dyDescent="0.2">
      <c r="E18213" s="7"/>
      <c r="F18213" s="7"/>
    </row>
    <row r="18214" spans="5:6" ht="15" customHeight="1" x14ac:dyDescent="0.2">
      <c r="E18214" s="7"/>
      <c r="F18214" s="7"/>
    </row>
    <row r="18215" spans="5:6" ht="15" customHeight="1" x14ac:dyDescent="0.2">
      <c r="E18215" s="7"/>
      <c r="F18215" s="7"/>
    </row>
    <row r="18216" spans="5:6" ht="15" customHeight="1" x14ac:dyDescent="0.2">
      <c r="E18216" s="7"/>
      <c r="F18216" s="7"/>
    </row>
    <row r="18217" spans="5:6" ht="15" customHeight="1" x14ac:dyDescent="0.2">
      <c r="E18217" s="7"/>
      <c r="F18217" s="7"/>
    </row>
    <row r="18218" spans="5:6" ht="15" customHeight="1" x14ac:dyDescent="0.2">
      <c r="E18218" s="7"/>
      <c r="F18218" s="7"/>
    </row>
    <row r="18219" spans="5:6" ht="15" customHeight="1" x14ac:dyDescent="0.2">
      <c r="E18219" s="7"/>
      <c r="F18219" s="7"/>
    </row>
    <row r="18220" spans="5:6" ht="15" customHeight="1" x14ac:dyDescent="0.2">
      <c r="E18220" s="7"/>
      <c r="F18220" s="7"/>
    </row>
    <row r="18221" spans="5:6" ht="15" customHeight="1" x14ac:dyDescent="0.2">
      <c r="E18221" s="7"/>
      <c r="F18221" s="7"/>
    </row>
    <row r="18222" spans="5:6" ht="15" customHeight="1" x14ac:dyDescent="0.2">
      <c r="E18222" s="7"/>
      <c r="F18222" s="7"/>
    </row>
    <row r="18223" spans="5:6" ht="15" customHeight="1" x14ac:dyDescent="0.2">
      <c r="E18223" s="7"/>
      <c r="F18223" s="7"/>
    </row>
    <row r="18224" spans="5:6" ht="15" customHeight="1" x14ac:dyDescent="0.2">
      <c r="E18224" s="7"/>
      <c r="F18224" s="7"/>
    </row>
    <row r="18225" spans="5:6" ht="15" customHeight="1" x14ac:dyDescent="0.2">
      <c r="E18225" s="7"/>
      <c r="F18225" s="7"/>
    </row>
    <row r="18226" spans="5:6" ht="15" customHeight="1" x14ac:dyDescent="0.2">
      <c r="E18226" s="7"/>
      <c r="F18226" s="7"/>
    </row>
    <row r="18227" spans="5:6" ht="15" customHeight="1" x14ac:dyDescent="0.2">
      <c r="E18227" s="7"/>
      <c r="F18227" s="7"/>
    </row>
    <row r="18228" spans="5:6" ht="15" customHeight="1" x14ac:dyDescent="0.2">
      <c r="E18228" s="7"/>
      <c r="F18228" s="7"/>
    </row>
    <row r="18229" spans="5:6" ht="15" customHeight="1" x14ac:dyDescent="0.2">
      <c r="E18229" s="7"/>
      <c r="F18229" s="7"/>
    </row>
    <row r="18230" spans="5:6" ht="15" customHeight="1" x14ac:dyDescent="0.2">
      <c r="E18230" s="7"/>
      <c r="F18230" s="7"/>
    </row>
    <row r="18231" spans="5:6" ht="15" customHeight="1" x14ac:dyDescent="0.2">
      <c r="E18231" s="7"/>
      <c r="F18231" s="7"/>
    </row>
    <row r="18232" spans="5:6" ht="15" customHeight="1" x14ac:dyDescent="0.2">
      <c r="E18232" s="7"/>
      <c r="F18232" s="7"/>
    </row>
    <row r="18233" spans="5:6" ht="15" customHeight="1" x14ac:dyDescent="0.2">
      <c r="E18233" s="7"/>
      <c r="F18233" s="7"/>
    </row>
    <row r="18234" spans="5:6" ht="15" customHeight="1" x14ac:dyDescent="0.2">
      <c r="E18234" s="7"/>
      <c r="F18234" s="7"/>
    </row>
    <row r="18235" spans="5:6" ht="15" customHeight="1" x14ac:dyDescent="0.2">
      <c r="E18235" s="7"/>
      <c r="F18235" s="7"/>
    </row>
    <row r="18236" spans="5:6" ht="15" customHeight="1" x14ac:dyDescent="0.2">
      <c r="E18236" s="7"/>
      <c r="F18236" s="7"/>
    </row>
    <row r="18237" spans="5:6" ht="15" customHeight="1" x14ac:dyDescent="0.2">
      <c r="E18237" s="7"/>
      <c r="F18237" s="7"/>
    </row>
    <row r="18238" spans="5:6" ht="15" customHeight="1" x14ac:dyDescent="0.2">
      <c r="E18238" s="7"/>
      <c r="F18238" s="7"/>
    </row>
    <row r="18239" spans="5:6" ht="15" customHeight="1" x14ac:dyDescent="0.2">
      <c r="E18239" s="7"/>
      <c r="F18239" s="7"/>
    </row>
    <row r="18240" spans="5:6" ht="15" customHeight="1" x14ac:dyDescent="0.2">
      <c r="E18240" s="7"/>
      <c r="F18240" s="7"/>
    </row>
    <row r="18241" spans="5:6" ht="15" customHeight="1" x14ac:dyDescent="0.2">
      <c r="E18241" s="7"/>
      <c r="F18241" s="7"/>
    </row>
    <row r="18242" spans="5:6" ht="15" customHeight="1" x14ac:dyDescent="0.2">
      <c r="E18242" s="7"/>
      <c r="F18242" s="7"/>
    </row>
    <row r="18243" spans="5:6" ht="15" customHeight="1" x14ac:dyDescent="0.2">
      <c r="E18243" s="7"/>
      <c r="F18243" s="7"/>
    </row>
    <row r="18244" spans="5:6" ht="15" customHeight="1" x14ac:dyDescent="0.2">
      <c r="E18244" s="7"/>
      <c r="F18244" s="7"/>
    </row>
    <row r="18245" spans="5:6" ht="15" customHeight="1" x14ac:dyDescent="0.2">
      <c r="E18245" s="7"/>
      <c r="F18245" s="7"/>
    </row>
    <row r="18246" spans="5:6" ht="15" customHeight="1" x14ac:dyDescent="0.2">
      <c r="E18246" s="7"/>
      <c r="F18246" s="7"/>
    </row>
    <row r="18247" spans="5:6" ht="15" customHeight="1" x14ac:dyDescent="0.2">
      <c r="E18247" s="7"/>
      <c r="F18247" s="7"/>
    </row>
    <row r="18248" spans="5:6" ht="15" customHeight="1" x14ac:dyDescent="0.2">
      <c r="E18248" s="7"/>
      <c r="F18248" s="7"/>
    </row>
    <row r="18249" spans="5:6" ht="15" customHeight="1" x14ac:dyDescent="0.2">
      <c r="E18249" s="7"/>
      <c r="F18249" s="7"/>
    </row>
    <row r="18250" spans="5:6" ht="15" customHeight="1" x14ac:dyDescent="0.2">
      <c r="E18250" s="7"/>
      <c r="F18250" s="7"/>
    </row>
    <row r="18251" spans="5:6" ht="15" customHeight="1" x14ac:dyDescent="0.2">
      <c r="E18251" s="7"/>
      <c r="F18251" s="7"/>
    </row>
    <row r="18252" spans="5:6" ht="15" customHeight="1" x14ac:dyDescent="0.2">
      <c r="E18252" s="7"/>
      <c r="F18252" s="7"/>
    </row>
    <row r="18253" spans="5:6" ht="15" customHeight="1" x14ac:dyDescent="0.2">
      <c r="E18253" s="7"/>
      <c r="F18253" s="7"/>
    </row>
    <row r="18254" spans="5:6" ht="15" customHeight="1" x14ac:dyDescent="0.2">
      <c r="E18254" s="7"/>
      <c r="F18254" s="7"/>
    </row>
    <row r="18255" spans="5:6" ht="15" customHeight="1" x14ac:dyDescent="0.2">
      <c r="E18255" s="7"/>
      <c r="F18255" s="7"/>
    </row>
    <row r="18256" spans="5:6" ht="15" customHeight="1" x14ac:dyDescent="0.2">
      <c r="E18256" s="7"/>
      <c r="F18256" s="7"/>
    </row>
    <row r="18257" spans="5:6" ht="15" customHeight="1" x14ac:dyDescent="0.2">
      <c r="E18257" s="7"/>
      <c r="F18257" s="7"/>
    </row>
    <row r="18258" spans="5:6" ht="15" customHeight="1" x14ac:dyDescent="0.2">
      <c r="E18258" s="7"/>
      <c r="F18258" s="7"/>
    </row>
    <row r="18259" spans="5:6" ht="15" customHeight="1" x14ac:dyDescent="0.2">
      <c r="E18259" s="7"/>
      <c r="F18259" s="7"/>
    </row>
    <row r="18260" spans="5:6" ht="15" customHeight="1" x14ac:dyDescent="0.2">
      <c r="E18260" s="7"/>
      <c r="F18260" s="7"/>
    </row>
    <row r="18261" spans="5:6" ht="15" customHeight="1" x14ac:dyDescent="0.2">
      <c r="E18261" s="7"/>
      <c r="F18261" s="7"/>
    </row>
    <row r="18262" spans="5:6" ht="15" customHeight="1" x14ac:dyDescent="0.2">
      <c r="E18262" s="7"/>
      <c r="F18262" s="7"/>
    </row>
    <row r="18263" spans="5:6" ht="15" customHeight="1" x14ac:dyDescent="0.2">
      <c r="E18263" s="7"/>
      <c r="F18263" s="7"/>
    </row>
    <row r="18264" spans="5:6" ht="15" customHeight="1" x14ac:dyDescent="0.2">
      <c r="E18264" s="7"/>
      <c r="F18264" s="7"/>
    </row>
    <row r="18265" spans="5:6" ht="15" customHeight="1" x14ac:dyDescent="0.2">
      <c r="E18265" s="7"/>
      <c r="F18265" s="7"/>
    </row>
    <row r="18266" spans="5:6" ht="15" customHeight="1" x14ac:dyDescent="0.2">
      <c r="E18266" s="7"/>
      <c r="F18266" s="7"/>
    </row>
    <row r="18267" spans="5:6" ht="15" customHeight="1" x14ac:dyDescent="0.2">
      <c r="E18267" s="7"/>
      <c r="F18267" s="7"/>
    </row>
    <row r="18268" spans="5:6" ht="15" customHeight="1" x14ac:dyDescent="0.2">
      <c r="E18268" s="7"/>
      <c r="F18268" s="7"/>
    </row>
    <row r="18269" spans="5:6" ht="15" customHeight="1" x14ac:dyDescent="0.2">
      <c r="E18269" s="7"/>
      <c r="F18269" s="7"/>
    </row>
    <row r="18270" spans="5:6" ht="15" customHeight="1" x14ac:dyDescent="0.2">
      <c r="E18270" s="7"/>
      <c r="F18270" s="7"/>
    </row>
    <row r="18271" spans="5:6" ht="15" customHeight="1" x14ac:dyDescent="0.2">
      <c r="E18271" s="7"/>
      <c r="F18271" s="7"/>
    </row>
    <row r="18272" spans="5:6" ht="15" customHeight="1" x14ac:dyDescent="0.2">
      <c r="E18272" s="7"/>
      <c r="F18272" s="7"/>
    </row>
    <row r="18273" spans="5:6" ht="15" customHeight="1" x14ac:dyDescent="0.2">
      <c r="E18273" s="7"/>
      <c r="F18273" s="7"/>
    </row>
    <row r="18274" spans="5:6" ht="15" customHeight="1" x14ac:dyDescent="0.2">
      <c r="E18274" s="7"/>
      <c r="F18274" s="7"/>
    </row>
    <row r="18275" spans="5:6" ht="15" customHeight="1" x14ac:dyDescent="0.2">
      <c r="E18275" s="7"/>
      <c r="F18275" s="7"/>
    </row>
    <row r="18276" spans="5:6" ht="15" customHeight="1" x14ac:dyDescent="0.2">
      <c r="E18276" s="7"/>
      <c r="F18276" s="7"/>
    </row>
    <row r="18277" spans="5:6" ht="15" customHeight="1" x14ac:dyDescent="0.2">
      <c r="E18277" s="7"/>
      <c r="F18277" s="7"/>
    </row>
    <row r="18278" spans="5:6" ht="15" customHeight="1" x14ac:dyDescent="0.2">
      <c r="E18278" s="7"/>
      <c r="F18278" s="7"/>
    </row>
    <row r="18279" spans="5:6" ht="15" customHeight="1" x14ac:dyDescent="0.2">
      <c r="E18279" s="7"/>
      <c r="F18279" s="7"/>
    </row>
    <row r="18280" spans="5:6" ht="15" customHeight="1" x14ac:dyDescent="0.2">
      <c r="E18280" s="7"/>
      <c r="F18280" s="7"/>
    </row>
    <row r="18281" spans="5:6" ht="15" customHeight="1" x14ac:dyDescent="0.2">
      <c r="E18281" s="7"/>
      <c r="F18281" s="7"/>
    </row>
    <row r="18282" spans="5:6" ht="15" customHeight="1" x14ac:dyDescent="0.2">
      <c r="E18282" s="7"/>
      <c r="F18282" s="7"/>
    </row>
    <row r="18283" spans="5:6" ht="15" customHeight="1" x14ac:dyDescent="0.2">
      <c r="E18283" s="7"/>
      <c r="F18283" s="7"/>
    </row>
    <row r="18284" spans="5:6" ht="15" customHeight="1" x14ac:dyDescent="0.2">
      <c r="E18284" s="7"/>
      <c r="F18284" s="7"/>
    </row>
    <row r="18285" spans="5:6" ht="15" customHeight="1" x14ac:dyDescent="0.2">
      <c r="E18285" s="7"/>
      <c r="F18285" s="7"/>
    </row>
    <row r="18286" spans="5:6" ht="15" customHeight="1" x14ac:dyDescent="0.2">
      <c r="E18286" s="7"/>
      <c r="F18286" s="7"/>
    </row>
    <row r="18287" spans="5:6" ht="15" customHeight="1" x14ac:dyDescent="0.2">
      <c r="E18287" s="7"/>
      <c r="F18287" s="7"/>
    </row>
    <row r="18288" spans="5:6" ht="15" customHeight="1" x14ac:dyDescent="0.2">
      <c r="E18288" s="7"/>
      <c r="F18288" s="7"/>
    </row>
    <row r="18289" spans="5:6" ht="15" customHeight="1" x14ac:dyDescent="0.2">
      <c r="E18289" s="7"/>
      <c r="F18289" s="7"/>
    </row>
    <row r="18290" spans="5:6" ht="15" customHeight="1" x14ac:dyDescent="0.2">
      <c r="E18290" s="7"/>
      <c r="F18290" s="7"/>
    </row>
    <row r="18291" spans="5:6" ht="15" customHeight="1" x14ac:dyDescent="0.2">
      <c r="E18291" s="7"/>
      <c r="F18291" s="7"/>
    </row>
    <row r="18292" spans="5:6" ht="15" customHeight="1" x14ac:dyDescent="0.2">
      <c r="E18292" s="7"/>
      <c r="F18292" s="7"/>
    </row>
    <row r="18293" spans="5:6" ht="15" customHeight="1" x14ac:dyDescent="0.2">
      <c r="E18293" s="7"/>
      <c r="F18293" s="7"/>
    </row>
    <row r="18294" spans="5:6" ht="15" customHeight="1" x14ac:dyDescent="0.2">
      <c r="E18294" s="7"/>
      <c r="F18294" s="7"/>
    </row>
    <row r="18295" spans="5:6" ht="15" customHeight="1" x14ac:dyDescent="0.2">
      <c r="E18295" s="7"/>
      <c r="F18295" s="7"/>
    </row>
    <row r="18296" spans="5:6" ht="15" customHeight="1" x14ac:dyDescent="0.2">
      <c r="E18296" s="7"/>
      <c r="F18296" s="7"/>
    </row>
    <row r="18297" spans="5:6" ht="15" customHeight="1" x14ac:dyDescent="0.2">
      <c r="E18297" s="7"/>
      <c r="F18297" s="7"/>
    </row>
    <row r="18298" spans="5:6" ht="15" customHeight="1" x14ac:dyDescent="0.2">
      <c r="E18298" s="7"/>
      <c r="F18298" s="7"/>
    </row>
    <row r="18299" spans="5:6" ht="15" customHeight="1" x14ac:dyDescent="0.2">
      <c r="E18299" s="7"/>
      <c r="F18299" s="7"/>
    </row>
    <row r="18300" spans="5:6" ht="15" customHeight="1" x14ac:dyDescent="0.2">
      <c r="E18300" s="7"/>
      <c r="F18300" s="7"/>
    </row>
    <row r="18301" spans="5:6" ht="15" customHeight="1" x14ac:dyDescent="0.2">
      <c r="E18301" s="7"/>
      <c r="F18301" s="7"/>
    </row>
    <row r="18302" spans="5:6" ht="15" customHeight="1" x14ac:dyDescent="0.2">
      <c r="E18302" s="7"/>
      <c r="F18302" s="7"/>
    </row>
    <row r="18303" spans="5:6" ht="15" customHeight="1" x14ac:dyDescent="0.2">
      <c r="E18303" s="7"/>
      <c r="F18303" s="7"/>
    </row>
    <row r="18304" spans="5:6" ht="15" customHeight="1" x14ac:dyDescent="0.2">
      <c r="E18304" s="7"/>
      <c r="F18304" s="7"/>
    </row>
    <row r="18305" spans="5:6" ht="15" customHeight="1" x14ac:dyDescent="0.2">
      <c r="E18305" s="7"/>
      <c r="F18305" s="7"/>
    </row>
    <row r="18306" spans="5:6" ht="15" customHeight="1" x14ac:dyDescent="0.2">
      <c r="E18306" s="7"/>
      <c r="F18306" s="7"/>
    </row>
    <row r="18307" spans="5:6" ht="15" customHeight="1" x14ac:dyDescent="0.2">
      <c r="E18307" s="7"/>
      <c r="F18307" s="7"/>
    </row>
    <row r="18308" spans="5:6" ht="15" customHeight="1" x14ac:dyDescent="0.2">
      <c r="E18308" s="7"/>
      <c r="F18308" s="7"/>
    </row>
    <row r="18309" spans="5:6" ht="15" customHeight="1" x14ac:dyDescent="0.2">
      <c r="E18309" s="7"/>
      <c r="F18309" s="7"/>
    </row>
    <row r="18310" spans="5:6" ht="15" customHeight="1" x14ac:dyDescent="0.2">
      <c r="E18310" s="7"/>
      <c r="F18310" s="7"/>
    </row>
    <row r="18311" spans="5:6" ht="15" customHeight="1" x14ac:dyDescent="0.2">
      <c r="E18311" s="7"/>
      <c r="F18311" s="7"/>
    </row>
    <row r="18312" spans="5:6" ht="15" customHeight="1" x14ac:dyDescent="0.2">
      <c r="E18312" s="7"/>
      <c r="F18312" s="7"/>
    </row>
    <row r="18313" spans="5:6" ht="15" customHeight="1" x14ac:dyDescent="0.2">
      <c r="E18313" s="7"/>
      <c r="F18313" s="7"/>
    </row>
    <row r="18314" spans="5:6" ht="15" customHeight="1" x14ac:dyDescent="0.2">
      <c r="E18314" s="7"/>
      <c r="F18314" s="7"/>
    </row>
    <row r="18315" spans="5:6" ht="15" customHeight="1" x14ac:dyDescent="0.2">
      <c r="E18315" s="7"/>
      <c r="F18315" s="7"/>
    </row>
    <row r="18316" spans="5:6" ht="15" customHeight="1" x14ac:dyDescent="0.2">
      <c r="E18316" s="7"/>
      <c r="F18316" s="7"/>
    </row>
    <row r="18317" spans="5:6" ht="15" customHeight="1" x14ac:dyDescent="0.2">
      <c r="E18317" s="7"/>
      <c r="F18317" s="7"/>
    </row>
    <row r="18318" spans="5:6" ht="15" customHeight="1" x14ac:dyDescent="0.2">
      <c r="E18318" s="7"/>
      <c r="F18318" s="7"/>
    </row>
    <row r="18319" spans="5:6" ht="15" customHeight="1" x14ac:dyDescent="0.2">
      <c r="E18319" s="7"/>
      <c r="F18319" s="7"/>
    </row>
    <row r="18320" spans="5:6" ht="15" customHeight="1" x14ac:dyDescent="0.2">
      <c r="E18320" s="7"/>
      <c r="F18320" s="7"/>
    </row>
    <row r="18321" spans="5:6" ht="15" customHeight="1" x14ac:dyDescent="0.2">
      <c r="E18321" s="7"/>
      <c r="F18321" s="7"/>
    </row>
    <row r="18322" spans="5:6" ht="15" customHeight="1" x14ac:dyDescent="0.2">
      <c r="E18322" s="7"/>
      <c r="F18322" s="7"/>
    </row>
    <row r="18323" spans="5:6" ht="15" customHeight="1" x14ac:dyDescent="0.2">
      <c r="E18323" s="7"/>
      <c r="F18323" s="7"/>
    </row>
    <row r="18324" spans="5:6" ht="15" customHeight="1" x14ac:dyDescent="0.2">
      <c r="E18324" s="7"/>
      <c r="F18324" s="7"/>
    </row>
    <row r="18325" spans="5:6" ht="15" customHeight="1" x14ac:dyDescent="0.2">
      <c r="E18325" s="7"/>
      <c r="F18325" s="7"/>
    </row>
    <row r="18326" spans="5:6" ht="15" customHeight="1" x14ac:dyDescent="0.2">
      <c r="E18326" s="7"/>
      <c r="F18326" s="7"/>
    </row>
    <row r="18327" spans="5:6" ht="15" customHeight="1" x14ac:dyDescent="0.2">
      <c r="E18327" s="7"/>
      <c r="F18327" s="7"/>
    </row>
    <row r="18328" spans="5:6" ht="15" customHeight="1" x14ac:dyDescent="0.2">
      <c r="E18328" s="7"/>
      <c r="F18328" s="7"/>
    </row>
    <row r="18329" spans="5:6" ht="15" customHeight="1" x14ac:dyDescent="0.2">
      <c r="E18329" s="7"/>
      <c r="F18329" s="7"/>
    </row>
    <row r="18330" spans="5:6" ht="15" customHeight="1" x14ac:dyDescent="0.2">
      <c r="E18330" s="7"/>
      <c r="F18330" s="7"/>
    </row>
    <row r="18331" spans="5:6" ht="15" customHeight="1" x14ac:dyDescent="0.2">
      <c r="E18331" s="7"/>
      <c r="F18331" s="7"/>
    </row>
    <row r="18332" spans="5:6" ht="15" customHeight="1" x14ac:dyDescent="0.2">
      <c r="E18332" s="7"/>
      <c r="F18332" s="7"/>
    </row>
    <row r="18333" spans="5:6" ht="15" customHeight="1" x14ac:dyDescent="0.2">
      <c r="E18333" s="7"/>
      <c r="F18333" s="7"/>
    </row>
    <row r="18334" spans="5:6" ht="15" customHeight="1" x14ac:dyDescent="0.2">
      <c r="E18334" s="7"/>
      <c r="F18334" s="7"/>
    </row>
    <row r="18335" spans="5:6" ht="15" customHeight="1" x14ac:dyDescent="0.2">
      <c r="E18335" s="7"/>
      <c r="F18335" s="7"/>
    </row>
    <row r="18336" spans="5:6" ht="15" customHeight="1" x14ac:dyDescent="0.2">
      <c r="E18336" s="7"/>
      <c r="F18336" s="7"/>
    </row>
    <row r="18337" spans="5:6" ht="15" customHeight="1" x14ac:dyDescent="0.2">
      <c r="E18337" s="7"/>
      <c r="F18337" s="7"/>
    </row>
    <row r="18338" spans="5:6" ht="15" customHeight="1" x14ac:dyDescent="0.2">
      <c r="E18338" s="7"/>
      <c r="F18338" s="7"/>
    </row>
    <row r="18339" spans="5:6" ht="15" customHeight="1" x14ac:dyDescent="0.2">
      <c r="E18339" s="7"/>
      <c r="F18339" s="7"/>
    </row>
    <row r="18340" spans="5:6" ht="15" customHeight="1" x14ac:dyDescent="0.2">
      <c r="E18340" s="7"/>
      <c r="F18340" s="7"/>
    </row>
    <row r="18341" spans="5:6" ht="15" customHeight="1" x14ac:dyDescent="0.2">
      <c r="E18341" s="7"/>
      <c r="F18341" s="7"/>
    </row>
    <row r="18342" spans="5:6" ht="15" customHeight="1" x14ac:dyDescent="0.2">
      <c r="E18342" s="7"/>
      <c r="F18342" s="7"/>
    </row>
    <row r="18343" spans="5:6" ht="15" customHeight="1" x14ac:dyDescent="0.2">
      <c r="E18343" s="7"/>
      <c r="F18343" s="7"/>
    </row>
    <row r="18344" spans="5:6" ht="15" customHeight="1" x14ac:dyDescent="0.2">
      <c r="E18344" s="7"/>
      <c r="F18344" s="7"/>
    </row>
    <row r="18345" spans="5:6" ht="15" customHeight="1" x14ac:dyDescent="0.2">
      <c r="E18345" s="7"/>
      <c r="F18345" s="7"/>
    </row>
    <row r="18346" spans="5:6" ht="15" customHeight="1" x14ac:dyDescent="0.2">
      <c r="E18346" s="7"/>
      <c r="F18346" s="7"/>
    </row>
    <row r="18347" spans="5:6" ht="15" customHeight="1" x14ac:dyDescent="0.2">
      <c r="E18347" s="7"/>
      <c r="F18347" s="7"/>
    </row>
    <row r="18348" spans="5:6" ht="15" customHeight="1" x14ac:dyDescent="0.2">
      <c r="E18348" s="7"/>
      <c r="F18348" s="7"/>
    </row>
    <row r="18349" spans="5:6" ht="15" customHeight="1" x14ac:dyDescent="0.2">
      <c r="E18349" s="7"/>
      <c r="F18349" s="7"/>
    </row>
    <row r="18350" spans="5:6" ht="15" customHeight="1" x14ac:dyDescent="0.2">
      <c r="E18350" s="7"/>
      <c r="F18350" s="7"/>
    </row>
    <row r="18351" spans="5:6" ht="15" customHeight="1" x14ac:dyDescent="0.2">
      <c r="E18351" s="7"/>
      <c r="F18351" s="7"/>
    </row>
    <row r="18352" spans="5:6" ht="15" customHeight="1" x14ac:dyDescent="0.2">
      <c r="E18352" s="7"/>
      <c r="F18352" s="7"/>
    </row>
    <row r="18353" spans="5:6" ht="15" customHeight="1" x14ac:dyDescent="0.2">
      <c r="E18353" s="7"/>
      <c r="F18353" s="7"/>
    </row>
    <row r="18354" spans="5:6" ht="15" customHeight="1" x14ac:dyDescent="0.2">
      <c r="E18354" s="7"/>
      <c r="F18354" s="7"/>
    </row>
    <row r="18355" spans="5:6" ht="15" customHeight="1" x14ac:dyDescent="0.2">
      <c r="E18355" s="7"/>
      <c r="F18355" s="7"/>
    </row>
    <row r="18356" spans="5:6" ht="15" customHeight="1" x14ac:dyDescent="0.2">
      <c r="E18356" s="7"/>
      <c r="F18356" s="7"/>
    </row>
    <row r="18357" spans="5:6" ht="15" customHeight="1" x14ac:dyDescent="0.2">
      <c r="E18357" s="7"/>
      <c r="F18357" s="7"/>
    </row>
    <row r="18358" spans="5:6" ht="15" customHeight="1" x14ac:dyDescent="0.2">
      <c r="E18358" s="7"/>
      <c r="F18358" s="7"/>
    </row>
    <row r="18359" spans="5:6" ht="15" customHeight="1" x14ac:dyDescent="0.2">
      <c r="E18359" s="7"/>
      <c r="F18359" s="7"/>
    </row>
    <row r="18360" spans="5:6" ht="15" customHeight="1" x14ac:dyDescent="0.2">
      <c r="E18360" s="7"/>
      <c r="F18360" s="7"/>
    </row>
    <row r="18361" spans="5:6" ht="15" customHeight="1" x14ac:dyDescent="0.2">
      <c r="E18361" s="7"/>
      <c r="F18361" s="7"/>
    </row>
    <row r="18362" spans="5:6" ht="15" customHeight="1" x14ac:dyDescent="0.2">
      <c r="E18362" s="7"/>
      <c r="F18362" s="7"/>
    </row>
    <row r="18363" spans="5:6" ht="15" customHeight="1" x14ac:dyDescent="0.2">
      <c r="E18363" s="7"/>
      <c r="F18363" s="7"/>
    </row>
    <row r="18364" spans="5:6" ht="15" customHeight="1" x14ac:dyDescent="0.2">
      <c r="E18364" s="7"/>
      <c r="F18364" s="7"/>
    </row>
    <row r="18365" spans="5:6" ht="15" customHeight="1" x14ac:dyDescent="0.2">
      <c r="E18365" s="7"/>
      <c r="F18365" s="7"/>
    </row>
    <row r="18366" spans="5:6" ht="15" customHeight="1" x14ac:dyDescent="0.2">
      <c r="E18366" s="7"/>
      <c r="F18366" s="7"/>
    </row>
    <row r="18367" spans="5:6" ht="15" customHeight="1" x14ac:dyDescent="0.2">
      <c r="E18367" s="7"/>
      <c r="F18367" s="7"/>
    </row>
    <row r="18368" spans="5:6" ht="15" customHeight="1" x14ac:dyDescent="0.2">
      <c r="E18368" s="7"/>
      <c r="F18368" s="7"/>
    </row>
    <row r="18369" spans="5:6" ht="15" customHeight="1" x14ac:dyDescent="0.2">
      <c r="E18369" s="7"/>
      <c r="F18369" s="7"/>
    </row>
    <row r="18370" spans="5:6" ht="15" customHeight="1" x14ac:dyDescent="0.2">
      <c r="E18370" s="7"/>
      <c r="F18370" s="7"/>
    </row>
    <row r="18371" spans="5:6" ht="15" customHeight="1" x14ac:dyDescent="0.2">
      <c r="E18371" s="7"/>
      <c r="F18371" s="7"/>
    </row>
    <row r="18372" spans="5:6" ht="15" customHeight="1" x14ac:dyDescent="0.2">
      <c r="E18372" s="7"/>
      <c r="F18372" s="7"/>
    </row>
    <row r="18373" spans="5:6" ht="15" customHeight="1" x14ac:dyDescent="0.2">
      <c r="E18373" s="7"/>
      <c r="F18373" s="7"/>
    </row>
    <row r="18374" spans="5:6" ht="15" customHeight="1" x14ac:dyDescent="0.2">
      <c r="E18374" s="7"/>
      <c r="F18374" s="7"/>
    </row>
    <row r="18375" spans="5:6" ht="15" customHeight="1" x14ac:dyDescent="0.2">
      <c r="E18375" s="7"/>
      <c r="F18375" s="7"/>
    </row>
    <row r="18376" spans="5:6" ht="15" customHeight="1" x14ac:dyDescent="0.2">
      <c r="E18376" s="7"/>
      <c r="F18376" s="7"/>
    </row>
    <row r="18377" spans="5:6" ht="15" customHeight="1" x14ac:dyDescent="0.2">
      <c r="E18377" s="7"/>
      <c r="F18377" s="7"/>
    </row>
    <row r="18378" spans="5:6" ht="15" customHeight="1" x14ac:dyDescent="0.2">
      <c r="E18378" s="7"/>
      <c r="F18378" s="7"/>
    </row>
    <row r="18379" spans="5:6" ht="15" customHeight="1" x14ac:dyDescent="0.2">
      <c r="E18379" s="7"/>
      <c r="F18379" s="7"/>
    </row>
    <row r="18380" spans="5:6" ht="15" customHeight="1" x14ac:dyDescent="0.2">
      <c r="E18380" s="7"/>
      <c r="F18380" s="7"/>
    </row>
    <row r="18381" spans="5:6" ht="15" customHeight="1" x14ac:dyDescent="0.2">
      <c r="E18381" s="7"/>
      <c r="F18381" s="7"/>
    </row>
    <row r="18382" spans="5:6" ht="15" customHeight="1" x14ac:dyDescent="0.2">
      <c r="E18382" s="7"/>
      <c r="F18382" s="7"/>
    </row>
    <row r="18383" spans="5:6" ht="15" customHeight="1" x14ac:dyDescent="0.2">
      <c r="E18383" s="7"/>
      <c r="F18383" s="7"/>
    </row>
    <row r="18384" spans="5:6" ht="15" customHeight="1" x14ac:dyDescent="0.2">
      <c r="E18384" s="7"/>
      <c r="F18384" s="7"/>
    </row>
    <row r="18385" spans="5:6" ht="15" customHeight="1" x14ac:dyDescent="0.2">
      <c r="E18385" s="7"/>
      <c r="F18385" s="7"/>
    </row>
    <row r="18386" spans="5:6" ht="15" customHeight="1" x14ac:dyDescent="0.2">
      <c r="E18386" s="7"/>
      <c r="F18386" s="7"/>
    </row>
    <row r="18387" spans="5:6" ht="15" customHeight="1" x14ac:dyDescent="0.2">
      <c r="E18387" s="7"/>
      <c r="F18387" s="7"/>
    </row>
    <row r="18388" spans="5:6" ht="15" customHeight="1" x14ac:dyDescent="0.2">
      <c r="E18388" s="7"/>
      <c r="F18388" s="7"/>
    </row>
    <row r="18389" spans="5:6" ht="15" customHeight="1" x14ac:dyDescent="0.2">
      <c r="E18389" s="7"/>
      <c r="F18389" s="7"/>
    </row>
    <row r="18390" spans="5:6" ht="15" customHeight="1" x14ac:dyDescent="0.2">
      <c r="E18390" s="7"/>
      <c r="F18390" s="7"/>
    </row>
    <row r="18391" spans="5:6" ht="15" customHeight="1" x14ac:dyDescent="0.2">
      <c r="E18391" s="7"/>
      <c r="F18391" s="7"/>
    </row>
    <row r="18392" spans="5:6" ht="15" customHeight="1" x14ac:dyDescent="0.2">
      <c r="E18392" s="7"/>
      <c r="F18392" s="7"/>
    </row>
    <row r="18393" spans="5:6" ht="15" customHeight="1" x14ac:dyDescent="0.2">
      <c r="E18393" s="7"/>
      <c r="F18393" s="7"/>
    </row>
    <row r="18394" spans="5:6" ht="15" customHeight="1" x14ac:dyDescent="0.2">
      <c r="E18394" s="7"/>
      <c r="F18394" s="7"/>
    </row>
    <row r="18395" spans="5:6" ht="15" customHeight="1" x14ac:dyDescent="0.2">
      <c r="E18395" s="7"/>
      <c r="F18395" s="7"/>
    </row>
    <row r="18396" spans="5:6" ht="15" customHeight="1" x14ac:dyDescent="0.2">
      <c r="E18396" s="7"/>
      <c r="F18396" s="7"/>
    </row>
    <row r="18397" spans="5:6" ht="15" customHeight="1" x14ac:dyDescent="0.2">
      <c r="E18397" s="7"/>
      <c r="F18397" s="7"/>
    </row>
    <row r="18398" spans="5:6" ht="15" customHeight="1" x14ac:dyDescent="0.2">
      <c r="E18398" s="7"/>
      <c r="F18398" s="7"/>
    </row>
    <row r="18399" spans="5:6" ht="15" customHeight="1" x14ac:dyDescent="0.2">
      <c r="E18399" s="7"/>
      <c r="F18399" s="7"/>
    </row>
    <row r="18400" spans="5:6" ht="15" customHeight="1" x14ac:dyDescent="0.2">
      <c r="E18400" s="7"/>
      <c r="F18400" s="7"/>
    </row>
    <row r="18401" spans="5:6" ht="15" customHeight="1" x14ac:dyDescent="0.2">
      <c r="E18401" s="7"/>
      <c r="F18401" s="7"/>
    </row>
    <row r="18402" spans="5:6" ht="15" customHeight="1" x14ac:dyDescent="0.2">
      <c r="E18402" s="7"/>
      <c r="F18402" s="7"/>
    </row>
    <row r="18403" spans="5:6" ht="15" customHeight="1" x14ac:dyDescent="0.2">
      <c r="E18403" s="7"/>
      <c r="F18403" s="7"/>
    </row>
    <row r="18404" spans="5:6" ht="15" customHeight="1" x14ac:dyDescent="0.2">
      <c r="E18404" s="7"/>
      <c r="F18404" s="7"/>
    </row>
    <row r="18405" spans="5:6" ht="15" customHeight="1" x14ac:dyDescent="0.2">
      <c r="E18405" s="7"/>
      <c r="F18405" s="7"/>
    </row>
    <row r="18406" spans="5:6" ht="15" customHeight="1" x14ac:dyDescent="0.2">
      <c r="E18406" s="7"/>
      <c r="F18406" s="7"/>
    </row>
    <row r="18407" spans="5:6" ht="15" customHeight="1" x14ac:dyDescent="0.2">
      <c r="E18407" s="7"/>
      <c r="F18407" s="7"/>
    </row>
    <row r="18408" spans="5:6" ht="15" customHeight="1" x14ac:dyDescent="0.2">
      <c r="E18408" s="7"/>
      <c r="F18408" s="7"/>
    </row>
    <row r="18409" spans="5:6" ht="15" customHeight="1" x14ac:dyDescent="0.2">
      <c r="E18409" s="7"/>
      <c r="F18409" s="7"/>
    </row>
    <row r="18410" spans="5:6" ht="15" customHeight="1" x14ac:dyDescent="0.2">
      <c r="E18410" s="7"/>
      <c r="F18410" s="7"/>
    </row>
    <row r="18411" spans="5:6" ht="15" customHeight="1" x14ac:dyDescent="0.2">
      <c r="E18411" s="7"/>
      <c r="F18411" s="7"/>
    </row>
    <row r="18412" spans="5:6" ht="15" customHeight="1" x14ac:dyDescent="0.2">
      <c r="E18412" s="7"/>
      <c r="F18412" s="7"/>
    </row>
    <row r="18413" spans="5:6" ht="15" customHeight="1" x14ac:dyDescent="0.2">
      <c r="E18413" s="7"/>
      <c r="F18413" s="7"/>
    </row>
    <row r="18414" spans="5:6" ht="15" customHeight="1" x14ac:dyDescent="0.2">
      <c r="E18414" s="7"/>
      <c r="F18414" s="7"/>
    </row>
    <row r="18415" spans="5:6" ht="15" customHeight="1" x14ac:dyDescent="0.2">
      <c r="E18415" s="7"/>
      <c r="F18415" s="7"/>
    </row>
    <row r="18416" spans="5:6" ht="15" customHeight="1" x14ac:dyDescent="0.2">
      <c r="E18416" s="7"/>
      <c r="F18416" s="7"/>
    </row>
    <row r="18417" spans="5:6" ht="15" customHeight="1" x14ac:dyDescent="0.2">
      <c r="E18417" s="7"/>
      <c r="F18417" s="7"/>
    </row>
    <row r="18418" spans="5:6" ht="15" customHeight="1" x14ac:dyDescent="0.2">
      <c r="E18418" s="7"/>
      <c r="F18418" s="7"/>
    </row>
    <row r="18419" spans="5:6" ht="15" customHeight="1" x14ac:dyDescent="0.2">
      <c r="E18419" s="7"/>
      <c r="F18419" s="7"/>
    </row>
    <row r="18420" spans="5:6" ht="15" customHeight="1" x14ac:dyDescent="0.2">
      <c r="E18420" s="7"/>
      <c r="F18420" s="7"/>
    </row>
    <row r="18421" spans="5:6" ht="15" customHeight="1" x14ac:dyDescent="0.2">
      <c r="E18421" s="7"/>
      <c r="F18421" s="7"/>
    </row>
    <row r="18422" spans="5:6" ht="15" customHeight="1" x14ac:dyDescent="0.2">
      <c r="E18422" s="7"/>
      <c r="F18422" s="7"/>
    </row>
    <row r="18423" spans="5:6" ht="15" customHeight="1" x14ac:dyDescent="0.2">
      <c r="E18423" s="7"/>
      <c r="F18423" s="7"/>
    </row>
    <row r="18424" spans="5:6" ht="15" customHeight="1" x14ac:dyDescent="0.2">
      <c r="E18424" s="7"/>
      <c r="F18424" s="7"/>
    </row>
    <row r="18425" spans="5:6" ht="15" customHeight="1" x14ac:dyDescent="0.2">
      <c r="E18425" s="7"/>
      <c r="F18425" s="7"/>
    </row>
    <row r="18426" spans="5:6" ht="15" customHeight="1" x14ac:dyDescent="0.2">
      <c r="E18426" s="7"/>
      <c r="F18426" s="7"/>
    </row>
    <row r="18427" spans="5:6" ht="15" customHeight="1" x14ac:dyDescent="0.2">
      <c r="E18427" s="7"/>
      <c r="F18427" s="7"/>
    </row>
    <row r="18428" spans="5:6" ht="15" customHeight="1" x14ac:dyDescent="0.2">
      <c r="E18428" s="7"/>
      <c r="F18428" s="7"/>
    </row>
    <row r="18429" spans="5:6" ht="15" customHeight="1" x14ac:dyDescent="0.2">
      <c r="E18429" s="7"/>
      <c r="F18429" s="7"/>
    </row>
    <row r="18430" spans="5:6" ht="15" customHeight="1" x14ac:dyDescent="0.2">
      <c r="E18430" s="7"/>
      <c r="F18430" s="7"/>
    </row>
    <row r="18431" spans="5:6" ht="15" customHeight="1" x14ac:dyDescent="0.2">
      <c r="E18431" s="7"/>
      <c r="F18431" s="7"/>
    </row>
    <row r="18432" spans="5:6" ht="15" customHeight="1" x14ac:dyDescent="0.2">
      <c r="E18432" s="7"/>
      <c r="F18432" s="7"/>
    </row>
    <row r="18433" spans="5:6" ht="15" customHeight="1" x14ac:dyDescent="0.2">
      <c r="E18433" s="7"/>
      <c r="F18433" s="7"/>
    </row>
    <row r="18434" spans="5:6" ht="15" customHeight="1" x14ac:dyDescent="0.2">
      <c r="E18434" s="7"/>
      <c r="F18434" s="7"/>
    </row>
    <row r="18435" spans="5:6" ht="15" customHeight="1" x14ac:dyDescent="0.2">
      <c r="E18435" s="7"/>
      <c r="F18435" s="7"/>
    </row>
    <row r="18436" spans="5:6" ht="15" customHeight="1" x14ac:dyDescent="0.2">
      <c r="E18436" s="7"/>
      <c r="F18436" s="7"/>
    </row>
    <row r="18437" spans="5:6" ht="15" customHeight="1" x14ac:dyDescent="0.2">
      <c r="E18437" s="7"/>
      <c r="F18437" s="7"/>
    </row>
    <row r="18438" spans="5:6" ht="15" customHeight="1" x14ac:dyDescent="0.2">
      <c r="E18438" s="7"/>
      <c r="F18438" s="7"/>
    </row>
    <row r="18439" spans="5:6" ht="15" customHeight="1" x14ac:dyDescent="0.2">
      <c r="E18439" s="7"/>
      <c r="F18439" s="7"/>
    </row>
    <row r="18440" spans="5:6" ht="15" customHeight="1" x14ac:dyDescent="0.2">
      <c r="E18440" s="7"/>
      <c r="F18440" s="7"/>
    </row>
    <row r="18441" spans="5:6" ht="15" customHeight="1" x14ac:dyDescent="0.2">
      <c r="E18441" s="7"/>
      <c r="F18441" s="7"/>
    </row>
    <row r="18442" spans="5:6" ht="15" customHeight="1" x14ac:dyDescent="0.2">
      <c r="E18442" s="7"/>
      <c r="F18442" s="7"/>
    </row>
    <row r="18443" spans="5:6" ht="15" customHeight="1" x14ac:dyDescent="0.2">
      <c r="E18443" s="7"/>
      <c r="F18443" s="7"/>
    </row>
    <row r="18444" spans="5:6" ht="15" customHeight="1" x14ac:dyDescent="0.2">
      <c r="E18444" s="7"/>
      <c r="F18444" s="7"/>
    </row>
    <row r="18445" spans="5:6" ht="15" customHeight="1" x14ac:dyDescent="0.2">
      <c r="E18445" s="7"/>
      <c r="F18445" s="7"/>
    </row>
    <row r="18446" spans="5:6" ht="15" customHeight="1" x14ac:dyDescent="0.2">
      <c r="E18446" s="7"/>
      <c r="F18446" s="7"/>
    </row>
    <row r="18447" spans="5:6" ht="15" customHeight="1" x14ac:dyDescent="0.2">
      <c r="E18447" s="7"/>
      <c r="F18447" s="7"/>
    </row>
    <row r="18448" spans="5:6" ht="15" customHeight="1" x14ac:dyDescent="0.2">
      <c r="E18448" s="7"/>
      <c r="F18448" s="7"/>
    </row>
    <row r="18449" spans="5:6" ht="15" customHeight="1" x14ac:dyDescent="0.2">
      <c r="E18449" s="7"/>
      <c r="F18449" s="7"/>
    </row>
    <row r="18450" spans="5:6" ht="15" customHeight="1" x14ac:dyDescent="0.2">
      <c r="E18450" s="7"/>
      <c r="F18450" s="7"/>
    </row>
    <row r="18451" spans="5:6" ht="15" customHeight="1" x14ac:dyDescent="0.2">
      <c r="E18451" s="7"/>
      <c r="F18451" s="7"/>
    </row>
    <row r="18452" spans="5:6" ht="15" customHeight="1" x14ac:dyDescent="0.2">
      <c r="E18452" s="7"/>
      <c r="F18452" s="7"/>
    </row>
    <row r="18453" spans="5:6" ht="15" customHeight="1" x14ac:dyDescent="0.2">
      <c r="E18453" s="7"/>
      <c r="F18453" s="7"/>
    </row>
    <row r="18454" spans="5:6" ht="15" customHeight="1" x14ac:dyDescent="0.2">
      <c r="E18454" s="7"/>
      <c r="F18454" s="7"/>
    </row>
    <row r="18455" spans="5:6" ht="15" customHeight="1" x14ac:dyDescent="0.2">
      <c r="E18455" s="7"/>
      <c r="F18455" s="7"/>
    </row>
    <row r="18456" spans="5:6" ht="15" customHeight="1" x14ac:dyDescent="0.2">
      <c r="E18456" s="7"/>
      <c r="F18456" s="7"/>
    </row>
    <row r="18457" spans="5:6" ht="15" customHeight="1" x14ac:dyDescent="0.2">
      <c r="E18457" s="7"/>
      <c r="F18457" s="7"/>
    </row>
    <row r="18458" spans="5:6" ht="15" customHeight="1" x14ac:dyDescent="0.2">
      <c r="E18458" s="7"/>
      <c r="F18458" s="7"/>
    </row>
    <row r="18459" spans="5:6" ht="15" customHeight="1" x14ac:dyDescent="0.2">
      <c r="E18459" s="7"/>
      <c r="F18459" s="7"/>
    </row>
    <row r="18460" spans="5:6" ht="15" customHeight="1" x14ac:dyDescent="0.2">
      <c r="E18460" s="7"/>
      <c r="F18460" s="7"/>
    </row>
    <row r="18461" spans="5:6" ht="15" customHeight="1" x14ac:dyDescent="0.2">
      <c r="E18461" s="7"/>
      <c r="F18461" s="7"/>
    </row>
    <row r="18462" spans="5:6" ht="15" customHeight="1" x14ac:dyDescent="0.2">
      <c r="E18462" s="7"/>
      <c r="F18462" s="7"/>
    </row>
    <row r="18463" spans="5:6" ht="15" customHeight="1" x14ac:dyDescent="0.2">
      <c r="E18463" s="7"/>
      <c r="F18463" s="7"/>
    </row>
    <row r="18464" spans="5:6" ht="15" customHeight="1" x14ac:dyDescent="0.2">
      <c r="E18464" s="7"/>
      <c r="F18464" s="7"/>
    </row>
    <row r="18465" spans="5:6" ht="15" customHeight="1" x14ac:dyDescent="0.2">
      <c r="E18465" s="7"/>
      <c r="F18465" s="7"/>
    </row>
    <row r="18466" spans="5:6" ht="15" customHeight="1" x14ac:dyDescent="0.2">
      <c r="E18466" s="7"/>
      <c r="F18466" s="7"/>
    </row>
    <row r="18467" spans="5:6" ht="15" customHeight="1" x14ac:dyDescent="0.2">
      <c r="E18467" s="7"/>
      <c r="F18467" s="7"/>
    </row>
    <row r="18468" spans="5:6" ht="15" customHeight="1" x14ac:dyDescent="0.2">
      <c r="E18468" s="7"/>
      <c r="F18468" s="7"/>
    </row>
    <row r="18469" spans="5:6" ht="15" customHeight="1" x14ac:dyDescent="0.2">
      <c r="E18469" s="7"/>
      <c r="F18469" s="7"/>
    </row>
    <row r="18470" spans="5:6" ht="15" customHeight="1" x14ac:dyDescent="0.2">
      <c r="E18470" s="7"/>
      <c r="F18470" s="7"/>
    </row>
    <row r="18471" spans="5:6" ht="15" customHeight="1" x14ac:dyDescent="0.2">
      <c r="E18471" s="7"/>
      <c r="F18471" s="7"/>
    </row>
    <row r="18472" spans="5:6" ht="15" customHeight="1" x14ac:dyDescent="0.2">
      <c r="E18472" s="7"/>
      <c r="F18472" s="7"/>
    </row>
    <row r="18473" spans="5:6" ht="15" customHeight="1" x14ac:dyDescent="0.2">
      <c r="E18473" s="7"/>
      <c r="F18473" s="7"/>
    </row>
    <row r="18474" spans="5:6" ht="15" customHeight="1" x14ac:dyDescent="0.2">
      <c r="E18474" s="7"/>
      <c r="F18474" s="7"/>
    </row>
    <row r="18475" spans="5:6" ht="15" customHeight="1" x14ac:dyDescent="0.2">
      <c r="E18475" s="7"/>
      <c r="F18475" s="7"/>
    </row>
    <row r="18476" spans="5:6" ht="15" customHeight="1" x14ac:dyDescent="0.2">
      <c r="E18476" s="7"/>
      <c r="F18476" s="7"/>
    </row>
    <row r="18477" spans="5:6" ht="15" customHeight="1" x14ac:dyDescent="0.2">
      <c r="E18477" s="7"/>
      <c r="F18477" s="7"/>
    </row>
    <row r="18478" spans="5:6" ht="15" customHeight="1" x14ac:dyDescent="0.2">
      <c r="E18478" s="7"/>
      <c r="F18478" s="7"/>
    </row>
    <row r="18479" spans="5:6" ht="15" customHeight="1" x14ac:dyDescent="0.2">
      <c r="E18479" s="7"/>
      <c r="F18479" s="7"/>
    </row>
    <row r="18480" spans="5:6" ht="15" customHeight="1" x14ac:dyDescent="0.2">
      <c r="E18480" s="7"/>
      <c r="F18480" s="7"/>
    </row>
    <row r="18481" spans="5:6" ht="15" customHeight="1" x14ac:dyDescent="0.2">
      <c r="E18481" s="7"/>
      <c r="F18481" s="7"/>
    </row>
    <row r="18482" spans="5:6" ht="15" customHeight="1" x14ac:dyDescent="0.2">
      <c r="E18482" s="7"/>
      <c r="F18482" s="7"/>
    </row>
    <row r="18483" spans="5:6" ht="15" customHeight="1" x14ac:dyDescent="0.2">
      <c r="E18483" s="7"/>
      <c r="F18483" s="7"/>
    </row>
    <row r="18484" spans="5:6" ht="15" customHeight="1" x14ac:dyDescent="0.2">
      <c r="E18484" s="7"/>
      <c r="F18484" s="7"/>
    </row>
    <row r="18485" spans="5:6" ht="15" customHeight="1" x14ac:dyDescent="0.2">
      <c r="E18485" s="7"/>
      <c r="F18485" s="7"/>
    </row>
    <row r="18486" spans="5:6" ht="15" customHeight="1" x14ac:dyDescent="0.2">
      <c r="E18486" s="7"/>
      <c r="F18486" s="7"/>
    </row>
    <row r="18487" spans="5:6" ht="15" customHeight="1" x14ac:dyDescent="0.2">
      <c r="E18487" s="7"/>
      <c r="F18487" s="7"/>
    </row>
    <row r="18488" spans="5:6" ht="15" customHeight="1" x14ac:dyDescent="0.2">
      <c r="E18488" s="7"/>
      <c r="F18488" s="7"/>
    </row>
    <row r="18489" spans="5:6" ht="15" customHeight="1" x14ac:dyDescent="0.2">
      <c r="E18489" s="7"/>
      <c r="F18489" s="7"/>
    </row>
    <row r="18490" spans="5:6" ht="15" customHeight="1" x14ac:dyDescent="0.2">
      <c r="E18490" s="7"/>
      <c r="F18490" s="7"/>
    </row>
    <row r="18491" spans="5:6" ht="15" customHeight="1" x14ac:dyDescent="0.2">
      <c r="E18491" s="7"/>
      <c r="F18491" s="7"/>
    </row>
    <row r="18492" spans="5:6" ht="15" customHeight="1" x14ac:dyDescent="0.2">
      <c r="E18492" s="7"/>
      <c r="F18492" s="7"/>
    </row>
    <row r="18493" spans="5:6" ht="15" customHeight="1" x14ac:dyDescent="0.2">
      <c r="E18493" s="7"/>
      <c r="F18493" s="7"/>
    </row>
    <row r="18494" spans="5:6" ht="15" customHeight="1" x14ac:dyDescent="0.2">
      <c r="E18494" s="7"/>
      <c r="F18494" s="7"/>
    </row>
    <row r="18495" spans="5:6" ht="15" customHeight="1" x14ac:dyDescent="0.2">
      <c r="E18495" s="7"/>
      <c r="F18495" s="7"/>
    </row>
    <row r="18496" spans="5:6" ht="15" customHeight="1" x14ac:dyDescent="0.2">
      <c r="E18496" s="7"/>
      <c r="F18496" s="7"/>
    </row>
    <row r="18497" spans="5:6" ht="15" customHeight="1" x14ac:dyDescent="0.2">
      <c r="E18497" s="7"/>
      <c r="F18497" s="7"/>
    </row>
    <row r="18498" spans="5:6" ht="15" customHeight="1" x14ac:dyDescent="0.2">
      <c r="E18498" s="7"/>
      <c r="F18498" s="7"/>
    </row>
    <row r="18499" spans="5:6" ht="15" customHeight="1" x14ac:dyDescent="0.2">
      <c r="E18499" s="7"/>
      <c r="F18499" s="7"/>
    </row>
    <row r="18500" spans="5:6" ht="15" customHeight="1" x14ac:dyDescent="0.2">
      <c r="E18500" s="7"/>
      <c r="F18500" s="7"/>
    </row>
    <row r="18501" spans="5:6" ht="15" customHeight="1" x14ac:dyDescent="0.2">
      <c r="E18501" s="7"/>
      <c r="F18501" s="7"/>
    </row>
    <row r="18502" spans="5:6" ht="15" customHeight="1" x14ac:dyDescent="0.2">
      <c r="E18502" s="7"/>
      <c r="F18502" s="7"/>
    </row>
    <row r="18503" spans="5:6" ht="15" customHeight="1" x14ac:dyDescent="0.2">
      <c r="E18503" s="7"/>
      <c r="F18503" s="7"/>
    </row>
    <row r="18504" spans="5:6" ht="15" customHeight="1" x14ac:dyDescent="0.2">
      <c r="E18504" s="7"/>
      <c r="F18504" s="7"/>
    </row>
    <row r="18505" spans="5:6" ht="15" customHeight="1" x14ac:dyDescent="0.2">
      <c r="E18505" s="7"/>
      <c r="F18505" s="7"/>
    </row>
    <row r="18506" spans="5:6" ht="15" customHeight="1" x14ac:dyDescent="0.2">
      <c r="E18506" s="7"/>
      <c r="F18506" s="7"/>
    </row>
    <row r="18507" spans="5:6" ht="15" customHeight="1" x14ac:dyDescent="0.2">
      <c r="E18507" s="7"/>
      <c r="F18507" s="7"/>
    </row>
    <row r="18508" spans="5:6" ht="15" customHeight="1" x14ac:dyDescent="0.2">
      <c r="E18508" s="7"/>
      <c r="F18508" s="7"/>
    </row>
    <row r="18509" spans="5:6" ht="15" customHeight="1" x14ac:dyDescent="0.2">
      <c r="E18509" s="7"/>
      <c r="F18509" s="7"/>
    </row>
    <row r="18510" spans="5:6" ht="15" customHeight="1" x14ac:dyDescent="0.2">
      <c r="E18510" s="7"/>
      <c r="F18510" s="7"/>
    </row>
    <row r="18511" spans="5:6" ht="15" customHeight="1" x14ac:dyDescent="0.2">
      <c r="E18511" s="7"/>
      <c r="F18511" s="7"/>
    </row>
    <row r="18512" spans="5:6" ht="15" customHeight="1" x14ac:dyDescent="0.2">
      <c r="E18512" s="7"/>
      <c r="F18512" s="7"/>
    </row>
    <row r="18513" spans="5:6" ht="15" customHeight="1" x14ac:dyDescent="0.2">
      <c r="E18513" s="7"/>
      <c r="F18513" s="7"/>
    </row>
    <row r="18514" spans="5:6" ht="15" customHeight="1" x14ac:dyDescent="0.2">
      <c r="E18514" s="7"/>
      <c r="F18514" s="7"/>
    </row>
    <row r="18515" spans="5:6" ht="15" customHeight="1" x14ac:dyDescent="0.2">
      <c r="E18515" s="7"/>
      <c r="F18515" s="7"/>
    </row>
    <row r="18516" spans="5:6" ht="15" customHeight="1" x14ac:dyDescent="0.2">
      <c r="E18516" s="7"/>
      <c r="F18516" s="7"/>
    </row>
    <row r="18517" spans="5:6" ht="15" customHeight="1" x14ac:dyDescent="0.2">
      <c r="E18517" s="7"/>
      <c r="F18517" s="7"/>
    </row>
    <row r="18518" spans="5:6" ht="15" customHeight="1" x14ac:dyDescent="0.2">
      <c r="E18518" s="7"/>
      <c r="F18518" s="7"/>
    </row>
    <row r="18519" spans="5:6" ht="15" customHeight="1" x14ac:dyDescent="0.2">
      <c r="E18519" s="7"/>
      <c r="F18519" s="7"/>
    </row>
    <row r="18520" spans="5:6" ht="15" customHeight="1" x14ac:dyDescent="0.2">
      <c r="E18520" s="7"/>
      <c r="F18520" s="7"/>
    </row>
    <row r="18521" spans="5:6" ht="15" customHeight="1" x14ac:dyDescent="0.2">
      <c r="E18521" s="7"/>
      <c r="F18521" s="7"/>
    </row>
    <row r="18522" spans="5:6" ht="15" customHeight="1" x14ac:dyDescent="0.2">
      <c r="E18522" s="7"/>
      <c r="F18522" s="7"/>
    </row>
    <row r="18523" spans="5:6" ht="15" customHeight="1" x14ac:dyDescent="0.2">
      <c r="E18523" s="7"/>
      <c r="F18523" s="7"/>
    </row>
    <row r="18524" spans="5:6" ht="15" customHeight="1" x14ac:dyDescent="0.2">
      <c r="E18524" s="7"/>
      <c r="F18524" s="7"/>
    </row>
    <row r="18525" spans="5:6" ht="15" customHeight="1" x14ac:dyDescent="0.2">
      <c r="E18525" s="7"/>
      <c r="F18525" s="7"/>
    </row>
    <row r="18526" spans="5:6" ht="15" customHeight="1" x14ac:dyDescent="0.2">
      <c r="E18526" s="7"/>
      <c r="F18526" s="7"/>
    </row>
    <row r="18527" spans="5:6" ht="15" customHeight="1" x14ac:dyDescent="0.2">
      <c r="E18527" s="7"/>
      <c r="F18527" s="7"/>
    </row>
    <row r="18528" spans="5:6" ht="15" customHeight="1" x14ac:dyDescent="0.2">
      <c r="E18528" s="7"/>
      <c r="F18528" s="7"/>
    </row>
    <row r="18529" spans="5:6" ht="15" customHeight="1" x14ac:dyDescent="0.2">
      <c r="E18529" s="7"/>
      <c r="F18529" s="7"/>
    </row>
    <row r="18530" spans="5:6" ht="15" customHeight="1" x14ac:dyDescent="0.2">
      <c r="E18530" s="7"/>
      <c r="F18530" s="7"/>
    </row>
    <row r="18531" spans="5:6" ht="15" customHeight="1" x14ac:dyDescent="0.2">
      <c r="E18531" s="7"/>
      <c r="F18531" s="7"/>
    </row>
    <row r="18532" spans="5:6" ht="15" customHeight="1" x14ac:dyDescent="0.2">
      <c r="E18532" s="7"/>
      <c r="F18532" s="7"/>
    </row>
    <row r="18533" spans="5:6" ht="15" customHeight="1" x14ac:dyDescent="0.2">
      <c r="E18533" s="7"/>
      <c r="F18533" s="7"/>
    </row>
    <row r="18534" spans="5:6" ht="15" customHeight="1" x14ac:dyDescent="0.2">
      <c r="E18534" s="7"/>
      <c r="F18534" s="7"/>
    </row>
    <row r="18535" spans="5:6" ht="15" customHeight="1" x14ac:dyDescent="0.2">
      <c r="E18535" s="7"/>
      <c r="F18535" s="7"/>
    </row>
    <row r="18536" spans="5:6" ht="15" customHeight="1" x14ac:dyDescent="0.2">
      <c r="E18536" s="7"/>
      <c r="F18536" s="7"/>
    </row>
    <row r="18537" spans="5:6" ht="15" customHeight="1" x14ac:dyDescent="0.2">
      <c r="E18537" s="7"/>
      <c r="F18537" s="7"/>
    </row>
    <row r="18538" spans="5:6" ht="15" customHeight="1" x14ac:dyDescent="0.2">
      <c r="E18538" s="7"/>
      <c r="F18538" s="7"/>
    </row>
    <row r="18539" spans="5:6" ht="15" customHeight="1" x14ac:dyDescent="0.2">
      <c r="E18539" s="7"/>
      <c r="F18539" s="7"/>
    </row>
    <row r="18540" spans="5:6" ht="15" customHeight="1" x14ac:dyDescent="0.2">
      <c r="E18540" s="7"/>
      <c r="F18540" s="7"/>
    </row>
    <row r="18541" spans="5:6" ht="15" customHeight="1" x14ac:dyDescent="0.2">
      <c r="E18541" s="7"/>
      <c r="F18541" s="7"/>
    </row>
    <row r="18542" spans="5:6" ht="15" customHeight="1" x14ac:dyDescent="0.2">
      <c r="E18542" s="7"/>
      <c r="F18542" s="7"/>
    </row>
    <row r="18543" spans="5:6" ht="15" customHeight="1" x14ac:dyDescent="0.2">
      <c r="E18543" s="7"/>
      <c r="F18543" s="7"/>
    </row>
    <row r="18544" spans="5:6" ht="15" customHeight="1" x14ac:dyDescent="0.2">
      <c r="E18544" s="7"/>
      <c r="F18544" s="7"/>
    </row>
    <row r="18545" spans="5:6" ht="15" customHeight="1" x14ac:dyDescent="0.2">
      <c r="E18545" s="7"/>
      <c r="F18545" s="7"/>
    </row>
    <row r="18546" spans="5:6" ht="15" customHeight="1" x14ac:dyDescent="0.2">
      <c r="E18546" s="7"/>
      <c r="F18546" s="7"/>
    </row>
    <row r="18547" spans="5:6" ht="15" customHeight="1" x14ac:dyDescent="0.2">
      <c r="E18547" s="7"/>
      <c r="F18547" s="7"/>
    </row>
    <row r="18548" spans="5:6" ht="15" customHeight="1" x14ac:dyDescent="0.2">
      <c r="E18548" s="7"/>
      <c r="F18548" s="7"/>
    </row>
    <row r="18549" spans="5:6" ht="15" customHeight="1" x14ac:dyDescent="0.2">
      <c r="E18549" s="7"/>
      <c r="F18549" s="7"/>
    </row>
    <row r="18550" spans="5:6" ht="15" customHeight="1" x14ac:dyDescent="0.2">
      <c r="E18550" s="7"/>
      <c r="F18550" s="7"/>
    </row>
    <row r="18551" spans="5:6" ht="15" customHeight="1" x14ac:dyDescent="0.2">
      <c r="E18551" s="7"/>
      <c r="F18551" s="7"/>
    </row>
    <row r="18552" spans="5:6" ht="15" customHeight="1" x14ac:dyDescent="0.2">
      <c r="E18552" s="7"/>
      <c r="F18552" s="7"/>
    </row>
    <row r="18553" spans="5:6" ht="15" customHeight="1" x14ac:dyDescent="0.2">
      <c r="E18553" s="7"/>
      <c r="F18553" s="7"/>
    </row>
    <row r="18554" spans="5:6" ht="15" customHeight="1" x14ac:dyDescent="0.2">
      <c r="E18554" s="7"/>
      <c r="F18554" s="7"/>
    </row>
    <row r="18555" spans="5:6" ht="15" customHeight="1" x14ac:dyDescent="0.2">
      <c r="E18555" s="7"/>
      <c r="F18555" s="7"/>
    </row>
    <row r="18556" spans="5:6" ht="15" customHeight="1" x14ac:dyDescent="0.2">
      <c r="E18556" s="7"/>
      <c r="F18556" s="7"/>
    </row>
    <row r="18557" spans="5:6" ht="15" customHeight="1" x14ac:dyDescent="0.2">
      <c r="E18557" s="7"/>
      <c r="F18557" s="7"/>
    </row>
    <row r="18558" spans="5:6" ht="15" customHeight="1" x14ac:dyDescent="0.2">
      <c r="E18558" s="7"/>
      <c r="F18558" s="7"/>
    </row>
    <row r="18559" spans="5:6" ht="15" customHeight="1" x14ac:dyDescent="0.2">
      <c r="E18559" s="7"/>
      <c r="F18559" s="7"/>
    </row>
    <row r="18560" spans="5:6" ht="15" customHeight="1" x14ac:dyDescent="0.2">
      <c r="E18560" s="7"/>
      <c r="F18560" s="7"/>
    </row>
    <row r="18561" spans="5:6" ht="15" customHeight="1" x14ac:dyDescent="0.2">
      <c r="E18561" s="7"/>
      <c r="F18561" s="7"/>
    </row>
    <row r="18562" spans="5:6" ht="15" customHeight="1" x14ac:dyDescent="0.2">
      <c r="E18562" s="7"/>
      <c r="F18562" s="7"/>
    </row>
    <row r="18563" spans="5:6" ht="15" customHeight="1" x14ac:dyDescent="0.2">
      <c r="E18563" s="7"/>
      <c r="F18563" s="7"/>
    </row>
    <row r="18564" spans="5:6" ht="15" customHeight="1" x14ac:dyDescent="0.2">
      <c r="E18564" s="7"/>
      <c r="F18564" s="7"/>
    </row>
    <row r="18565" spans="5:6" ht="15" customHeight="1" x14ac:dyDescent="0.2">
      <c r="E18565" s="7"/>
      <c r="F18565" s="7"/>
    </row>
    <row r="18566" spans="5:6" ht="15" customHeight="1" x14ac:dyDescent="0.2">
      <c r="E18566" s="7"/>
      <c r="F18566" s="7"/>
    </row>
    <row r="18567" spans="5:6" ht="15" customHeight="1" x14ac:dyDescent="0.2">
      <c r="E18567" s="7"/>
      <c r="F18567" s="7"/>
    </row>
    <row r="18568" spans="5:6" ht="15" customHeight="1" x14ac:dyDescent="0.2">
      <c r="E18568" s="7"/>
      <c r="F18568" s="7"/>
    </row>
    <row r="18569" spans="5:6" ht="15" customHeight="1" x14ac:dyDescent="0.2">
      <c r="E18569" s="7"/>
      <c r="F18569" s="7"/>
    </row>
    <row r="18570" spans="5:6" ht="15" customHeight="1" x14ac:dyDescent="0.2">
      <c r="E18570" s="7"/>
      <c r="F18570" s="7"/>
    </row>
    <row r="18571" spans="5:6" ht="15" customHeight="1" x14ac:dyDescent="0.2">
      <c r="E18571" s="7"/>
      <c r="F18571" s="7"/>
    </row>
    <row r="18572" spans="5:6" ht="15" customHeight="1" x14ac:dyDescent="0.2">
      <c r="E18572" s="7"/>
      <c r="F18572" s="7"/>
    </row>
    <row r="18573" spans="5:6" ht="15" customHeight="1" x14ac:dyDescent="0.2">
      <c r="E18573" s="7"/>
      <c r="F18573" s="7"/>
    </row>
    <row r="18574" spans="5:6" ht="15" customHeight="1" x14ac:dyDescent="0.2">
      <c r="E18574" s="7"/>
      <c r="F18574" s="7"/>
    </row>
    <row r="18575" spans="5:6" ht="15" customHeight="1" x14ac:dyDescent="0.2">
      <c r="E18575" s="7"/>
      <c r="F18575" s="7"/>
    </row>
    <row r="18576" spans="5:6" ht="15" customHeight="1" x14ac:dyDescent="0.2">
      <c r="E18576" s="7"/>
      <c r="F18576" s="7"/>
    </row>
    <row r="18577" spans="5:6" ht="15" customHeight="1" x14ac:dyDescent="0.2">
      <c r="E18577" s="7"/>
      <c r="F18577" s="7"/>
    </row>
    <row r="18578" spans="5:6" ht="15" customHeight="1" x14ac:dyDescent="0.2">
      <c r="E18578" s="7"/>
      <c r="F18578" s="7"/>
    </row>
    <row r="18579" spans="5:6" ht="15" customHeight="1" x14ac:dyDescent="0.2">
      <c r="E18579" s="7"/>
      <c r="F18579" s="7"/>
    </row>
    <row r="18580" spans="5:6" ht="15" customHeight="1" x14ac:dyDescent="0.2">
      <c r="E18580" s="7"/>
      <c r="F18580" s="7"/>
    </row>
    <row r="18581" spans="5:6" ht="15" customHeight="1" x14ac:dyDescent="0.2">
      <c r="E18581" s="7"/>
      <c r="F18581" s="7"/>
    </row>
    <row r="18582" spans="5:6" ht="15" customHeight="1" x14ac:dyDescent="0.2">
      <c r="E18582" s="7"/>
      <c r="F18582" s="7"/>
    </row>
    <row r="18583" spans="5:6" ht="15" customHeight="1" x14ac:dyDescent="0.2">
      <c r="E18583" s="7"/>
      <c r="F18583" s="7"/>
    </row>
    <row r="18584" spans="5:6" ht="15" customHeight="1" x14ac:dyDescent="0.2">
      <c r="E18584" s="7"/>
      <c r="F18584" s="7"/>
    </row>
    <row r="18585" spans="5:6" ht="15" customHeight="1" x14ac:dyDescent="0.2">
      <c r="E18585" s="7"/>
      <c r="F18585" s="7"/>
    </row>
    <row r="18586" spans="5:6" ht="15" customHeight="1" x14ac:dyDescent="0.2">
      <c r="E18586" s="7"/>
      <c r="F18586" s="7"/>
    </row>
    <row r="18587" spans="5:6" ht="15" customHeight="1" x14ac:dyDescent="0.2">
      <c r="E18587" s="7"/>
      <c r="F18587" s="7"/>
    </row>
    <row r="18588" spans="5:6" ht="15" customHeight="1" x14ac:dyDescent="0.2">
      <c r="E18588" s="7"/>
      <c r="F18588" s="7"/>
    </row>
    <row r="18589" spans="5:6" ht="15" customHeight="1" x14ac:dyDescent="0.2">
      <c r="E18589" s="7"/>
      <c r="F18589" s="7"/>
    </row>
    <row r="18590" spans="5:6" ht="15" customHeight="1" x14ac:dyDescent="0.2">
      <c r="E18590" s="7"/>
      <c r="F18590" s="7"/>
    </row>
    <row r="18591" spans="5:6" ht="15" customHeight="1" x14ac:dyDescent="0.2">
      <c r="E18591" s="7"/>
      <c r="F18591" s="7"/>
    </row>
    <row r="18592" spans="5:6" ht="15" customHeight="1" x14ac:dyDescent="0.2">
      <c r="E18592" s="7"/>
      <c r="F18592" s="7"/>
    </row>
    <row r="18593" spans="5:6" ht="15" customHeight="1" x14ac:dyDescent="0.2">
      <c r="E18593" s="7"/>
      <c r="F18593" s="7"/>
    </row>
    <row r="18594" spans="5:6" ht="15" customHeight="1" x14ac:dyDescent="0.2">
      <c r="E18594" s="7"/>
      <c r="F18594" s="7"/>
    </row>
    <row r="18595" spans="5:6" ht="15" customHeight="1" x14ac:dyDescent="0.2">
      <c r="E18595" s="7"/>
      <c r="F18595" s="7"/>
    </row>
    <row r="18596" spans="5:6" ht="15" customHeight="1" x14ac:dyDescent="0.2">
      <c r="E18596" s="7"/>
      <c r="F18596" s="7"/>
    </row>
    <row r="18597" spans="5:6" ht="15" customHeight="1" x14ac:dyDescent="0.2">
      <c r="E18597" s="7"/>
      <c r="F18597" s="7"/>
    </row>
    <row r="18598" spans="5:6" ht="15" customHeight="1" x14ac:dyDescent="0.2">
      <c r="E18598" s="7"/>
      <c r="F18598" s="7"/>
    </row>
    <row r="18599" spans="5:6" ht="15" customHeight="1" x14ac:dyDescent="0.2">
      <c r="E18599" s="7"/>
      <c r="F18599" s="7"/>
    </row>
    <row r="18600" spans="5:6" ht="15" customHeight="1" x14ac:dyDescent="0.2">
      <c r="E18600" s="7"/>
      <c r="F18600" s="7"/>
    </row>
    <row r="18601" spans="5:6" ht="15" customHeight="1" x14ac:dyDescent="0.2">
      <c r="E18601" s="7"/>
      <c r="F18601" s="7"/>
    </row>
    <row r="18602" spans="5:6" ht="15" customHeight="1" x14ac:dyDescent="0.2">
      <c r="E18602" s="7"/>
      <c r="F18602" s="7"/>
    </row>
    <row r="18603" spans="5:6" ht="15" customHeight="1" x14ac:dyDescent="0.2">
      <c r="E18603" s="7"/>
      <c r="F18603" s="7"/>
    </row>
    <row r="18604" spans="5:6" ht="15" customHeight="1" x14ac:dyDescent="0.2">
      <c r="E18604" s="7"/>
      <c r="F18604" s="7"/>
    </row>
    <row r="18605" spans="5:6" ht="15" customHeight="1" x14ac:dyDescent="0.2">
      <c r="E18605" s="7"/>
      <c r="F18605" s="7"/>
    </row>
    <row r="18606" spans="5:6" ht="15" customHeight="1" x14ac:dyDescent="0.2">
      <c r="E18606" s="7"/>
      <c r="F18606" s="7"/>
    </row>
    <row r="18607" spans="5:6" ht="15" customHeight="1" x14ac:dyDescent="0.2">
      <c r="E18607" s="7"/>
      <c r="F18607" s="7"/>
    </row>
    <row r="18608" spans="5:6" ht="15" customHeight="1" x14ac:dyDescent="0.2">
      <c r="E18608" s="7"/>
      <c r="F18608" s="7"/>
    </row>
    <row r="18609" spans="5:6" ht="15" customHeight="1" x14ac:dyDescent="0.2">
      <c r="E18609" s="7"/>
      <c r="F18609" s="7"/>
    </row>
    <row r="18610" spans="5:6" ht="15" customHeight="1" x14ac:dyDescent="0.2">
      <c r="E18610" s="7"/>
      <c r="F18610" s="7"/>
    </row>
    <row r="18611" spans="5:6" ht="15" customHeight="1" x14ac:dyDescent="0.2">
      <c r="E18611" s="7"/>
      <c r="F18611" s="7"/>
    </row>
    <row r="18612" spans="5:6" ht="15" customHeight="1" x14ac:dyDescent="0.2">
      <c r="E18612" s="7"/>
      <c r="F18612" s="7"/>
    </row>
    <row r="18613" spans="5:6" ht="15" customHeight="1" x14ac:dyDescent="0.2">
      <c r="E18613" s="7"/>
      <c r="F18613" s="7"/>
    </row>
    <row r="18614" spans="5:6" ht="15" customHeight="1" x14ac:dyDescent="0.2">
      <c r="E18614" s="7"/>
      <c r="F18614" s="7"/>
    </row>
    <row r="18615" spans="5:6" ht="15" customHeight="1" x14ac:dyDescent="0.2">
      <c r="E18615" s="7"/>
      <c r="F18615" s="7"/>
    </row>
    <row r="18616" spans="5:6" ht="15" customHeight="1" x14ac:dyDescent="0.2">
      <c r="E18616" s="7"/>
      <c r="F18616" s="7"/>
    </row>
    <row r="18617" spans="5:6" ht="15" customHeight="1" x14ac:dyDescent="0.2">
      <c r="E18617" s="7"/>
      <c r="F18617" s="7"/>
    </row>
    <row r="18618" spans="5:6" ht="15" customHeight="1" x14ac:dyDescent="0.2">
      <c r="E18618" s="7"/>
      <c r="F18618" s="7"/>
    </row>
    <row r="18619" spans="5:6" ht="15" customHeight="1" x14ac:dyDescent="0.2">
      <c r="E18619" s="7"/>
      <c r="F18619" s="7"/>
    </row>
    <row r="18620" spans="5:6" ht="15" customHeight="1" x14ac:dyDescent="0.2">
      <c r="E18620" s="7"/>
      <c r="F18620" s="7"/>
    </row>
    <row r="18621" spans="5:6" ht="15" customHeight="1" x14ac:dyDescent="0.2">
      <c r="E18621" s="7"/>
      <c r="F18621" s="7"/>
    </row>
    <row r="18622" spans="5:6" ht="15" customHeight="1" x14ac:dyDescent="0.2">
      <c r="E18622" s="7"/>
      <c r="F18622" s="7"/>
    </row>
    <row r="18623" spans="5:6" ht="15" customHeight="1" x14ac:dyDescent="0.2">
      <c r="E18623" s="7"/>
      <c r="F18623" s="7"/>
    </row>
    <row r="18624" spans="5:6" ht="15" customHeight="1" x14ac:dyDescent="0.2">
      <c r="E18624" s="7"/>
      <c r="F18624" s="7"/>
    </row>
    <row r="18625" spans="5:6" ht="15" customHeight="1" x14ac:dyDescent="0.2">
      <c r="E18625" s="7"/>
      <c r="F18625" s="7"/>
    </row>
    <row r="18626" spans="5:6" ht="15" customHeight="1" x14ac:dyDescent="0.2">
      <c r="E18626" s="7"/>
      <c r="F18626" s="7"/>
    </row>
    <row r="18627" spans="5:6" ht="15" customHeight="1" x14ac:dyDescent="0.2">
      <c r="E18627" s="7"/>
      <c r="F18627" s="7"/>
    </row>
    <row r="18628" spans="5:6" ht="15" customHeight="1" x14ac:dyDescent="0.2">
      <c r="E18628" s="7"/>
      <c r="F18628" s="7"/>
    </row>
    <row r="18629" spans="5:6" ht="15" customHeight="1" x14ac:dyDescent="0.2">
      <c r="E18629" s="7"/>
      <c r="F18629" s="7"/>
    </row>
    <row r="18630" spans="5:6" ht="15" customHeight="1" x14ac:dyDescent="0.2">
      <c r="E18630" s="7"/>
      <c r="F18630" s="7"/>
    </row>
    <row r="18631" spans="5:6" ht="15" customHeight="1" x14ac:dyDescent="0.2">
      <c r="E18631" s="7"/>
      <c r="F18631" s="7"/>
    </row>
    <row r="18632" spans="5:6" ht="15" customHeight="1" x14ac:dyDescent="0.2">
      <c r="E18632" s="7"/>
      <c r="F18632" s="7"/>
    </row>
    <row r="18633" spans="5:6" ht="15" customHeight="1" x14ac:dyDescent="0.2">
      <c r="E18633" s="7"/>
      <c r="F18633" s="7"/>
    </row>
    <row r="18634" spans="5:6" ht="15" customHeight="1" x14ac:dyDescent="0.2">
      <c r="E18634" s="7"/>
      <c r="F18634" s="7"/>
    </row>
    <row r="18635" spans="5:6" ht="15" customHeight="1" x14ac:dyDescent="0.2">
      <c r="E18635" s="7"/>
      <c r="F18635" s="7"/>
    </row>
    <row r="18636" spans="5:6" ht="15" customHeight="1" x14ac:dyDescent="0.2">
      <c r="E18636" s="7"/>
      <c r="F18636" s="7"/>
    </row>
    <row r="18637" spans="5:6" ht="15" customHeight="1" x14ac:dyDescent="0.2">
      <c r="E18637" s="7"/>
      <c r="F18637" s="7"/>
    </row>
    <row r="18638" spans="5:6" ht="15" customHeight="1" x14ac:dyDescent="0.2">
      <c r="E18638" s="7"/>
      <c r="F18638" s="7"/>
    </row>
    <row r="18639" spans="5:6" ht="15" customHeight="1" x14ac:dyDescent="0.2">
      <c r="E18639" s="7"/>
      <c r="F18639" s="7"/>
    </row>
    <row r="18640" spans="5:6" ht="15" customHeight="1" x14ac:dyDescent="0.2">
      <c r="E18640" s="7"/>
      <c r="F18640" s="7"/>
    </row>
    <row r="18641" spans="5:6" ht="15" customHeight="1" x14ac:dyDescent="0.2">
      <c r="E18641" s="7"/>
      <c r="F18641" s="7"/>
    </row>
    <row r="18642" spans="5:6" ht="15" customHeight="1" x14ac:dyDescent="0.2">
      <c r="E18642" s="7"/>
      <c r="F18642" s="7"/>
    </row>
    <row r="18643" spans="5:6" ht="15" customHeight="1" x14ac:dyDescent="0.2">
      <c r="E18643" s="7"/>
      <c r="F18643" s="7"/>
    </row>
    <row r="18644" spans="5:6" ht="15" customHeight="1" x14ac:dyDescent="0.2">
      <c r="E18644" s="7"/>
      <c r="F18644" s="7"/>
    </row>
    <row r="18645" spans="5:6" ht="15" customHeight="1" x14ac:dyDescent="0.2">
      <c r="E18645" s="7"/>
      <c r="F18645" s="7"/>
    </row>
    <row r="18646" spans="5:6" ht="15" customHeight="1" x14ac:dyDescent="0.2">
      <c r="E18646" s="7"/>
      <c r="F18646" s="7"/>
    </row>
    <row r="18647" spans="5:6" ht="15" customHeight="1" x14ac:dyDescent="0.2">
      <c r="E18647" s="7"/>
      <c r="F18647" s="7"/>
    </row>
    <row r="18648" spans="5:6" ht="15" customHeight="1" x14ac:dyDescent="0.2">
      <c r="E18648" s="7"/>
      <c r="F18648" s="7"/>
    </row>
    <row r="18649" spans="5:6" ht="15" customHeight="1" x14ac:dyDescent="0.2">
      <c r="E18649" s="7"/>
      <c r="F18649" s="7"/>
    </row>
    <row r="18650" spans="5:6" ht="15" customHeight="1" x14ac:dyDescent="0.2">
      <c r="E18650" s="7"/>
      <c r="F18650" s="7"/>
    </row>
    <row r="18651" spans="5:6" ht="15" customHeight="1" x14ac:dyDescent="0.2">
      <c r="E18651" s="7"/>
      <c r="F18651" s="7"/>
    </row>
    <row r="18652" spans="5:6" ht="15" customHeight="1" x14ac:dyDescent="0.2">
      <c r="E18652" s="7"/>
      <c r="F18652" s="7"/>
    </row>
    <row r="18653" spans="5:6" ht="15" customHeight="1" x14ac:dyDescent="0.2">
      <c r="E18653" s="7"/>
      <c r="F18653" s="7"/>
    </row>
    <row r="18654" spans="5:6" ht="15" customHeight="1" x14ac:dyDescent="0.2">
      <c r="E18654" s="7"/>
      <c r="F18654" s="7"/>
    </row>
    <row r="18655" spans="5:6" ht="15" customHeight="1" x14ac:dyDescent="0.2">
      <c r="E18655" s="7"/>
      <c r="F18655" s="7"/>
    </row>
    <row r="18656" spans="5:6" ht="15" customHeight="1" x14ac:dyDescent="0.2">
      <c r="E18656" s="7"/>
      <c r="F18656" s="7"/>
    </row>
    <row r="18657" spans="5:6" ht="15" customHeight="1" x14ac:dyDescent="0.2">
      <c r="E18657" s="7"/>
      <c r="F18657" s="7"/>
    </row>
    <row r="18658" spans="5:6" ht="15" customHeight="1" x14ac:dyDescent="0.2">
      <c r="E18658" s="7"/>
      <c r="F18658" s="7"/>
    </row>
    <row r="18659" spans="5:6" ht="15" customHeight="1" x14ac:dyDescent="0.2">
      <c r="E18659" s="7"/>
      <c r="F18659" s="7"/>
    </row>
    <row r="18660" spans="5:6" ht="15" customHeight="1" x14ac:dyDescent="0.2">
      <c r="E18660" s="7"/>
      <c r="F18660" s="7"/>
    </row>
    <row r="18661" spans="5:6" ht="15" customHeight="1" x14ac:dyDescent="0.2">
      <c r="E18661" s="7"/>
      <c r="F18661" s="7"/>
    </row>
    <row r="18662" spans="5:6" ht="15" customHeight="1" x14ac:dyDescent="0.2">
      <c r="E18662" s="7"/>
      <c r="F18662" s="7"/>
    </row>
    <row r="18663" spans="5:6" ht="15" customHeight="1" x14ac:dyDescent="0.2">
      <c r="E18663" s="7"/>
      <c r="F18663" s="7"/>
    </row>
    <row r="18664" spans="5:6" ht="15" customHeight="1" x14ac:dyDescent="0.2">
      <c r="E18664" s="7"/>
      <c r="F18664" s="7"/>
    </row>
    <row r="18665" spans="5:6" ht="15" customHeight="1" x14ac:dyDescent="0.2">
      <c r="E18665" s="7"/>
      <c r="F18665" s="7"/>
    </row>
    <row r="18666" spans="5:6" ht="15" customHeight="1" x14ac:dyDescent="0.2">
      <c r="E18666" s="7"/>
      <c r="F18666" s="7"/>
    </row>
    <row r="18667" spans="5:6" ht="15" customHeight="1" x14ac:dyDescent="0.2">
      <c r="E18667" s="7"/>
      <c r="F18667" s="7"/>
    </row>
    <row r="18668" spans="5:6" ht="15" customHeight="1" x14ac:dyDescent="0.2">
      <c r="E18668" s="7"/>
      <c r="F18668" s="7"/>
    </row>
    <row r="18669" spans="5:6" ht="15" customHeight="1" x14ac:dyDescent="0.2">
      <c r="E18669" s="7"/>
      <c r="F18669" s="7"/>
    </row>
    <row r="18670" spans="5:6" ht="15" customHeight="1" x14ac:dyDescent="0.2">
      <c r="E18670" s="7"/>
      <c r="F18670" s="7"/>
    </row>
    <row r="18671" spans="5:6" ht="15" customHeight="1" x14ac:dyDescent="0.2">
      <c r="E18671" s="7"/>
      <c r="F18671" s="7"/>
    </row>
    <row r="18672" spans="5:6" ht="15" customHeight="1" x14ac:dyDescent="0.2">
      <c r="E18672" s="7"/>
      <c r="F18672" s="7"/>
    </row>
    <row r="18673" spans="5:6" ht="15" customHeight="1" x14ac:dyDescent="0.2">
      <c r="E18673" s="7"/>
      <c r="F18673" s="7"/>
    </row>
    <row r="18674" spans="5:6" ht="15" customHeight="1" x14ac:dyDescent="0.2">
      <c r="E18674" s="7"/>
      <c r="F18674" s="7"/>
    </row>
    <row r="18675" spans="5:6" ht="15" customHeight="1" x14ac:dyDescent="0.2">
      <c r="E18675" s="7"/>
      <c r="F18675" s="7"/>
    </row>
    <row r="18676" spans="5:6" ht="15" customHeight="1" x14ac:dyDescent="0.2">
      <c r="E18676" s="7"/>
      <c r="F18676" s="7"/>
    </row>
    <row r="18677" spans="5:6" ht="15" customHeight="1" x14ac:dyDescent="0.2">
      <c r="E18677" s="7"/>
      <c r="F18677" s="7"/>
    </row>
    <row r="18678" spans="5:6" ht="15" customHeight="1" x14ac:dyDescent="0.2">
      <c r="E18678" s="7"/>
      <c r="F18678" s="7"/>
    </row>
    <row r="18679" spans="5:6" ht="15" customHeight="1" x14ac:dyDescent="0.2">
      <c r="E18679" s="7"/>
      <c r="F18679" s="7"/>
    </row>
    <row r="18680" spans="5:6" ht="15" customHeight="1" x14ac:dyDescent="0.2">
      <c r="E18680" s="7"/>
      <c r="F18680" s="7"/>
    </row>
    <row r="18681" spans="5:6" ht="15" customHeight="1" x14ac:dyDescent="0.2">
      <c r="E18681" s="7"/>
      <c r="F18681" s="7"/>
    </row>
    <row r="18682" spans="5:6" ht="15" customHeight="1" x14ac:dyDescent="0.2">
      <c r="E18682" s="7"/>
      <c r="F18682" s="7"/>
    </row>
    <row r="18683" spans="5:6" ht="15" customHeight="1" x14ac:dyDescent="0.2">
      <c r="E18683" s="7"/>
      <c r="F18683" s="7"/>
    </row>
    <row r="18684" spans="5:6" ht="15" customHeight="1" x14ac:dyDescent="0.2">
      <c r="E18684" s="7"/>
      <c r="F18684" s="7"/>
    </row>
    <row r="18685" spans="5:6" ht="15" customHeight="1" x14ac:dyDescent="0.2">
      <c r="E18685" s="7"/>
      <c r="F18685" s="7"/>
    </row>
    <row r="18686" spans="5:6" ht="15" customHeight="1" x14ac:dyDescent="0.2">
      <c r="E18686" s="7"/>
      <c r="F18686" s="7"/>
    </row>
    <row r="18687" spans="5:6" ht="15" customHeight="1" x14ac:dyDescent="0.2">
      <c r="E18687" s="7"/>
      <c r="F18687" s="7"/>
    </row>
    <row r="18688" spans="5:6" ht="15" customHeight="1" x14ac:dyDescent="0.2">
      <c r="E18688" s="7"/>
      <c r="F18688" s="7"/>
    </row>
    <row r="18689" spans="5:6" ht="15" customHeight="1" x14ac:dyDescent="0.2">
      <c r="E18689" s="7"/>
      <c r="F18689" s="7"/>
    </row>
    <row r="18690" spans="5:6" ht="15" customHeight="1" x14ac:dyDescent="0.2">
      <c r="E18690" s="7"/>
      <c r="F18690" s="7"/>
    </row>
    <row r="18691" spans="5:6" ht="15" customHeight="1" x14ac:dyDescent="0.2">
      <c r="E18691" s="7"/>
      <c r="F18691" s="7"/>
    </row>
    <row r="18692" spans="5:6" ht="15" customHeight="1" x14ac:dyDescent="0.2">
      <c r="E18692" s="7"/>
      <c r="F18692" s="7"/>
    </row>
    <row r="18693" spans="5:6" ht="15" customHeight="1" x14ac:dyDescent="0.2">
      <c r="E18693" s="7"/>
      <c r="F18693" s="7"/>
    </row>
    <row r="18694" spans="5:6" ht="15" customHeight="1" x14ac:dyDescent="0.2">
      <c r="E18694" s="7"/>
      <c r="F18694" s="7"/>
    </row>
    <row r="18695" spans="5:6" ht="15" customHeight="1" x14ac:dyDescent="0.2">
      <c r="E18695" s="7"/>
      <c r="F18695" s="7"/>
    </row>
    <row r="18696" spans="5:6" ht="15" customHeight="1" x14ac:dyDescent="0.2">
      <c r="E18696" s="7"/>
      <c r="F18696" s="7"/>
    </row>
    <row r="18697" spans="5:6" ht="15" customHeight="1" x14ac:dyDescent="0.2">
      <c r="E18697" s="7"/>
      <c r="F18697" s="7"/>
    </row>
    <row r="18698" spans="5:6" ht="15" customHeight="1" x14ac:dyDescent="0.2">
      <c r="E18698" s="7"/>
      <c r="F18698" s="7"/>
    </row>
    <row r="18699" spans="5:6" ht="15" customHeight="1" x14ac:dyDescent="0.2">
      <c r="E18699" s="7"/>
      <c r="F18699" s="7"/>
    </row>
    <row r="18700" spans="5:6" ht="15" customHeight="1" x14ac:dyDescent="0.2">
      <c r="E18700" s="7"/>
      <c r="F18700" s="7"/>
    </row>
    <row r="18701" spans="5:6" ht="15" customHeight="1" x14ac:dyDescent="0.2">
      <c r="E18701" s="7"/>
      <c r="F18701" s="7"/>
    </row>
    <row r="18702" spans="5:6" ht="15" customHeight="1" x14ac:dyDescent="0.2">
      <c r="E18702" s="7"/>
      <c r="F18702" s="7"/>
    </row>
    <row r="18703" spans="5:6" ht="15" customHeight="1" x14ac:dyDescent="0.2">
      <c r="E18703" s="7"/>
      <c r="F18703" s="7"/>
    </row>
    <row r="18704" spans="5:6" ht="15" customHeight="1" x14ac:dyDescent="0.2">
      <c r="E18704" s="7"/>
      <c r="F18704" s="7"/>
    </row>
    <row r="18705" spans="5:6" ht="15" customHeight="1" x14ac:dyDescent="0.2">
      <c r="E18705" s="7"/>
      <c r="F18705" s="7"/>
    </row>
    <row r="18706" spans="5:6" ht="15" customHeight="1" x14ac:dyDescent="0.2">
      <c r="E18706" s="7"/>
      <c r="F18706" s="7"/>
    </row>
    <row r="18707" spans="5:6" ht="15" customHeight="1" x14ac:dyDescent="0.2">
      <c r="E18707" s="7"/>
      <c r="F18707" s="7"/>
    </row>
    <row r="18708" spans="5:6" ht="15" customHeight="1" x14ac:dyDescent="0.2">
      <c r="E18708" s="7"/>
      <c r="F18708" s="7"/>
    </row>
    <row r="18709" spans="5:6" ht="15" customHeight="1" x14ac:dyDescent="0.2">
      <c r="E18709" s="7"/>
      <c r="F18709" s="7"/>
    </row>
    <row r="18710" spans="5:6" ht="15" customHeight="1" x14ac:dyDescent="0.2">
      <c r="E18710" s="7"/>
      <c r="F18710" s="7"/>
    </row>
    <row r="18711" spans="5:6" ht="15" customHeight="1" x14ac:dyDescent="0.2">
      <c r="E18711" s="7"/>
      <c r="F18711" s="7"/>
    </row>
    <row r="18712" spans="5:6" ht="15" customHeight="1" x14ac:dyDescent="0.2">
      <c r="E18712" s="7"/>
      <c r="F18712" s="7"/>
    </row>
    <row r="18713" spans="5:6" ht="15" customHeight="1" x14ac:dyDescent="0.2">
      <c r="E18713" s="7"/>
      <c r="F18713" s="7"/>
    </row>
    <row r="18714" spans="5:6" ht="15" customHeight="1" x14ac:dyDescent="0.2">
      <c r="E18714" s="7"/>
      <c r="F18714" s="7"/>
    </row>
    <row r="18715" spans="5:6" ht="15" customHeight="1" x14ac:dyDescent="0.2">
      <c r="E18715" s="7"/>
      <c r="F18715" s="7"/>
    </row>
    <row r="18716" spans="5:6" ht="15" customHeight="1" x14ac:dyDescent="0.2">
      <c r="E18716" s="7"/>
      <c r="F18716" s="7"/>
    </row>
    <row r="18717" spans="5:6" ht="15" customHeight="1" x14ac:dyDescent="0.2">
      <c r="E18717" s="7"/>
      <c r="F18717" s="7"/>
    </row>
    <row r="18718" spans="5:6" ht="15" customHeight="1" x14ac:dyDescent="0.2">
      <c r="E18718" s="7"/>
      <c r="F18718" s="7"/>
    </row>
    <row r="18719" spans="5:6" ht="15" customHeight="1" x14ac:dyDescent="0.2">
      <c r="E18719" s="7"/>
      <c r="F18719" s="7"/>
    </row>
    <row r="18720" spans="5:6" ht="15" customHeight="1" x14ac:dyDescent="0.2">
      <c r="E18720" s="7"/>
      <c r="F18720" s="7"/>
    </row>
    <row r="18721" spans="5:6" ht="15" customHeight="1" x14ac:dyDescent="0.2">
      <c r="E18721" s="7"/>
      <c r="F18721" s="7"/>
    </row>
    <row r="18722" spans="5:6" ht="15" customHeight="1" x14ac:dyDescent="0.2">
      <c r="E18722" s="7"/>
      <c r="F18722" s="7"/>
    </row>
    <row r="18723" spans="5:6" ht="15" customHeight="1" x14ac:dyDescent="0.2">
      <c r="E18723" s="7"/>
      <c r="F18723" s="7"/>
    </row>
    <row r="18724" spans="5:6" ht="15" customHeight="1" x14ac:dyDescent="0.2">
      <c r="E18724" s="7"/>
      <c r="F18724" s="7"/>
    </row>
    <row r="18725" spans="5:6" ht="15" customHeight="1" x14ac:dyDescent="0.2">
      <c r="E18725" s="7"/>
      <c r="F18725" s="7"/>
    </row>
    <row r="18726" spans="5:6" ht="15" customHeight="1" x14ac:dyDescent="0.2">
      <c r="E18726" s="7"/>
      <c r="F18726" s="7"/>
    </row>
    <row r="18727" spans="5:6" ht="15" customHeight="1" x14ac:dyDescent="0.2">
      <c r="E18727" s="7"/>
      <c r="F18727" s="7"/>
    </row>
    <row r="18728" spans="5:6" ht="15" customHeight="1" x14ac:dyDescent="0.2">
      <c r="E18728" s="7"/>
      <c r="F18728" s="7"/>
    </row>
    <row r="18729" spans="5:6" ht="15" customHeight="1" x14ac:dyDescent="0.2">
      <c r="E18729" s="7"/>
      <c r="F18729" s="7"/>
    </row>
    <row r="18730" spans="5:6" ht="15" customHeight="1" x14ac:dyDescent="0.2">
      <c r="E18730" s="7"/>
      <c r="F18730" s="7"/>
    </row>
    <row r="18731" spans="5:6" ht="15" customHeight="1" x14ac:dyDescent="0.2">
      <c r="E18731" s="7"/>
      <c r="F18731" s="7"/>
    </row>
    <row r="18732" spans="5:6" ht="15" customHeight="1" x14ac:dyDescent="0.2">
      <c r="E18732" s="7"/>
      <c r="F18732" s="7"/>
    </row>
    <row r="18733" spans="5:6" ht="15" customHeight="1" x14ac:dyDescent="0.2">
      <c r="E18733" s="7"/>
      <c r="F18733" s="7"/>
    </row>
    <row r="18734" spans="5:6" ht="15" customHeight="1" x14ac:dyDescent="0.2">
      <c r="E18734" s="7"/>
      <c r="F18734" s="7"/>
    </row>
    <row r="18735" spans="5:6" ht="15" customHeight="1" x14ac:dyDescent="0.2">
      <c r="E18735" s="7"/>
      <c r="F18735" s="7"/>
    </row>
    <row r="18736" spans="5:6" ht="15" customHeight="1" x14ac:dyDescent="0.2">
      <c r="E18736" s="7"/>
      <c r="F18736" s="7"/>
    </row>
    <row r="18737" spans="5:6" ht="15" customHeight="1" x14ac:dyDescent="0.2">
      <c r="E18737" s="7"/>
      <c r="F18737" s="7"/>
    </row>
    <row r="18738" spans="5:6" ht="15" customHeight="1" x14ac:dyDescent="0.2">
      <c r="E18738" s="7"/>
      <c r="F18738" s="7"/>
    </row>
    <row r="18739" spans="5:6" ht="15" customHeight="1" x14ac:dyDescent="0.2">
      <c r="E18739" s="7"/>
      <c r="F18739" s="7"/>
    </row>
    <row r="18740" spans="5:6" ht="15" customHeight="1" x14ac:dyDescent="0.2">
      <c r="E18740" s="7"/>
      <c r="F18740" s="7"/>
    </row>
    <row r="18741" spans="5:6" ht="15" customHeight="1" x14ac:dyDescent="0.2">
      <c r="E18741" s="7"/>
      <c r="F18741" s="7"/>
    </row>
    <row r="18742" spans="5:6" ht="15" customHeight="1" x14ac:dyDescent="0.2">
      <c r="E18742" s="7"/>
      <c r="F18742" s="7"/>
    </row>
    <row r="18743" spans="5:6" ht="15" customHeight="1" x14ac:dyDescent="0.2">
      <c r="E18743" s="7"/>
      <c r="F18743" s="7"/>
    </row>
    <row r="18744" spans="5:6" ht="15" customHeight="1" x14ac:dyDescent="0.2">
      <c r="E18744" s="7"/>
      <c r="F18744" s="7"/>
    </row>
    <row r="18745" spans="5:6" ht="15" customHeight="1" x14ac:dyDescent="0.2">
      <c r="E18745" s="7"/>
      <c r="F18745" s="7"/>
    </row>
    <row r="18746" spans="5:6" ht="15" customHeight="1" x14ac:dyDescent="0.2">
      <c r="E18746" s="7"/>
      <c r="F18746" s="7"/>
    </row>
    <row r="18747" spans="5:6" ht="15" customHeight="1" x14ac:dyDescent="0.2">
      <c r="E18747" s="7"/>
      <c r="F18747" s="7"/>
    </row>
    <row r="18748" spans="5:6" ht="15" customHeight="1" x14ac:dyDescent="0.2">
      <c r="E18748" s="7"/>
      <c r="F18748" s="7"/>
    </row>
    <row r="18749" spans="5:6" ht="15" customHeight="1" x14ac:dyDescent="0.2">
      <c r="E18749" s="7"/>
      <c r="F18749" s="7"/>
    </row>
    <row r="18750" spans="5:6" ht="15" customHeight="1" x14ac:dyDescent="0.2">
      <c r="E18750" s="7"/>
      <c r="F18750" s="7"/>
    </row>
    <row r="18751" spans="5:6" ht="15" customHeight="1" x14ac:dyDescent="0.2">
      <c r="E18751" s="7"/>
      <c r="F18751" s="7"/>
    </row>
    <row r="18752" spans="5:6" ht="15" customHeight="1" x14ac:dyDescent="0.2">
      <c r="E18752" s="7"/>
      <c r="F18752" s="7"/>
    </row>
    <row r="18753" spans="5:6" ht="15" customHeight="1" x14ac:dyDescent="0.2">
      <c r="E18753" s="7"/>
      <c r="F18753" s="7"/>
    </row>
    <row r="18754" spans="5:6" ht="15" customHeight="1" x14ac:dyDescent="0.2">
      <c r="E18754" s="7"/>
      <c r="F18754" s="7"/>
    </row>
    <row r="18755" spans="5:6" ht="15" customHeight="1" x14ac:dyDescent="0.2">
      <c r="E18755" s="7"/>
      <c r="F18755" s="7"/>
    </row>
    <row r="18756" spans="5:6" ht="15" customHeight="1" x14ac:dyDescent="0.2">
      <c r="E18756" s="7"/>
      <c r="F18756" s="7"/>
    </row>
    <row r="18757" spans="5:6" ht="15" customHeight="1" x14ac:dyDescent="0.2">
      <c r="E18757" s="7"/>
      <c r="F18757" s="7"/>
    </row>
    <row r="18758" spans="5:6" ht="15" customHeight="1" x14ac:dyDescent="0.2">
      <c r="E18758" s="7"/>
      <c r="F18758" s="7"/>
    </row>
    <row r="18759" spans="5:6" ht="15" customHeight="1" x14ac:dyDescent="0.2">
      <c r="E18759" s="7"/>
      <c r="F18759" s="7"/>
    </row>
    <row r="18760" spans="5:6" ht="15" customHeight="1" x14ac:dyDescent="0.2">
      <c r="E18760" s="7"/>
      <c r="F18760" s="7"/>
    </row>
    <row r="18761" spans="5:6" ht="15" customHeight="1" x14ac:dyDescent="0.2">
      <c r="E18761" s="7"/>
      <c r="F18761" s="7"/>
    </row>
    <row r="18762" spans="5:6" ht="15" customHeight="1" x14ac:dyDescent="0.2">
      <c r="E18762" s="7"/>
      <c r="F18762" s="7"/>
    </row>
    <row r="18763" spans="5:6" ht="15" customHeight="1" x14ac:dyDescent="0.2">
      <c r="E18763" s="7"/>
      <c r="F18763" s="7"/>
    </row>
    <row r="18764" spans="5:6" ht="15" customHeight="1" x14ac:dyDescent="0.2">
      <c r="E18764" s="7"/>
      <c r="F18764" s="7"/>
    </row>
    <row r="18765" spans="5:6" ht="15" customHeight="1" x14ac:dyDescent="0.2">
      <c r="E18765" s="7"/>
      <c r="F18765" s="7"/>
    </row>
    <row r="18766" spans="5:6" ht="15" customHeight="1" x14ac:dyDescent="0.2">
      <c r="E18766" s="7"/>
      <c r="F18766" s="7"/>
    </row>
    <row r="18767" spans="5:6" ht="15" customHeight="1" x14ac:dyDescent="0.2">
      <c r="E18767" s="7"/>
      <c r="F18767" s="7"/>
    </row>
    <row r="18768" spans="5:6" ht="15" customHeight="1" x14ac:dyDescent="0.2">
      <c r="E18768" s="7"/>
      <c r="F18768" s="7"/>
    </row>
    <row r="18769" spans="5:6" ht="15" customHeight="1" x14ac:dyDescent="0.2">
      <c r="E18769" s="7"/>
      <c r="F18769" s="7"/>
    </row>
    <row r="18770" spans="5:6" ht="15" customHeight="1" x14ac:dyDescent="0.2">
      <c r="E18770" s="7"/>
      <c r="F18770" s="7"/>
    </row>
    <row r="18771" spans="5:6" ht="15" customHeight="1" x14ac:dyDescent="0.2">
      <c r="E18771" s="7"/>
      <c r="F18771" s="7"/>
    </row>
    <row r="18772" spans="5:6" ht="15" customHeight="1" x14ac:dyDescent="0.2">
      <c r="E18772" s="7"/>
      <c r="F18772" s="7"/>
    </row>
    <row r="18773" spans="5:6" ht="15" customHeight="1" x14ac:dyDescent="0.2">
      <c r="E18773" s="7"/>
      <c r="F18773" s="7"/>
    </row>
    <row r="18774" spans="5:6" ht="15" customHeight="1" x14ac:dyDescent="0.2">
      <c r="E18774" s="7"/>
      <c r="F18774" s="7"/>
    </row>
    <row r="18775" spans="5:6" ht="15" customHeight="1" x14ac:dyDescent="0.2">
      <c r="E18775" s="7"/>
      <c r="F18775" s="7"/>
    </row>
    <row r="18776" spans="5:6" ht="15" customHeight="1" x14ac:dyDescent="0.2">
      <c r="E18776" s="7"/>
      <c r="F18776" s="7"/>
    </row>
    <row r="18777" spans="5:6" ht="15" customHeight="1" x14ac:dyDescent="0.2">
      <c r="E18777" s="7"/>
      <c r="F18777" s="7"/>
    </row>
    <row r="18778" spans="5:6" ht="15" customHeight="1" x14ac:dyDescent="0.2">
      <c r="E18778" s="7"/>
      <c r="F18778" s="7"/>
    </row>
    <row r="18779" spans="5:6" ht="15" customHeight="1" x14ac:dyDescent="0.2">
      <c r="E18779" s="7"/>
      <c r="F18779" s="7"/>
    </row>
    <row r="18780" spans="5:6" ht="15" customHeight="1" x14ac:dyDescent="0.2">
      <c r="E18780" s="7"/>
      <c r="F18780" s="7"/>
    </row>
    <row r="18781" spans="5:6" ht="15" customHeight="1" x14ac:dyDescent="0.2">
      <c r="E18781" s="7"/>
      <c r="F18781" s="7"/>
    </row>
    <row r="18782" spans="5:6" ht="15" customHeight="1" x14ac:dyDescent="0.2">
      <c r="E18782" s="7"/>
      <c r="F18782" s="7"/>
    </row>
    <row r="18783" spans="5:6" ht="15" customHeight="1" x14ac:dyDescent="0.2">
      <c r="E18783" s="7"/>
      <c r="F18783" s="7"/>
    </row>
    <row r="18784" spans="5:6" ht="15" customHeight="1" x14ac:dyDescent="0.2">
      <c r="E18784" s="7"/>
      <c r="F18784" s="7"/>
    </row>
    <row r="18785" spans="5:6" ht="15" customHeight="1" x14ac:dyDescent="0.2">
      <c r="E18785" s="7"/>
      <c r="F18785" s="7"/>
    </row>
    <row r="18786" spans="5:6" ht="15" customHeight="1" x14ac:dyDescent="0.2">
      <c r="E18786" s="7"/>
      <c r="F18786" s="7"/>
    </row>
    <row r="18787" spans="5:6" ht="15" customHeight="1" x14ac:dyDescent="0.2">
      <c r="E18787" s="7"/>
      <c r="F18787" s="7"/>
    </row>
    <row r="18788" spans="5:6" ht="15" customHeight="1" x14ac:dyDescent="0.2">
      <c r="E18788" s="7"/>
      <c r="F18788" s="7"/>
    </row>
    <row r="18789" spans="5:6" ht="15" customHeight="1" x14ac:dyDescent="0.2">
      <c r="E18789" s="7"/>
      <c r="F18789" s="7"/>
    </row>
    <row r="18790" spans="5:6" ht="15" customHeight="1" x14ac:dyDescent="0.2">
      <c r="E18790" s="7"/>
      <c r="F18790" s="7"/>
    </row>
    <row r="18791" spans="5:6" ht="15" customHeight="1" x14ac:dyDescent="0.2">
      <c r="E18791" s="7"/>
      <c r="F18791" s="7"/>
    </row>
    <row r="18792" spans="5:6" ht="15" customHeight="1" x14ac:dyDescent="0.2">
      <c r="E18792" s="7"/>
      <c r="F18792" s="7"/>
    </row>
    <row r="18793" spans="5:6" ht="15" customHeight="1" x14ac:dyDescent="0.2">
      <c r="E18793" s="7"/>
      <c r="F18793" s="7"/>
    </row>
    <row r="18794" spans="5:6" ht="15" customHeight="1" x14ac:dyDescent="0.2">
      <c r="E18794" s="7"/>
      <c r="F18794" s="7"/>
    </row>
    <row r="18795" spans="5:6" ht="15" customHeight="1" x14ac:dyDescent="0.2">
      <c r="E18795" s="7"/>
      <c r="F18795" s="7"/>
    </row>
    <row r="18796" spans="5:6" ht="15" customHeight="1" x14ac:dyDescent="0.2">
      <c r="E18796" s="7"/>
      <c r="F18796" s="7"/>
    </row>
    <row r="18797" spans="5:6" ht="15" customHeight="1" x14ac:dyDescent="0.2">
      <c r="E18797" s="7"/>
      <c r="F18797" s="7"/>
    </row>
    <row r="18798" spans="5:6" ht="15" customHeight="1" x14ac:dyDescent="0.2">
      <c r="E18798" s="7"/>
      <c r="F18798" s="7"/>
    </row>
    <row r="18799" spans="5:6" ht="15" customHeight="1" x14ac:dyDescent="0.2">
      <c r="E18799" s="7"/>
      <c r="F18799" s="7"/>
    </row>
    <row r="18800" spans="5:6" ht="15" customHeight="1" x14ac:dyDescent="0.2">
      <c r="E18800" s="7"/>
      <c r="F18800" s="7"/>
    </row>
    <row r="18801" spans="5:6" ht="15" customHeight="1" x14ac:dyDescent="0.2">
      <c r="E18801" s="7"/>
      <c r="F18801" s="7"/>
    </row>
    <row r="18802" spans="5:6" ht="15" customHeight="1" x14ac:dyDescent="0.2">
      <c r="E18802" s="7"/>
      <c r="F18802" s="7"/>
    </row>
    <row r="18803" spans="5:6" ht="15" customHeight="1" x14ac:dyDescent="0.2">
      <c r="E18803" s="7"/>
      <c r="F18803" s="7"/>
    </row>
    <row r="18804" spans="5:6" ht="15" customHeight="1" x14ac:dyDescent="0.2">
      <c r="E18804" s="7"/>
      <c r="F18804" s="7"/>
    </row>
    <row r="18805" spans="5:6" ht="15" customHeight="1" x14ac:dyDescent="0.2">
      <c r="E18805" s="7"/>
      <c r="F18805" s="7"/>
    </row>
    <row r="18806" spans="5:6" ht="15" customHeight="1" x14ac:dyDescent="0.2">
      <c r="E18806" s="7"/>
      <c r="F18806" s="7"/>
    </row>
    <row r="18807" spans="5:6" ht="15" customHeight="1" x14ac:dyDescent="0.2">
      <c r="E18807" s="7"/>
      <c r="F18807" s="7"/>
    </row>
    <row r="18808" spans="5:6" ht="15" customHeight="1" x14ac:dyDescent="0.2">
      <c r="E18808" s="7"/>
      <c r="F18808" s="7"/>
    </row>
    <row r="18809" spans="5:6" ht="15" customHeight="1" x14ac:dyDescent="0.2">
      <c r="E18809" s="7"/>
      <c r="F18809" s="7"/>
    </row>
    <row r="18810" spans="5:6" ht="15" customHeight="1" x14ac:dyDescent="0.2">
      <c r="E18810" s="7"/>
      <c r="F18810" s="7"/>
    </row>
    <row r="18811" spans="5:6" ht="15" customHeight="1" x14ac:dyDescent="0.2">
      <c r="E18811" s="7"/>
      <c r="F18811" s="7"/>
    </row>
    <row r="18812" spans="5:6" ht="15" customHeight="1" x14ac:dyDescent="0.2">
      <c r="E18812" s="7"/>
      <c r="F18812" s="7"/>
    </row>
    <row r="18813" spans="5:6" ht="15" customHeight="1" x14ac:dyDescent="0.2">
      <c r="E18813" s="7"/>
      <c r="F18813" s="7"/>
    </row>
    <row r="18814" spans="5:6" ht="15" customHeight="1" x14ac:dyDescent="0.2">
      <c r="E18814" s="7"/>
      <c r="F18814" s="7"/>
    </row>
    <row r="18815" spans="5:6" ht="15" customHeight="1" x14ac:dyDescent="0.2">
      <c r="E18815" s="7"/>
      <c r="F18815" s="7"/>
    </row>
    <row r="18816" spans="5:6" ht="15" customHeight="1" x14ac:dyDescent="0.2">
      <c r="E18816" s="7"/>
      <c r="F18816" s="7"/>
    </row>
    <row r="18817" spans="5:6" ht="15" customHeight="1" x14ac:dyDescent="0.2">
      <c r="E18817" s="7"/>
      <c r="F18817" s="7"/>
    </row>
    <row r="18818" spans="5:6" ht="15" customHeight="1" x14ac:dyDescent="0.2">
      <c r="E18818" s="7"/>
      <c r="F18818" s="7"/>
    </row>
    <row r="18819" spans="5:6" ht="15" customHeight="1" x14ac:dyDescent="0.2">
      <c r="E18819" s="7"/>
      <c r="F18819" s="7"/>
    </row>
    <row r="18820" spans="5:6" ht="15" customHeight="1" x14ac:dyDescent="0.2">
      <c r="E18820" s="7"/>
      <c r="F18820" s="7"/>
    </row>
    <row r="18821" spans="5:6" ht="15" customHeight="1" x14ac:dyDescent="0.2">
      <c r="E18821" s="7"/>
      <c r="F18821" s="7"/>
    </row>
    <row r="18822" spans="5:6" ht="15" customHeight="1" x14ac:dyDescent="0.2">
      <c r="E18822" s="7"/>
      <c r="F18822" s="7"/>
    </row>
    <row r="18823" spans="5:6" ht="15" customHeight="1" x14ac:dyDescent="0.2">
      <c r="E18823" s="7"/>
      <c r="F18823" s="7"/>
    </row>
    <row r="18824" spans="5:6" ht="15" customHeight="1" x14ac:dyDescent="0.2">
      <c r="E18824" s="7"/>
      <c r="F18824" s="7"/>
    </row>
    <row r="18825" spans="5:6" ht="15" customHeight="1" x14ac:dyDescent="0.2">
      <c r="E18825" s="7"/>
      <c r="F18825" s="7"/>
    </row>
    <row r="18826" spans="5:6" ht="15" customHeight="1" x14ac:dyDescent="0.2">
      <c r="E18826" s="7"/>
      <c r="F18826" s="7"/>
    </row>
    <row r="18827" spans="5:6" ht="15" customHeight="1" x14ac:dyDescent="0.2">
      <c r="E18827" s="7"/>
      <c r="F18827" s="7"/>
    </row>
    <row r="18828" spans="5:6" ht="15" customHeight="1" x14ac:dyDescent="0.2">
      <c r="E18828" s="7"/>
      <c r="F18828" s="7"/>
    </row>
    <row r="18829" spans="5:6" ht="15" customHeight="1" x14ac:dyDescent="0.2">
      <c r="E18829" s="7"/>
      <c r="F18829" s="7"/>
    </row>
    <row r="18830" spans="5:6" ht="15" customHeight="1" x14ac:dyDescent="0.2">
      <c r="E18830" s="7"/>
      <c r="F18830" s="7"/>
    </row>
    <row r="18831" spans="5:6" ht="15" customHeight="1" x14ac:dyDescent="0.2">
      <c r="E18831" s="7"/>
      <c r="F18831" s="7"/>
    </row>
    <row r="18832" spans="5:6" ht="15" customHeight="1" x14ac:dyDescent="0.2">
      <c r="E18832" s="7"/>
      <c r="F18832" s="7"/>
    </row>
    <row r="18833" spans="5:6" ht="15" customHeight="1" x14ac:dyDescent="0.2">
      <c r="E18833" s="7"/>
      <c r="F18833" s="7"/>
    </row>
    <row r="18834" spans="5:6" ht="15" customHeight="1" x14ac:dyDescent="0.2">
      <c r="E18834" s="7"/>
      <c r="F18834" s="7"/>
    </row>
    <row r="18835" spans="5:6" ht="15" customHeight="1" x14ac:dyDescent="0.2">
      <c r="E18835" s="7"/>
      <c r="F18835" s="7"/>
    </row>
    <row r="18836" spans="5:6" ht="15" customHeight="1" x14ac:dyDescent="0.2">
      <c r="E18836" s="7"/>
      <c r="F18836" s="7"/>
    </row>
    <row r="18837" spans="5:6" ht="15" customHeight="1" x14ac:dyDescent="0.2">
      <c r="E18837" s="7"/>
      <c r="F18837" s="7"/>
    </row>
    <row r="18838" spans="5:6" ht="15" customHeight="1" x14ac:dyDescent="0.2">
      <c r="E18838" s="7"/>
      <c r="F18838" s="7"/>
    </row>
    <row r="18839" spans="5:6" ht="15" customHeight="1" x14ac:dyDescent="0.2">
      <c r="E18839" s="7"/>
      <c r="F18839" s="7"/>
    </row>
    <row r="18840" spans="5:6" ht="15" customHeight="1" x14ac:dyDescent="0.2">
      <c r="E18840" s="7"/>
      <c r="F18840" s="7"/>
    </row>
    <row r="18841" spans="5:6" ht="15" customHeight="1" x14ac:dyDescent="0.2">
      <c r="E18841" s="7"/>
      <c r="F18841" s="7"/>
    </row>
    <row r="18842" spans="5:6" ht="15" customHeight="1" x14ac:dyDescent="0.2">
      <c r="E18842" s="7"/>
      <c r="F18842" s="7"/>
    </row>
    <row r="18843" spans="5:6" ht="15" customHeight="1" x14ac:dyDescent="0.2">
      <c r="E18843" s="7"/>
      <c r="F18843" s="7"/>
    </row>
    <row r="18844" spans="5:6" ht="15" customHeight="1" x14ac:dyDescent="0.2">
      <c r="E18844" s="7"/>
      <c r="F18844" s="7"/>
    </row>
    <row r="18845" spans="5:6" ht="15" customHeight="1" x14ac:dyDescent="0.2">
      <c r="E18845" s="7"/>
      <c r="F18845" s="7"/>
    </row>
    <row r="18846" spans="5:6" ht="15" customHeight="1" x14ac:dyDescent="0.2">
      <c r="E18846" s="7"/>
      <c r="F18846" s="7"/>
    </row>
    <row r="18847" spans="5:6" ht="15" customHeight="1" x14ac:dyDescent="0.2">
      <c r="E18847" s="7"/>
      <c r="F18847" s="7"/>
    </row>
    <row r="18848" spans="5:6" ht="15" customHeight="1" x14ac:dyDescent="0.2">
      <c r="E18848" s="7"/>
      <c r="F18848" s="7"/>
    </row>
    <row r="18849" spans="5:6" ht="15" customHeight="1" x14ac:dyDescent="0.2">
      <c r="E18849" s="7"/>
      <c r="F18849" s="7"/>
    </row>
    <row r="18850" spans="5:6" ht="15" customHeight="1" x14ac:dyDescent="0.2">
      <c r="E18850" s="7"/>
      <c r="F18850" s="7"/>
    </row>
    <row r="18851" spans="5:6" ht="15" customHeight="1" x14ac:dyDescent="0.2">
      <c r="E18851" s="7"/>
      <c r="F18851" s="7"/>
    </row>
    <row r="18852" spans="5:6" ht="15" customHeight="1" x14ac:dyDescent="0.2">
      <c r="E18852" s="7"/>
      <c r="F18852" s="7"/>
    </row>
    <row r="18853" spans="5:6" ht="15" customHeight="1" x14ac:dyDescent="0.2">
      <c r="E18853" s="7"/>
      <c r="F18853" s="7"/>
    </row>
    <row r="18854" spans="5:6" ht="15" customHeight="1" x14ac:dyDescent="0.2">
      <c r="E18854" s="7"/>
      <c r="F18854" s="7"/>
    </row>
    <row r="18855" spans="5:6" ht="15" customHeight="1" x14ac:dyDescent="0.2">
      <c r="E18855" s="7"/>
      <c r="F18855" s="7"/>
    </row>
    <row r="18856" spans="5:6" ht="15" customHeight="1" x14ac:dyDescent="0.2">
      <c r="E18856" s="7"/>
      <c r="F18856" s="7"/>
    </row>
    <row r="18857" spans="5:6" ht="15" customHeight="1" x14ac:dyDescent="0.2">
      <c r="E18857" s="7"/>
      <c r="F18857" s="7"/>
    </row>
    <row r="18858" spans="5:6" ht="15" customHeight="1" x14ac:dyDescent="0.2">
      <c r="E18858" s="7"/>
      <c r="F18858" s="7"/>
    </row>
    <row r="18859" spans="5:6" ht="15" customHeight="1" x14ac:dyDescent="0.2">
      <c r="E18859" s="7"/>
      <c r="F18859" s="7"/>
    </row>
    <row r="18860" spans="5:6" ht="15" customHeight="1" x14ac:dyDescent="0.2">
      <c r="E18860" s="7"/>
      <c r="F18860" s="7"/>
    </row>
    <row r="18861" spans="5:6" ht="15" customHeight="1" x14ac:dyDescent="0.2">
      <c r="E18861" s="7"/>
      <c r="F18861" s="7"/>
    </row>
    <row r="18862" spans="5:6" ht="15" customHeight="1" x14ac:dyDescent="0.2">
      <c r="E18862" s="7"/>
      <c r="F18862" s="7"/>
    </row>
    <row r="18863" spans="5:6" ht="15" customHeight="1" x14ac:dyDescent="0.2">
      <c r="E18863" s="7"/>
      <c r="F18863" s="7"/>
    </row>
    <row r="18864" spans="5:6" ht="15" customHeight="1" x14ac:dyDescent="0.2">
      <c r="E18864" s="7"/>
      <c r="F18864" s="7"/>
    </row>
    <row r="18865" spans="5:6" ht="15" customHeight="1" x14ac:dyDescent="0.2">
      <c r="E18865" s="7"/>
      <c r="F18865" s="7"/>
    </row>
    <row r="18866" spans="5:6" ht="15" customHeight="1" x14ac:dyDescent="0.2">
      <c r="E18866" s="7"/>
      <c r="F18866" s="7"/>
    </row>
    <row r="18867" spans="5:6" ht="15" customHeight="1" x14ac:dyDescent="0.2">
      <c r="E18867" s="7"/>
      <c r="F18867" s="7"/>
    </row>
    <row r="18868" spans="5:6" ht="15" customHeight="1" x14ac:dyDescent="0.2">
      <c r="E18868" s="7"/>
      <c r="F18868" s="7"/>
    </row>
    <row r="18869" spans="5:6" ht="15" customHeight="1" x14ac:dyDescent="0.2">
      <c r="E18869" s="7"/>
      <c r="F18869" s="7"/>
    </row>
    <row r="18870" spans="5:6" ht="15" customHeight="1" x14ac:dyDescent="0.2">
      <c r="E18870" s="7"/>
      <c r="F18870" s="7"/>
    </row>
    <row r="18871" spans="5:6" ht="15" customHeight="1" x14ac:dyDescent="0.2">
      <c r="E18871" s="7"/>
      <c r="F18871" s="7"/>
    </row>
    <row r="18872" spans="5:6" ht="15" customHeight="1" x14ac:dyDescent="0.2">
      <c r="E18872" s="7"/>
      <c r="F18872" s="7"/>
    </row>
    <row r="18873" spans="5:6" ht="15" customHeight="1" x14ac:dyDescent="0.2">
      <c r="E18873" s="7"/>
      <c r="F18873" s="7"/>
    </row>
    <row r="18874" spans="5:6" ht="15" customHeight="1" x14ac:dyDescent="0.2">
      <c r="E18874" s="7"/>
      <c r="F18874" s="7"/>
    </row>
    <row r="18875" spans="5:6" ht="15" customHeight="1" x14ac:dyDescent="0.2">
      <c r="E18875" s="7"/>
      <c r="F18875" s="7"/>
    </row>
    <row r="18876" spans="5:6" ht="15" customHeight="1" x14ac:dyDescent="0.2">
      <c r="E18876" s="7"/>
      <c r="F18876" s="7"/>
    </row>
    <row r="18877" spans="5:6" ht="15" customHeight="1" x14ac:dyDescent="0.2">
      <c r="E18877" s="7"/>
      <c r="F18877" s="7"/>
    </row>
    <row r="18878" spans="5:6" ht="15" customHeight="1" x14ac:dyDescent="0.2">
      <c r="E18878" s="7"/>
      <c r="F18878" s="7"/>
    </row>
    <row r="18879" spans="5:6" ht="15" customHeight="1" x14ac:dyDescent="0.2">
      <c r="E18879" s="7"/>
      <c r="F18879" s="7"/>
    </row>
    <row r="18880" spans="5:6" ht="15" customHeight="1" x14ac:dyDescent="0.2">
      <c r="E18880" s="7"/>
      <c r="F18880" s="7"/>
    </row>
    <row r="18881" spans="5:6" ht="15" customHeight="1" x14ac:dyDescent="0.2">
      <c r="E18881" s="7"/>
      <c r="F18881" s="7"/>
    </row>
    <row r="18882" spans="5:6" ht="15" customHeight="1" x14ac:dyDescent="0.2">
      <c r="E18882" s="7"/>
      <c r="F18882" s="7"/>
    </row>
    <row r="18883" spans="5:6" ht="15" customHeight="1" x14ac:dyDescent="0.2">
      <c r="E18883" s="7"/>
      <c r="F18883" s="7"/>
    </row>
    <row r="18884" spans="5:6" ht="15" customHeight="1" x14ac:dyDescent="0.2">
      <c r="E18884" s="7"/>
      <c r="F18884" s="7"/>
    </row>
    <row r="18885" spans="5:6" ht="15" customHeight="1" x14ac:dyDescent="0.2">
      <c r="E18885" s="7"/>
      <c r="F18885" s="7"/>
    </row>
    <row r="18886" spans="5:6" ht="15" customHeight="1" x14ac:dyDescent="0.2">
      <c r="E18886" s="7"/>
      <c r="F18886" s="7"/>
    </row>
    <row r="18887" spans="5:6" ht="15" customHeight="1" x14ac:dyDescent="0.2">
      <c r="E18887" s="7"/>
      <c r="F18887" s="7"/>
    </row>
    <row r="18888" spans="5:6" ht="15" customHeight="1" x14ac:dyDescent="0.2">
      <c r="E18888" s="7"/>
      <c r="F18888" s="7"/>
    </row>
    <row r="18889" spans="5:6" ht="15" customHeight="1" x14ac:dyDescent="0.2">
      <c r="E18889" s="7"/>
      <c r="F18889" s="7"/>
    </row>
    <row r="18890" spans="5:6" ht="15" customHeight="1" x14ac:dyDescent="0.2">
      <c r="E18890" s="7"/>
      <c r="F18890" s="7"/>
    </row>
    <row r="18891" spans="5:6" ht="15" customHeight="1" x14ac:dyDescent="0.2">
      <c r="E18891" s="7"/>
      <c r="F18891" s="7"/>
    </row>
    <row r="18892" spans="5:6" ht="15" customHeight="1" x14ac:dyDescent="0.2">
      <c r="E18892" s="7"/>
      <c r="F18892" s="7"/>
    </row>
    <row r="18893" spans="5:6" ht="15" customHeight="1" x14ac:dyDescent="0.2">
      <c r="E18893" s="7"/>
      <c r="F18893" s="7"/>
    </row>
    <row r="18894" spans="5:6" ht="15" customHeight="1" x14ac:dyDescent="0.2">
      <c r="E18894" s="7"/>
      <c r="F18894" s="7"/>
    </row>
    <row r="18895" spans="5:6" ht="15" customHeight="1" x14ac:dyDescent="0.2">
      <c r="E18895" s="7"/>
      <c r="F18895" s="7"/>
    </row>
    <row r="18896" spans="5:6" ht="15" customHeight="1" x14ac:dyDescent="0.2">
      <c r="E18896" s="7"/>
      <c r="F18896" s="7"/>
    </row>
    <row r="18897" spans="5:6" ht="15" customHeight="1" x14ac:dyDescent="0.2">
      <c r="E18897" s="7"/>
      <c r="F18897" s="7"/>
    </row>
    <row r="18898" spans="5:6" ht="15" customHeight="1" x14ac:dyDescent="0.2">
      <c r="E18898" s="7"/>
      <c r="F18898" s="7"/>
    </row>
    <row r="18899" spans="5:6" ht="15" customHeight="1" x14ac:dyDescent="0.2">
      <c r="E18899" s="7"/>
      <c r="F18899" s="7"/>
    </row>
    <row r="18900" spans="5:6" ht="15" customHeight="1" x14ac:dyDescent="0.2">
      <c r="E18900" s="7"/>
      <c r="F18900" s="7"/>
    </row>
    <row r="18901" spans="5:6" ht="15" customHeight="1" x14ac:dyDescent="0.2">
      <c r="E18901" s="7"/>
      <c r="F18901" s="7"/>
    </row>
    <row r="18902" spans="5:6" ht="15" customHeight="1" x14ac:dyDescent="0.2">
      <c r="E18902" s="7"/>
      <c r="F18902" s="7"/>
    </row>
    <row r="18903" spans="5:6" ht="15" customHeight="1" x14ac:dyDescent="0.2">
      <c r="E18903" s="7"/>
      <c r="F18903" s="7"/>
    </row>
    <row r="18904" spans="5:6" ht="15" customHeight="1" x14ac:dyDescent="0.2">
      <c r="E18904" s="7"/>
      <c r="F18904" s="7"/>
    </row>
    <row r="18905" spans="5:6" ht="15" customHeight="1" x14ac:dyDescent="0.2">
      <c r="E18905" s="7"/>
      <c r="F18905" s="7"/>
    </row>
    <row r="18906" spans="5:6" ht="15" customHeight="1" x14ac:dyDescent="0.2">
      <c r="E18906" s="7"/>
      <c r="F18906" s="7"/>
    </row>
    <row r="18907" spans="5:6" ht="15" customHeight="1" x14ac:dyDescent="0.2">
      <c r="E18907" s="7"/>
      <c r="F18907" s="7"/>
    </row>
    <row r="18908" spans="5:6" ht="15" customHeight="1" x14ac:dyDescent="0.2">
      <c r="E18908" s="7"/>
      <c r="F18908" s="7"/>
    </row>
    <row r="18909" spans="5:6" ht="15" customHeight="1" x14ac:dyDescent="0.2">
      <c r="E18909" s="7"/>
      <c r="F18909" s="7"/>
    </row>
    <row r="18910" spans="5:6" ht="15" customHeight="1" x14ac:dyDescent="0.2">
      <c r="E18910" s="7"/>
      <c r="F18910" s="7"/>
    </row>
    <row r="18911" spans="5:6" ht="15" customHeight="1" x14ac:dyDescent="0.2">
      <c r="E18911" s="7"/>
      <c r="F18911" s="7"/>
    </row>
    <row r="18912" spans="5:6" ht="15" customHeight="1" x14ac:dyDescent="0.2">
      <c r="E18912" s="7"/>
      <c r="F18912" s="7"/>
    </row>
    <row r="18913" spans="5:6" ht="15" customHeight="1" x14ac:dyDescent="0.2">
      <c r="E18913" s="7"/>
      <c r="F18913" s="7"/>
    </row>
    <row r="18914" spans="5:6" ht="15" customHeight="1" x14ac:dyDescent="0.2">
      <c r="E18914" s="7"/>
      <c r="F18914" s="7"/>
    </row>
    <row r="18915" spans="5:6" ht="15" customHeight="1" x14ac:dyDescent="0.2">
      <c r="E18915" s="7"/>
      <c r="F18915" s="7"/>
    </row>
    <row r="18916" spans="5:6" ht="15" customHeight="1" x14ac:dyDescent="0.2">
      <c r="E18916" s="7"/>
      <c r="F18916" s="7"/>
    </row>
    <row r="18917" spans="5:6" ht="15" customHeight="1" x14ac:dyDescent="0.2">
      <c r="E18917" s="7"/>
      <c r="F18917" s="7"/>
    </row>
    <row r="18918" spans="5:6" ht="15" customHeight="1" x14ac:dyDescent="0.2">
      <c r="E18918" s="7"/>
      <c r="F18918" s="7"/>
    </row>
    <row r="18919" spans="5:6" ht="15" customHeight="1" x14ac:dyDescent="0.2">
      <c r="E18919" s="7"/>
      <c r="F18919" s="7"/>
    </row>
    <row r="18920" spans="5:6" ht="15" customHeight="1" x14ac:dyDescent="0.2">
      <c r="E18920" s="7"/>
      <c r="F18920" s="7"/>
    </row>
    <row r="18921" spans="5:6" ht="15" customHeight="1" x14ac:dyDescent="0.2">
      <c r="E18921" s="7"/>
      <c r="F18921" s="7"/>
    </row>
    <row r="18922" spans="5:6" ht="15" customHeight="1" x14ac:dyDescent="0.2">
      <c r="E18922" s="7"/>
      <c r="F18922" s="7"/>
    </row>
    <row r="18923" spans="5:6" ht="15" customHeight="1" x14ac:dyDescent="0.2">
      <c r="E18923" s="7"/>
      <c r="F18923" s="7"/>
    </row>
    <row r="18924" spans="5:6" ht="15" customHeight="1" x14ac:dyDescent="0.2">
      <c r="E18924" s="7"/>
      <c r="F18924" s="7"/>
    </row>
    <row r="18925" spans="5:6" ht="15" customHeight="1" x14ac:dyDescent="0.2">
      <c r="E18925" s="7"/>
      <c r="F18925" s="7"/>
    </row>
    <row r="18926" spans="5:6" ht="15" customHeight="1" x14ac:dyDescent="0.2">
      <c r="E18926" s="7"/>
      <c r="F18926" s="7"/>
    </row>
    <row r="18927" spans="5:6" ht="15" customHeight="1" x14ac:dyDescent="0.2">
      <c r="E18927" s="7"/>
      <c r="F18927" s="7"/>
    </row>
    <row r="18928" spans="5:6" ht="15" customHeight="1" x14ac:dyDescent="0.2">
      <c r="E18928" s="7"/>
      <c r="F18928" s="7"/>
    </row>
    <row r="18929" spans="5:6" ht="15" customHeight="1" x14ac:dyDescent="0.2">
      <c r="E18929" s="7"/>
      <c r="F18929" s="7"/>
    </row>
    <row r="18930" spans="5:6" ht="15" customHeight="1" x14ac:dyDescent="0.2">
      <c r="E18930" s="7"/>
      <c r="F18930" s="7"/>
    </row>
    <row r="18931" spans="5:6" ht="15" customHeight="1" x14ac:dyDescent="0.2">
      <c r="E18931" s="7"/>
      <c r="F18931" s="7"/>
    </row>
    <row r="18932" spans="5:6" ht="15" customHeight="1" x14ac:dyDescent="0.2">
      <c r="E18932" s="7"/>
      <c r="F18932" s="7"/>
    </row>
    <row r="18933" spans="5:6" ht="15" customHeight="1" x14ac:dyDescent="0.2">
      <c r="E18933" s="7"/>
      <c r="F18933" s="7"/>
    </row>
    <row r="18934" spans="5:6" ht="15" customHeight="1" x14ac:dyDescent="0.2">
      <c r="E18934" s="7"/>
      <c r="F18934" s="7"/>
    </row>
    <row r="18935" spans="5:6" ht="15" customHeight="1" x14ac:dyDescent="0.2">
      <c r="E18935" s="7"/>
      <c r="F18935" s="7"/>
    </row>
    <row r="18936" spans="5:6" ht="15" customHeight="1" x14ac:dyDescent="0.2">
      <c r="E18936" s="7"/>
      <c r="F18936" s="7"/>
    </row>
    <row r="18937" spans="5:6" ht="15" customHeight="1" x14ac:dyDescent="0.2">
      <c r="E18937" s="7"/>
      <c r="F18937" s="7"/>
    </row>
    <row r="18938" spans="5:6" ht="15" customHeight="1" x14ac:dyDescent="0.2">
      <c r="E18938" s="7"/>
      <c r="F18938" s="7"/>
    </row>
    <row r="18939" spans="5:6" ht="15" customHeight="1" x14ac:dyDescent="0.2">
      <c r="E18939" s="7"/>
      <c r="F18939" s="7"/>
    </row>
    <row r="18940" spans="5:6" ht="15" customHeight="1" x14ac:dyDescent="0.2">
      <c r="E18940" s="7"/>
      <c r="F18940" s="7"/>
    </row>
    <row r="18941" spans="5:6" ht="15" customHeight="1" x14ac:dyDescent="0.2">
      <c r="E18941" s="7"/>
      <c r="F18941" s="7"/>
    </row>
    <row r="18942" spans="5:6" ht="15" customHeight="1" x14ac:dyDescent="0.2">
      <c r="E18942" s="7"/>
      <c r="F18942" s="7"/>
    </row>
    <row r="18943" spans="5:6" ht="15" customHeight="1" x14ac:dyDescent="0.2">
      <c r="E18943" s="7"/>
      <c r="F18943" s="7"/>
    </row>
    <row r="18944" spans="5:6" ht="15" customHeight="1" x14ac:dyDescent="0.2">
      <c r="E18944" s="7"/>
      <c r="F18944" s="7"/>
    </row>
    <row r="18945" spans="5:6" ht="15" customHeight="1" x14ac:dyDescent="0.2">
      <c r="E18945" s="7"/>
      <c r="F18945" s="7"/>
    </row>
    <row r="18946" spans="5:6" ht="15" customHeight="1" x14ac:dyDescent="0.2">
      <c r="E18946" s="7"/>
      <c r="F18946" s="7"/>
    </row>
    <row r="18947" spans="5:6" ht="15" customHeight="1" x14ac:dyDescent="0.2">
      <c r="E18947" s="7"/>
      <c r="F18947" s="7"/>
    </row>
    <row r="18948" spans="5:6" ht="15" customHeight="1" x14ac:dyDescent="0.2">
      <c r="E18948" s="7"/>
      <c r="F18948" s="7"/>
    </row>
    <row r="18949" spans="5:6" ht="15" customHeight="1" x14ac:dyDescent="0.2">
      <c r="E18949" s="7"/>
      <c r="F18949" s="7"/>
    </row>
    <row r="18950" spans="5:6" ht="15" customHeight="1" x14ac:dyDescent="0.2">
      <c r="E18950" s="7"/>
      <c r="F18950" s="7"/>
    </row>
    <row r="18951" spans="5:6" ht="15" customHeight="1" x14ac:dyDescent="0.2">
      <c r="E18951" s="7"/>
      <c r="F18951" s="7"/>
    </row>
    <row r="18952" spans="5:6" ht="15" customHeight="1" x14ac:dyDescent="0.2">
      <c r="E18952" s="7"/>
      <c r="F18952" s="7"/>
    </row>
    <row r="18953" spans="5:6" ht="15" customHeight="1" x14ac:dyDescent="0.2">
      <c r="E18953" s="7"/>
      <c r="F18953" s="7"/>
    </row>
    <row r="18954" spans="5:6" ht="15" customHeight="1" x14ac:dyDescent="0.2">
      <c r="E18954" s="7"/>
      <c r="F18954" s="7"/>
    </row>
    <row r="18955" spans="5:6" ht="15" customHeight="1" x14ac:dyDescent="0.2">
      <c r="E18955" s="7"/>
      <c r="F18955" s="7"/>
    </row>
    <row r="18956" spans="5:6" ht="15" customHeight="1" x14ac:dyDescent="0.2">
      <c r="E18956" s="7"/>
      <c r="F18956" s="7"/>
    </row>
    <row r="18957" spans="5:6" ht="15" customHeight="1" x14ac:dyDescent="0.2">
      <c r="E18957" s="7"/>
      <c r="F18957" s="7"/>
    </row>
    <row r="18958" spans="5:6" ht="15" customHeight="1" x14ac:dyDescent="0.2">
      <c r="E18958" s="7"/>
      <c r="F18958" s="7"/>
    </row>
    <row r="18959" spans="5:6" ht="15" customHeight="1" x14ac:dyDescent="0.2">
      <c r="E18959" s="7"/>
      <c r="F18959" s="7"/>
    </row>
    <row r="18960" spans="5:6" ht="15" customHeight="1" x14ac:dyDescent="0.2">
      <c r="E18960" s="7"/>
      <c r="F18960" s="7"/>
    </row>
    <row r="18961" spans="5:6" ht="15" customHeight="1" x14ac:dyDescent="0.2">
      <c r="E18961" s="7"/>
      <c r="F18961" s="7"/>
    </row>
    <row r="18962" spans="5:6" ht="15" customHeight="1" x14ac:dyDescent="0.2">
      <c r="E18962" s="7"/>
      <c r="F18962" s="7"/>
    </row>
    <row r="18963" spans="5:6" ht="15" customHeight="1" x14ac:dyDescent="0.2">
      <c r="E18963" s="7"/>
      <c r="F18963" s="7"/>
    </row>
    <row r="18964" spans="5:6" ht="15" customHeight="1" x14ac:dyDescent="0.2">
      <c r="E18964" s="7"/>
      <c r="F18964" s="7"/>
    </row>
    <row r="18965" spans="5:6" ht="15" customHeight="1" x14ac:dyDescent="0.2">
      <c r="E18965" s="7"/>
      <c r="F18965" s="7"/>
    </row>
    <row r="18966" spans="5:6" ht="15" customHeight="1" x14ac:dyDescent="0.2">
      <c r="E18966" s="7"/>
      <c r="F18966" s="7"/>
    </row>
    <row r="18967" spans="5:6" ht="15" customHeight="1" x14ac:dyDescent="0.2">
      <c r="E18967" s="7"/>
      <c r="F18967" s="7"/>
    </row>
    <row r="18968" spans="5:6" ht="15" customHeight="1" x14ac:dyDescent="0.2">
      <c r="E18968" s="7"/>
      <c r="F18968" s="7"/>
    </row>
    <row r="18969" spans="5:6" ht="15" customHeight="1" x14ac:dyDescent="0.2">
      <c r="E18969" s="7"/>
      <c r="F18969" s="7"/>
    </row>
    <row r="18970" spans="5:6" ht="15" customHeight="1" x14ac:dyDescent="0.2">
      <c r="E18970" s="7"/>
      <c r="F18970" s="7"/>
    </row>
    <row r="18971" spans="5:6" ht="15" customHeight="1" x14ac:dyDescent="0.2">
      <c r="E18971" s="7"/>
      <c r="F18971" s="7"/>
    </row>
    <row r="18972" spans="5:6" ht="15" customHeight="1" x14ac:dyDescent="0.2">
      <c r="E18972" s="7"/>
      <c r="F18972" s="7"/>
    </row>
    <row r="18973" spans="5:6" ht="15" customHeight="1" x14ac:dyDescent="0.2">
      <c r="E18973" s="7"/>
      <c r="F18973" s="7"/>
    </row>
    <row r="18974" spans="5:6" ht="15" customHeight="1" x14ac:dyDescent="0.2">
      <c r="E18974" s="7"/>
      <c r="F18974" s="7"/>
    </row>
    <row r="18975" spans="5:6" ht="15" customHeight="1" x14ac:dyDescent="0.2">
      <c r="E18975" s="7"/>
      <c r="F18975" s="7"/>
    </row>
    <row r="18976" spans="5:6" ht="15" customHeight="1" x14ac:dyDescent="0.2">
      <c r="E18976" s="7"/>
      <c r="F18976" s="7"/>
    </row>
    <row r="18977" spans="5:6" ht="15" customHeight="1" x14ac:dyDescent="0.2">
      <c r="E18977" s="7"/>
      <c r="F18977" s="7"/>
    </row>
    <row r="18978" spans="5:6" ht="15" customHeight="1" x14ac:dyDescent="0.2">
      <c r="E18978" s="7"/>
      <c r="F18978" s="7"/>
    </row>
    <row r="18979" spans="5:6" ht="15" customHeight="1" x14ac:dyDescent="0.2">
      <c r="E18979" s="7"/>
      <c r="F18979" s="7"/>
    </row>
    <row r="18980" spans="5:6" ht="15" customHeight="1" x14ac:dyDescent="0.2">
      <c r="E18980" s="7"/>
      <c r="F18980" s="7"/>
    </row>
    <row r="18981" spans="5:6" ht="15" customHeight="1" x14ac:dyDescent="0.2">
      <c r="E18981" s="7"/>
      <c r="F18981" s="7"/>
    </row>
    <row r="18982" spans="5:6" ht="15" customHeight="1" x14ac:dyDescent="0.2">
      <c r="E18982" s="7"/>
      <c r="F18982" s="7"/>
    </row>
    <row r="18983" spans="5:6" ht="15" customHeight="1" x14ac:dyDescent="0.2">
      <c r="E18983" s="7"/>
      <c r="F18983" s="7"/>
    </row>
    <row r="18984" spans="5:6" ht="15" customHeight="1" x14ac:dyDescent="0.2">
      <c r="E18984" s="7"/>
      <c r="F18984" s="7"/>
    </row>
    <row r="18985" spans="5:6" ht="15" customHeight="1" x14ac:dyDescent="0.2">
      <c r="E18985" s="7"/>
      <c r="F18985" s="7"/>
    </row>
    <row r="18986" spans="5:6" ht="15" customHeight="1" x14ac:dyDescent="0.2">
      <c r="E18986" s="7"/>
      <c r="F18986" s="7"/>
    </row>
    <row r="18987" spans="5:6" ht="15" customHeight="1" x14ac:dyDescent="0.2">
      <c r="E18987" s="7"/>
      <c r="F18987" s="7"/>
    </row>
    <row r="18988" spans="5:6" ht="15" customHeight="1" x14ac:dyDescent="0.2">
      <c r="E18988" s="7"/>
      <c r="F18988" s="7"/>
    </row>
    <row r="18989" spans="5:6" ht="15" customHeight="1" x14ac:dyDescent="0.2">
      <c r="E18989" s="7"/>
      <c r="F18989" s="7"/>
    </row>
    <row r="18990" spans="5:6" ht="15" customHeight="1" x14ac:dyDescent="0.2">
      <c r="E18990" s="7"/>
      <c r="F18990" s="7"/>
    </row>
    <row r="18991" spans="5:6" ht="15" customHeight="1" x14ac:dyDescent="0.2">
      <c r="E18991" s="7"/>
      <c r="F18991" s="7"/>
    </row>
    <row r="18992" spans="5:6" ht="15" customHeight="1" x14ac:dyDescent="0.2">
      <c r="E18992" s="7"/>
      <c r="F18992" s="7"/>
    </row>
    <row r="18993" spans="5:6" ht="15" customHeight="1" x14ac:dyDescent="0.2">
      <c r="E18993" s="7"/>
      <c r="F18993" s="7"/>
    </row>
    <row r="18994" spans="5:6" ht="15" customHeight="1" x14ac:dyDescent="0.2">
      <c r="E18994" s="7"/>
      <c r="F18994" s="7"/>
    </row>
    <row r="18995" spans="5:6" ht="15" customHeight="1" x14ac:dyDescent="0.2">
      <c r="E18995" s="7"/>
      <c r="F18995" s="7"/>
    </row>
    <row r="18996" spans="5:6" ht="15" customHeight="1" x14ac:dyDescent="0.2">
      <c r="E18996" s="7"/>
      <c r="F18996" s="7"/>
    </row>
    <row r="18997" spans="5:6" ht="15" customHeight="1" x14ac:dyDescent="0.2">
      <c r="E18997" s="7"/>
      <c r="F18997" s="7"/>
    </row>
    <row r="18998" spans="5:6" ht="15" customHeight="1" x14ac:dyDescent="0.2">
      <c r="E18998" s="7"/>
      <c r="F18998" s="7"/>
    </row>
    <row r="18999" spans="5:6" ht="15" customHeight="1" x14ac:dyDescent="0.2">
      <c r="E18999" s="7"/>
      <c r="F18999" s="7"/>
    </row>
    <row r="19000" spans="5:6" ht="15" customHeight="1" x14ac:dyDescent="0.2">
      <c r="E19000" s="7"/>
      <c r="F19000" s="7"/>
    </row>
    <row r="19001" spans="5:6" ht="15" customHeight="1" x14ac:dyDescent="0.2">
      <c r="E19001" s="7"/>
      <c r="F19001" s="7"/>
    </row>
    <row r="19002" spans="5:6" ht="15" customHeight="1" x14ac:dyDescent="0.2">
      <c r="E19002" s="7"/>
      <c r="F19002" s="7"/>
    </row>
    <row r="19003" spans="5:6" ht="15" customHeight="1" x14ac:dyDescent="0.2">
      <c r="E19003" s="7"/>
      <c r="F19003" s="7"/>
    </row>
    <row r="19004" spans="5:6" ht="15" customHeight="1" x14ac:dyDescent="0.2">
      <c r="E19004" s="7"/>
      <c r="F19004" s="7"/>
    </row>
    <row r="19005" spans="5:6" ht="15" customHeight="1" x14ac:dyDescent="0.2">
      <c r="E19005" s="7"/>
      <c r="F19005" s="7"/>
    </row>
    <row r="19006" spans="5:6" ht="15" customHeight="1" x14ac:dyDescent="0.2">
      <c r="E19006" s="7"/>
      <c r="F19006" s="7"/>
    </row>
    <row r="19007" spans="5:6" ht="15" customHeight="1" x14ac:dyDescent="0.2">
      <c r="E19007" s="7"/>
      <c r="F19007" s="7"/>
    </row>
    <row r="19008" spans="5:6" ht="15" customHeight="1" x14ac:dyDescent="0.2">
      <c r="E19008" s="7"/>
      <c r="F19008" s="7"/>
    </row>
    <row r="19009" spans="5:6" ht="15" customHeight="1" x14ac:dyDescent="0.2">
      <c r="E19009" s="7"/>
      <c r="F19009" s="7"/>
    </row>
    <row r="19010" spans="5:6" ht="15" customHeight="1" x14ac:dyDescent="0.2">
      <c r="E19010" s="7"/>
      <c r="F19010" s="7"/>
    </row>
    <row r="19011" spans="5:6" ht="15" customHeight="1" x14ac:dyDescent="0.2">
      <c r="E19011" s="7"/>
      <c r="F19011" s="7"/>
    </row>
    <row r="19012" spans="5:6" ht="15" customHeight="1" x14ac:dyDescent="0.2">
      <c r="E19012" s="7"/>
      <c r="F19012" s="7"/>
    </row>
    <row r="19013" spans="5:6" ht="15" customHeight="1" x14ac:dyDescent="0.2">
      <c r="E19013" s="7"/>
      <c r="F19013" s="7"/>
    </row>
    <row r="19014" spans="5:6" ht="15" customHeight="1" x14ac:dyDescent="0.2">
      <c r="E19014" s="7"/>
      <c r="F19014" s="7"/>
    </row>
    <row r="19015" spans="5:6" ht="15" customHeight="1" x14ac:dyDescent="0.2">
      <c r="E19015" s="7"/>
      <c r="F19015" s="7"/>
    </row>
    <row r="19016" spans="5:6" ht="15" customHeight="1" x14ac:dyDescent="0.2">
      <c r="E19016" s="7"/>
      <c r="F19016" s="7"/>
    </row>
    <row r="19017" spans="5:6" ht="15" customHeight="1" x14ac:dyDescent="0.2">
      <c r="E19017" s="7"/>
      <c r="F19017" s="7"/>
    </row>
    <row r="19018" spans="5:6" ht="15" customHeight="1" x14ac:dyDescent="0.2">
      <c r="E19018" s="7"/>
      <c r="F19018" s="7"/>
    </row>
    <row r="19019" spans="5:6" ht="15" customHeight="1" x14ac:dyDescent="0.2">
      <c r="E19019" s="7"/>
      <c r="F19019" s="7"/>
    </row>
    <row r="19020" spans="5:6" ht="15" customHeight="1" x14ac:dyDescent="0.2">
      <c r="E19020" s="7"/>
      <c r="F19020" s="7"/>
    </row>
    <row r="19021" spans="5:6" ht="15" customHeight="1" x14ac:dyDescent="0.2">
      <c r="E19021" s="7"/>
      <c r="F19021" s="7"/>
    </row>
    <row r="19022" spans="5:6" ht="15" customHeight="1" x14ac:dyDescent="0.2">
      <c r="E19022" s="7"/>
      <c r="F19022" s="7"/>
    </row>
    <row r="19023" spans="5:6" ht="15" customHeight="1" x14ac:dyDescent="0.2">
      <c r="E19023" s="7"/>
      <c r="F19023" s="7"/>
    </row>
    <row r="19024" spans="5:6" ht="15" customHeight="1" x14ac:dyDescent="0.2">
      <c r="E19024" s="7"/>
      <c r="F19024" s="7"/>
    </row>
    <row r="19025" spans="5:6" ht="15" customHeight="1" x14ac:dyDescent="0.2">
      <c r="E19025" s="7"/>
      <c r="F19025" s="7"/>
    </row>
    <row r="19026" spans="5:6" ht="15" customHeight="1" x14ac:dyDescent="0.2">
      <c r="E19026" s="7"/>
      <c r="F19026" s="7"/>
    </row>
    <row r="19027" spans="5:6" ht="15" customHeight="1" x14ac:dyDescent="0.2">
      <c r="E19027" s="7"/>
      <c r="F19027" s="7"/>
    </row>
    <row r="19028" spans="5:6" ht="15" customHeight="1" x14ac:dyDescent="0.2">
      <c r="E19028" s="7"/>
      <c r="F19028" s="7"/>
    </row>
    <row r="19029" spans="5:6" ht="15" customHeight="1" x14ac:dyDescent="0.2">
      <c r="E19029" s="7"/>
      <c r="F19029" s="7"/>
    </row>
    <row r="19030" spans="5:6" ht="15" customHeight="1" x14ac:dyDescent="0.2">
      <c r="E19030" s="7"/>
      <c r="F19030" s="7"/>
    </row>
    <row r="19031" spans="5:6" ht="15" customHeight="1" x14ac:dyDescent="0.2">
      <c r="E19031" s="7"/>
      <c r="F19031" s="7"/>
    </row>
    <row r="19032" spans="5:6" ht="15" customHeight="1" x14ac:dyDescent="0.2">
      <c r="E19032" s="7"/>
      <c r="F19032" s="7"/>
    </row>
    <row r="19033" spans="5:6" ht="15" customHeight="1" x14ac:dyDescent="0.2">
      <c r="E19033" s="7"/>
      <c r="F19033" s="7"/>
    </row>
    <row r="19034" spans="5:6" ht="15" customHeight="1" x14ac:dyDescent="0.2">
      <c r="E19034" s="7"/>
      <c r="F19034" s="7"/>
    </row>
    <row r="19035" spans="5:6" ht="15" customHeight="1" x14ac:dyDescent="0.2">
      <c r="E19035" s="7"/>
      <c r="F19035" s="7"/>
    </row>
    <row r="19036" spans="5:6" ht="15" customHeight="1" x14ac:dyDescent="0.2">
      <c r="E19036" s="7"/>
      <c r="F19036" s="7"/>
    </row>
    <row r="19037" spans="5:6" ht="15" customHeight="1" x14ac:dyDescent="0.2">
      <c r="E19037" s="7"/>
      <c r="F19037" s="7"/>
    </row>
    <row r="19038" spans="5:6" ht="15" customHeight="1" x14ac:dyDescent="0.2">
      <c r="E19038" s="7"/>
      <c r="F19038" s="7"/>
    </row>
    <row r="19039" spans="5:6" ht="15" customHeight="1" x14ac:dyDescent="0.2">
      <c r="E19039" s="7"/>
      <c r="F19039" s="7"/>
    </row>
    <row r="19040" spans="5:6" ht="15" customHeight="1" x14ac:dyDescent="0.2">
      <c r="E19040" s="7"/>
      <c r="F19040" s="7"/>
    </row>
    <row r="19041" spans="5:6" ht="15" customHeight="1" x14ac:dyDescent="0.2">
      <c r="E19041" s="7"/>
      <c r="F19041" s="7"/>
    </row>
    <row r="19042" spans="5:6" ht="15" customHeight="1" x14ac:dyDescent="0.2">
      <c r="E19042" s="7"/>
      <c r="F19042" s="7"/>
    </row>
    <row r="19043" spans="5:6" ht="15" customHeight="1" x14ac:dyDescent="0.2">
      <c r="E19043" s="7"/>
      <c r="F19043" s="7"/>
    </row>
    <row r="19044" spans="5:6" ht="15" customHeight="1" x14ac:dyDescent="0.2">
      <c r="E19044" s="7"/>
      <c r="F19044" s="7"/>
    </row>
    <row r="19045" spans="5:6" ht="15" customHeight="1" x14ac:dyDescent="0.2">
      <c r="E19045" s="7"/>
      <c r="F19045" s="7"/>
    </row>
    <row r="19046" spans="5:6" ht="15" customHeight="1" x14ac:dyDescent="0.2">
      <c r="E19046" s="7"/>
      <c r="F19046" s="7"/>
    </row>
    <row r="19047" spans="5:6" ht="15" customHeight="1" x14ac:dyDescent="0.2">
      <c r="E19047" s="7"/>
      <c r="F19047" s="7"/>
    </row>
    <row r="19048" spans="5:6" ht="15" customHeight="1" x14ac:dyDescent="0.2">
      <c r="E19048" s="7"/>
      <c r="F19048" s="7"/>
    </row>
    <row r="19049" spans="5:6" ht="15" customHeight="1" x14ac:dyDescent="0.2">
      <c r="E19049" s="7"/>
      <c r="F19049" s="7"/>
    </row>
    <row r="19050" spans="5:6" ht="15" customHeight="1" x14ac:dyDescent="0.2">
      <c r="E19050" s="7"/>
      <c r="F19050" s="7"/>
    </row>
    <row r="19051" spans="5:6" ht="15" customHeight="1" x14ac:dyDescent="0.2">
      <c r="E19051" s="7"/>
      <c r="F19051" s="7"/>
    </row>
    <row r="19052" spans="5:6" ht="15" customHeight="1" x14ac:dyDescent="0.2">
      <c r="E19052" s="7"/>
      <c r="F19052" s="7"/>
    </row>
    <row r="19053" spans="5:6" ht="15" customHeight="1" x14ac:dyDescent="0.2">
      <c r="E19053" s="7"/>
      <c r="F19053" s="7"/>
    </row>
    <row r="19054" spans="5:6" ht="15" customHeight="1" x14ac:dyDescent="0.2">
      <c r="E19054" s="7"/>
      <c r="F19054" s="7"/>
    </row>
    <row r="19055" spans="5:6" ht="15" customHeight="1" x14ac:dyDescent="0.2">
      <c r="E19055" s="7"/>
      <c r="F19055" s="7"/>
    </row>
    <row r="19056" spans="5:6" ht="15" customHeight="1" x14ac:dyDescent="0.2">
      <c r="E19056" s="7"/>
      <c r="F19056" s="7"/>
    </row>
    <row r="19057" spans="5:6" ht="15" customHeight="1" x14ac:dyDescent="0.2">
      <c r="E19057" s="7"/>
      <c r="F19057" s="7"/>
    </row>
    <row r="19058" spans="5:6" ht="15" customHeight="1" x14ac:dyDescent="0.2">
      <c r="E19058" s="7"/>
      <c r="F19058" s="7"/>
    </row>
    <row r="19059" spans="5:6" ht="15" customHeight="1" x14ac:dyDescent="0.2">
      <c r="E19059" s="7"/>
      <c r="F19059" s="7"/>
    </row>
    <row r="19060" spans="5:6" ht="15" customHeight="1" x14ac:dyDescent="0.2">
      <c r="E19060" s="7"/>
      <c r="F19060" s="7"/>
    </row>
    <row r="19061" spans="5:6" ht="15" customHeight="1" x14ac:dyDescent="0.2">
      <c r="E19061" s="7"/>
      <c r="F19061" s="7"/>
    </row>
    <row r="19062" spans="5:6" ht="15" customHeight="1" x14ac:dyDescent="0.2">
      <c r="E19062" s="7"/>
      <c r="F19062" s="7"/>
    </row>
    <row r="19063" spans="5:6" ht="15" customHeight="1" x14ac:dyDescent="0.2">
      <c r="E19063" s="7"/>
      <c r="F19063" s="7"/>
    </row>
    <row r="19064" spans="5:6" ht="15" customHeight="1" x14ac:dyDescent="0.2">
      <c r="E19064" s="7"/>
      <c r="F19064" s="7"/>
    </row>
    <row r="19065" spans="5:6" ht="15" customHeight="1" x14ac:dyDescent="0.2">
      <c r="E19065" s="7"/>
      <c r="F19065" s="7"/>
    </row>
    <row r="19066" spans="5:6" ht="15" customHeight="1" x14ac:dyDescent="0.2">
      <c r="E19066" s="7"/>
      <c r="F19066" s="7"/>
    </row>
    <row r="19067" spans="5:6" ht="15" customHeight="1" x14ac:dyDescent="0.2">
      <c r="E19067" s="7"/>
      <c r="F19067" s="7"/>
    </row>
    <row r="19068" spans="5:6" ht="15" customHeight="1" x14ac:dyDescent="0.2">
      <c r="E19068" s="7"/>
      <c r="F19068" s="7"/>
    </row>
    <row r="19069" spans="5:6" ht="15" customHeight="1" x14ac:dyDescent="0.2">
      <c r="E19069" s="7"/>
      <c r="F19069" s="7"/>
    </row>
    <row r="19070" spans="5:6" ht="15" customHeight="1" x14ac:dyDescent="0.2">
      <c r="E19070" s="7"/>
      <c r="F19070" s="7"/>
    </row>
    <row r="19071" spans="5:6" ht="15" customHeight="1" x14ac:dyDescent="0.2">
      <c r="E19071" s="7"/>
      <c r="F19071" s="7"/>
    </row>
    <row r="19072" spans="5:6" ht="15" customHeight="1" x14ac:dyDescent="0.2">
      <c r="E19072" s="7"/>
      <c r="F19072" s="7"/>
    </row>
    <row r="19073" spans="5:6" ht="15" customHeight="1" x14ac:dyDescent="0.2">
      <c r="E19073" s="7"/>
      <c r="F19073" s="7"/>
    </row>
    <row r="19074" spans="5:6" ht="15" customHeight="1" x14ac:dyDescent="0.2">
      <c r="E19074" s="7"/>
      <c r="F19074" s="7"/>
    </row>
    <row r="19075" spans="5:6" ht="15" customHeight="1" x14ac:dyDescent="0.2">
      <c r="E19075" s="7"/>
      <c r="F19075" s="7"/>
    </row>
    <row r="19076" spans="5:6" ht="15" customHeight="1" x14ac:dyDescent="0.2">
      <c r="E19076" s="7"/>
      <c r="F19076" s="7"/>
    </row>
    <row r="19077" spans="5:6" ht="15" customHeight="1" x14ac:dyDescent="0.2">
      <c r="E19077" s="7"/>
      <c r="F19077" s="7"/>
    </row>
    <row r="19078" spans="5:6" ht="15" customHeight="1" x14ac:dyDescent="0.2">
      <c r="E19078" s="7"/>
      <c r="F19078" s="7"/>
    </row>
    <row r="19079" spans="5:6" ht="15" customHeight="1" x14ac:dyDescent="0.2">
      <c r="E19079" s="7"/>
      <c r="F19079" s="7"/>
    </row>
    <row r="19080" spans="5:6" ht="15" customHeight="1" x14ac:dyDescent="0.2">
      <c r="E19080" s="7"/>
      <c r="F19080" s="7"/>
    </row>
    <row r="19081" spans="5:6" ht="15" customHeight="1" x14ac:dyDescent="0.2">
      <c r="E19081" s="7"/>
      <c r="F19081" s="7"/>
    </row>
    <row r="19082" spans="5:6" ht="15" customHeight="1" x14ac:dyDescent="0.2">
      <c r="E19082" s="7"/>
      <c r="F19082" s="7"/>
    </row>
    <row r="19083" spans="5:6" ht="15" customHeight="1" x14ac:dyDescent="0.2">
      <c r="E19083" s="7"/>
      <c r="F19083" s="7"/>
    </row>
    <row r="19084" spans="5:6" ht="15" customHeight="1" x14ac:dyDescent="0.2">
      <c r="E19084" s="7"/>
      <c r="F19084" s="7"/>
    </row>
    <row r="19085" spans="5:6" ht="15" customHeight="1" x14ac:dyDescent="0.2">
      <c r="E19085" s="7"/>
      <c r="F19085" s="7"/>
    </row>
    <row r="19086" spans="5:6" ht="15" customHeight="1" x14ac:dyDescent="0.2">
      <c r="E19086" s="7"/>
      <c r="F19086" s="7"/>
    </row>
    <row r="19087" spans="5:6" ht="15" customHeight="1" x14ac:dyDescent="0.2">
      <c r="E19087" s="7"/>
      <c r="F19087" s="7"/>
    </row>
    <row r="19088" spans="5:6" ht="15" customHeight="1" x14ac:dyDescent="0.2">
      <c r="E19088" s="7"/>
      <c r="F19088" s="7"/>
    </row>
    <row r="19089" spans="5:6" ht="15" customHeight="1" x14ac:dyDescent="0.2">
      <c r="E19089" s="7"/>
      <c r="F19089" s="7"/>
    </row>
    <row r="19090" spans="5:6" ht="15" customHeight="1" x14ac:dyDescent="0.2">
      <c r="E19090" s="7"/>
      <c r="F19090" s="7"/>
    </row>
    <row r="19091" spans="5:6" ht="15" customHeight="1" x14ac:dyDescent="0.2">
      <c r="E19091" s="7"/>
      <c r="F19091" s="7"/>
    </row>
    <row r="19092" spans="5:6" ht="15" customHeight="1" x14ac:dyDescent="0.2">
      <c r="E19092" s="7"/>
      <c r="F19092" s="7"/>
    </row>
    <row r="19093" spans="5:6" ht="15" customHeight="1" x14ac:dyDescent="0.2">
      <c r="E19093" s="7"/>
      <c r="F19093" s="7"/>
    </row>
    <row r="19094" spans="5:6" ht="15" customHeight="1" x14ac:dyDescent="0.2">
      <c r="E19094" s="7"/>
      <c r="F19094" s="7"/>
    </row>
    <row r="19095" spans="5:6" ht="15" customHeight="1" x14ac:dyDescent="0.2">
      <c r="E19095" s="7"/>
      <c r="F19095" s="7"/>
    </row>
    <row r="19096" spans="5:6" ht="15" customHeight="1" x14ac:dyDescent="0.2">
      <c r="E19096" s="7"/>
      <c r="F19096" s="7"/>
    </row>
    <row r="19097" spans="5:6" ht="15" customHeight="1" x14ac:dyDescent="0.2">
      <c r="E19097" s="7"/>
      <c r="F19097" s="7"/>
    </row>
    <row r="19098" spans="5:6" ht="15" customHeight="1" x14ac:dyDescent="0.2">
      <c r="E19098" s="7"/>
      <c r="F19098" s="7"/>
    </row>
    <row r="19099" spans="5:6" ht="15" customHeight="1" x14ac:dyDescent="0.2">
      <c r="E19099" s="7"/>
      <c r="F19099" s="7"/>
    </row>
    <row r="19100" spans="5:6" ht="15" customHeight="1" x14ac:dyDescent="0.2">
      <c r="E19100" s="7"/>
      <c r="F19100" s="7"/>
    </row>
    <row r="19101" spans="5:6" ht="15" customHeight="1" x14ac:dyDescent="0.2">
      <c r="E19101" s="7"/>
      <c r="F19101" s="7"/>
    </row>
    <row r="19102" spans="5:6" ht="15" customHeight="1" x14ac:dyDescent="0.2">
      <c r="E19102" s="7"/>
      <c r="F19102" s="7"/>
    </row>
    <row r="19103" spans="5:6" ht="15" customHeight="1" x14ac:dyDescent="0.2">
      <c r="E19103" s="7"/>
      <c r="F19103" s="7"/>
    </row>
    <row r="19104" spans="5:6" ht="15" customHeight="1" x14ac:dyDescent="0.2">
      <c r="E19104" s="7"/>
      <c r="F19104" s="7"/>
    </row>
    <row r="19105" spans="5:6" ht="15" customHeight="1" x14ac:dyDescent="0.2">
      <c r="E19105" s="7"/>
      <c r="F19105" s="7"/>
    </row>
    <row r="19106" spans="5:6" ht="15" customHeight="1" x14ac:dyDescent="0.2">
      <c r="E19106" s="7"/>
      <c r="F19106" s="7"/>
    </row>
    <row r="19107" spans="5:6" ht="15" customHeight="1" x14ac:dyDescent="0.2">
      <c r="E19107" s="7"/>
      <c r="F19107" s="7"/>
    </row>
    <row r="19108" spans="5:6" ht="15" customHeight="1" x14ac:dyDescent="0.2">
      <c r="E19108" s="7"/>
      <c r="F19108" s="7"/>
    </row>
    <row r="19109" spans="5:6" ht="15" customHeight="1" x14ac:dyDescent="0.2">
      <c r="E19109" s="7"/>
      <c r="F19109" s="7"/>
    </row>
    <row r="19110" spans="5:6" ht="15" customHeight="1" x14ac:dyDescent="0.2">
      <c r="E19110" s="7"/>
      <c r="F19110" s="7"/>
    </row>
    <row r="19111" spans="5:6" ht="15" customHeight="1" x14ac:dyDescent="0.2">
      <c r="E19111" s="7"/>
      <c r="F19111" s="7"/>
    </row>
    <row r="19112" spans="5:6" ht="15" customHeight="1" x14ac:dyDescent="0.2">
      <c r="E19112" s="7"/>
      <c r="F19112" s="7"/>
    </row>
    <row r="19113" spans="5:6" ht="15" customHeight="1" x14ac:dyDescent="0.2">
      <c r="E19113" s="7"/>
      <c r="F19113" s="7"/>
    </row>
    <row r="19114" spans="5:6" ht="15" customHeight="1" x14ac:dyDescent="0.2">
      <c r="E19114" s="7"/>
      <c r="F19114" s="7"/>
    </row>
    <row r="19115" spans="5:6" ht="15" customHeight="1" x14ac:dyDescent="0.2">
      <c r="E19115" s="7"/>
      <c r="F19115" s="7"/>
    </row>
    <row r="19116" spans="5:6" ht="15" customHeight="1" x14ac:dyDescent="0.2">
      <c r="E19116" s="7"/>
      <c r="F19116" s="7"/>
    </row>
    <row r="19117" spans="5:6" ht="15" customHeight="1" x14ac:dyDescent="0.2">
      <c r="E19117" s="7"/>
      <c r="F19117" s="7"/>
    </row>
    <row r="19118" spans="5:6" ht="15" customHeight="1" x14ac:dyDescent="0.2">
      <c r="E19118" s="7"/>
      <c r="F19118" s="7"/>
    </row>
    <row r="19119" spans="5:6" ht="15" customHeight="1" x14ac:dyDescent="0.2">
      <c r="E19119" s="7"/>
      <c r="F19119" s="7"/>
    </row>
    <row r="19120" spans="5:6" ht="15" customHeight="1" x14ac:dyDescent="0.2">
      <c r="E19120" s="7"/>
      <c r="F19120" s="7"/>
    </row>
    <row r="19121" spans="5:6" ht="15" customHeight="1" x14ac:dyDescent="0.2">
      <c r="E19121" s="7"/>
      <c r="F19121" s="7"/>
    </row>
    <row r="19122" spans="5:6" ht="15" customHeight="1" x14ac:dyDescent="0.2">
      <c r="E19122" s="7"/>
      <c r="F19122" s="7"/>
    </row>
    <row r="19123" spans="5:6" ht="15" customHeight="1" x14ac:dyDescent="0.2">
      <c r="E19123" s="7"/>
      <c r="F19123" s="7"/>
    </row>
    <row r="19124" spans="5:6" ht="15" customHeight="1" x14ac:dyDescent="0.2">
      <c r="E19124" s="7"/>
      <c r="F19124" s="7"/>
    </row>
    <row r="19125" spans="5:6" ht="15" customHeight="1" x14ac:dyDescent="0.2">
      <c r="E19125" s="7"/>
      <c r="F19125" s="7"/>
    </row>
    <row r="19126" spans="5:6" ht="15" customHeight="1" x14ac:dyDescent="0.2">
      <c r="E19126" s="7"/>
      <c r="F19126" s="7"/>
    </row>
    <row r="19127" spans="5:6" ht="15" customHeight="1" x14ac:dyDescent="0.2">
      <c r="E19127" s="7"/>
      <c r="F19127" s="7"/>
    </row>
    <row r="19128" spans="5:6" ht="15" customHeight="1" x14ac:dyDescent="0.2">
      <c r="E19128" s="7"/>
      <c r="F19128" s="7"/>
    </row>
    <row r="19129" spans="5:6" ht="15" customHeight="1" x14ac:dyDescent="0.2">
      <c r="E19129" s="7"/>
      <c r="F19129" s="7"/>
    </row>
    <row r="19130" spans="5:6" ht="15" customHeight="1" x14ac:dyDescent="0.2">
      <c r="E19130" s="7"/>
      <c r="F19130" s="7"/>
    </row>
    <row r="19131" spans="5:6" ht="15" customHeight="1" x14ac:dyDescent="0.2">
      <c r="E19131" s="7"/>
      <c r="F19131" s="7"/>
    </row>
    <row r="19132" spans="5:6" ht="15" customHeight="1" x14ac:dyDescent="0.2">
      <c r="E19132" s="7"/>
      <c r="F19132" s="7"/>
    </row>
    <row r="19133" spans="5:6" ht="15" customHeight="1" x14ac:dyDescent="0.2">
      <c r="E19133" s="7"/>
      <c r="F19133" s="7"/>
    </row>
    <row r="19134" spans="5:6" ht="15" customHeight="1" x14ac:dyDescent="0.2">
      <c r="E19134" s="7"/>
      <c r="F19134" s="7"/>
    </row>
    <row r="19135" spans="5:6" ht="15" customHeight="1" x14ac:dyDescent="0.2">
      <c r="E19135" s="7"/>
      <c r="F19135" s="7"/>
    </row>
    <row r="19136" spans="5:6" ht="15" customHeight="1" x14ac:dyDescent="0.2">
      <c r="E19136" s="7"/>
      <c r="F19136" s="7"/>
    </row>
    <row r="19137" spans="5:6" ht="15" customHeight="1" x14ac:dyDescent="0.2">
      <c r="E19137" s="7"/>
      <c r="F19137" s="7"/>
    </row>
    <row r="19138" spans="5:6" ht="15" customHeight="1" x14ac:dyDescent="0.2">
      <c r="E19138" s="7"/>
      <c r="F19138" s="7"/>
    </row>
    <row r="19139" spans="5:6" ht="15" customHeight="1" x14ac:dyDescent="0.2">
      <c r="E19139" s="7"/>
      <c r="F19139" s="7"/>
    </row>
    <row r="19140" spans="5:6" ht="15" customHeight="1" x14ac:dyDescent="0.2">
      <c r="E19140" s="7"/>
      <c r="F19140" s="7"/>
    </row>
    <row r="19141" spans="5:6" ht="15" customHeight="1" x14ac:dyDescent="0.2">
      <c r="E19141" s="7"/>
      <c r="F19141" s="7"/>
    </row>
    <row r="19142" spans="5:6" ht="15" customHeight="1" x14ac:dyDescent="0.2">
      <c r="E19142" s="7"/>
      <c r="F19142" s="7"/>
    </row>
    <row r="19143" spans="5:6" ht="15" customHeight="1" x14ac:dyDescent="0.2">
      <c r="E19143" s="7"/>
      <c r="F19143" s="7"/>
    </row>
    <row r="19144" spans="5:6" ht="15" customHeight="1" x14ac:dyDescent="0.2">
      <c r="E19144" s="7"/>
      <c r="F19144" s="7"/>
    </row>
    <row r="19145" spans="5:6" ht="15" customHeight="1" x14ac:dyDescent="0.2">
      <c r="E19145" s="7"/>
      <c r="F19145" s="7"/>
    </row>
    <row r="19146" spans="5:6" ht="15" customHeight="1" x14ac:dyDescent="0.2">
      <c r="E19146" s="7"/>
      <c r="F19146" s="7"/>
    </row>
    <row r="19147" spans="5:6" ht="15" customHeight="1" x14ac:dyDescent="0.2">
      <c r="E19147" s="7"/>
      <c r="F19147" s="7"/>
    </row>
    <row r="19148" spans="5:6" ht="15" customHeight="1" x14ac:dyDescent="0.2">
      <c r="E19148" s="7"/>
      <c r="F19148" s="7"/>
    </row>
    <row r="19149" spans="5:6" ht="15" customHeight="1" x14ac:dyDescent="0.2">
      <c r="E19149" s="7"/>
      <c r="F19149" s="7"/>
    </row>
    <row r="19150" spans="5:6" ht="15" customHeight="1" x14ac:dyDescent="0.2">
      <c r="E19150" s="7"/>
      <c r="F19150" s="7"/>
    </row>
    <row r="19151" spans="5:6" ht="15" customHeight="1" x14ac:dyDescent="0.2">
      <c r="E19151" s="7"/>
      <c r="F19151" s="7"/>
    </row>
    <row r="19152" spans="5:6" ht="15" customHeight="1" x14ac:dyDescent="0.2">
      <c r="E19152" s="7"/>
      <c r="F19152" s="7"/>
    </row>
    <row r="19153" spans="5:6" ht="15" customHeight="1" x14ac:dyDescent="0.2">
      <c r="E19153" s="7"/>
      <c r="F19153" s="7"/>
    </row>
    <row r="19154" spans="5:6" ht="15" customHeight="1" x14ac:dyDescent="0.2">
      <c r="E19154" s="7"/>
      <c r="F19154" s="7"/>
    </row>
    <row r="19155" spans="5:6" ht="15" customHeight="1" x14ac:dyDescent="0.2">
      <c r="E19155" s="7"/>
      <c r="F19155" s="7"/>
    </row>
    <row r="19156" spans="5:6" ht="15" customHeight="1" x14ac:dyDescent="0.2">
      <c r="E19156" s="7"/>
      <c r="F19156" s="7"/>
    </row>
    <row r="19157" spans="5:6" ht="15" customHeight="1" x14ac:dyDescent="0.2">
      <c r="E19157" s="7"/>
      <c r="F19157" s="7"/>
    </row>
    <row r="19158" spans="5:6" ht="15" customHeight="1" x14ac:dyDescent="0.2">
      <c r="E19158" s="7"/>
      <c r="F19158" s="7"/>
    </row>
    <row r="19159" spans="5:6" ht="15" customHeight="1" x14ac:dyDescent="0.2">
      <c r="E19159" s="7"/>
      <c r="F19159" s="7"/>
    </row>
    <row r="19160" spans="5:6" ht="15" customHeight="1" x14ac:dyDescent="0.2">
      <c r="E19160" s="7"/>
      <c r="F19160" s="7"/>
    </row>
    <row r="19161" spans="5:6" ht="15" customHeight="1" x14ac:dyDescent="0.2">
      <c r="E19161" s="7"/>
      <c r="F19161" s="7"/>
    </row>
    <row r="19162" spans="5:6" ht="15" customHeight="1" x14ac:dyDescent="0.2">
      <c r="E19162" s="7"/>
      <c r="F19162" s="7"/>
    </row>
    <row r="19163" spans="5:6" ht="15" customHeight="1" x14ac:dyDescent="0.2">
      <c r="E19163" s="7"/>
      <c r="F19163" s="7"/>
    </row>
    <row r="19164" spans="5:6" ht="15" customHeight="1" x14ac:dyDescent="0.2">
      <c r="E19164" s="7"/>
      <c r="F19164" s="7"/>
    </row>
    <row r="19165" spans="5:6" ht="15" customHeight="1" x14ac:dyDescent="0.2">
      <c r="E19165" s="7"/>
      <c r="F19165" s="7"/>
    </row>
    <row r="19166" spans="5:6" ht="15" customHeight="1" x14ac:dyDescent="0.2">
      <c r="E19166" s="7"/>
      <c r="F19166" s="7"/>
    </row>
    <row r="19167" spans="5:6" ht="15" customHeight="1" x14ac:dyDescent="0.2">
      <c r="E19167" s="7"/>
      <c r="F19167" s="7"/>
    </row>
    <row r="19168" spans="5:6" ht="15" customHeight="1" x14ac:dyDescent="0.2">
      <c r="E19168" s="7"/>
      <c r="F19168" s="7"/>
    </row>
    <row r="19169" spans="5:6" ht="15" customHeight="1" x14ac:dyDescent="0.2">
      <c r="E19169" s="7"/>
      <c r="F19169" s="7"/>
    </row>
    <row r="19170" spans="5:6" ht="15" customHeight="1" x14ac:dyDescent="0.2">
      <c r="E19170" s="7"/>
      <c r="F19170" s="7"/>
    </row>
    <row r="19171" spans="5:6" ht="15" customHeight="1" x14ac:dyDescent="0.2">
      <c r="E19171" s="7"/>
      <c r="F19171" s="7"/>
    </row>
    <row r="19172" spans="5:6" ht="15" customHeight="1" x14ac:dyDescent="0.2">
      <c r="E19172" s="7"/>
      <c r="F19172" s="7"/>
    </row>
    <row r="19173" spans="5:6" ht="15" customHeight="1" x14ac:dyDescent="0.2">
      <c r="E19173" s="7"/>
      <c r="F19173" s="7"/>
    </row>
    <row r="19174" spans="5:6" ht="15" customHeight="1" x14ac:dyDescent="0.2">
      <c r="E19174" s="7"/>
      <c r="F19174" s="7"/>
    </row>
    <row r="19175" spans="5:6" ht="15" customHeight="1" x14ac:dyDescent="0.2">
      <c r="E19175" s="7"/>
      <c r="F19175" s="7"/>
    </row>
    <row r="19176" spans="5:6" ht="15" customHeight="1" x14ac:dyDescent="0.2">
      <c r="E19176" s="7"/>
      <c r="F19176" s="7"/>
    </row>
    <row r="19177" spans="5:6" ht="15" customHeight="1" x14ac:dyDescent="0.2">
      <c r="E19177" s="7"/>
      <c r="F19177" s="7"/>
    </row>
    <row r="19178" spans="5:6" ht="15" customHeight="1" x14ac:dyDescent="0.2">
      <c r="E19178" s="7"/>
      <c r="F19178" s="7"/>
    </row>
    <row r="19179" spans="5:6" ht="15" customHeight="1" x14ac:dyDescent="0.2">
      <c r="E19179" s="7"/>
      <c r="F19179" s="7"/>
    </row>
    <row r="19180" spans="5:6" ht="15" customHeight="1" x14ac:dyDescent="0.2">
      <c r="E19180" s="7"/>
      <c r="F19180" s="7"/>
    </row>
    <row r="19181" spans="5:6" ht="15" customHeight="1" x14ac:dyDescent="0.2">
      <c r="E19181" s="7"/>
      <c r="F19181" s="7"/>
    </row>
    <row r="19182" spans="5:6" ht="15" customHeight="1" x14ac:dyDescent="0.2">
      <c r="E19182" s="7"/>
      <c r="F19182" s="7"/>
    </row>
    <row r="19183" spans="5:6" ht="15" customHeight="1" x14ac:dyDescent="0.2">
      <c r="E19183" s="7"/>
      <c r="F19183" s="7"/>
    </row>
    <row r="19184" spans="5:6" ht="15" customHeight="1" x14ac:dyDescent="0.2">
      <c r="E19184" s="7"/>
      <c r="F19184" s="7"/>
    </row>
    <row r="19185" spans="5:6" ht="15" customHeight="1" x14ac:dyDescent="0.2">
      <c r="E19185" s="7"/>
      <c r="F19185" s="7"/>
    </row>
    <row r="19186" spans="5:6" ht="15" customHeight="1" x14ac:dyDescent="0.2">
      <c r="E19186" s="7"/>
      <c r="F19186" s="7"/>
    </row>
    <row r="19187" spans="5:6" ht="15" customHeight="1" x14ac:dyDescent="0.2">
      <c r="E19187" s="7"/>
      <c r="F19187" s="7"/>
    </row>
    <row r="19188" spans="5:6" ht="15" customHeight="1" x14ac:dyDescent="0.2">
      <c r="E19188" s="7"/>
      <c r="F19188" s="7"/>
    </row>
    <row r="19189" spans="5:6" ht="15" customHeight="1" x14ac:dyDescent="0.2">
      <c r="E19189" s="7"/>
      <c r="F19189" s="7"/>
    </row>
    <row r="19190" spans="5:6" ht="15" customHeight="1" x14ac:dyDescent="0.2">
      <c r="E19190" s="7"/>
      <c r="F19190" s="7"/>
    </row>
    <row r="19191" spans="5:6" ht="15" customHeight="1" x14ac:dyDescent="0.2">
      <c r="E19191" s="7"/>
      <c r="F19191" s="7"/>
    </row>
    <row r="19192" spans="5:6" ht="15" customHeight="1" x14ac:dyDescent="0.2">
      <c r="E19192" s="7"/>
      <c r="F19192" s="7"/>
    </row>
    <row r="19193" spans="5:6" ht="15" customHeight="1" x14ac:dyDescent="0.2">
      <c r="E19193" s="7"/>
      <c r="F19193" s="7"/>
    </row>
    <row r="19194" spans="5:6" ht="15" customHeight="1" x14ac:dyDescent="0.2">
      <c r="E19194" s="7"/>
      <c r="F19194" s="7"/>
    </row>
    <row r="19195" spans="5:6" ht="15" customHeight="1" x14ac:dyDescent="0.2">
      <c r="E19195" s="7"/>
      <c r="F19195" s="7"/>
    </row>
    <row r="19196" spans="5:6" ht="15" customHeight="1" x14ac:dyDescent="0.2">
      <c r="E19196" s="7"/>
      <c r="F19196" s="7"/>
    </row>
    <row r="19197" spans="5:6" ht="15" customHeight="1" x14ac:dyDescent="0.2">
      <c r="E19197" s="7"/>
      <c r="F19197" s="7"/>
    </row>
    <row r="19198" spans="5:6" ht="15" customHeight="1" x14ac:dyDescent="0.2">
      <c r="E19198" s="7"/>
      <c r="F19198" s="7"/>
    </row>
    <row r="19199" spans="5:6" ht="15" customHeight="1" x14ac:dyDescent="0.2">
      <c r="E19199" s="7"/>
      <c r="F19199" s="7"/>
    </row>
    <row r="19200" spans="5:6" ht="15" customHeight="1" x14ac:dyDescent="0.2">
      <c r="E19200" s="7"/>
      <c r="F19200" s="7"/>
    </row>
    <row r="19201" spans="5:6" ht="15" customHeight="1" x14ac:dyDescent="0.2">
      <c r="E19201" s="7"/>
      <c r="F19201" s="7"/>
    </row>
    <row r="19202" spans="5:6" ht="15" customHeight="1" x14ac:dyDescent="0.2">
      <c r="E19202" s="7"/>
      <c r="F19202" s="7"/>
    </row>
    <row r="19203" spans="5:6" ht="15" customHeight="1" x14ac:dyDescent="0.2">
      <c r="E19203" s="7"/>
      <c r="F19203" s="7"/>
    </row>
    <row r="19204" spans="5:6" ht="15" customHeight="1" x14ac:dyDescent="0.2">
      <c r="E19204" s="7"/>
      <c r="F19204" s="7"/>
    </row>
    <row r="19205" spans="5:6" ht="15" customHeight="1" x14ac:dyDescent="0.2">
      <c r="E19205" s="7"/>
      <c r="F19205" s="7"/>
    </row>
    <row r="19206" spans="5:6" ht="15" customHeight="1" x14ac:dyDescent="0.2">
      <c r="E19206" s="7"/>
      <c r="F19206" s="7"/>
    </row>
    <row r="19207" spans="5:6" ht="15" customHeight="1" x14ac:dyDescent="0.2">
      <c r="E19207" s="7"/>
      <c r="F19207" s="7"/>
    </row>
    <row r="19208" spans="5:6" ht="15" customHeight="1" x14ac:dyDescent="0.2">
      <c r="E19208" s="7"/>
      <c r="F19208" s="7"/>
    </row>
    <row r="19209" spans="5:6" ht="15" customHeight="1" x14ac:dyDescent="0.2">
      <c r="E19209" s="7"/>
      <c r="F19209" s="7"/>
    </row>
    <row r="19210" spans="5:6" ht="15" customHeight="1" x14ac:dyDescent="0.2">
      <c r="E19210" s="7"/>
      <c r="F19210" s="7"/>
    </row>
    <row r="19211" spans="5:6" ht="15" customHeight="1" x14ac:dyDescent="0.2">
      <c r="E19211" s="7"/>
      <c r="F19211" s="7"/>
    </row>
    <row r="19212" spans="5:6" ht="15" customHeight="1" x14ac:dyDescent="0.2">
      <c r="E19212" s="7"/>
      <c r="F19212" s="7"/>
    </row>
    <row r="19213" spans="5:6" ht="15" customHeight="1" x14ac:dyDescent="0.2">
      <c r="E19213" s="7"/>
      <c r="F19213" s="7"/>
    </row>
    <row r="19214" spans="5:6" ht="15" customHeight="1" x14ac:dyDescent="0.2">
      <c r="E19214" s="7"/>
      <c r="F19214" s="7"/>
    </row>
    <row r="19215" spans="5:6" ht="15" customHeight="1" x14ac:dyDescent="0.2">
      <c r="E19215" s="7"/>
      <c r="F19215" s="7"/>
    </row>
    <row r="19216" spans="5:6" ht="15" customHeight="1" x14ac:dyDescent="0.2">
      <c r="E19216" s="7"/>
      <c r="F19216" s="7"/>
    </row>
    <row r="19217" spans="5:6" ht="15" customHeight="1" x14ac:dyDescent="0.2">
      <c r="E19217" s="7"/>
      <c r="F19217" s="7"/>
    </row>
    <row r="19218" spans="5:6" ht="15" customHeight="1" x14ac:dyDescent="0.2">
      <c r="E19218" s="7"/>
      <c r="F19218" s="7"/>
    </row>
    <row r="19219" spans="5:6" ht="15" customHeight="1" x14ac:dyDescent="0.2">
      <c r="E19219" s="7"/>
      <c r="F19219" s="7"/>
    </row>
    <row r="19220" spans="5:6" ht="15" customHeight="1" x14ac:dyDescent="0.2">
      <c r="E19220" s="7"/>
      <c r="F19220" s="7"/>
    </row>
    <row r="19221" spans="5:6" ht="15" customHeight="1" x14ac:dyDescent="0.2">
      <c r="E19221" s="7"/>
      <c r="F19221" s="7"/>
    </row>
    <row r="19222" spans="5:6" ht="15" customHeight="1" x14ac:dyDescent="0.2">
      <c r="E19222" s="7"/>
      <c r="F19222" s="7"/>
    </row>
    <row r="19223" spans="5:6" ht="15" customHeight="1" x14ac:dyDescent="0.2">
      <c r="E19223" s="7"/>
      <c r="F19223" s="7"/>
    </row>
    <row r="19224" spans="5:6" ht="15" customHeight="1" x14ac:dyDescent="0.2">
      <c r="E19224" s="7"/>
      <c r="F19224" s="7"/>
    </row>
    <row r="19225" spans="5:6" ht="15" customHeight="1" x14ac:dyDescent="0.2">
      <c r="E19225" s="7"/>
      <c r="F19225" s="7"/>
    </row>
    <row r="19226" spans="5:6" ht="15" customHeight="1" x14ac:dyDescent="0.2">
      <c r="E19226" s="7"/>
      <c r="F19226" s="7"/>
    </row>
    <row r="19227" spans="5:6" ht="15" customHeight="1" x14ac:dyDescent="0.2">
      <c r="E19227" s="7"/>
      <c r="F19227" s="7"/>
    </row>
    <row r="19228" spans="5:6" ht="15" customHeight="1" x14ac:dyDescent="0.2">
      <c r="E19228" s="7"/>
      <c r="F19228" s="7"/>
    </row>
    <row r="19229" spans="5:6" ht="15" customHeight="1" x14ac:dyDescent="0.2">
      <c r="E19229" s="7"/>
      <c r="F19229" s="7"/>
    </row>
    <row r="19230" spans="5:6" ht="15" customHeight="1" x14ac:dyDescent="0.2">
      <c r="E19230" s="7"/>
      <c r="F19230" s="7"/>
    </row>
    <row r="19231" spans="5:6" ht="15" customHeight="1" x14ac:dyDescent="0.2">
      <c r="E19231" s="7"/>
      <c r="F19231" s="7"/>
    </row>
    <row r="19232" spans="5:6" ht="15" customHeight="1" x14ac:dyDescent="0.2">
      <c r="E19232" s="7"/>
      <c r="F19232" s="7"/>
    </row>
    <row r="19233" spans="5:6" ht="15" customHeight="1" x14ac:dyDescent="0.2">
      <c r="E19233" s="7"/>
      <c r="F19233" s="7"/>
    </row>
    <row r="19234" spans="5:6" ht="15" customHeight="1" x14ac:dyDescent="0.2">
      <c r="E19234" s="7"/>
      <c r="F19234" s="7"/>
    </row>
    <row r="19235" spans="5:6" ht="15" customHeight="1" x14ac:dyDescent="0.2">
      <c r="E19235" s="7"/>
      <c r="F19235" s="7"/>
    </row>
    <row r="19236" spans="5:6" ht="15" customHeight="1" x14ac:dyDescent="0.2">
      <c r="E19236" s="7"/>
      <c r="F19236" s="7"/>
    </row>
    <row r="19237" spans="5:6" ht="15" customHeight="1" x14ac:dyDescent="0.2">
      <c r="E19237" s="7"/>
      <c r="F19237" s="7"/>
    </row>
    <row r="19238" spans="5:6" ht="15" customHeight="1" x14ac:dyDescent="0.2">
      <c r="E19238" s="7"/>
      <c r="F19238" s="7"/>
    </row>
    <row r="19239" spans="5:6" ht="15" customHeight="1" x14ac:dyDescent="0.2">
      <c r="E19239" s="7"/>
      <c r="F19239" s="7"/>
    </row>
    <row r="19240" spans="5:6" ht="15" customHeight="1" x14ac:dyDescent="0.2">
      <c r="E19240" s="7"/>
      <c r="F19240" s="7"/>
    </row>
    <row r="19241" spans="5:6" ht="15" customHeight="1" x14ac:dyDescent="0.2">
      <c r="E19241" s="7"/>
      <c r="F19241" s="7"/>
    </row>
    <row r="19242" spans="5:6" ht="15" customHeight="1" x14ac:dyDescent="0.2">
      <c r="E19242" s="7"/>
      <c r="F19242" s="7"/>
    </row>
    <row r="19243" spans="5:6" ht="15" customHeight="1" x14ac:dyDescent="0.2">
      <c r="E19243" s="7"/>
      <c r="F19243" s="7"/>
    </row>
    <row r="19244" spans="5:6" ht="15" customHeight="1" x14ac:dyDescent="0.2">
      <c r="E19244" s="7"/>
      <c r="F19244" s="7"/>
    </row>
    <row r="19245" spans="5:6" ht="15" customHeight="1" x14ac:dyDescent="0.2">
      <c r="E19245" s="7"/>
      <c r="F19245" s="7"/>
    </row>
    <row r="19246" spans="5:6" ht="15" customHeight="1" x14ac:dyDescent="0.2">
      <c r="E19246" s="7"/>
      <c r="F19246" s="7"/>
    </row>
    <row r="19247" spans="5:6" ht="15" customHeight="1" x14ac:dyDescent="0.2">
      <c r="E19247" s="7"/>
      <c r="F19247" s="7"/>
    </row>
    <row r="19248" spans="5:6" ht="15" customHeight="1" x14ac:dyDescent="0.2">
      <c r="E19248" s="7"/>
      <c r="F19248" s="7"/>
    </row>
    <row r="19249" spans="5:6" ht="15" customHeight="1" x14ac:dyDescent="0.2">
      <c r="E19249" s="7"/>
      <c r="F19249" s="7"/>
    </row>
    <row r="19250" spans="5:6" ht="15" customHeight="1" x14ac:dyDescent="0.2">
      <c r="E19250" s="7"/>
      <c r="F19250" s="7"/>
    </row>
    <row r="19251" spans="5:6" ht="15" customHeight="1" x14ac:dyDescent="0.2">
      <c r="E19251" s="7"/>
      <c r="F19251" s="7"/>
    </row>
    <row r="19252" spans="5:6" ht="15" customHeight="1" x14ac:dyDescent="0.2">
      <c r="E19252" s="7"/>
      <c r="F19252" s="7"/>
    </row>
    <row r="19253" spans="5:6" ht="15" customHeight="1" x14ac:dyDescent="0.2">
      <c r="E19253" s="7"/>
      <c r="F19253" s="7"/>
    </row>
    <row r="19254" spans="5:6" ht="15" customHeight="1" x14ac:dyDescent="0.2">
      <c r="E19254" s="7"/>
      <c r="F19254" s="7"/>
    </row>
    <row r="19255" spans="5:6" ht="15" customHeight="1" x14ac:dyDescent="0.2">
      <c r="E19255" s="7"/>
      <c r="F19255" s="7"/>
    </row>
    <row r="19256" spans="5:6" ht="15" customHeight="1" x14ac:dyDescent="0.2">
      <c r="E19256" s="7"/>
      <c r="F19256" s="7"/>
    </row>
    <row r="19257" spans="5:6" ht="15" customHeight="1" x14ac:dyDescent="0.2">
      <c r="E19257" s="7"/>
      <c r="F19257" s="7"/>
    </row>
    <row r="19258" spans="5:6" ht="15" customHeight="1" x14ac:dyDescent="0.2">
      <c r="E19258" s="7"/>
      <c r="F19258" s="7"/>
    </row>
    <row r="19259" spans="5:6" ht="15" customHeight="1" x14ac:dyDescent="0.2">
      <c r="E19259" s="7"/>
      <c r="F19259" s="7"/>
    </row>
    <row r="19260" spans="5:6" ht="15" customHeight="1" x14ac:dyDescent="0.2">
      <c r="E19260" s="7"/>
      <c r="F19260" s="7"/>
    </row>
    <row r="19261" spans="5:6" ht="15" customHeight="1" x14ac:dyDescent="0.2">
      <c r="E19261" s="7"/>
      <c r="F19261" s="7"/>
    </row>
    <row r="19262" spans="5:6" ht="15" customHeight="1" x14ac:dyDescent="0.2">
      <c r="E19262" s="7"/>
      <c r="F19262" s="7"/>
    </row>
    <row r="19263" spans="5:6" ht="15" customHeight="1" x14ac:dyDescent="0.2">
      <c r="E19263" s="7"/>
      <c r="F19263" s="7"/>
    </row>
    <row r="19264" spans="5:6" ht="15" customHeight="1" x14ac:dyDescent="0.2">
      <c r="E19264" s="7"/>
      <c r="F19264" s="7"/>
    </row>
    <row r="19265" spans="5:6" ht="15" customHeight="1" x14ac:dyDescent="0.2">
      <c r="E19265" s="7"/>
      <c r="F19265" s="7"/>
    </row>
    <row r="19266" spans="5:6" ht="15" customHeight="1" x14ac:dyDescent="0.2">
      <c r="E19266" s="7"/>
      <c r="F19266" s="7"/>
    </row>
    <row r="19267" spans="5:6" ht="15" customHeight="1" x14ac:dyDescent="0.2">
      <c r="E19267" s="7"/>
      <c r="F19267" s="7"/>
    </row>
    <row r="19268" spans="5:6" ht="15" customHeight="1" x14ac:dyDescent="0.2">
      <c r="E19268" s="7"/>
      <c r="F19268" s="7"/>
    </row>
    <row r="19269" spans="5:6" ht="15" customHeight="1" x14ac:dyDescent="0.2">
      <c r="E19269" s="7"/>
      <c r="F19269" s="7"/>
    </row>
    <row r="19270" spans="5:6" ht="15" customHeight="1" x14ac:dyDescent="0.2">
      <c r="E19270" s="7"/>
      <c r="F19270" s="7"/>
    </row>
    <row r="19271" spans="5:6" ht="15" customHeight="1" x14ac:dyDescent="0.2">
      <c r="E19271" s="7"/>
      <c r="F19271" s="7"/>
    </row>
    <row r="19272" spans="5:6" ht="15" customHeight="1" x14ac:dyDescent="0.2">
      <c r="E19272" s="7"/>
      <c r="F19272" s="7"/>
    </row>
    <row r="19273" spans="5:6" ht="15" customHeight="1" x14ac:dyDescent="0.2">
      <c r="E19273" s="7"/>
      <c r="F19273" s="7"/>
    </row>
    <row r="19274" spans="5:6" ht="15" customHeight="1" x14ac:dyDescent="0.2">
      <c r="E19274" s="7"/>
      <c r="F19274" s="7"/>
    </row>
    <row r="19275" spans="5:6" ht="15" customHeight="1" x14ac:dyDescent="0.2">
      <c r="E19275" s="7"/>
      <c r="F19275" s="7"/>
    </row>
    <row r="19276" spans="5:6" ht="15" customHeight="1" x14ac:dyDescent="0.2">
      <c r="E19276" s="7"/>
      <c r="F19276" s="7"/>
    </row>
    <row r="19277" spans="5:6" ht="15" customHeight="1" x14ac:dyDescent="0.2">
      <c r="E19277" s="7"/>
      <c r="F19277" s="7"/>
    </row>
    <row r="19278" spans="5:6" ht="15" customHeight="1" x14ac:dyDescent="0.2">
      <c r="E19278" s="7"/>
      <c r="F19278" s="7"/>
    </row>
    <row r="19279" spans="5:6" ht="15" customHeight="1" x14ac:dyDescent="0.2">
      <c r="E19279" s="7"/>
      <c r="F19279" s="7"/>
    </row>
    <row r="19280" spans="5:6" ht="15" customHeight="1" x14ac:dyDescent="0.2">
      <c r="E19280" s="7"/>
      <c r="F19280" s="7"/>
    </row>
    <row r="19281" spans="5:6" ht="15" customHeight="1" x14ac:dyDescent="0.2">
      <c r="E19281" s="7"/>
      <c r="F19281" s="7"/>
    </row>
    <row r="19282" spans="5:6" ht="15" customHeight="1" x14ac:dyDescent="0.2">
      <c r="E19282" s="7"/>
      <c r="F19282" s="7"/>
    </row>
    <row r="19283" spans="5:6" ht="15" customHeight="1" x14ac:dyDescent="0.2">
      <c r="E19283" s="7"/>
      <c r="F19283" s="7"/>
    </row>
    <row r="19284" spans="5:6" ht="15" customHeight="1" x14ac:dyDescent="0.2">
      <c r="E19284" s="7"/>
      <c r="F19284" s="7"/>
    </row>
    <row r="19285" spans="5:6" ht="15" customHeight="1" x14ac:dyDescent="0.2">
      <c r="E19285" s="7"/>
      <c r="F19285" s="7"/>
    </row>
    <row r="19286" spans="5:6" ht="15" customHeight="1" x14ac:dyDescent="0.2">
      <c r="E19286" s="7"/>
      <c r="F19286" s="7"/>
    </row>
    <row r="19287" spans="5:6" ht="15" customHeight="1" x14ac:dyDescent="0.2">
      <c r="E19287" s="7"/>
      <c r="F19287" s="7"/>
    </row>
    <row r="19288" spans="5:6" ht="15" customHeight="1" x14ac:dyDescent="0.2">
      <c r="E19288" s="7"/>
      <c r="F19288" s="7"/>
    </row>
    <row r="19289" spans="5:6" ht="15" customHeight="1" x14ac:dyDescent="0.2">
      <c r="E19289" s="7"/>
      <c r="F19289" s="7"/>
    </row>
    <row r="19290" spans="5:6" ht="15" customHeight="1" x14ac:dyDescent="0.2">
      <c r="E19290" s="7"/>
      <c r="F19290" s="7"/>
    </row>
    <row r="19291" spans="5:6" ht="15" customHeight="1" x14ac:dyDescent="0.2">
      <c r="E19291" s="7"/>
      <c r="F19291" s="7"/>
    </row>
    <row r="19292" spans="5:6" ht="15" customHeight="1" x14ac:dyDescent="0.2">
      <c r="E19292" s="7"/>
      <c r="F19292" s="7"/>
    </row>
    <row r="19293" spans="5:6" ht="15" customHeight="1" x14ac:dyDescent="0.2">
      <c r="E19293" s="7"/>
      <c r="F19293" s="7"/>
    </row>
    <row r="19294" spans="5:6" ht="15" customHeight="1" x14ac:dyDescent="0.2">
      <c r="E19294" s="7"/>
      <c r="F19294" s="7"/>
    </row>
    <row r="19295" spans="5:6" ht="15" customHeight="1" x14ac:dyDescent="0.2">
      <c r="E19295" s="7"/>
      <c r="F19295" s="7"/>
    </row>
    <row r="19296" spans="5:6" ht="15" customHeight="1" x14ac:dyDescent="0.2">
      <c r="E19296" s="7"/>
      <c r="F19296" s="7"/>
    </row>
    <row r="19297" spans="5:6" ht="15" customHeight="1" x14ac:dyDescent="0.2">
      <c r="E19297" s="7"/>
      <c r="F19297" s="7"/>
    </row>
    <row r="19298" spans="5:6" ht="15" customHeight="1" x14ac:dyDescent="0.2">
      <c r="E19298" s="7"/>
      <c r="F19298" s="7"/>
    </row>
    <row r="19299" spans="5:6" ht="15" customHeight="1" x14ac:dyDescent="0.2">
      <c r="E19299" s="7"/>
      <c r="F19299" s="7"/>
    </row>
    <row r="19300" spans="5:6" ht="15" customHeight="1" x14ac:dyDescent="0.2">
      <c r="E19300" s="7"/>
      <c r="F19300" s="7"/>
    </row>
    <row r="19301" spans="5:6" ht="15" customHeight="1" x14ac:dyDescent="0.2">
      <c r="E19301" s="7"/>
      <c r="F19301" s="7"/>
    </row>
    <row r="19302" spans="5:6" ht="15" customHeight="1" x14ac:dyDescent="0.2">
      <c r="E19302" s="7"/>
      <c r="F19302" s="7"/>
    </row>
    <row r="19303" spans="5:6" ht="15" customHeight="1" x14ac:dyDescent="0.2">
      <c r="E19303" s="7"/>
      <c r="F19303" s="7"/>
    </row>
    <row r="19304" spans="5:6" ht="15" customHeight="1" x14ac:dyDescent="0.2">
      <c r="E19304" s="7"/>
      <c r="F19304" s="7"/>
    </row>
    <row r="19305" spans="5:6" ht="15" customHeight="1" x14ac:dyDescent="0.2">
      <c r="E19305" s="7"/>
      <c r="F19305" s="7"/>
    </row>
    <row r="19306" spans="5:6" ht="15" customHeight="1" x14ac:dyDescent="0.2">
      <c r="E19306" s="7"/>
      <c r="F19306" s="7"/>
    </row>
    <row r="19307" spans="5:6" ht="15" customHeight="1" x14ac:dyDescent="0.2">
      <c r="E19307" s="7"/>
      <c r="F19307" s="7"/>
    </row>
    <row r="19308" spans="5:6" ht="15" customHeight="1" x14ac:dyDescent="0.2">
      <c r="E19308" s="7"/>
      <c r="F19308" s="7"/>
    </row>
    <row r="19309" spans="5:6" ht="15" customHeight="1" x14ac:dyDescent="0.2">
      <c r="E19309" s="7"/>
      <c r="F19309" s="7"/>
    </row>
    <row r="19310" spans="5:6" ht="15" customHeight="1" x14ac:dyDescent="0.2">
      <c r="E19310" s="7"/>
      <c r="F19310" s="7"/>
    </row>
    <row r="19311" spans="5:6" ht="15" customHeight="1" x14ac:dyDescent="0.2">
      <c r="E19311" s="7"/>
      <c r="F19311" s="7"/>
    </row>
    <row r="19312" spans="5:6" ht="15" customHeight="1" x14ac:dyDescent="0.2">
      <c r="E19312" s="7"/>
      <c r="F19312" s="7"/>
    </row>
    <row r="19313" spans="5:6" ht="15" customHeight="1" x14ac:dyDescent="0.2">
      <c r="E19313" s="7"/>
      <c r="F19313" s="7"/>
    </row>
    <row r="19314" spans="5:6" ht="15" customHeight="1" x14ac:dyDescent="0.2">
      <c r="E19314" s="7"/>
      <c r="F19314" s="7"/>
    </row>
    <row r="19315" spans="5:6" ht="15" customHeight="1" x14ac:dyDescent="0.2">
      <c r="E19315" s="7"/>
      <c r="F19315" s="7"/>
    </row>
    <row r="19316" spans="5:6" ht="15" customHeight="1" x14ac:dyDescent="0.2">
      <c r="E19316" s="7"/>
      <c r="F19316" s="7"/>
    </row>
    <row r="19317" spans="5:6" ht="15" customHeight="1" x14ac:dyDescent="0.2">
      <c r="E19317" s="7"/>
      <c r="F19317" s="7"/>
    </row>
    <row r="19318" spans="5:6" ht="15" customHeight="1" x14ac:dyDescent="0.2">
      <c r="E19318" s="7"/>
      <c r="F19318" s="7"/>
    </row>
    <row r="19319" spans="5:6" ht="15" customHeight="1" x14ac:dyDescent="0.2">
      <c r="E19319" s="7"/>
      <c r="F19319" s="7"/>
    </row>
    <row r="19320" spans="5:6" ht="15" customHeight="1" x14ac:dyDescent="0.2">
      <c r="E19320" s="7"/>
      <c r="F19320" s="7"/>
    </row>
    <row r="19321" spans="5:6" ht="15" customHeight="1" x14ac:dyDescent="0.2">
      <c r="E19321" s="7"/>
      <c r="F19321" s="7"/>
    </row>
    <row r="19322" spans="5:6" ht="15" customHeight="1" x14ac:dyDescent="0.2">
      <c r="E19322" s="7"/>
      <c r="F19322" s="7"/>
    </row>
    <row r="19323" spans="5:6" ht="15" customHeight="1" x14ac:dyDescent="0.2">
      <c r="E19323" s="7"/>
      <c r="F19323" s="7"/>
    </row>
    <row r="19324" spans="5:6" ht="15" customHeight="1" x14ac:dyDescent="0.2">
      <c r="E19324" s="7"/>
      <c r="F19324" s="7"/>
    </row>
    <row r="19325" spans="5:6" ht="15" customHeight="1" x14ac:dyDescent="0.2">
      <c r="E19325" s="7"/>
      <c r="F19325" s="7"/>
    </row>
    <row r="19326" spans="5:6" ht="15" customHeight="1" x14ac:dyDescent="0.2">
      <c r="E19326" s="7"/>
      <c r="F19326" s="7"/>
    </row>
    <row r="19327" spans="5:6" ht="15" customHeight="1" x14ac:dyDescent="0.2">
      <c r="E19327" s="7"/>
      <c r="F19327" s="7"/>
    </row>
    <row r="19328" spans="5:6" ht="15" customHeight="1" x14ac:dyDescent="0.2">
      <c r="E19328" s="7"/>
      <c r="F19328" s="7"/>
    </row>
    <row r="19329" spans="5:6" ht="15" customHeight="1" x14ac:dyDescent="0.2">
      <c r="E19329" s="7"/>
      <c r="F19329" s="7"/>
    </row>
    <row r="19330" spans="5:6" ht="15" customHeight="1" x14ac:dyDescent="0.2">
      <c r="E19330" s="7"/>
      <c r="F19330" s="7"/>
    </row>
    <row r="19331" spans="5:6" ht="15" customHeight="1" x14ac:dyDescent="0.2">
      <c r="E19331" s="7"/>
      <c r="F19331" s="7"/>
    </row>
    <row r="19332" spans="5:6" ht="15" customHeight="1" x14ac:dyDescent="0.2">
      <c r="E19332" s="7"/>
      <c r="F19332" s="7"/>
    </row>
    <row r="19333" spans="5:6" ht="15" customHeight="1" x14ac:dyDescent="0.2">
      <c r="E19333" s="7"/>
      <c r="F19333" s="7"/>
    </row>
    <row r="19334" spans="5:6" ht="15" customHeight="1" x14ac:dyDescent="0.2">
      <c r="E19334" s="7"/>
      <c r="F19334" s="7"/>
    </row>
    <row r="19335" spans="5:6" ht="15" customHeight="1" x14ac:dyDescent="0.2">
      <c r="E19335" s="7"/>
      <c r="F19335" s="7"/>
    </row>
    <row r="19336" spans="5:6" ht="15" customHeight="1" x14ac:dyDescent="0.2">
      <c r="E19336" s="7"/>
      <c r="F19336" s="7"/>
    </row>
    <row r="19337" spans="5:6" ht="15" customHeight="1" x14ac:dyDescent="0.2">
      <c r="E19337" s="7"/>
      <c r="F19337" s="7"/>
    </row>
    <row r="19338" spans="5:6" ht="15" customHeight="1" x14ac:dyDescent="0.2">
      <c r="E19338" s="7"/>
      <c r="F19338" s="7"/>
    </row>
    <row r="19339" spans="5:6" ht="15" customHeight="1" x14ac:dyDescent="0.2">
      <c r="E19339" s="7"/>
      <c r="F19339" s="7"/>
    </row>
    <row r="19340" spans="5:6" ht="15" customHeight="1" x14ac:dyDescent="0.2">
      <c r="E19340" s="7"/>
      <c r="F19340" s="7"/>
    </row>
    <row r="19341" spans="5:6" ht="15" customHeight="1" x14ac:dyDescent="0.2">
      <c r="E19341" s="7"/>
      <c r="F19341" s="7"/>
    </row>
    <row r="19342" spans="5:6" ht="15" customHeight="1" x14ac:dyDescent="0.2">
      <c r="E19342" s="7"/>
      <c r="F19342" s="7"/>
    </row>
    <row r="19343" spans="5:6" ht="15" customHeight="1" x14ac:dyDescent="0.2">
      <c r="E19343" s="7"/>
      <c r="F19343" s="7"/>
    </row>
    <row r="19344" spans="5:6" ht="15" customHeight="1" x14ac:dyDescent="0.2">
      <c r="E19344" s="7"/>
      <c r="F19344" s="7"/>
    </row>
    <row r="19345" spans="5:6" ht="15" customHeight="1" x14ac:dyDescent="0.2">
      <c r="E19345" s="7"/>
      <c r="F19345" s="7"/>
    </row>
    <row r="19346" spans="5:6" ht="15" customHeight="1" x14ac:dyDescent="0.2">
      <c r="E19346" s="7"/>
      <c r="F19346" s="7"/>
    </row>
    <row r="19347" spans="5:6" ht="15" customHeight="1" x14ac:dyDescent="0.2">
      <c r="E19347" s="7"/>
      <c r="F19347" s="7"/>
    </row>
    <row r="19348" spans="5:6" ht="15" customHeight="1" x14ac:dyDescent="0.2">
      <c r="E19348" s="7"/>
      <c r="F19348" s="7"/>
    </row>
    <row r="19349" spans="5:6" ht="15" customHeight="1" x14ac:dyDescent="0.2">
      <c r="E19349" s="7"/>
      <c r="F19349" s="7"/>
    </row>
    <row r="19350" spans="5:6" ht="15" customHeight="1" x14ac:dyDescent="0.2">
      <c r="E19350" s="7"/>
      <c r="F19350" s="7"/>
    </row>
    <row r="19351" spans="5:6" ht="15" customHeight="1" x14ac:dyDescent="0.2">
      <c r="E19351" s="7"/>
      <c r="F19351" s="7"/>
    </row>
    <row r="19352" spans="5:6" ht="15" customHeight="1" x14ac:dyDescent="0.2">
      <c r="E19352" s="7"/>
      <c r="F19352" s="7"/>
    </row>
    <row r="19353" spans="5:6" ht="15" customHeight="1" x14ac:dyDescent="0.2">
      <c r="E19353" s="7"/>
      <c r="F19353" s="7"/>
    </row>
    <row r="19354" spans="5:6" ht="15" customHeight="1" x14ac:dyDescent="0.2">
      <c r="E19354" s="7"/>
      <c r="F19354" s="7"/>
    </row>
    <row r="19355" spans="5:6" ht="15" customHeight="1" x14ac:dyDescent="0.2">
      <c r="E19355" s="7"/>
      <c r="F19355" s="7"/>
    </row>
    <row r="19356" spans="5:6" ht="15" customHeight="1" x14ac:dyDescent="0.2">
      <c r="E19356" s="7"/>
      <c r="F19356" s="7"/>
    </row>
    <row r="19357" spans="5:6" ht="15" customHeight="1" x14ac:dyDescent="0.2">
      <c r="E19357" s="7"/>
      <c r="F19357" s="7"/>
    </row>
    <row r="19358" spans="5:6" ht="15" customHeight="1" x14ac:dyDescent="0.2">
      <c r="E19358" s="7"/>
      <c r="F19358" s="7"/>
    </row>
    <row r="19359" spans="5:6" ht="15" customHeight="1" x14ac:dyDescent="0.2">
      <c r="E19359" s="7"/>
      <c r="F19359" s="7"/>
    </row>
    <row r="19360" spans="5:6" ht="15" customHeight="1" x14ac:dyDescent="0.2">
      <c r="E19360" s="7"/>
      <c r="F19360" s="7"/>
    </row>
    <row r="19361" spans="5:6" ht="15" customHeight="1" x14ac:dyDescent="0.2">
      <c r="E19361" s="7"/>
      <c r="F19361" s="7"/>
    </row>
    <row r="19362" spans="5:6" ht="15" customHeight="1" x14ac:dyDescent="0.2">
      <c r="E19362" s="7"/>
      <c r="F19362" s="7"/>
    </row>
    <row r="19363" spans="5:6" ht="15" customHeight="1" x14ac:dyDescent="0.2">
      <c r="E19363" s="7"/>
      <c r="F19363" s="7"/>
    </row>
    <row r="19364" spans="5:6" ht="15" customHeight="1" x14ac:dyDescent="0.2">
      <c r="E19364" s="7"/>
      <c r="F19364" s="7"/>
    </row>
    <row r="19365" spans="5:6" ht="15" customHeight="1" x14ac:dyDescent="0.2">
      <c r="E19365" s="7"/>
      <c r="F19365" s="7"/>
    </row>
    <row r="19366" spans="5:6" ht="15" customHeight="1" x14ac:dyDescent="0.2">
      <c r="E19366" s="7"/>
      <c r="F19366" s="7"/>
    </row>
    <row r="19367" spans="5:6" ht="15" customHeight="1" x14ac:dyDescent="0.2">
      <c r="E19367" s="7"/>
      <c r="F19367" s="7"/>
    </row>
    <row r="19368" spans="5:6" ht="15" customHeight="1" x14ac:dyDescent="0.2">
      <c r="E19368" s="7"/>
      <c r="F19368" s="7"/>
    </row>
    <row r="19369" spans="5:6" ht="15" customHeight="1" x14ac:dyDescent="0.2">
      <c r="E19369" s="7"/>
      <c r="F19369" s="7"/>
    </row>
    <row r="19370" spans="5:6" ht="15" customHeight="1" x14ac:dyDescent="0.2">
      <c r="E19370" s="7"/>
      <c r="F19370" s="7"/>
    </row>
    <row r="19371" spans="5:6" ht="15" customHeight="1" x14ac:dyDescent="0.2">
      <c r="E19371" s="7"/>
      <c r="F19371" s="7"/>
    </row>
    <row r="19372" spans="5:6" ht="15" customHeight="1" x14ac:dyDescent="0.2">
      <c r="E19372" s="7"/>
      <c r="F19372" s="7"/>
    </row>
    <row r="19373" spans="5:6" ht="15" customHeight="1" x14ac:dyDescent="0.2">
      <c r="E19373" s="7"/>
      <c r="F19373" s="7"/>
    </row>
    <row r="19374" spans="5:6" ht="15" customHeight="1" x14ac:dyDescent="0.2">
      <c r="E19374" s="7"/>
      <c r="F19374" s="7"/>
    </row>
    <row r="19375" spans="5:6" ht="15" customHeight="1" x14ac:dyDescent="0.2">
      <c r="E19375" s="7"/>
      <c r="F19375" s="7"/>
    </row>
    <row r="19376" spans="5:6" ht="15" customHeight="1" x14ac:dyDescent="0.2">
      <c r="E19376" s="7"/>
      <c r="F19376" s="7"/>
    </row>
    <row r="19377" spans="5:6" ht="15" customHeight="1" x14ac:dyDescent="0.2">
      <c r="E19377" s="7"/>
      <c r="F19377" s="7"/>
    </row>
    <row r="19378" spans="5:6" ht="15" customHeight="1" x14ac:dyDescent="0.2">
      <c r="E19378" s="7"/>
      <c r="F19378" s="7"/>
    </row>
    <row r="19379" spans="5:6" ht="15" customHeight="1" x14ac:dyDescent="0.2">
      <c r="E19379" s="7"/>
      <c r="F19379" s="7"/>
    </row>
    <row r="19380" spans="5:6" ht="15" customHeight="1" x14ac:dyDescent="0.2">
      <c r="E19380" s="7"/>
      <c r="F19380" s="7"/>
    </row>
    <row r="19381" spans="5:6" ht="15" customHeight="1" x14ac:dyDescent="0.2">
      <c r="E19381" s="7"/>
      <c r="F19381" s="7"/>
    </row>
    <row r="19382" spans="5:6" ht="15" customHeight="1" x14ac:dyDescent="0.2">
      <c r="E19382" s="7"/>
      <c r="F19382" s="7"/>
    </row>
    <row r="19383" spans="5:6" ht="15" customHeight="1" x14ac:dyDescent="0.2">
      <c r="E19383" s="7"/>
      <c r="F19383" s="7"/>
    </row>
    <row r="19384" spans="5:6" ht="15" customHeight="1" x14ac:dyDescent="0.2">
      <c r="E19384" s="7"/>
      <c r="F19384" s="7"/>
    </row>
    <row r="19385" spans="5:6" ht="15" customHeight="1" x14ac:dyDescent="0.2">
      <c r="E19385" s="7"/>
      <c r="F19385" s="7"/>
    </row>
    <row r="19386" spans="5:6" ht="15" customHeight="1" x14ac:dyDescent="0.2">
      <c r="E19386" s="7"/>
      <c r="F19386" s="7"/>
    </row>
    <row r="19387" spans="5:6" ht="15" customHeight="1" x14ac:dyDescent="0.2">
      <c r="E19387" s="7"/>
      <c r="F19387" s="7"/>
    </row>
    <row r="19388" spans="5:6" ht="15" customHeight="1" x14ac:dyDescent="0.2">
      <c r="E19388" s="7"/>
      <c r="F19388" s="7"/>
    </row>
    <row r="19389" spans="5:6" ht="15" customHeight="1" x14ac:dyDescent="0.2">
      <c r="E19389" s="7"/>
      <c r="F19389" s="7"/>
    </row>
    <row r="19390" spans="5:6" ht="15" customHeight="1" x14ac:dyDescent="0.2">
      <c r="E19390" s="7"/>
      <c r="F19390" s="7"/>
    </row>
    <row r="19391" spans="5:6" ht="15" customHeight="1" x14ac:dyDescent="0.2">
      <c r="E19391" s="7"/>
      <c r="F19391" s="7"/>
    </row>
    <row r="19392" spans="5:6" ht="15" customHeight="1" x14ac:dyDescent="0.2">
      <c r="E19392" s="7"/>
      <c r="F19392" s="7"/>
    </row>
    <row r="19393" spans="5:6" ht="15" customHeight="1" x14ac:dyDescent="0.2">
      <c r="E19393" s="7"/>
      <c r="F19393" s="7"/>
    </row>
    <row r="19394" spans="5:6" ht="15" customHeight="1" x14ac:dyDescent="0.2">
      <c r="E19394" s="7"/>
      <c r="F19394" s="7"/>
    </row>
    <row r="19395" spans="5:6" ht="15" customHeight="1" x14ac:dyDescent="0.2">
      <c r="E19395" s="7"/>
      <c r="F19395" s="7"/>
    </row>
    <row r="19396" spans="5:6" ht="15" customHeight="1" x14ac:dyDescent="0.2">
      <c r="E19396" s="7"/>
      <c r="F19396" s="7"/>
    </row>
    <row r="19397" spans="5:6" ht="15" customHeight="1" x14ac:dyDescent="0.2">
      <c r="E19397" s="7"/>
      <c r="F19397" s="7"/>
    </row>
    <row r="19398" spans="5:6" ht="15" customHeight="1" x14ac:dyDescent="0.2">
      <c r="E19398" s="7"/>
      <c r="F19398" s="7"/>
    </row>
    <row r="19399" spans="5:6" ht="15" customHeight="1" x14ac:dyDescent="0.2">
      <c r="E19399" s="7"/>
      <c r="F19399" s="7"/>
    </row>
    <row r="19400" spans="5:6" ht="15" customHeight="1" x14ac:dyDescent="0.2">
      <c r="E19400" s="7"/>
      <c r="F19400" s="7"/>
    </row>
    <row r="19401" spans="5:6" ht="15" customHeight="1" x14ac:dyDescent="0.2">
      <c r="E19401" s="7"/>
      <c r="F19401" s="7"/>
    </row>
    <row r="19402" spans="5:6" ht="15" customHeight="1" x14ac:dyDescent="0.2">
      <c r="E19402" s="7"/>
      <c r="F19402" s="7"/>
    </row>
    <row r="19403" spans="5:6" ht="15" customHeight="1" x14ac:dyDescent="0.2">
      <c r="E19403" s="7"/>
      <c r="F19403" s="7"/>
    </row>
    <row r="19404" spans="5:6" ht="15" customHeight="1" x14ac:dyDescent="0.2">
      <c r="E19404" s="7"/>
      <c r="F19404" s="7"/>
    </row>
    <row r="19405" spans="5:6" ht="15" customHeight="1" x14ac:dyDescent="0.2">
      <c r="E19405" s="7"/>
      <c r="F19405" s="7"/>
    </row>
    <row r="19406" spans="5:6" ht="15" customHeight="1" x14ac:dyDescent="0.2">
      <c r="E19406" s="7"/>
      <c r="F19406" s="7"/>
    </row>
    <row r="19407" spans="5:6" ht="15" customHeight="1" x14ac:dyDescent="0.2">
      <c r="E19407" s="7"/>
      <c r="F19407" s="7"/>
    </row>
    <row r="19408" spans="5:6" ht="15" customHeight="1" x14ac:dyDescent="0.2">
      <c r="E19408" s="7"/>
      <c r="F19408" s="7"/>
    </row>
    <row r="19409" spans="5:6" ht="15" customHeight="1" x14ac:dyDescent="0.2">
      <c r="E19409" s="7"/>
      <c r="F19409" s="7"/>
    </row>
    <row r="19410" spans="5:6" ht="15" customHeight="1" x14ac:dyDescent="0.2">
      <c r="E19410" s="7"/>
      <c r="F19410" s="7"/>
    </row>
    <row r="19411" spans="5:6" ht="15" customHeight="1" x14ac:dyDescent="0.2">
      <c r="E19411" s="7"/>
      <c r="F19411" s="7"/>
    </row>
    <row r="19412" spans="5:6" ht="15" customHeight="1" x14ac:dyDescent="0.2">
      <c r="E19412" s="7"/>
      <c r="F19412" s="7"/>
    </row>
    <row r="19413" spans="5:6" ht="15" customHeight="1" x14ac:dyDescent="0.2">
      <c r="E19413" s="7"/>
      <c r="F19413" s="7"/>
    </row>
    <row r="19414" spans="5:6" ht="15" customHeight="1" x14ac:dyDescent="0.2">
      <c r="E19414" s="7"/>
      <c r="F19414" s="7"/>
    </row>
    <row r="19415" spans="5:6" ht="15" customHeight="1" x14ac:dyDescent="0.2">
      <c r="E19415" s="7"/>
      <c r="F19415" s="7"/>
    </row>
    <row r="19416" spans="5:6" ht="15" customHeight="1" x14ac:dyDescent="0.2">
      <c r="E19416" s="7"/>
      <c r="F19416" s="7"/>
    </row>
    <row r="19417" spans="5:6" ht="15" customHeight="1" x14ac:dyDescent="0.2">
      <c r="E19417" s="7"/>
      <c r="F19417" s="7"/>
    </row>
    <row r="19418" spans="5:6" ht="15" customHeight="1" x14ac:dyDescent="0.2">
      <c r="E19418" s="7"/>
      <c r="F19418" s="7"/>
    </row>
    <row r="19419" spans="5:6" ht="15" customHeight="1" x14ac:dyDescent="0.2">
      <c r="E19419" s="7"/>
      <c r="F19419" s="7"/>
    </row>
    <row r="19420" spans="5:6" ht="15" customHeight="1" x14ac:dyDescent="0.2">
      <c r="E19420" s="7"/>
      <c r="F19420" s="7"/>
    </row>
    <row r="19421" spans="5:6" ht="15" customHeight="1" x14ac:dyDescent="0.2">
      <c r="E19421" s="7"/>
      <c r="F19421" s="7"/>
    </row>
    <row r="19422" spans="5:6" ht="15" customHeight="1" x14ac:dyDescent="0.2">
      <c r="E19422" s="7"/>
      <c r="F19422" s="7"/>
    </row>
    <row r="19423" spans="5:6" ht="15" customHeight="1" x14ac:dyDescent="0.2">
      <c r="E19423" s="7"/>
      <c r="F19423" s="7"/>
    </row>
    <row r="19424" spans="5:6" ht="15" customHeight="1" x14ac:dyDescent="0.2">
      <c r="E19424" s="7"/>
      <c r="F19424" s="7"/>
    </row>
    <row r="19425" spans="5:6" ht="15" customHeight="1" x14ac:dyDescent="0.2">
      <c r="E19425" s="7"/>
      <c r="F19425" s="7"/>
    </row>
    <row r="19426" spans="5:6" ht="15" customHeight="1" x14ac:dyDescent="0.2">
      <c r="E19426" s="7"/>
      <c r="F19426" s="7"/>
    </row>
    <row r="19427" spans="5:6" ht="15" customHeight="1" x14ac:dyDescent="0.2">
      <c r="E19427" s="7"/>
      <c r="F19427" s="7"/>
    </row>
    <row r="19428" spans="5:6" ht="15" customHeight="1" x14ac:dyDescent="0.2">
      <c r="E19428" s="7"/>
      <c r="F19428" s="7"/>
    </row>
    <row r="19429" spans="5:6" ht="15" customHeight="1" x14ac:dyDescent="0.2">
      <c r="E19429" s="7"/>
      <c r="F19429" s="7"/>
    </row>
    <row r="19430" spans="5:6" ht="15" customHeight="1" x14ac:dyDescent="0.2">
      <c r="E19430" s="7"/>
      <c r="F19430" s="7"/>
    </row>
    <row r="19431" spans="5:6" ht="15" customHeight="1" x14ac:dyDescent="0.2">
      <c r="E19431" s="7"/>
      <c r="F19431" s="7"/>
    </row>
    <row r="19432" spans="5:6" ht="15" customHeight="1" x14ac:dyDescent="0.2">
      <c r="E19432" s="7"/>
      <c r="F19432" s="7"/>
    </row>
    <row r="19433" spans="5:6" ht="15" customHeight="1" x14ac:dyDescent="0.2">
      <c r="E19433" s="7"/>
      <c r="F19433" s="7"/>
    </row>
    <row r="19434" spans="5:6" ht="15" customHeight="1" x14ac:dyDescent="0.2">
      <c r="E19434" s="7"/>
      <c r="F19434" s="7"/>
    </row>
    <row r="19435" spans="5:6" ht="15" customHeight="1" x14ac:dyDescent="0.2">
      <c r="E19435" s="7"/>
      <c r="F19435" s="7"/>
    </row>
    <row r="19436" spans="5:6" ht="15" customHeight="1" x14ac:dyDescent="0.2">
      <c r="E19436" s="7"/>
      <c r="F19436" s="7"/>
    </row>
    <row r="19437" spans="5:6" ht="15" customHeight="1" x14ac:dyDescent="0.2">
      <c r="E19437" s="7"/>
      <c r="F19437" s="7"/>
    </row>
    <row r="19438" spans="5:6" ht="15" customHeight="1" x14ac:dyDescent="0.2">
      <c r="E19438" s="7"/>
      <c r="F19438" s="7"/>
    </row>
    <row r="19439" spans="5:6" ht="15" customHeight="1" x14ac:dyDescent="0.2">
      <c r="E19439" s="7"/>
      <c r="F19439" s="7"/>
    </row>
    <row r="19440" spans="5:6" ht="15" customHeight="1" x14ac:dyDescent="0.2">
      <c r="E19440" s="7"/>
      <c r="F19440" s="7"/>
    </row>
    <row r="19441" spans="5:6" ht="15" customHeight="1" x14ac:dyDescent="0.2">
      <c r="E19441" s="7"/>
      <c r="F19441" s="7"/>
    </row>
    <row r="19442" spans="5:6" ht="15" customHeight="1" x14ac:dyDescent="0.2">
      <c r="E19442" s="7"/>
      <c r="F19442" s="7"/>
    </row>
    <row r="19443" spans="5:6" ht="15" customHeight="1" x14ac:dyDescent="0.2">
      <c r="E19443" s="7"/>
      <c r="F19443" s="7"/>
    </row>
    <row r="19444" spans="5:6" ht="15" customHeight="1" x14ac:dyDescent="0.2">
      <c r="E19444" s="7"/>
      <c r="F19444" s="7"/>
    </row>
    <row r="19445" spans="5:6" ht="15" customHeight="1" x14ac:dyDescent="0.2">
      <c r="E19445" s="7"/>
      <c r="F19445" s="7"/>
    </row>
    <row r="19446" spans="5:6" ht="15" customHeight="1" x14ac:dyDescent="0.2">
      <c r="E19446" s="7"/>
      <c r="F19446" s="7"/>
    </row>
    <row r="19447" spans="5:6" ht="15" customHeight="1" x14ac:dyDescent="0.2">
      <c r="E19447" s="7"/>
      <c r="F19447" s="7"/>
    </row>
    <row r="19448" spans="5:6" ht="15" customHeight="1" x14ac:dyDescent="0.2">
      <c r="E19448" s="7"/>
      <c r="F19448" s="7"/>
    </row>
    <row r="19449" spans="5:6" ht="15" customHeight="1" x14ac:dyDescent="0.2">
      <c r="E19449" s="7"/>
      <c r="F19449" s="7"/>
    </row>
    <row r="19450" spans="5:6" ht="15" customHeight="1" x14ac:dyDescent="0.2">
      <c r="E19450" s="7"/>
      <c r="F19450" s="7"/>
    </row>
    <row r="19451" spans="5:6" ht="15" customHeight="1" x14ac:dyDescent="0.2">
      <c r="E19451" s="7"/>
      <c r="F19451" s="7"/>
    </row>
    <row r="19452" spans="5:6" ht="15" customHeight="1" x14ac:dyDescent="0.2">
      <c r="E19452" s="7"/>
      <c r="F19452" s="7"/>
    </row>
    <row r="19453" spans="5:6" ht="15" customHeight="1" x14ac:dyDescent="0.2">
      <c r="E19453" s="7"/>
      <c r="F19453" s="7"/>
    </row>
    <row r="19454" spans="5:6" ht="15" customHeight="1" x14ac:dyDescent="0.2">
      <c r="E19454" s="7"/>
      <c r="F19454" s="7"/>
    </row>
    <row r="19455" spans="5:6" ht="15" customHeight="1" x14ac:dyDescent="0.2">
      <c r="E19455" s="7"/>
      <c r="F19455" s="7"/>
    </row>
    <row r="19456" spans="5:6" ht="15" customHeight="1" x14ac:dyDescent="0.2">
      <c r="E19456" s="7"/>
      <c r="F19456" s="7"/>
    </row>
    <row r="19457" spans="5:6" ht="15" customHeight="1" x14ac:dyDescent="0.2">
      <c r="E19457" s="7"/>
      <c r="F19457" s="7"/>
    </row>
    <row r="19458" spans="5:6" ht="15" customHeight="1" x14ac:dyDescent="0.2">
      <c r="E19458" s="7"/>
      <c r="F19458" s="7"/>
    </row>
    <row r="19459" spans="5:6" ht="15" customHeight="1" x14ac:dyDescent="0.2">
      <c r="E19459" s="7"/>
      <c r="F19459" s="7"/>
    </row>
    <row r="19460" spans="5:6" ht="15" customHeight="1" x14ac:dyDescent="0.2">
      <c r="E19460" s="7"/>
      <c r="F19460" s="7"/>
    </row>
    <row r="19461" spans="5:6" ht="15" customHeight="1" x14ac:dyDescent="0.2">
      <c r="E19461" s="7"/>
      <c r="F19461" s="7"/>
    </row>
    <row r="19462" spans="5:6" ht="15" customHeight="1" x14ac:dyDescent="0.2">
      <c r="E19462" s="7"/>
      <c r="F19462" s="7"/>
    </row>
    <row r="19463" spans="5:6" ht="15" customHeight="1" x14ac:dyDescent="0.2">
      <c r="E19463" s="7"/>
      <c r="F19463" s="7"/>
    </row>
    <row r="19464" spans="5:6" ht="15" customHeight="1" x14ac:dyDescent="0.2">
      <c r="E19464" s="7"/>
      <c r="F19464" s="7"/>
    </row>
    <row r="19465" spans="5:6" ht="15" customHeight="1" x14ac:dyDescent="0.2">
      <c r="E19465" s="7"/>
      <c r="F19465" s="7"/>
    </row>
    <row r="19466" spans="5:6" ht="15" customHeight="1" x14ac:dyDescent="0.2">
      <c r="E19466" s="7"/>
      <c r="F19466" s="7"/>
    </row>
    <row r="19467" spans="5:6" ht="15" customHeight="1" x14ac:dyDescent="0.2">
      <c r="E19467" s="7"/>
      <c r="F19467" s="7"/>
    </row>
    <row r="19468" spans="5:6" ht="15" customHeight="1" x14ac:dyDescent="0.2">
      <c r="E19468" s="7"/>
      <c r="F19468" s="7"/>
    </row>
    <row r="19469" spans="5:6" ht="15" customHeight="1" x14ac:dyDescent="0.2">
      <c r="E19469" s="7"/>
      <c r="F19469" s="7"/>
    </row>
    <row r="19470" spans="5:6" ht="15" customHeight="1" x14ac:dyDescent="0.2">
      <c r="E19470" s="7"/>
      <c r="F19470" s="7"/>
    </row>
    <row r="19471" spans="5:6" ht="15" customHeight="1" x14ac:dyDescent="0.2">
      <c r="E19471" s="7"/>
      <c r="F19471" s="7"/>
    </row>
    <row r="19472" spans="5:6" ht="15" customHeight="1" x14ac:dyDescent="0.2">
      <c r="E19472" s="7"/>
      <c r="F19472" s="7"/>
    </row>
    <row r="19473" spans="5:6" ht="15" customHeight="1" x14ac:dyDescent="0.2">
      <c r="E19473" s="7"/>
      <c r="F19473" s="7"/>
    </row>
    <row r="19474" spans="5:6" ht="15" customHeight="1" x14ac:dyDescent="0.2">
      <c r="E19474" s="7"/>
      <c r="F19474" s="7"/>
    </row>
    <row r="19475" spans="5:6" ht="15" customHeight="1" x14ac:dyDescent="0.2">
      <c r="E19475" s="7"/>
      <c r="F19475" s="7"/>
    </row>
    <row r="19476" spans="5:6" ht="15" customHeight="1" x14ac:dyDescent="0.2">
      <c r="E19476" s="7"/>
      <c r="F19476" s="7"/>
    </row>
    <row r="19477" spans="5:6" ht="15" customHeight="1" x14ac:dyDescent="0.2">
      <c r="E19477" s="7"/>
      <c r="F19477" s="7"/>
    </row>
    <row r="19478" spans="5:6" ht="15" customHeight="1" x14ac:dyDescent="0.2">
      <c r="E19478" s="7"/>
      <c r="F19478" s="7"/>
    </row>
    <row r="19479" spans="5:6" ht="15" customHeight="1" x14ac:dyDescent="0.2">
      <c r="E19479" s="7"/>
      <c r="F19479" s="7"/>
    </row>
    <row r="19480" spans="5:6" ht="15" customHeight="1" x14ac:dyDescent="0.2">
      <c r="E19480" s="7"/>
      <c r="F19480" s="7"/>
    </row>
    <row r="19481" spans="5:6" ht="15" customHeight="1" x14ac:dyDescent="0.2">
      <c r="E19481" s="7"/>
      <c r="F19481" s="7"/>
    </row>
    <row r="19482" spans="5:6" ht="15" customHeight="1" x14ac:dyDescent="0.2">
      <c r="E19482" s="7"/>
      <c r="F19482" s="7"/>
    </row>
    <row r="19483" spans="5:6" ht="15" customHeight="1" x14ac:dyDescent="0.2">
      <c r="E19483" s="7"/>
      <c r="F19483" s="7"/>
    </row>
    <row r="19484" spans="5:6" ht="15" customHeight="1" x14ac:dyDescent="0.2">
      <c r="E19484" s="7"/>
      <c r="F19484" s="7"/>
    </row>
    <row r="19485" spans="5:6" ht="15" customHeight="1" x14ac:dyDescent="0.2">
      <c r="E19485" s="7"/>
      <c r="F19485" s="7"/>
    </row>
    <row r="19486" spans="5:6" ht="15" customHeight="1" x14ac:dyDescent="0.2">
      <c r="E19486" s="7"/>
      <c r="F19486" s="7"/>
    </row>
    <row r="19487" spans="5:6" ht="15" customHeight="1" x14ac:dyDescent="0.2">
      <c r="E19487" s="7"/>
      <c r="F19487" s="7"/>
    </row>
    <row r="19488" spans="5:6" ht="15" customHeight="1" x14ac:dyDescent="0.2">
      <c r="E19488" s="7"/>
      <c r="F19488" s="7"/>
    </row>
    <row r="19489" spans="5:6" ht="15" customHeight="1" x14ac:dyDescent="0.2">
      <c r="E19489" s="7"/>
      <c r="F19489" s="7"/>
    </row>
    <row r="19490" spans="5:6" ht="15" customHeight="1" x14ac:dyDescent="0.2">
      <c r="E19490" s="7"/>
      <c r="F19490" s="7"/>
    </row>
    <row r="19491" spans="5:6" ht="15" customHeight="1" x14ac:dyDescent="0.2">
      <c r="E19491" s="7"/>
      <c r="F19491" s="7"/>
    </row>
    <row r="19492" spans="5:6" ht="15" customHeight="1" x14ac:dyDescent="0.2">
      <c r="E19492" s="7"/>
      <c r="F19492" s="7"/>
    </row>
    <row r="19493" spans="5:6" ht="15" customHeight="1" x14ac:dyDescent="0.2">
      <c r="E19493" s="7"/>
      <c r="F19493" s="7"/>
    </row>
    <row r="19494" spans="5:6" ht="15" customHeight="1" x14ac:dyDescent="0.2">
      <c r="E19494" s="7"/>
      <c r="F19494" s="7"/>
    </row>
    <row r="19495" spans="5:6" ht="15" customHeight="1" x14ac:dyDescent="0.2">
      <c r="E19495" s="7"/>
      <c r="F19495" s="7"/>
    </row>
    <row r="19496" spans="5:6" ht="15" customHeight="1" x14ac:dyDescent="0.2">
      <c r="E19496" s="7"/>
      <c r="F19496" s="7"/>
    </row>
    <row r="19497" spans="5:6" ht="15" customHeight="1" x14ac:dyDescent="0.2">
      <c r="E19497" s="7"/>
      <c r="F19497" s="7"/>
    </row>
    <row r="19498" spans="5:6" ht="15" customHeight="1" x14ac:dyDescent="0.2">
      <c r="E19498" s="7"/>
      <c r="F19498" s="7"/>
    </row>
    <row r="19499" spans="5:6" ht="15" customHeight="1" x14ac:dyDescent="0.2">
      <c r="E19499" s="7"/>
      <c r="F19499" s="7"/>
    </row>
    <row r="19500" spans="5:6" ht="15" customHeight="1" x14ac:dyDescent="0.2">
      <c r="E19500" s="7"/>
      <c r="F19500" s="7"/>
    </row>
    <row r="19501" spans="5:6" ht="15" customHeight="1" x14ac:dyDescent="0.2">
      <c r="E19501" s="7"/>
      <c r="F19501" s="7"/>
    </row>
    <row r="19502" spans="5:6" ht="15" customHeight="1" x14ac:dyDescent="0.2">
      <c r="E19502" s="7"/>
      <c r="F19502" s="7"/>
    </row>
    <row r="19503" spans="5:6" ht="15" customHeight="1" x14ac:dyDescent="0.2">
      <c r="E19503" s="7"/>
      <c r="F19503" s="7"/>
    </row>
    <row r="19504" spans="5:6" ht="15" customHeight="1" x14ac:dyDescent="0.2">
      <c r="E19504" s="7"/>
      <c r="F19504" s="7"/>
    </row>
    <row r="19505" spans="5:6" ht="15" customHeight="1" x14ac:dyDescent="0.2">
      <c r="E19505" s="7"/>
      <c r="F19505" s="7"/>
    </row>
    <row r="19506" spans="5:6" ht="15" customHeight="1" x14ac:dyDescent="0.2">
      <c r="E19506" s="7"/>
      <c r="F19506" s="7"/>
    </row>
    <row r="19507" spans="5:6" ht="15" customHeight="1" x14ac:dyDescent="0.2">
      <c r="E19507" s="7"/>
      <c r="F19507" s="7"/>
    </row>
    <row r="19508" spans="5:6" ht="15" customHeight="1" x14ac:dyDescent="0.2">
      <c r="E19508" s="7"/>
      <c r="F19508" s="7"/>
    </row>
    <row r="19509" spans="5:6" ht="15" customHeight="1" x14ac:dyDescent="0.2">
      <c r="E19509" s="7"/>
      <c r="F19509" s="7"/>
    </row>
    <row r="19510" spans="5:6" ht="15" customHeight="1" x14ac:dyDescent="0.2">
      <c r="E19510" s="7"/>
      <c r="F19510" s="7"/>
    </row>
    <row r="19511" spans="5:6" ht="15" customHeight="1" x14ac:dyDescent="0.2">
      <c r="E19511" s="7"/>
      <c r="F19511" s="7"/>
    </row>
    <row r="19512" spans="5:6" ht="15" customHeight="1" x14ac:dyDescent="0.2">
      <c r="E19512" s="7"/>
      <c r="F19512" s="7"/>
    </row>
    <row r="19513" spans="5:6" ht="15" customHeight="1" x14ac:dyDescent="0.2">
      <c r="E19513" s="7"/>
      <c r="F19513" s="7"/>
    </row>
    <row r="19514" spans="5:6" ht="15" customHeight="1" x14ac:dyDescent="0.2">
      <c r="E19514" s="7"/>
      <c r="F19514" s="7"/>
    </row>
    <row r="19515" spans="5:6" ht="15" customHeight="1" x14ac:dyDescent="0.2">
      <c r="E19515" s="7"/>
      <c r="F19515" s="7"/>
    </row>
    <row r="19516" spans="5:6" ht="15" customHeight="1" x14ac:dyDescent="0.2">
      <c r="E19516" s="7"/>
      <c r="F19516" s="7"/>
    </row>
    <row r="19517" spans="5:6" ht="15" customHeight="1" x14ac:dyDescent="0.2">
      <c r="E19517" s="7"/>
      <c r="F19517" s="7"/>
    </row>
    <row r="19518" spans="5:6" ht="15" customHeight="1" x14ac:dyDescent="0.2">
      <c r="E19518" s="7"/>
      <c r="F19518" s="7"/>
    </row>
    <row r="19519" spans="5:6" ht="15" customHeight="1" x14ac:dyDescent="0.2">
      <c r="E19519" s="7"/>
      <c r="F19519" s="7"/>
    </row>
    <row r="19520" spans="5:6" ht="15" customHeight="1" x14ac:dyDescent="0.2">
      <c r="E19520" s="7"/>
      <c r="F19520" s="7"/>
    </row>
    <row r="19521" spans="5:6" ht="15" customHeight="1" x14ac:dyDescent="0.2">
      <c r="E19521" s="7"/>
      <c r="F19521" s="7"/>
    </row>
    <row r="19522" spans="5:6" ht="15" customHeight="1" x14ac:dyDescent="0.2">
      <c r="E19522" s="7"/>
      <c r="F19522" s="7"/>
    </row>
    <row r="19523" spans="5:6" ht="15" customHeight="1" x14ac:dyDescent="0.2">
      <c r="E19523" s="7"/>
      <c r="F19523" s="7"/>
    </row>
    <row r="19524" spans="5:6" ht="15" customHeight="1" x14ac:dyDescent="0.2">
      <c r="E19524" s="7"/>
      <c r="F19524" s="7"/>
    </row>
    <row r="19525" spans="5:6" ht="15" customHeight="1" x14ac:dyDescent="0.2">
      <c r="E19525" s="7"/>
      <c r="F19525" s="7"/>
    </row>
    <row r="19526" spans="5:6" ht="15" customHeight="1" x14ac:dyDescent="0.2">
      <c r="E19526" s="7"/>
      <c r="F19526" s="7"/>
    </row>
    <row r="19527" spans="5:6" ht="15" customHeight="1" x14ac:dyDescent="0.2">
      <c r="E19527" s="7"/>
      <c r="F19527" s="7"/>
    </row>
    <row r="19528" spans="5:6" ht="15" customHeight="1" x14ac:dyDescent="0.2">
      <c r="E19528" s="7"/>
      <c r="F19528" s="7"/>
    </row>
    <row r="19529" spans="5:6" ht="15" customHeight="1" x14ac:dyDescent="0.2">
      <c r="E19529" s="7"/>
      <c r="F19529" s="7"/>
    </row>
    <row r="19530" spans="5:6" ht="15" customHeight="1" x14ac:dyDescent="0.2">
      <c r="E19530" s="7"/>
      <c r="F19530" s="7"/>
    </row>
    <row r="19531" spans="5:6" ht="15" customHeight="1" x14ac:dyDescent="0.2">
      <c r="E19531" s="7"/>
      <c r="F19531" s="7"/>
    </row>
    <row r="19532" spans="5:6" ht="15" customHeight="1" x14ac:dyDescent="0.2">
      <c r="E19532" s="7"/>
      <c r="F19532" s="7"/>
    </row>
    <row r="19533" spans="5:6" ht="15" customHeight="1" x14ac:dyDescent="0.2">
      <c r="E19533" s="7"/>
      <c r="F19533" s="7"/>
    </row>
    <row r="19534" spans="5:6" ht="15" customHeight="1" x14ac:dyDescent="0.2">
      <c r="E19534" s="7"/>
      <c r="F19534" s="7"/>
    </row>
    <row r="19535" spans="5:6" ht="15" customHeight="1" x14ac:dyDescent="0.2">
      <c r="E19535" s="7"/>
      <c r="F19535" s="7"/>
    </row>
    <row r="19536" spans="5:6" ht="15" customHeight="1" x14ac:dyDescent="0.2">
      <c r="E19536" s="7"/>
      <c r="F19536" s="7"/>
    </row>
    <row r="19537" spans="5:6" ht="15" customHeight="1" x14ac:dyDescent="0.2">
      <c r="E19537" s="7"/>
      <c r="F19537" s="7"/>
    </row>
    <row r="19538" spans="5:6" ht="15" customHeight="1" x14ac:dyDescent="0.2">
      <c r="E19538" s="7"/>
      <c r="F19538" s="7"/>
    </row>
    <row r="19539" spans="5:6" ht="15" customHeight="1" x14ac:dyDescent="0.2">
      <c r="E19539" s="7"/>
      <c r="F19539" s="7"/>
    </row>
    <row r="19540" spans="5:6" ht="15" customHeight="1" x14ac:dyDescent="0.2">
      <c r="E19540" s="7"/>
      <c r="F19540" s="7"/>
    </row>
    <row r="19541" spans="5:6" ht="15" customHeight="1" x14ac:dyDescent="0.2">
      <c r="E19541" s="7"/>
      <c r="F19541" s="7"/>
    </row>
    <row r="19542" spans="5:6" ht="15" customHeight="1" x14ac:dyDescent="0.2">
      <c r="E19542" s="7"/>
      <c r="F19542" s="7"/>
    </row>
    <row r="19543" spans="5:6" ht="15" customHeight="1" x14ac:dyDescent="0.2">
      <c r="E19543" s="7"/>
      <c r="F19543" s="7"/>
    </row>
    <row r="19544" spans="5:6" ht="15" customHeight="1" x14ac:dyDescent="0.2">
      <c r="E19544" s="7"/>
      <c r="F19544" s="7"/>
    </row>
    <row r="19545" spans="5:6" ht="15" customHeight="1" x14ac:dyDescent="0.2">
      <c r="E19545" s="7"/>
      <c r="F19545" s="7"/>
    </row>
    <row r="19546" spans="5:6" ht="15" customHeight="1" x14ac:dyDescent="0.2">
      <c r="E19546" s="7"/>
      <c r="F19546" s="7"/>
    </row>
    <row r="19547" spans="5:6" ht="15" customHeight="1" x14ac:dyDescent="0.2">
      <c r="E19547" s="7"/>
      <c r="F19547" s="7"/>
    </row>
    <row r="19548" spans="5:6" ht="15" customHeight="1" x14ac:dyDescent="0.2">
      <c r="E19548" s="7"/>
      <c r="F19548" s="7"/>
    </row>
    <row r="19549" spans="5:6" ht="15" customHeight="1" x14ac:dyDescent="0.2">
      <c r="E19549" s="7"/>
      <c r="F19549" s="7"/>
    </row>
    <row r="19550" spans="5:6" ht="15" customHeight="1" x14ac:dyDescent="0.2">
      <c r="E19550" s="7"/>
      <c r="F19550" s="7"/>
    </row>
    <row r="19551" spans="5:6" ht="15" customHeight="1" x14ac:dyDescent="0.2">
      <c r="E19551" s="7"/>
      <c r="F19551" s="7"/>
    </row>
    <row r="19552" spans="5:6" ht="15" customHeight="1" x14ac:dyDescent="0.2">
      <c r="E19552" s="7"/>
      <c r="F19552" s="7"/>
    </row>
    <row r="19553" spans="5:6" ht="15" customHeight="1" x14ac:dyDescent="0.2">
      <c r="E19553" s="7"/>
      <c r="F19553" s="7"/>
    </row>
    <row r="19554" spans="5:6" ht="15" customHeight="1" x14ac:dyDescent="0.2">
      <c r="E19554" s="7"/>
      <c r="F19554" s="7"/>
    </row>
    <row r="19555" spans="5:6" ht="15" customHeight="1" x14ac:dyDescent="0.2">
      <c r="E19555" s="7"/>
      <c r="F19555" s="7"/>
    </row>
    <row r="19556" spans="5:6" ht="15" customHeight="1" x14ac:dyDescent="0.2">
      <c r="E19556" s="7"/>
      <c r="F19556" s="7"/>
    </row>
    <row r="19557" spans="5:6" ht="15" customHeight="1" x14ac:dyDescent="0.2">
      <c r="E19557" s="7"/>
      <c r="F19557" s="7"/>
    </row>
    <row r="19558" spans="5:6" ht="15" customHeight="1" x14ac:dyDescent="0.2">
      <c r="E19558" s="7"/>
      <c r="F19558" s="7"/>
    </row>
    <row r="19559" spans="5:6" ht="15" customHeight="1" x14ac:dyDescent="0.2">
      <c r="E19559" s="7"/>
      <c r="F19559" s="7"/>
    </row>
    <row r="19560" spans="5:6" ht="15" customHeight="1" x14ac:dyDescent="0.2">
      <c r="E19560" s="7"/>
      <c r="F19560" s="7"/>
    </row>
    <row r="19561" spans="5:6" ht="15" customHeight="1" x14ac:dyDescent="0.2">
      <c r="E19561" s="7"/>
      <c r="F19561" s="7"/>
    </row>
    <row r="19562" spans="5:6" ht="15" customHeight="1" x14ac:dyDescent="0.2">
      <c r="E19562" s="7"/>
      <c r="F19562" s="7"/>
    </row>
    <row r="19563" spans="5:6" ht="15" customHeight="1" x14ac:dyDescent="0.2">
      <c r="E19563" s="7"/>
      <c r="F19563" s="7"/>
    </row>
    <row r="19564" spans="5:6" ht="15" customHeight="1" x14ac:dyDescent="0.2">
      <c r="E19564" s="7"/>
      <c r="F19564" s="7"/>
    </row>
    <row r="19565" spans="5:6" ht="15" customHeight="1" x14ac:dyDescent="0.2">
      <c r="E19565" s="7"/>
      <c r="F19565" s="7"/>
    </row>
    <row r="19566" spans="5:6" ht="15" customHeight="1" x14ac:dyDescent="0.2">
      <c r="E19566" s="7"/>
      <c r="F19566" s="7"/>
    </row>
    <row r="19567" spans="5:6" ht="15" customHeight="1" x14ac:dyDescent="0.2">
      <c r="E19567" s="7"/>
      <c r="F19567" s="7"/>
    </row>
    <row r="19568" spans="5:6" ht="15" customHeight="1" x14ac:dyDescent="0.2">
      <c r="E19568" s="7"/>
      <c r="F19568" s="7"/>
    </row>
    <row r="19569" spans="5:6" ht="15" customHeight="1" x14ac:dyDescent="0.2">
      <c r="E19569" s="7"/>
      <c r="F19569" s="7"/>
    </row>
    <row r="19570" spans="5:6" ht="15" customHeight="1" x14ac:dyDescent="0.2">
      <c r="E19570" s="7"/>
      <c r="F19570" s="7"/>
    </row>
    <row r="19571" spans="5:6" ht="15" customHeight="1" x14ac:dyDescent="0.2">
      <c r="E19571" s="7"/>
      <c r="F19571" s="7"/>
    </row>
    <row r="19572" spans="5:6" ht="15" customHeight="1" x14ac:dyDescent="0.2">
      <c r="E19572" s="7"/>
      <c r="F19572" s="7"/>
    </row>
    <row r="19573" spans="5:6" ht="15" customHeight="1" x14ac:dyDescent="0.2">
      <c r="E19573" s="7"/>
      <c r="F19573" s="7"/>
    </row>
    <row r="19574" spans="5:6" ht="15" customHeight="1" x14ac:dyDescent="0.2">
      <c r="E19574" s="7"/>
      <c r="F19574" s="7"/>
    </row>
    <row r="19575" spans="5:6" ht="15" customHeight="1" x14ac:dyDescent="0.2">
      <c r="E19575" s="7"/>
      <c r="F19575" s="7"/>
    </row>
    <row r="19576" spans="5:6" ht="15" customHeight="1" x14ac:dyDescent="0.2">
      <c r="E19576" s="7"/>
      <c r="F19576" s="7"/>
    </row>
    <row r="19577" spans="5:6" ht="15" customHeight="1" x14ac:dyDescent="0.2">
      <c r="E19577" s="7"/>
      <c r="F19577" s="7"/>
    </row>
    <row r="19578" spans="5:6" ht="15" customHeight="1" x14ac:dyDescent="0.2">
      <c r="E19578" s="7"/>
      <c r="F19578" s="7"/>
    </row>
    <row r="19579" spans="5:6" ht="15" customHeight="1" x14ac:dyDescent="0.2">
      <c r="E19579" s="7"/>
      <c r="F19579" s="7"/>
    </row>
    <row r="19580" spans="5:6" ht="15" customHeight="1" x14ac:dyDescent="0.2">
      <c r="E19580" s="7"/>
      <c r="F19580" s="7"/>
    </row>
    <row r="19581" spans="5:6" ht="15" customHeight="1" x14ac:dyDescent="0.2">
      <c r="E19581" s="7"/>
      <c r="F19581" s="7"/>
    </row>
    <row r="19582" spans="5:6" ht="15" customHeight="1" x14ac:dyDescent="0.2">
      <c r="E19582" s="7"/>
      <c r="F19582" s="7"/>
    </row>
    <row r="19583" spans="5:6" ht="15" customHeight="1" x14ac:dyDescent="0.2">
      <c r="E19583" s="7"/>
      <c r="F19583" s="7"/>
    </row>
    <row r="19584" spans="5:6" ht="15" customHeight="1" x14ac:dyDescent="0.2">
      <c r="E19584" s="7"/>
      <c r="F19584" s="7"/>
    </row>
    <row r="19585" spans="5:6" ht="15" customHeight="1" x14ac:dyDescent="0.2">
      <c r="E19585" s="7"/>
      <c r="F19585" s="7"/>
    </row>
    <row r="19586" spans="5:6" ht="15" customHeight="1" x14ac:dyDescent="0.2">
      <c r="E19586" s="7"/>
      <c r="F19586" s="7"/>
    </row>
    <row r="19587" spans="5:6" ht="15" customHeight="1" x14ac:dyDescent="0.2">
      <c r="E19587" s="7"/>
      <c r="F19587" s="7"/>
    </row>
    <row r="19588" spans="5:6" ht="15" customHeight="1" x14ac:dyDescent="0.2">
      <c r="E19588" s="7"/>
      <c r="F19588" s="7"/>
    </row>
    <row r="19589" spans="5:6" ht="15" customHeight="1" x14ac:dyDescent="0.2">
      <c r="E19589" s="7"/>
      <c r="F19589" s="7"/>
    </row>
    <row r="19590" spans="5:6" ht="15" customHeight="1" x14ac:dyDescent="0.2">
      <c r="E19590" s="7"/>
      <c r="F19590" s="7"/>
    </row>
    <row r="19591" spans="5:6" ht="15" customHeight="1" x14ac:dyDescent="0.2">
      <c r="E19591" s="7"/>
      <c r="F19591" s="7"/>
    </row>
    <row r="19592" spans="5:6" ht="15" customHeight="1" x14ac:dyDescent="0.2">
      <c r="E19592" s="7"/>
      <c r="F19592" s="7"/>
    </row>
    <row r="19593" spans="5:6" ht="15" customHeight="1" x14ac:dyDescent="0.2">
      <c r="E19593" s="7"/>
      <c r="F19593" s="7"/>
    </row>
    <row r="19594" spans="5:6" ht="15" customHeight="1" x14ac:dyDescent="0.2">
      <c r="E19594" s="7"/>
      <c r="F19594" s="7"/>
    </row>
    <row r="19595" spans="5:6" ht="15" customHeight="1" x14ac:dyDescent="0.2">
      <c r="E19595" s="7"/>
      <c r="F19595" s="7"/>
    </row>
    <row r="19596" spans="5:6" ht="15" customHeight="1" x14ac:dyDescent="0.2">
      <c r="E19596" s="7"/>
      <c r="F19596" s="7"/>
    </row>
    <row r="19597" spans="5:6" ht="15" customHeight="1" x14ac:dyDescent="0.2">
      <c r="E19597" s="7"/>
      <c r="F19597" s="7"/>
    </row>
    <row r="19598" spans="5:6" ht="15" customHeight="1" x14ac:dyDescent="0.2">
      <c r="E19598" s="7"/>
      <c r="F19598" s="7"/>
    </row>
    <row r="19599" spans="5:6" ht="15" customHeight="1" x14ac:dyDescent="0.2">
      <c r="E19599" s="7"/>
      <c r="F19599" s="7"/>
    </row>
    <row r="19600" spans="5:6" ht="15" customHeight="1" x14ac:dyDescent="0.2">
      <c r="E19600" s="7"/>
      <c r="F19600" s="7"/>
    </row>
    <row r="19601" spans="5:6" ht="15" customHeight="1" x14ac:dyDescent="0.2">
      <c r="E19601" s="7"/>
      <c r="F19601" s="7"/>
    </row>
    <row r="19602" spans="5:6" ht="15" customHeight="1" x14ac:dyDescent="0.2">
      <c r="E19602" s="7"/>
      <c r="F19602" s="7"/>
    </row>
    <row r="19603" spans="5:6" ht="15" customHeight="1" x14ac:dyDescent="0.2">
      <c r="E19603" s="7"/>
      <c r="F19603" s="7"/>
    </row>
    <row r="19604" spans="5:6" ht="15" customHeight="1" x14ac:dyDescent="0.2">
      <c r="E19604" s="7"/>
      <c r="F19604" s="7"/>
    </row>
    <row r="19605" spans="5:6" ht="15" customHeight="1" x14ac:dyDescent="0.2">
      <c r="E19605" s="7"/>
      <c r="F19605" s="7"/>
    </row>
    <row r="19606" spans="5:6" ht="15" customHeight="1" x14ac:dyDescent="0.2">
      <c r="E19606" s="7"/>
      <c r="F19606" s="7"/>
    </row>
    <row r="19607" spans="5:6" ht="15" customHeight="1" x14ac:dyDescent="0.2">
      <c r="E19607" s="7"/>
      <c r="F19607" s="7"/>
    </row>
    <row r="19608" spans="5:6" ht="15" customHeight="1" x14ac:dyDescent="0.2">
      <c r="E19608" s="7"/>
      <c r="F19608" s="7"/>
    </row>
    <row r="19609" spans="5:6" ht="15" customHeight="1" x14ac:dyDescent="0.2">
      <c r="E19609" s="7"/>
      <c r="F19609" s="7"/>
    </row>
    <row r="19610" spans="5:6" ht="15" customHeight="1" x14ac:dyDescent="0.2">
      <c r="E19610" s="7"/>
      <c r="F19610" s="7"/>
    </row>
    <row r="19611" spans="5:6" ht="15" customHeight="1" x14ac:dyDescent="0.2">
      <c r="E19611" s="7"/>
      <c r="F19611" s="7"/>
    </row>
    <row r="19612" spans="5:6" ht="15" customHeight="1" x14ac:dyDescent="0.2">
      <c r="E19612" s="7"/>
      <c r="F19612" s="7"/>
    </row>
    <row r="19613" spans="5:6" ht="15" customHeight="1" x14ac:dyDescent="0.2">
      <c r="E19613" s="7"/>
      <c r="F19613" s="7"/>
    </row>
    <row r="19614" spans="5:6" ht="15" customHeight="1" x14ac:dyDescent="0.2">
      <c r="E19614" s="7"/>
      <c r="F19614" s="7"/>
    </row>
    <row r="19615" spans="5:6" ht="15" customHeight="1" x14ac:dyDescent="0.2">
      <c r="E19615" s="7"/>
      <c r="F19615" s="7"/>
    </row>
    <row r="19616" spans="5:6" ht="15" customHeight="1" x14ac:dyDescent="0.2">
      <c r="E19616" s="7"/>
      <c r="F19616" s="7"/>
    </row>
    <row r="19617" spans="5:6" ht="15" customHeight="1" x14ac:dyDescent="0.2">
      <c r="E19617" s="7"/>
      <c r="F19617" s="7"/>
    </row>
    <row r="19618" spans="5:6" ht="15" customHeight="1" x14ac:dyDescent="0.2">
      <c r="E19618" s="7"/>
      <c r="F19618" s="7"/>
    </row>
    <row r="19619" spans="5:6" ht="15" customHeight="1" x14ac:dyDescent="0.2">
      <c r="E19619" s="7"/>
      <c r="F19619" s="7"/>
    </row>
    <row r="19620" spans="5:6" ht="15" customHeight="1" x14ac:dyDescent="0.2">
      <c r="E19620" s="7"/>
      <c r="F19620" s="7"/>
    </row>
    <row r="19621" spans="5:6" ht="15" customHeight="1" x14ac:dyDescent="0.2">
      <c r="E19621" s="7"/>
      <c r="F19621" s="7"/>
    </row>
    <row r="19622" spans="5:6" ht="15" customHeight="1" x14ac:dyDescent="0.2">
      <c r="E19622" s="7"/>
      <c r="F19622" s="7"/>
    </row>
    <row r="19623" spans="5:6" ht="15" customHeight="1" x14ac:dyDescent="0.2">
      <c r="E19623" s="7"/>
      <c r="F19623" s="7"/>
    </row>
    <row r="19624" spans="5:6" ht="15" customHeight="1" x14ac:dyDescent="0.2">
      <c r="E19624" s="7"/>
      <c r="F19624" s="7"/>
    </row>
    <row r="19625" spans="5:6" ht="15" customHeight="1" x14ac:dyDescent="0.2">
      <c r="E19625" s="7"/>
      <c r="F19625" s="7"/>
    </row>
    <row r="19626" spans="5:6" ht="15" customHeight="1" x14ac:dyDescent="0.2">
      <c r="E19626" s="7"/>
      <c r="F19626" s="7"/>
    </row>
    <row r="19627" spans="5:6" ht="15" customHeight="1" x14ac:dyDescent="0.2">
      <c r="E19627" s="7"/>
      <c r="F19627" s="7"/>
    </row>
    <row r="19628" spans="5:6" ht="15" customHeight="1" x14ac:dyDescent="0.2">
      <c r="E19628" s="7"/>
      <c r="F19628" s="7"/>
    </row>
    <row r="19629" spans="5:6" ht="15" customHeight="1" x14ac:dyDescent="0.2">
      <c r="E19629" s="7"/>
      <c r="F19629" s="7"/>
    </row>
    <row r="19630" spans="5:6" ht="15" customHeight="1" x14ac:dyDescent="0.2">
      <c r="E19630" s="7"/>
      <c r="F19630" s="7"/>
    </row>
    <row r="19631" spans="5:6" ht="15" customHeight="1" x14ac:dyDescent="0.2">
      <c r="E19631" s="7"/>
      <c r="F19631" s="7"/>
    </row>
    <row r="19632" spans="5:6" ht="15" customHeight="1" x14ac:dyDescent="0.2">
      <c r="E19632" s="7"/>
      <c r="F19632" s="7"/>
    </row>
    <row r="19633" spans="5:6" ht="15" customHeight="1" x14ac:dyDescent="0.2">
      <c r="E19633" s="7"/>
      <c r="F19633" s="7"/>
    </row>
    <row r="19634" spans="5:6" ht="15" customHeight="1" x14ac:dyDescent="0.2">
      <c r="E19634" s="7"/>
      <c r="F19634" s="7"/>
    </row>
    <row r="19635" spans="5:6" ht="15" customHeight="1" x14ac:dyDescent="0.2">
      <c r="E19635" s="7"/>
      <c r="F19635" s="7"/>
    </row>
    <row r="19636" spans="5:6" ht="15" customHeight="1" x14ac:dyDescent="0.2">
      <c r="E19636" s="7"/>
      <c r="F19636" s="7"/>
    </row>
    <row r="19637" spans="5:6" ht="15" customHeight="1" x14ac:dyDescent="0.2">
      <c r="E19637" s="7"/>
      <c r="F19637" s="7"/>
    </row>
    <row r="19638" spans="5:6" ht="15" customHeight="1" x14ac:dyDescent="0.2">
      <c r="E19638" s="7"/>
      <c r="F19638" s="7"/>
    </row>
    <row r="19639" spans="5:6" ht="15" customHeight="1" x14ac:dyDescent="0.2">
      <c r="E19639" s="7"/>
      <c r="F19639" s="7"/>
    </row>
    <row r="19640" spans="5:6" ht="15" customHeight="1" x14ac:dyDescent="0.2">
      <c r="E19640" s="7"/>
      <c r="F19640" s="7"/>
    </row>
    <row r="19641" spans="5:6" ht="15" customHeight="1" x14ac:dyDescent="0.2">
      <c r="E19641" s="7"/>
      <c r="F19641" s="7"/>
    </row>
    <row r="19642" spans="5:6" ht="15" customHeight="1" x14ac:dyDescent="0.2">
      <c r="E19642" s="7"/>
      <c r="F19642" s="7"/>
    </row>
    <row r="19643" spans="5:6" ht="15" customHeight="1" x14ac:dyDescent="0.2">
      <c r="E19643" s="7"/>
      <c r="F19643" s="7"/>
    </row>
    <row r="19644" spans="5:6" ht="15" customHeight="1" x14ac:dyDescent="0.2">
      <c r="E19644" s="7"/>
      <c r="F19644" s="7"/>
    </row>
    <row r="19645" spans="5:6" ht="15" customHeight="1" x14ac:dyDescent="0.2">
      <c r="E19645" s="7"/>
      <c r="F19645" s="7"/>
    </row>
    <row r="19646" spans="5:6" ht="15" customHeight="1" x14ac:dyDescent="0.2">
      <c r="E19646" s="7"/>
      <c r="F19646" s="7"/>
    </row>
    <row r="19647" spans="5:6" ht="15" customHeight="1" x14ac:dyDescent="0.2">
      <c r="E19647" s="7"/>
      <c r="F19647" s="7"/>
    </row>
    <row r="19648" spans="5:6" ht="15" customHeight="1" x14ac:dyDescent="0.2">
      <c r="E19648" s="7"/>
      <c r="F19648" s="7"/>
    </row>
    <row r="19649" spans="5:6" ht="15" customHeight="1" x14ac:dyDescent="0.2">
      <c r="E19649" s="7"/>
      <c r="F19649" s="7"/>
    </row>
    <row r="19650" spans="5:6" ht="15" customHeight="1" x14ac:dyDescent="0.2">
      <c r="E19650" s="7"/>
      <c r="F19650" s="7"/>
    </row>
    <row r="19651" spans="5:6" ht="15" customHeight="1" x14ac:dyDescent="0.2">
      <c r="E19651" s="7"/>
      <c r="F19651" s="7"/>
    </row>
    <row r="19652" spans="5:6" ht="15" customHeight="1" x14ac:dyDescent="0.2">
      <c r="E19652" s="7"/>
      <c r="F19652" s="7"/>
    </row>
    <row r="19653" spans="5:6" ht="15" customHeight="1" x14ac:dyDescent="0.2">
      <c r="E19653" s="7"/>
      <c r="F19653" s="7"/>
    </row>
    <row r="19654" spans="5:6" ht="15" customHeight="1" x14ac:dyDescent="0.2">
      <c r="E19654" s="7"/>
      <c r="F19654" s="7"/>
    </row>
    <row r="19655" spans="5:6" ht="15" customHeight="1" x14ac:dyDescent="0.2">
      <c r="E19655" s="7"/>
      <c r="F19655" s="7"/>
    </row>
    <row r="19656" spans="5:6" ht="15" customHeight="1" x14ac:dyDescent="0.2">
      <c r="E19656" s="7"/>
      <c r="F19656" s="7"/>
    </row>
    <row r="19657" spans="5:6" ht="15" customHeight="1" x14ac:dyDescent="0.2">
      <c r="E19657" s="7"/>
      <c r="F19657" s="7"/>
    </row>
    <row r="19658" spans="5:6" ht="15" customHeight="1" x14ac:dyDescent="0.2">
      <c r="E19658" s="7"/>
      <c r="F19658" s="7"/>
    </row>
    <row r="19659" spans="5:6" ht="15" customHeight="1" x14ac:dyDescent="0.2">
      <c r="E19659" s="7"/>
      <c r="F19659" s="7"/>
    </row>
    <row r="19660" spans="5:6" ht="15" customHeight="1" x14ac:dyDescent="0.2">
      <c r="E19660" s="7"/>
      <c r="F19660" s="7"/>
    </row>
    <row r="19661" spans="5:6" ht="15" customHeight="1" x14ac:dyDescent="0.2">
      <c r="E19661" s="7"/>
      <c r="F19661" s="7"/>
    </row>
    <row r="19662" spans="5:6" ht="15" customHeight="1" x14ac:dyDescent="0.2">
      <c r="E19662" s="7"/>
      <c r="F19662" s="7"/>
    </row>
    <row r="19663" spans="5:6" ht="15" customHeight="1" x14ac:dyDescent="0.2">
      <c r="E19663" s="7"/>
      <c r="F19663" s="7"/>
    </row>
    <row r="19664" spans="5:6" ht="15" customHeight="1" x14ac:dyDescent="0.2">
      <c r="E19664" s="7"/>
      <c r="F19664" s="7"/>
    </row>
    <row r="19665" spans="5:6" ht="15" customHeight="1" x14ac:dyDescent="0.2">
      <c r="E19665" s="7"/>
      <c r="F19665" s="7"/>
    </row>
    <row r="19666" spans="5:6" ht="15" customHeight="1" x14ac:dyDescent="0.2">
      <c r="E19666" s="7"/>
      <c r="F19666" s="7"/>
    </row>
    <row r="19667" spans="5:6" ht="15" customHeight="1" x14ac:dyDescent="0.2">
      <c r="E19667" s="7"/>
      <c r="F19667" s="7"/>
    </row>
    <row r="19668" spans="5:6" ht="15" customHeight="1" x14ac:dyDescent="0.2">
      <c r="E19668" s="7"/>
      <c r="F19668" s="7"/>
    </row>
    <row r="19669" spans="5:6" ht="15" customHeight="1" x14ac:dyDescent="0.2">
      <c r="E19669" s="7"/>
      <c r="F19669" s="7"/>
    </row>
    <row r="19670" spans="5:6" ht="15" customHeight="1" x14ac:dyDescent="0.2">
      <c r="E19670" s="7"/>
      <c r="F19670" s="7"/>
    </row>
    <row r="19671" spans="5:6" ht="15" customHeight="1" x14ac:dyDescent="0.2">
      <c r="E19671" s="7"/>
      <c r="F19671" s="7"/>
    </row>
    <row r="19672" spans="5:6" ht="15" customHeight="1" x14ac:dyDescent="0.2">
      <c r="E19672" s="7"/>
      <c r="F19672" s="7"/>
    </row>
    <row r="19673" spans="5:6" ht="15" customHeight="1" x14ac:dyDescent="0.2">
      <c r="E19673" s="7"/>
      <c r="F19673" s="7"/>
    </row>
    <row r="19674" spans="5:6" ht="15" customHeight="1" x14ac:dyDescent="0.2">
      <c r="E19674" s="7"/>
      <c r="F19674" s="7"/>
    </row>
    <row r="19675" spans="5:6" ht="15" customHeight="1" x14ac:dyDescent="0.2">
      <c r="E19675" s="7"/>
      <c r="F19675" s="7"/>
    </row>
    <row r="19676" spans="5:6" ht="15" customHeight="1" x14ac:dyDescent="0.2">
      <c r="E19676" s="7"/>
      <c r="F19676" s="7"/>
    </row>
    <row r="19677" spans="5:6" ht="15" customHeight="1" x14ac:dyDescent="0.2">
      <c r="E19677" s="7"/>
      <c r="F19677" s="7"/>
    </row>
    <row r="19678" spans="5:6" ht="15" customHeight="1" x14ac:dyDescent="0.2">
      <c r="E19678" s="7"/>
      <c r="F19678" s="7"/>
    </row>
    <row r="19679" spans="5:6" ht="15" customHeight="1" x14ac:dyDescent="0.2">
      <c r="E19679" s="7"/>
      <c r="F19679" s="7"/>
    </row>
    <row r="19680" spans="5:6" ht="15" customHeight="1" x14ac:dyDescent="0.2">
      <c r="E19680" s="7"/>
      <c r="F19680" s="7"/>
    </row>
    <row r="19681" spans="5:6" ht="15" customHeight="1" x14ac:dyDescent="0.2">
      <c r="E19681" s="7"/>
      <c r="F19681" s="7"/>
    </row>
    <row r="19682" spans="5:6" ht="15" customHeight="1" x14ac:dyDescent="0.2">
      <c r="E19682" s="7"/>
      <c r="F19682" s="7"/>
    </row>
    <row r="19683" spans="5:6" ht="15" customHeight="1" x14ac:dyDescent="0.2">
      <c r="E19683" s="7"/>
      <c r="F19683" s="7"/>
    </row>
    <row r="19684" spans="5:6" ht="15" customHeight="1" x14ac:dyDescent="0.2">
      <c r="E19684" s="7"/>
      <c r="F19684" s="7"/>
    </row>
    <row r="19685" spans="5:6" ht="15" customHeight="1" x14ac:dyDescent="0.2">
      <c r="E19685" s="7"/>
      <c r="F19685" s="7"/>
    </row>
    <row r="19686" spans="5:6" ht="15" customHeight="1" x14ac:dyDescent="0.2">
      <c r="E19686" s="7"/>
      <c r="F19686" s="7"/>
    </row>
    <row r="19687" spans="5:6" ht="15" customHeight="1" x14ac:dyDescent="0.2">
      <c r="E19687" s="7"/>
      <c r="F19687" s="7"/>
    </row>
    <row r="19688" spans="5:6" ht="15" customHeight="1" x14ac:dyDescent="0.2">
      <c r="E19688" s="7"/>
      <c r="F19688" s="7"/>
    </row>
    <row r="19689" spans="5:6" ht="15" customHeight="1" x14ac:dyDescent="0.2">
      <c r="E19689" s="7"/>
      <c r="F19689" s="7"/>
    </row>
    <row r="19690" spans="5:6" ht="15" customHeight="1" x14ac:dyDescent="0.2">
      <c r="E19690" s="7"/>
      <c r="F19690" s="7"/>
    </row>
    <row r="19691" spans="5:6" ht="15" customHeight="1" x14ac:dyDescent="0.2">
      <c r="E19691" s="7"/>
      <c r="F19691" s="7"/>
    </row>
    <row r="19692" spans="5:6" ht="15" customHeight="1" x14ac:dyDescent="0.2">
      <c r="E19692" s="7"/>
      <c r="F19692" s="7"/>
    </row>
    <row r="19693" spans="5:6" ht="15" customHeight="1" x14ac:dyDescent="0.2">
      <c r="E19693" s="7"/>
      <c r="F19693" s="7"/>
    </row>
    <row r="19694" spans="5:6" ht="15" customHeight="1" x14ac:dyDescent="0.2">
      <c r="E19694" s="7"/>
      <c r="F19694" s="7"/>
    </row>
    <row r="19695" spans="5:6" ht="15" customHeight="1" x14ac:dyDescent="0.2">
      <c r="E19695" s="7"/>
      <c r="F19695" s="7"/>
    </row>
    <row r="19696" spans="5:6" ht="15" customHeight="1" x14ac:dyDescent="0.2">
      <c r="E19696" s="7"/>
      <c r="F19696" s="7"/>
    </row>
    <row r="19697" spans="5:6" ht="15" customHeight="1" x14ac:dyDescent="0.2">
      <c r="E19697" s="7"/>
      <c r="F19697" s="7"/>
    </row>
    <row r="19698" spans="5:6" ht="15" customHeight="1" x14ac:dyDescent="0.2">
      <c r="E19698" s="7"/>
      <c r="F19698" s="7"/>
    </row>
    <row r="19699" spans="5:6" ht="15" customHeight="1" x14ac:dyDescent="0.2">
      <c r="E19699" s="7"/>
      <c r="F19699" s="7"/>
    </row>
    <row r="19700" spans="5:6" ht="15" customHeight="1" x14ac:dyDescent="0.2">
      <c r="E19700" s="7"/>
      <c r="F19700" s="7"/>
    </row>
    <row r="19701" spans="5:6" ht="15" customHeight="1" x14ac:dyDescent="0.2">
      <c r="E19701" s="7"/>
      <c r="F19701" s="7"/>
    </row>
    <row r="19702" spans="5:6" ht="15" customHeight="1" x14ac:dyDescent="0.2">
      <c r="E19702" s="7"/>
      <c r="F19702" s="7"/>
    </row>
    <row r="19703" spans="5:6" ht="15" customHeight="1" x14ac:dyDescent="0.2">
      <c r="E19703" s="7"/>
      <c r="F19703" s="7"/>
    </row>
    <row r="19704" spans="5:6" ht="15" customHeight="1" x14ac:dyDescent="0.2">
      <c r="E19704" s="7"/>
      <c r="F19704" s="7"/>
    </row>
    <row r="19705" spans="5:6" ht="15" customHeight="1" x14ac:dyDescent="0.2">
      <c r="E19705" s="7"/>
      <c r="F19705" s="7"/>
    </row>
    <row r="19706" spans="5:6" ht="15" customHeight="1" x14ac:dyDescent="0.2">
      <c r="E19706" s="7"/>
      <c r="F19706" s="7"/>
    </row>
    <row r="19707" spans="5:6" ht="15" customHeight="1" x14ac:dyDescent="0.2">
      <c r="E19707" s="7"/>
      <c r="F19707" s="7"/>
    </row>
    <row r="19708" spans="5:6" ht="15" customHeight="1" x14ac:dyDescent="0.2">
      <c r="E19708" s="7"/>
      <c r="F19708" s="7"/>
    </row>
    <row r="19709" spans="5:6" ht="15" customHeight="1" x14ac:dyDescent="0.2">
      <c r="E19709" s="7"/>
      <c r="F19709" s="7"/>
    </row>
    <row r="19710" spans="5:6" ht="15" customHeight="1" x14ac:dyDescent="0.2">
      <c r="E19710" s="7"/>
      <c r="F19710" s="7"/>
    </row>
    <row r="19711" spans="5:6" ht="15" customHeight="1" x14ac:dyDescent="0.2">
      <c r="E19711" s="7"/>
      <c r="F19711" s="7"/>
    </row>
    <row r="19712" spans="5:6" ht="15" customHeight="1" x14ac:dyDescent="0.2">
      <c r="E19712" s="7"/>
      <c r="F19712" s="7"/>
    </row>
    <row r="19713" spans="5:6" ht="15" customHeight="1" x14ac:dyDescent="0.2">
      <c r="E19713" s="7"/>
      <c r="F19713" s="7"/>
    </row>
    <row r="19714" spans="5:6" ht="15" customHeight="1" x14ac:dyDescent="0.2">
      <c r="E19714" s="7"/>
      <c r="F19714" s="7"/>
    </row>
    <row r="19715" spans="5:6" ht="15" customHeight="1" x14ac:dyDescent="0.2">
      <c r="E19715" s="7"/>
      <c r="F19715" s="7"/>
    </row>
    <row r="19716" spans="5:6" ht="15" customHeight="1" x14ac:dyDescent="0.2">
      <c r="E19716" s="7"/>
      <c r="F19716" s="7"/>
    </row>
    <row r="19717" spans="5:6" ht="15" customHeight="1" x14ac:dyDescent="0.2">
      <c r="E19717" s="7"/>
      <c r="F19717" s="7"/>
    </row>
    <row r="19718" spans="5:6" ht="15" customHeight="1" x14ac:dyDescent="0.2">
      <c r="E19718" s="7"/>
      <c r="F19718" s="7"/>
    </row>
    <row r="19719" spans="5:6" ht="15" customHeight="1" x14ac:dyDescent="0.2">
      <c r="E19719" s="7"/>
      <c r="F19719" s="7"/>
    </row>
    <row r="19720" spans="5:6" ht="15" customHeight="1" x14ac:dyDescent="0.2">
      <c r="E19720" s="7"/>
      <c r="F19720" s="7"/>
    </row>
    <row r="19721" spans="5:6" ht="15" customHeight="1" x14ac:dyDescent="0.2">
      <c r="E19721" s="7"/>
      <c r="F19721" s="7"/>
    </row>
    <row r="19722" spans="5:6" ht="15" customHeight="1" x14ac:dyDescent="0.2">
      <c r="E19722" s="7"/>
      <c r="F19722" s="7"/>
    </row>
    <row r="19723" spans="5:6" ht="15" customHeight="1" x14ac:dyDescent="0.2">
      <c r="E19723" s="7"/>
      <c r="F19723" s="7"/>
    </row>
    <row r="19724" spans="5:6" ht="15" customHeight="1" x14ac:dyDescent="0.2">
      <c r="E19724" s="7"/>
      <c r="F19724" s="7"/>
    </row>
    <row r="19725" spans="5:6" ht="15" customHeight="1" x14ac:dyDescent="0.2">
      <c r="E19725" s="7"/>
      <c r="F19725" s="7"/>
    </row>
    <row r="19726" spans="5:6" ht="15" customHeight="1" x14ac:dyDescent="0.2">
      <c r="E19726" s="7"/>
      <c r="F19726" s="7"/>
    </row>
    <row r="19727" spans="5:6" ht="15" customHeight="1" x14ac:dyDescent="0.2">
      <c r="E19727" s="7"/>
      <c r="F19727" s="7"/>
    </row>
    <row r="19728" spans="5:6" ht="15" customHeight="1" x14ac:dyDescent="0.2">
      <c r="E19728" s="7"/>
      <c r="F19728" s="7"/>
    </row>
    <row r="19729" spans="5:6" ht="15" customHeight="1" x14ac:dyDescent="0.2">
      <c r="E19729" s="7"/>
      <c r="F19729" s="7"/>
    </row>
    <row r="19730" spans="5:6" ht="15" customHeight="1" x14ac:dyDescent="0.2">
      <c r="E19730" s="7"/>
      <c r="F19730" s="7"/>
    </row>
    <row r="19731" spans="5:6" ht="15" customHeight="1" x14ac:dyDescent="0.2">
      <c r="E19731" s="7"/>
      <c r="F19731" s="7"/>
    </row>
    <row r="19732" spans="5:6" ht="15" customHeight="1" x14ac:dyDescent="0.2">
      <c r="E19732" s="7"/>
      <c r="F19732" s="7"/>
    </row>
    <row r="19733" spans="5:6" ht="15" customHeight="1" x14ac:dyDescent="0.2">
      <c r="E19733" s="7"/>
      <c r="F19733" s="7"/>
    </row>
    <row r="19734" spans="5:6" ht="15" customHeight="1" x14ac:dyDescent="0.2">
      <c r="E19734" s="7"/>
      <c r="F19734" s="7"/>
    </row>
    <row r="19735" spans="5:6" ht="15" customHeight="1" x14ac:dyDescent="0.2">
      <c r="E19735" s="7"/>
      <c r="F19735" s="7"/>
    </row>
    <row r="19736" spans="5:6" ht="15" customHeight="1" x14ac:dyDescent="0.2">
      <c r="E19736" s="7"/>
      <c r="F19736" s="7"/>
    </row>
    <row r="19737" spans="5:6" ht="15" customHeight="1" x14ac:dyDescent="0.2">
      <c r="E19737" s="7"/>
      <c r="F19737" s="7"/>
    </row>
    <row r="19738" spans="5:6" ht="15" customHeight="1" x14ac:dyDescent="0.2">
      <c r="E19738" s="7"/>
      <c r="F19738" s="7"/>
    </row>
    <row r="19739" spans="5:6" ht="15" customHeight="1" x14ac:dyDescent="0.2">
      <c r="E19739" s="7"/>
      <c r="F19739" s="7"/>
    </row>
    <row r="19740" spans="5:6" ht="15" customHeight="1" x14ac:dyDescent="0.2">
      <c r="E19740" s="7"/>
      <c r="F19740" s="7"/>
    </row>
    <row r="19741" spans="5:6" ht="15" customHeight="1" x14ac:dyDescent="0.2">
      <c r="E19741" s="7"/>
      <c r="F19741" s="7"/>
    </row>
    <row r="19742" spans="5:6" ht="15" customHeight="1" x14ac:dyDescent="0.2">
      <c r="E19742" s="7"/>
      <c r="F19742" s="7"/>
    </row>
    <row r="19743" spans="5:6" ht="15" customHeight="1" x14ac:dyDescent="0.2">
      <c r="E19743" s="7"/>
      <c r="F19743" s="7"/>
    </row>
    <row r="19744" spans="5:6" ht="15" customHeight="1" x14ac:dyDescent="0.2">
      <c r="E19744" s="7"/>
      <c r="F19744" s="7"/>
    </row>
    <row r="19745" spans="5:6" ht="15" customHeight="1" x14ac:dyDescent="0.2">
      <c r="E19745" s="7"/>
      <c r="F19745" s="7"/>
    </row>
    <row r="19746" spans="5:6" ht="15" customHeight="1" x14ac:dyDescent="0.2">
      <c r="E19746" s="7"/>
      <c r="F19746" s="7"/>
    </row>
    <row r="19747" spans="5:6" ht="15" customHeight="1" x14ac:dyDescent="0.2">
      <c r="E19747" s="7"/>
      <c r="F19747" s="7"/>
    </row>
    <row r="19748" spans="5:6" ht="15" customHeight="1" x14ac:dyDescent="0.2">
      <c r="E19748" s="7"/>
      <c r="F19748" s="7"/>
    </row>
    <row r="19749" spans="5:6" ht="15" customHeight="1" x14ac:dyDescent="0.2">
      <c r="E19749" s="7"/>
      <c r="F19749" s="7"/>
    </row>
    <row r="19750" spans="5:6" ht="15" customHeight="1" x14ac:dyDescent="0.2">
      <c r="E19750" s="7"/>
      <c r="F19750" s="7"/>
    </row>
    <row r="19751" spans="5:6" ht="15" customHeight="1" x14ac:dyDescent="0.2">
      <c r="E19751" s="7"/>
      <c r="F19751" s="7"/>
    </row>
    <row r="19752" spans="5:6" ht="15" customHeight="1" x14ac:dyDescent="0.2">
      <c r="E19752" s="7"/>
      <c r="F19752" s="7"/>
    </row>
    <row r="19753" spans="5:6" ht="15" customHeight="1" x14ac:dyDescent="0.2">
      <c r="E19753" s="7"/>
      <c r="F19753" s="7"/>
    </row>
    <row r="19754" spans="5:6" ht="15" customHeight="1" x14ac:dyDescent="0.2">
      <c r="E19754" s="7"/>
      <c r="F19754" s="7"/>
    </row>
    <row r="19755" spans="5:6" ht="15" customHeight="1" x14ac:dyDescent="0.2">
      <c r="E19755" s="7"/>
      <c r="F19755" s="7"/>
    </row>
    <row r="19756" spans="5:6" ht="15" customHeight="1" x14ac:dyDescent="0.2">
      <c r="E19756" s="7"/>
      <c r="F19756" s="7"/>
    </row>
    <row r="19757" spans="5:6" ht="15" customHeight="1" x14ac:dyDescent="0.2">
      <c r="E19757" s="7"/>
      <c r="F19757" s="7"/>
    </row>
    <row r="19758" spans="5:6" ht="15" customHeight="1" x14ac:dyDescent="0.2">
      <c r="E19758" s="7"/>
      <c r="F19758" s="7"/>
    </row>
    <row r="19759" spans="5:6" ht="15" customHeight="1" x14ac:dyDescent="0.2">
      <c r="E19759" s="7"/>
      <c r="F19759" s="7"/>
    </row>
    <row r="19760" spans="5:6" ht="15" customHeight="1" x14ac:dyDescent="0.2">
      <c r="E19760" s="7"/>
      <c r="F19760" s="7"/>
    </row>
    <row r="19761" spans="5:6" ht="15" customHeight="1" x14ac:dyDescent="0.2">
      <c r="E19761" s="7"/>
      <c r="F19761" s="7"/>
    </row>
    <row r="19762" spans="5:6" ht="15" customHeight="1" x14ac:dyDescent="0.2">
      <c r="E19762" s="7"/>
      <c r="F19762" s="7"/>
    </row>
    <row r="19763" spans="5:6" ht="15" customHeight="1" x14ac:dyDescent="0.2">
      <c r="E19763" s="7"/>
      <c r="F19763" s="7"/>
    </row>
    <row r="19764" spans="5:6" ht="15" customHeight="1" x14ac:dyDescent="0.2">
      <c r="E19764" s="7"/>
      <c r="F19764" s="7"/>
    </row>
    <row r="19765" spans="5:6" ht="15" customHeight="1" x14ac:dyDescent="0.2">
      <c r="E19765" s="7"/>
      <c r="F19765" s="7"/>
    </row>
    <row r="19766" spans="5:6" ht="15" customHeight="1" x14ac:dyDescent="0.2">
      <c r="E19766" s="7"/>
      <c r="F19766" s="7"/>
    </row>
    <row r="19767" spans="5:6" ht="15" customHeight="1" x14ac:dyDescent="0.2">
      <c r="E19767" s="7"/>
      <c r="F19767" s="7"/>
    </row>
    <row r="19768" spans="5:6" ht="15" customHeight="1" x14ac:dyDescent="0.2">
      <c r="E19768" s="7"/>
      <c r="F19768" s="7"/>
    </row>
    <row r="19769" spans="5:6" ht="15" customHeight="1" x14ac:dyDescent="0.2">
      <c r="E19769" s="7"/>
      <c r="F19769" s="7"/>
    </row>
    <row r="19770" spans="5:6" ht="15" customHeight="1" x14ac:dyDescent="0.2">
      <c r="E19770" s="7"/>
      <c r="F19770" s="7"/>
    </row>
    <row r="19771" spans="5:6" ht="15" customHeight="1" x14ac:dyDescent="0.2">
      <c r="E19771" s="7"/>
      <c r="F19771" s="7"/>
    </row>
    <row r="19772" spans="5:6" ht="15" customHeight="1" x14ac:dyDescent="0.2">
      <c r="E19772" s="7"/>
      <c r="F19772" s="7"/>
    </row>
    <row r="19773" spans="5:6" ht="15" customHeight="1" x14ac:dyDescent="0.2">
      <c r="E19773" s="7"/>
      <c r="F19773" s="7"/>
    </row>
    <row r="19774" spans="5:6" ht="15" customHeight="1" x14ac:dyDescent="0.2">
      <c r="E19774" s="7"/>
      <c r="F19774" s="7"/>
    </row>
    <row r="19775" spans="5:6" ht="15" customHeight="1" x14ac:dyDescent="0.2">
      <c r="E19775" s="7"/>
      <c r="F19775" s="7"/>
    </row>
    <row r="19776" spans="5:6" ht="15" customHeight="1" x14ac:dyDescent="0.2">
      <c r="E19776" s="7"/>
      <c r="F19776" s="7"/>
    </row>
    <row r="19777" spans="5:6" ht="15" customHeight="1" x14ac:dyDescent="0.2">
      <c r="E19777" s="7"/>
      <c r="F19777" s="7"/>
    </row>
    <row r="19778" spans="5:6" ht="15" customHeight="1" x14ac:dyDescent="0.2">
      <c r="E19778" s="7"/>
      <c r="F19778" s="7"/>
    </row>
    <row r="19779" spans="5:6" ht="15" customHeight="1" x14ac:dyDescent="0.2">
      <c r="E19779" s="7"/>
      <c r="F19779" s="7"/>
    </row>
    <row r="19780" spans="5:6" ht="15" customHeight="1" x14ac:dyDescent="0.2">
      <c r="E19780" s="7"/>
      <c r="F19780" s="7"/>
    </row>
    <row r="19781" spans="5:6" ht="15" customHeight="1" x14ac:dyDescent="0.2">
      <c r="E19781" s="7"/>
      <c r="F19781" s="7"/>
    </row>
    <row r="19782" spans="5:6" ht="15" customHeight="1" x14ac:dyDescent="0.2">
      <c r="E19782" s="7"/>
      <c r="F19782" s="7"/>
    </row>
    <row r="19783" spans="5:6" ht="15" customHeight="1" x14ac:dyDescent="0.2">
      <c r="E19783" s="7"/>
      <c r="F19783" s="7"/>
    </row>
    <row r="19784" spans="5:6" ht="15" customHeight="1" x14ac:dyDescent="0.2">
      <c r="E19784" s="7"/>
      <c r="F19784" s="7"/>
    </row>
    <row r="19785" spans="5:6" ht="15" customHeight="1" x14ac:dyDescent="0.2">
      <c r="E19785" s="7"/>
      <c r="F19785" s="7"/>
    </row>
    <row r="19786" spans="5:6" ht="15" customHeight="1" x14ac:dyDescent="0.2">
      <c r="E19786" s="7"/>
      <c r="F19786" s="7"/>
    </row>
    <row r="19787" spans="5:6" ht="15" customHeight="1" x14ac:dyDescent="0.2">
      <c r="E19787" s="7"/>
      <c r="F19787" s="7"/>
    </row>
    <row r="19788" spans="5:6" ht="15" customHeight="1" x14ac:dyDescent="0.2">
      <c r="E19788" s="7"/>
      <c r="F19788" s="7"/>
    </row>
    <row r="19789" spans="5:6" ht="15" customHeight="1" x14ac:dyDescent="0.2">
      <c r="E19789" s="7"/>
      <c r="F19789" s="7"/>
    </row>
    <row r="19790" spans="5:6" ht="15" customHeight="1" x14ac:dyDescent="0.2">
      <c r="E19790" s="7"/>
      <c r="F19790" s="7"/>
    </row>
    <row r="19791" spans="5:6" ht="15" customHeight="1" x14ac:dyDescent="0.2">
      <c r="E19791" s="7"/>
      <c r="F19791" s="7"/>
    </row>
    <row r="19792" spans="5:6" ht="15" customHeight="1" x14ac:dyDescent="0.2">
      <c r="E19792" s="7"/>
      <c r="F19792" s="7"/>
    </row>
    <row r="19793" spans="5:6" ht="15" customHeight="1" x14ac:dyDescent="0.2">
      <c r="E19793" s="7"/>
      <c r="F19793" s="7"/>
    </row>
    <row r="19794" spans="5:6" ht="15" customHeight="1" x14ac:dyDescent="0.2">
      <c r="E19794" s="7"/>
      <c r="F19794" s="7"/>
    </row>
    <row r="19795" spans="5:6" ht="15" customHeight="1" x14ac:dyDescent="0.2">
      <c r="E19795" s="7"/>
      <c r="F19795" s="7"/>
    </row>
    <row r="19796" spans="5:6" ht="15" customHeight="1" x14ac:dyDescent="0.2">
      <c r="E19796" s="7"/>
      <c r="F19796" s="7"/>
    </row>
    <row r="19797" spans="5:6" ht="15" customHeight="1" x14ac:dyDescent="0.2">
      <c r="E19797" s="7"/>
      <c r="F19797" s="7"/>
    </row>
    <row r="19798" spans="5:6" ht="15" customHeight="1" x14ac:dyDescent="0.2">
      <c r="E19798" s="7"/>
      <c r="F19798" s="7"/>
    </row>
    <row r="19799" spans="5:6" ht="15" customHeight="1" x14ac:dyDescent="0.2">
      <c r="E19799" s="7"/>
      <c r="F19799" s="7"/>
    </row>
    <row r="19800" spans="5:6" ht="15" customHeight="1" x14ac:dyDescent="0.2">
      <c r="E19800" s="7"/>
      <c r="F19800" s="7"/>
    </row>
    <row r="19801" spans="5:6" ht="15" customHeight="1" x14ac:dyDescent="0.2">
      <c r="E19801" s="7"/>
      <c r="F19801" s="7"/>
    </row>
    <row r="19802" spans="5:6" ht="15" customHeight="1" x14ac:dyDescent="0.2">
      <c r="E19802" s="7"/>
      <c r="F19802" s="7"/>
    </row>
    <row r="19803" spans="5:6" ht="15" customHeight="1" x14ac:dyDescent="0.2">
      <c r="E19803" s="7"/>
      <c r="F19803" s="7"/>
    </row>
    <row r="19804" spans="5:6" ht="15" customHeight="1" x14ac:dyDescent="0.2">
      <c r="E19804" s="7"/>
      <c r="F19804" s="7"/>
    </row>
    <row r="19805" spans="5:6" ht="15" customHeight="1" x14ac:dyDescent="0.2">
      <c r="E19805" s="7"/>
      <c r="F19805" s="7"/>
    </row>
    <row r="19806" spans="5:6" ht="15" customHeight="1" x14ac:dyDescent="0.2">
      <c r="E19806" s="7"/>
      <c r="F19806" s="7"/>
    </row>
    <row r="19807" spans="5:6" ht="15" customHeight="1" x14ac:dyDescent="0.2">
      <c r="E19807" s="7"/>
      <c r="F19807" s="7"/>
    </row>
    <row r="19808" spans="5:6" ht="15" customHeight="1" x14ac:dyDescent="0.2">
      <c r="E19808" s="7"/>
      <c r="F19808" s="7"/>
    </row>
    <row r="19809" spans="5:6" ht="15" customHeight="1" x14ac:dyDescent="0.2">
      <c r="E19809" s="7"/>
      <c r="F19809" s="7"/>
    </row>
    <row r="19810" spans="5:6" ht="15" customHeight="1" x14ac:dyDescent="0.2">
      <c r="E19810" s="7"/>
      <c r="F19810" s="7"/>
    </row>
    <row r="19811" spans="5:6" ht="15" customHeight="1" x14ac:dyDescent="0.2">
      <c r="E19811" s="7"/>
      <c r="F19811" s="7"/>
    </row>
    <row r="19812" spans="5:6" ht="15" customHeight="1" x14ac:dyDescent="0.2">
      <c r="E19812" s="7"/>
      <c r="F19812" s="7"/>
    </row>
    <row r="19813" spans="5:6" ht="15" customHeight="1" x14ac:dyDescent="0.2">
      <c r="E19813" s="7"/>
      <c r="F19813" s="7"/>
    </row>
    <row r="19814" spans="5:6" ht="15" customHeight="1" x14ac:dyDescent="0.2">
      <c r="E19814" s="7"/>
      <c r="F19814" s="7"/>
    </row>
    <row r="19815" spans="5:6" ht="15" customHeight="1" x14ac:dyDescent="0.2">
      <c r="E19815" s="7"/>
      <c r="F19815" s="7"/>
    </row>
    <row r="19816" spans="5:6" ht="15" customHeight="1" x14ac:dyDescent="0.2">
      <c r="E19816" s="7"/>
      <c r="F19816" s="7"/>
    </row>
    <row r="19817" spans="5:6" ht="15" customHeight="1" x14ac:dyDescent="0.2">
      <c r="E19817" s="7"/>
      <c r="F19817" s="7"/>
    </row>
    <row r="19818" spans="5:6" ht="15" customHeight="1" x14ac:dyDescent="0.2">
      <c r="E19818" s="7"/>
      <c r="F19818" s="7"/>
    </row>
    <row r="19819" spans="5:6" ht="15" customHeight="1" x14ac:dyDescent="0.2">
      <c r="E19819" s="7"/>
      <c r="F19819" s="7"/>
    </row>
    <row r="19820" spans="5:6" ht="15" customHeight="1" x14ac:dyDescent="0.2">
      <c r="E19820" s="7"/>
      <c r="F19820" s="7"/>
    </row>
    <row r="19821" spans="5:6" ht="15" customHeight="1" x14ac:dyDescent="0.2">
      <c r="E19821" s="7"/>
      <c r="F19821" s="7"/>
    </row>
    <row r="19822" spans="5:6" ht="15" customHeight="1" x14ac:dyDescent="0.2">
      <c r="E19822" s="7"/>
      <c r="F19822" s="7"/>
    </row>
    <row r="19823" spans="5:6" ht="15" customHeight="1" x14ac:dyDescent="0.2">
      <c r="E19823" s="7"/>
      <c r="F19823" s="7"/>
    </row>
    <row r="19824" spans="5:6" ht="15" customHeight="1" x14ac:dyDescent="0.2">
      <c r="E19824" s="7"/>
      <c r="F19824" s="7"/>
    </row>
    <row r="19825" spans="5:6" ht="15" customHeight="1" x14ac:dyDescent="0.2">
      <c r="E19825" s="7"/>
      <c r="F19825" s="7"/>
    </row>
    <row r="19826" spans="5:6" ht="15" customHeight="1" x14ac:dyDescent="0.2">
      <c r="E19826" s="7"/>
      <c r="F19826" s="7"/>
    </row>
    <row r="19827" spans="5:6" ht="15" customHeight="1" x14ac:dyDescent="0.2">
      <c r="E19827" s="7"/>
      <c r="F19827" s="7"/>
    </row>
    <row r="19828" spans="5:6" ht="15" customHeight="1" x14ac:dyDescent="0.2">
      <c r="E19828" s="7"/>
      <c r="F19828" s="7"/>
    </row>
    <row r="19829" spans="5:6" ht="15" customHeight="1" x14ac:dyDescent="0.2">
      <c r="E19829" s="7"/>
      <c r="F19829" s="7"/>
    </row>
    <row r="19830" spans="5:6" ht="15" customHeight="1" x14ac:dyDescent="0.2">
      <c r="E19830" s="7"/>
      <c r="F19830" s="7"/>
    </row>
    <row r="19831" spans="5:6" ht="15" customHeight="1" x14ac:dyDescent="0.2">
      <c r="E19831" s="7"/>
      <c r="F19831" s="7"/>
    </row>
    <row r="19832" spans="5:6" ht="15" customHeight="1" x14ac:dyDescent="0.2">
      <c r="E19832" s="7"/>
      <c r="F19832" s="7"/>
    </row>
    <row r="19833" spans="5:6" ht="15" customHeight="1" x14ac:dyDescent="0.2">
      <c r="E19833" s="7"/>
      <c r="F19833" s="7"/>
    </row>
    <row r="19834" spans="5:6" ht="15" customHeight="1" x14ac:dyDescent="0.2">
      <c r="E19834" s="7"/>
      <c r="F19834" s="7"/>
    </row>
    <row r="19835" spans="5:6" ht="15" customHeight="1" x14ac:dyDescent="0.2">
      <c r="E19835" s="7"/>
      <c r="F19835" s="7"/>
    </row>
    <row r="19836" spans="5:6" ht="15" customHeight="1" x14ac:dyDescent="0.2">
      <c r="E19836" s="7"/>
      <c r="F19836" s="7"/>
    </row>
    <row r="19837" spans="5:6" ht="15" customHeight="1" x14ac:dyDescent="0.2">
      <c r="E19837" s="7"/>
      <c r="F19837" s="7"/>
    </row>
    <row r="19838" spans="5:6" ht="15" customHeight="1" x14ac:dyDescent="0.2">
      <c r="E19838" s="7"/>
      <c r="F19838" s="7"/>
    </row>
    <row r="19839" spans="5:6" ht="15" customHeight="1" x14ac:dyDescent="0.2">
      <c r="E19839" s="7"/>
      <c r="F19839" s="7"/>
    </row>
    <row r="19840" spans="5:6" ht="15" customHeight="1" x14ac:dyDescent="0.2">
      <c r="E19840" s="7"/>
      <c r="F19840" s="7"/>
    </row>
    <row r="19841" spans="5:6" ht="15" customHeight="1" x14ac:dyDescent="0.2">
      <c r="E19841" s="7"/>
      <c r="F19841" s="7"/>
    </row>
    <row r="19842" spans="5:6" ht="15" customHeight="1" x14ac:dyDescent="0.2">
      <c r="E19842" s="7"/>
      <c r="F19842" s="7"/>
    </row>
    <row r="19843" spans="5:6" ht="15" customHeight="1" x14ac:dyDescent="0.2">
      <c r="E19843" s="7"/>
      <c r="F19843" s="7"/>
    </row>
    <row r="19844" spans="5:6" ht="15" customHeight="1" x14ac:dyDescent="0.2">
      <c r="E19844" s="7"/>
      <c r="F19844" s="7"/>
    </row>
    <row r="19845" spans="5:6" ht="15" customHeight="1" x14ac:dyDescent="0.2">
      <c r="E19845" s="7"/>
      <c r="F19845" s="7"/>
    </row>
    <row r="19846" spans="5:6" ht="15" customHeight="1" x14ac:dyDescent="0.2">
      <c r="E19846" s="7"/>
      <c r="F19846" s="7"/>
    </row>
    <row r="19847" spans="5:6" ht="15" customHeight="1" x14ac:dyDescent="0.2">
      <c r="E19847" s="7"/>
      <c r="F19847" s="7"/>
    </row>
    <row r="19848" spans="5:6" ht="15" customHeight="1" x14ac:dyDescent="0.2">
      <c r="E19848" s="7"/>
      <c r="F19848" s="7"/>
    </row>
    <row r="19849" spans="5:6" ht="15" customHeight="1" x14ac:dyDescent="0.2">
      <c r="E19849" s="7"/>
      <c r="F19849" s="7"/>
    </row>
    <row r="19850" spans="5:6" ht="15" customHeight="1" x14ac:dyDescent="0.2">
      <c r="E19850" s="7"/>
      <c r="F19850" s="7"/>
    </row>
    <row r="19851" spans="5:6" ht="15" customHeight="1" x14ac:dyDescent="0.2">
      <c r="E19851" s="7"/>
      <c r="F19851" s="7"/>
    </row>
    <row r="19852" spans="5:6" ht="15" customHeight="1" x14ac:dyDescent="0.2">
      <c r="E19852" s="7"/>
      <c r="F19852" s="7"/>
    </row>
    <row r="19853" spans="5:6" ht="15" customHeight="1" x14ac:dyDescent="0.2">
      <c r="E19853" s="7"/>
      <c r="F19853" s="7"/>
    </row>
    <row r="19854" spans="5:6" ht="15" customHeight="1" x14ac:dyDescent="0.2">
      <c r="E19854" s="7"/>
      <c r="F19854" s="7"/>
    </row>
    <row r="19855" spans="5:6" ht="15" customHeight="1" x14ac:dyDescent="0.2">
      <c r="E19855" s="7"/>
      <c r="F19855" s="7"/>
    </row>
    <row r="19856" spans="5:6" ht="15" customHeight="1" x14ac:dyDescent="0.2">
      <c r="E19856" s="7"/>
      <c r="F19856" s="7"/>
    </row>
    <row r="19857" spans="5:6" ht="15" customHeight="1" x14ac:dyDescent="0.2">
      <c r="E19857" s="7"/>
      <c r="F19857" s="7"/>
    </row>
    <row r="19858" spans="5:6" ht="15" customHeight="1" x14ac:dyDescent="0.2">
      <c r="E19858" s="7"/>
      <c r="F19858" s="7"/>
    </row>
    <row r="19859" spans="5:6" ht="15" customHeight="1" x14ac:dyDescent="0.2">
      <c r="E19859" s="7"/>
      <c r="F19859" s="7"/>
    </row>
    <row r="19860" spans="5:6" ht="15" customHeight="1" x14ac:dyDescent="0.2">
      <c r="E19860" s="7"/>
      <c r="F19860" s="7"/>
    </row>
    <row r="19861" spans="5:6" ht="15" customHeight="1" x14ac:dyDescent="0.2">
      <c r="E19861" s="7"/>
      <c r="F19861" s="7"/>
    </row>
    <row r="19862" spans="5:6" ht="15" customHeight="1" x14ac:dyDescent="0.2">
      <c r="E19862" s="7"/>
      <c r="F19862" s="7"/>
    </row>
    <row r="19863" spans="5:6" ht="15" customHeight="1" x14ac:dyDescent="0.2">
      <c r="E19863" s="7"/>
      <c r="F19863" s="7"/>
    </row>
    <row r="19864" spans="5:6" ht="15" customHeight="1" x14ac:dyDescent="0.2">
      <c r="E19864" s="7"/>
      <c r="F19864" s="7"/>
    </row>
    <row r="19865" spans="5:6" ht="15" customHeight="1" x14ac:dyDescent="0.2">
      <c r="E19865" s="7"/>
      <c r="F19865" s="7"/>
    </row>
    <row r="19866" spans="5:6" ht="15" customHeight="1" x14ac:dyDescent="0.2">
      <c r="E19866" s="7"/>
      <c r="F19866" s="7"/>
    </row>
    <row r="19867" spans="5:6" ht="15" customHeight="1" x14ac:dyDescent="0.2">
      <c r="E19867" s="7"/>
      <c r="F19867" s="7"/>
    </row>
    <row r="19868" spans="5:6" ht="15" customHeight="1" x14ac:dyDescent="0.2">
      <c r="E19868" s="7"/>
      <c r="F19868" s="7"/>
    </row>
    <row r="19869" spans="5:6" ht="15" customHeight="1" x14ac:dyDescent="0.2">
      <c r="E19869" s="7"/>
      <c r="F19869" s="7"/>
    </row>
    <row r="19870" spans="5:6" ht="15" customHeight="1" x14ac:dyDescent="0.2">
      <c r="E19870" s="7"/>
      <c r="F19870" s="7"/>
    </row>
    <row r="19871" spans="5:6" ht="15" customHeight="1" x14ac:dyDescent="0.2">
      <c r="E19871" s="7"/>
      <c r="F19871" s="7"/>
    </row>
    <row r="19872" spans="5:6" ht="15" customHeight="1" x14ac:dyDescent="0.2">
      <c r="E19872" s="7"/>
      <c r="F19872" s="7"/>
    </row>
    <row r="19873" spans="5:6" ht="15" customHeight="1" x14ac:dyDescent="0.2">
      <c r="E19873" s="7"/>
      <c r="F19873" s="7"/>
    </row>
    <row r="19874" spans="5:6" ht="15" customHeight="1" x14ac:dyDescent="0.2">
      <c r="E19874" s="7"/>
      <c r="F19874" s="7"/>
    </row>
    <row r="19875" spans="5:6" ht="15" customHeight="1" x14ac:dyDescent="0.2">
      <c r="E19875" s="7"/>
      <c r="F19875" s="7"/>
    </row>
    <row r="19876" spans="5:6" ht="15" customHeight="1" x14ac:dyDescent="0.2">
      <c r="E19876" s="7"/>
      <c r="F19876" s="7"/>
    </row>
    <row r="19877" spans="5:6" ht="15" customHeight="1" x14ac:dyDescent="0.2">
      <c r="E19877" s="7"/>
      <c r="F19877" s="7"/>
    </row>
    <row r="19878" spans="5:6" ht="15" customHeight="1" x14ac:dyDescent="0.2">
      <c r="E19878" s="7"/>
      <c r="F19878" s="7"/>
    </row>
    <row r="19879" spans="5:6" ht="15" customHeight="1" x14ac:dyDescent="0.2">
      <c r="E19879" s="7"/>
      <c r="F19879" s="7"/>
    </row>
    <row r="19880" spans="5:6" ht="15" customHeight="1" x14ac:dyDescent="0.2">
      <c r="E19880" s="7"/>
      <c r="F19880" s="7"/>
    </row>
    <row r="19881" spans="5:6" ht="15" customHeight="1" x14ac:dyDescent="0.2">
      <c r="E19881" s="7"/>
      <c r="F19881" s="7"/>
    </row>
    <row r="19882" spans="5:6" ht="15" customHeight="1" x14ac:dyDescent="0.2">
      <c r="E19882" s="7"/>
      <c r="F19882" s="7"/>
    </row>
    <row r="19883" spans="5:6" ht="15" customHeight="1" x14ac:dyDescent="0.2">
      <c r="E19883" s="7"/>
      <c r="F19883" s="7"/>
    </row>
    <row r="19884" spans="5:6" ht="15" customHeight="1" x14ac:dyDescent="0.2">
      <c r="E19884" s="7"/>
      <c r="F19884" s="7"/>
    </row>
    <row r="19885" spans="5:6" ht="15" customHeight="1" x14ac:dyDescent="0.2">
      <c r="E19885" s="7"/>
      <c r="F19885" s="7"/>
    </row>
    <row r="19886" spans="5:6" ht="15" customHeight="1" x14ac:dyDescent="0.2">
      <c r="E19886" s="7"/>
      <c r="F19886" s="7"/>
    </row>
    <row r="19887" spans="5:6" ht="15" customHeight="1" x14ac:dyDescent="0.2">
      <c r="E19887" s="7"/>
      <c r="F19887" s="7"/>
    </row>
    <row r="19888" spans="5:6" ht="15" customHeight="1" x14ac:dyDescent="0.2">
      <c r="E19888" s="7"/>
      <c r="F19888" s="7"/>
    </row>
    <row r="19889" spans="5:6" ht="15" customHeight="1" x14ac:dyDescent="0.2">
      <c r="E19889" s="7"/>
      <c r="F19889" s="7"/>
    </row>
    <row r="19890" spans="5:6" ht="15" customHeight="1" x14ac:dyDescent="0.2">
      <c r="E19890" s="7"/>
      <c r="F19890" s="7"/>
    </row>
    <row r="19891" spans="5:6" ht="15" customHeight="1" x14ac:dyDescent="0.2">
      <c r="E19891" s="7"/>
      <c r="F19891" s="7"/>
    </row>
    <row r="19892" spans="5:6" ht="15" customHeight="1" x14ac:dyDescent="0.2">
      <c r="E19892" s="7"/>
      <c r="F19892" s="7"/>
    </row>
    <row r="19893" spans="5:6" ht="15" customHeight="1" x14ac:dyDescent="0.2">
      <c r="E19893" s="7"/>
      <c r="F19893" s="7"/>
    </row>
    <row r="19894" spans="5:6" ht="15" customHeight="1" x14ac:dyDescent="0.2">
      <c r="E19894" s="7"/>
      <c r="F19894" s="7"/>
    </row>
    <row r="19895" spans="5:6" ht="15" customHeight="1" x14ac:dyDescent="0.2">
      <c r="E19895" s="7"/>
      <c r="F19895" s="7"/>
    </row>
    <row r="19896" spans="5:6" ht="15" customHeight="1" x14ac:dyDescent="0.2">
      <c r="E19896" s="7"/>
      <c r="F19896" s="7"/>
    </row>
    <row r="19897" spans="5:6" ht="15" customHeight="1" x14ac:dyDescent="0.2">
      <c r="E19897" s="7"/>
      <c r="F19897" s="7"/>
    </row>
    <row r="19898" spans="5:6" ht="15" customHeight="1" x14ac:dyDescent="0.2">
      <c r="E19898" s="7"/>
      <c r="F19898" s="7"/>
    </row>
    <row r="19899" spans="5:6" ht="15" customHeight="1" x14ac:dyDescent="0.2">
      <c r="E19899" s="7"/>
      <c r="F19899" s="7"/>
    </row>
    <row r="19900" spans="5:6" ht="15" customHeight="1" x14ac:dyDescent="0.2">
      <c r="E19900" s="7"/>
      <c r="F19900" s="7"/>
    </row>
    <row r="19901" spans="5:6" ht="15" customHeight="1" x14ac:dyDescent="0.2">
      <c r="E19901" s="7"/>
      <c r="F19901" s="7"/>
    </row>
    <row r="19902" spans="5:6" ht="15" customHeight="1" x14ac:dyDescent="0.2">
      <c r="E19902" s="7"/>
      <c r="F19902" s="7"/>
    </row>
    <row r="19903" spans="5:6" ht="15" customHeight="1" x14ac:dyDescent="0.2">
      <c r="E19903" s="7"/>
      <c r="F19903" s="7"/>
    </row>
    <row r="19904" spans="5:6" ht="15" customHeight="1" x14ac:dyDescent="0.2">
      <c r="E19904" s="7"/>
      <c r="F19904" s="7"/>
    </row>
    <row r="19905" spans="5:6" ht="15" customHeight="1" x14ac:dyDescent="0.2">
      <c r="E19905" s="7"/>
      <c r="F19905" s="7"/>
    </row>
    <row r="19906" spans="5:6" ht="15" customHeight="1" x14ac:dyDescent="0.2">
      <c r="E19906" s="7"/>
      <c r="F19906" s="7"/>
    </row>
    <row r="19907" spans="5:6" ht="15" customHeight="1" x14ac:dyDescent="0.2">
      <c r="E19907" s="7"/>
      <c r="F19907" s="7"/>
    </row>
    <row r="19908" spans="5:6" ht="15" customHeight="1" x14ac:dyDescent="0.2">
      <c r="E19908" s="7"/>
      <c r="F19908" s="7"/>
    </row>
    <row r="19909" spans="5:6" ht="15" customHeight="1" x14ac:dyDescent="0.2">
      <c r="E19909" s="7"/>
      <c r="F19909" s="7"/>
    </row>
    <row r="19910" spans="5:6" ht="15" customHeight="1" x14ac:dyDescent="0.2">
      <c r="E19910" s="7"/>
      <c r="F19910" s="7"/>
    </row>
    <row r="19911" spans="5:6" ht="15" customHeight="1" x14ac:dyDescent="0.2">
      <c r="E19911" s="7"/>
      <c r="F19911" s="7"/>
    </row>
    <row r="19912" spans="5:6" ht="15" customHeight="1" x14ac:dyDescent="0.2">
      <c r="E19912" s="7"/>
      <c r="F19912" s="7"/>
    </row>
    <row r="19913" spans="5:6" ht="15" customHeight="1" x14ac:dyDescent="0.2">
      <c r="E19913" s="7"/>
      <c r="F19913" s="7"/>
    </row>
    <row r="19914" spans="5:6" ht="15" customHeight="1" x14ac:dyDescent="0.2">
      <c r="E19914" s="7"/>
      <c r="F19914" s="7"/>
    </row>
    <row r="19915" spans="5:6" ht="15" customHeight="1" x14ac:dyDescent="0.2">
      <c r="E19915" s="7"/>
      <c r="F19915" s="7"/>
    </row>
    <row r="19916" spans="5:6" ht="15" customHeight="1" x14ac:dyDescent="0.2">
      <c r="E19916" s="7"/>
      <c r="F19916" s="7"/>
    </row>
    <row r="19917" spans="5:6" ht="15" customHeight="1" x14ac:dyDescent="0.2">
      <c r="E19917" s="7"/>
      <c r="F19917" s="7"/>
    </row>
    <row r="19918" spans="5:6" ht="15" customHeight="1" x14ac:dyDescent="0.2">
      <c r="E19918" s="7"/>
      <c r="F19918" s="7"/>
    </row>
    <row r="19919" spans="5:6" ht="15" customHeight="1" x14ac:dyDescent="0.2">
      <c r="E19919" s="7"/>
      <c r="F19919" s="7"/>
    </row>
    <row r="19920" spans="5:6" ht="15" customHeight="1" x14ac:dyDescent="0.2">
      <c r="E19920" s="7"/>
      <c r="F19920" s="7"/>
    </row>
    <row r="19921" spans="5:6" ht="15" customHeight="1" x14ac:dyDescent="0.2">
      <c r="E19921" s="7"/>
      <c r="F19921" s="7"/>
    </row>
    <row r="19922" spans="5:6" ht="15" customHeight="1" x14ac:dyDescent="0.2">
      <c r="E19922" s="7"/>
      <c r="F19922" s="7"/>
    </row>
    <row r="19923" spans="5:6" ht="15" customHeight="1" x14ac:dyDescent="0.2">
      <c r="E19923" s="7"/>
      <c r="F19923" s="7"/>
    </row>
    <row r="19924" spans="5:6" ht="15" customHeight="1" x14ac:dyDescent="0.2">
      <c r="E19924" s="7"/>
      <c r="F19924" s="7"/>
    </row>
    <row r="19925" spans="5:6" ht="15" customHeight="1" x14ac:dyDescent="0.2">
      <c r="E19925" s="7"/>
      <c r="F19925" s="7"/>
    </row>
    <row r="19926" spans="5:6" ht="15" customHeight="1" x14ac:dyDescent="0.2">
      <c r="E19926" s="7"/>
      <c r="F19926" s="7"/>
    </row>
    <row r="19927" spans="5:6" ht="15" customHeight="1" x14ac:dyDescent="0.2">
      <c r="E19927" s="7"/>
      <c r="F19927" s="7"/>
    </row>
    <row r="19928" spans="5:6" ht="15" customHeight="1" x14ac:dyDescent="0.2">
      <c r="E19928" s="7"/>
      <c r="F19928" s="7"/>
    </row>
    <row r="19929" spans="5:6" ht="15" customHeight="1" x14ac:dyDescent="0.2">
      <c r="E19929" s="7"/>
      <c r="F19929" s="7"/>
    </row>
    <row r="19930" spans="5:6" ht="15" customHeight="1" x14ac:dyDescent="0.2">
      <c r="E19930" s="7"/>
      <c r="F19930" s="7"/>
    </row>
    <row r="19931" spans="5:6" ht="15" customHeight="1" x14ac:dyDescent="0.2">
      <c r="E19931" s="7"/>
      <c r="F19931" s="7"/>
    </row>
    <row r="19932" spans="5:6" ht="15" customHeight="1" x14ac:dyDescent="0.2">
      <c r="E19932" s="7"/>
      <c r="F19932" s="7"/>
    </row>
    <row r="19933" spans="5:6" ht="15" customHeight="1" x14ac:dyDescent="0.2">
      <c r="E19933" s="7"/>
      <c r="F19933" s="7"/>
    </row>
    <row r="19934" spans="5:6" ht="15" customHeight="1" x14ac:dyDescent="0.2">
      <c r="E19934" s="7"/>
      <c r="F19934" s="7"/>
    </row>
    <row r="19935" spans="5:6" ht="15" customHeight="1" x14ac:dyDescent="0.2">
      <c r="E19935" s="7"/>
      <c r="F19935" s="7"/>
    </row>
    <row r="19936" spans="5:6" ht="15" customHeight="1" x14ac:dyDescent="0.2">
      <c r="E19936" s="7"/>
      <c r="F19936" s="7"/>
    </row>
    <row r="19937" spans="5:6" ht="15" customHeight="1" x14ac:dyDescent="0.2">
      <c r="E19937" s="7"/>
      <c r="F19937" s="7"/>
    </row>
    <row r="19938" spans="5:6" ht="15" customHeight="1" x14ac:dyDescent="0.2">
      <c r="E19938" s="7"/>
      <c r="F19938" s="7"/>
    </row>
    <row r="19939" spans="5:6" ht="15" customHeight="1" x14ac:dyDescent="0.2">
      <c r="E19939" s="7"/>
      <c r="F19939" s="7"/>
    </row>
    <row r="19940" spans="5:6" ht="15" customHeight="1" x14ac:dyDescent="0.2">
      <c r="E19940" s="7"/>
      <c r="F19940" s="7"/>
    </row>
    <row r="19941" spans="5:6" ht="15" customHeight="1" x14ac:dyDescent="0.2">
      <c r="E19941" s="7"/>
      <c r="F19941" s="7"/>
    </row>
    <row r="19942" spans="5:6" ht="15" customHeight="1" x14ac:dyDescent="0.2">
      <c r="E19942" s="7"/>
      <c r="F19942" s="7"/>
    </row>
    <row r="19943" spans="5:6" ht="15" customHeight="1" x14ac:dyDescent="0.2">
      <c r="E19943" s="7"/>
      <c r="F19943" s="7"/>
    </row>
    <row r="19944" spans="5:6" ht="15" customHeight="1" x14ac:dyDescent="0.2">
      <c r="E19944" s="7"/>
      <c r="F19944" s="7"/>
    </row>
    <row r="19945" spans="5:6" ht="15" customHeight="1" x14ac:dyDescent="0.2">
      <c r="E19945" s="7"/>
      <c r="F19945" s="7"/>
    </row>
    <row r="19946" spans="5:6" ht="15" customHeight="1" x14ac:dyDescent="0.2">
      <c r="E19946" s="7"/>
      <c r="F19946" s="7"/>
    </row>
    <row r="19947" spans="5:6" ht="15" customHeight="1" x14ac:dyDescent="0.2">
      <c r="E19947" s="7"/>
      <c r="F19947" s="7"/>
    </row>
    <row r="19948" spans="5:6" ht="15" customHeight="1" x14ac:dyDescent="0.2">
      <c r="E19948" s="7"/>
      <c r="F19948" s="7"/>
    </row>
    <row r="19949" spans="5:6" ht="15" customHeight="1" x14ac:dyDescent="0.2">
      <c r="E19949" s="7"/>
      <c r="F19949" s="7"/>
    </row>
    <row r="19950" spans="5:6" ht="15" customHeight="1" x14ac:dyDescent="0.2">
      <c r="E19950" s="7"/>
      <c r="F19950" s="7"/>
    </row>
    <row r="19951" spans="5:6" ht="15" customHeight="1" x14ac:dyDescent="0.2">
      <c r="E19951" s="7"/>
      <c r="F19951" s="7"/>
    </row>
    <row r="19952" spans="5:6" ht="15" customHeight="1" x14ac:dyDescent="0.2">
      <c r="E19952" s="7"/>
      <c r="F19952" s="7"/>
    </row>
    <row r="19953" spans="5:6" ht="15" customHeight="1" x14ac:dyDescent="0.2">
      <c r="E19953" s="7"/>
      <c r="F19953" s="7"/>
    </row>
    <row r="19954" spans="5:6" ht="15" customHeight="1" x14ac:dyDescent="0.2">
      <c r="E19954" s="7"/>
      <c r="F19954" s="7"/>
    </row>
    <row r="19955" spans="5:6" ht="15" customHeight="1" x14ac:dyDescent="0.2">
      <c r="E19955" s="7"/>
      <c r="F19955" s="7"/>
    </row>
    <row r="19956" spans="5:6" ht="15" customHeight="1" x14ac:dyDescent="0.2">
      <c r="E19956" s="7"/>
      <c r="F19956" s="7"/>
    </row>
    <row r="19957" spans="5:6" ht="15" customHeight="1" x14ac:dyDescent="0.2">
      <c r="E19957" s="7"/>
      <c r="F19957" s="7"/>
    </row>
    <row r="19958" spans="5:6" ht="15" customHeight="1" x14ac:dyDescent="0.2">
      <c r="E19958" s="7"/>
      <c r="F19958" s="7"/>
    </row>
    <row r="19959" spans="5:6" ht="15" customHeight="1" x14ac:dyDescent="0.2">
      <c r="E19959" s="7"/>
      <c r="F19959" s="7"/>
    </row>
    <row r="19960" spans="5:6" ht="15" customHeight="1" x14ac:dyDescent="0.2">
      <c r="E19960" s="7"/>
      <c r="F19960" s="7"/>
    </row>
    <row r="19961" spans="5:6" ht="15" customHeight="1" x14ac:dyDescent="0.2">
      <c r="E19961" s="7"/>
      <c r="F19961" s="7"/>
    </row>
    <row r="19962" spans="5:6" ht="15" customHeight="1" x14ac:dyDescent="0.2">
      <c r="E19962" s="7"/>
      <c r="F19962" s="7"/>
    </row>
    <row r="19963" spans="5:6" ht="15" customHeight="1" x14ac:dyDescent="0.2">
      <c r="E19963" s="7"/>
      <c r="F19963" s="7"/>
    </row>
    <row r="19964" spans="5:6" ht="15" customHeight="1" x14ac:dyDescent="0.2">
      <c r="E19964" s="7"/>
      <c r="F19964" s="7"/>
    </row>
    <row r="19965" spans="5:6" ht="15" customHeight="1" x14ac:dyDescent="0.2">
      <c r="E19965" s="7"/>
      <c r="F19965" s="7"/>
    </row>
    <row r="19966" spans="5:6" ht="15" customHeight="1" x14ac:dyDescent="0.2">
      <c r="E19966" s="7"/>
      <c r="F19966" s="7"/>
    </row>
    <row r="19967" spans="5:6" ht="15" customHeight="1" x14ac:dyDescent="0.2">
      <c r="E19967" s="7"/>
      <c r="F19967" s="7"/>
    </row>
    <row r="19968" spans="5:6" ht="15" customHeight="1" x14ac:dyDescent="0.2">
      <c r="E19968" s="7"/>
      <c r="F19968" s="7"/>
    </row>
    <row r="19969" spans="5:6" ht="15" customHeight="1" x14ac:dyDescent="0.2">
      <c r="E19969" s="7"/>
      <c r="F19969" s="7"/>
    </row>
    <row r="19970" spans="5:6" ht="15" customHeight="1" x14ac:dyDescent="0.2">
      <c r="E19970" s="7"/>
      <c r="F19970" s="7"/>
    </row>
    <row r="19971" spans="5:6" ht="15" customHeight="1" x14ac:dyDescent="0.2">
      <c r="E19971" s="7"/>
      <c r="F19971" s="7"/>
    </row>
    <row r="19972" spans="5:6" ht="15" customHeight="1" x14ac:dyDescent="0.2">
      <c r="E19972" s="7"/>
      <c r="F19972" s="7"/>
    </row>
    <row r="19973" spans="5:6" ht="15" customHeight="1" x14ac:dyDescent="0.2">
      <c r="E19973" s="7"/>
      <c r="F19973" s="7"/>
    </row>
    <row r="19974" spans="5:6" ht="15" customHeight="1" x14ac:dyDescent="0.2">
      <c r="E19974" s="7"/>
      <c r="F19974" s="7"/>
    </row>
    <row r="19975" spans="5:6" ht="15" customHeight="1" x14ac:dyDescent="0.2">
      <c r="E19975" s="7"/>
      <c r="F19975" s="7"/>
    </row>
    <row r="19976" spans="5:6" ht="15" customHeight="1" x14ac:dyDescent="0.2">
      <c r="E19976" s="7"/>
      <c r="F19976" s="7"/>
    </row>
    <row r="19977" spans="5:6" ht="15" customHeight="1" x14ac:dyDescent="0.2">
      <c r="E19977" s="7"/>
      <c r="F19977" s="7"/>
    </row>
    <row r="19978" spans="5:6" ht="15" customHeight="1" x14ac:dyDescent="0.2">
      <c r="E19978" s="7"/>
      <c r="F19978" s="7"/>
    </row>
    <row r="19979" spans="5:6" ht="15" customHeight="1" x14ac:dyDescent="0.2">
      <c r="E19979" s="7"/>
      <c r="F19979" s="7"/>
    </row>
    <row r="19980" spans="5:6" ht="15" customHeight="1" x14ac:dyDescent="0.2">
      <c r="E19980" s="7"/>
      <c r="F19980" s="7"/>
    </row>
    <row r="19981" spans="5:6" ht="15" customHeight="1" x14ac:dyDescent="0.2">
      <c r="E19981" s="7"/>
      <c r="F19981" s="7"/>
    </row>
    <row r="19982" spans="5:6" ht="15" customHeight="1" x14ac:dyDescent="0.2">
      <c r="E19982" s="7"/>
      <c r="F19982" s="7"/>
    </row>
    <row r="19983" spans="5:6" ht="15" customHeight="1" x14ac:dyDescent="0.2">
      <c r="E19983" s="7"/>
      <c r="F19983" s="7"/>
    </row>
    <row r="19984" spans="5:6" ht="15" customHeight="1" x14ac:dyDescent="0.2">
      <c r="E19984" s="7"/>
      <c r="F19984" s="7"/>
    </row>
    <row r="19985" spans="5:6" ht="15" customHeight="1" x14ac:dyDescent="0.2">
      <c r="E19985" s="7"/>
      <c r="F19985" s="7"/>
    </row>
    <row r="19986" spans="5:6" ht="15" customHeight="1" x14ac:dyDescent="0.2">
      <c r="E19986" s="7"/>
      <c r="F19986" s="7"/>
    </row>
    <row r="19987" spans="5:6" ht="15" customHeight="1" x14ac:dyDescent="0.2">
      <c r="E19987" s="7"/>
      <c r="F19987" s="7"/>
    </row>
    <row r="19988" spans="5:6" ht="15" customHeight="1" x14ac:dyDescent="0.2">
      <c r="E19988" s="7"/>
      <c r="F19988" s="7"/>
    </row>
    <row r="19989" spans="5:6" ht="15" customHeight="1" x14ac:dyDescent="0.2">
      <c r="E19989" s="7"/>
      <c r="F19989" s="7"/>
    </row>
    <row r="19990" spans="5:6" ht="15" customHeight="1" x14ac:dyDescent="0.2">
      <c r="E19990" s="7"/>
      <c r="F19990" s="7"/>
    </row>
    <row r="19991" spans="5:6" ht="15" customHeight="1" x14ac:dyDescent="0.2">
      <c r="E19991" s="7"/>
      <c r="F19991" s="7"/>
    </row>
    <row r="19992" spans="5:6" ht="15" customHeight="1" x14ac:dyDescent="0.2">
      <c r="E19992" s="7"/>
      <c r="F19992" s="7"/>
    </row>
    <row r="19993" spans="5:6" ht="15" customHeight="1" x14ac:dyDescent="0.2">
      <c r="E19993" s="7"/>
      <c r="F19993" s="7"/>
    </row>
    <row r="19994" spans="5:6" ht="15" customHeight="1" x14ac:dyDescent="0.2">
      <c r="E19994" s="7"/>
      <c r="F19994" s="7"/>
    </row>
    <row r="19995" spans="5:6" ht="15" customHeight="1" x14ac:dyDescent="0.2">
      <c r="E19995" s="7"/>
      <c r="F19995" s="7"/>
    </row>
    <row r="19996" spans="5:6" ht="15" customHeight="1" x14ac:dyDescent="0.2">
      <c r="E19996" s="7"/>
      <c r="F19996" s="7"/>
    </row>
    <row r="19997" spans="5:6" ht="15" customHeight="1" x14ac:dyDescent="0.2">
      <c r="E19997" s="7"/>
      <c r="F19997" s="7"/>
    </row>
    <row r="19998" spans="5:6" ht="15" customHeight="1" x14ac:dyDescent="0.2">
      <c r="E19998" s="7"/>
      <c r="F19998" s="7"/>
    </row>
    <row r="19999" spans="5:6" ht="15" customHeight="1" x14ac:dyDescent="0.2">
      <c r="E19999" s="7"/>
      <c r="F19999" s="7"/>
    </row>
    <row r="20000" spans="5:6" ht="15" customHeight="1" x14ac:dyDescent="0.2">
      <c r="E20000" s="7"/>
      <c r="F20000" s="7"/>
    </row>
    <row r="20001" spans="5:6" ht="15" customHeight="1" x14ac:dyDescent="0.2">
      <c r="E20001" s="7"/>
      <c r="F20001" s="7"/>
    </row>
    <row r="20002" spans="5:6" ht="15" customHeight="1" x14ac:dyDescent="0.2">
      <c r="E20002" s="7"/>
      <c r="F20002" s="7"/>
    </row>
    <row r="20003" spans="5:6" ht="15" customHeight="1" x14ac:dyDescent="0.2">
      <c r="E20003" s="7"/>
      <c r="F20003" s="7"/>
    </row>
    <row r="20004" spans="5:6" ht="15" customHeight="1" x14ac:dyDescent="0.2">
      <c r="E20004" s="7"/>
      <c r="F20004" s="7"/>
    </row>
    <row r="20005" spans="5:6" ht="15" customHeight="1" x14ac:dyDescent="0.2">
      <c r="E20005" s="7"/>
      <c r="F20005" s="7"/>
    </row>
    <row r="20006" spans="5:6" ht="15" customHeight="1" x14ac:dyDescent="0.2">
      <c r="E20006" s="7"/>
      <c r="F20006" s="7"/>
    </row>
    <row r="20007" spans="5:6" ht="15" customHeight="1" x14ac:dyDescent="0.2">
      <c r="E20007" s="7"/>
      <c r="F20007" s="7"/>
    </row>
    <row r="20008" spans="5:6" ht="15" customHeight="1" x14ac:dyDescent="0.2">
      <c r="E20008" s="7"/>
      <c r="F20008" s="7"/>
    </row>
    <row r="20009" spans="5:6" ht="15" customHeight="1" x14ac:dyDescent="0.2">
      <c r="E20009" s="7"/>
      <c r="F20009" s="7"/>
    </row>
    <row r="20010" spans="5:6" ht="15" customHeight="1" x14ac:dyDescent="0.2">
      <c r="E20010" s="7"/>
      <c r="F20010" s="7"/>
    </row>
    <row r="20011" spans="5:6" ht="15" customHeight="1" x14ac:dyDescent="0.2">
      <c r="E20011" s="7"/>
      <c r="F20011" s="7"/>
    </row>
    <row r="20012" spans="5:6" ht="15" customHeight="1" x14ac:dyDescent="0.2">
      <c r="E20012" s="7"/>
      <c r="F20012" s="7"/>
    </row>
    <row r="20013" spans="5:6" ht="15" customHeight="1" x14ac:dyDescent="0.2">
      <c r="E20013" s="7"/>
      <c r="F20013" s="7"/>
    </row>
    <row r="20014" spans="5:6" ht="15" customHeight="1" x14ac:dyDescent="0.2">
      <c r="E20014" s="7"/>
      <c r="F20014" s="7"/>
    </row>
    <row r="20015" spans="5:6" ht="15" customHeight="1" x14ac:dyDescent="0.2">
      <c r="E20015" s="7"/>
      <c r="F20015" s="7"/>
    </row>
    <row r="20016" spans="5:6" ht="15" customHeight="1" x14ac:dyDescent="0.2">
      <c r="E20016" s="7"/>
      <c r="F20016" s="7"/>
    </row>
    <row r="20017" spans="5:6" ht="15" customHeight="1" x14ac:dyDescent="0.2">
      <c r="E20017" s="7"/>
      <c r="F20017" s="7"/>
    </row>
    <row r="20018" spans="5:6" ht="15" customHeight="1" x14ac:dyDescent="0.2">
      <c r="E20018" s="7"/>
      <c r="F20018" s="7"/>
    </row>
    <row r="20019" spans="5:6" ht="15" customHeight="1" x14ac:dyDescent="0.2">
      <c r="E20019" s="7"/>
      <c r="F20019" s="7"/>
    </row>
    <row r="20020" spans="5:6" ht="15" customHeight="1" x14ac:dyDescent="0.2">
      <c r="E20020" s="7"/>
      <c r="F20020" s="7"/>
    </row>
    <row r="20021" spans="5:6" ht="15" customHeight="1" x14ac:dyDescent="0.2">
      <c r="E20021" s="7"/>
      <c r="F20021" s="7"/>
    </row>
    <row r="20022" spans="5:6" ht="15" customHeight="1" x14ac:dyDescent="0.2">
      <c r="E20022" s="7"/>
      <c r="F20022" s="7"/>
    </row>
    <row r="20023" spans="5:6" ht="15" customHeight="1" x14ac:dyDescent="0.2">
      <c r="E20023" s="7"/>
      <c r="F20023" s="7"/>
    </row>
    <row r="20024" spans="5:6" ht="15" customHeight="1" x14ac:dyDescent="0.2">
      <c r="E20024" s="7"/>
      <c r="F20024" s="7"/>
    </row>
    <row r="20025" spans="5:6" ht="15" customHeight="1" x14ac:dyDescent="0.2">
      <c r="E20025" s="7"/>
      <c r="F20025" s="7"/>
    </row>
    <row r="20026" spans="5:6" ht="15" customHeight="1" x14ac:dyDescent="0.2">
      <c r="E20026" s="7"/>
      <c r="F20026" s="7"/>
    </row>
    <row r="20027" spans="5:6" ht="15" customHeight="1" x14ac:dyDescent="0.2">
      <c r="E20027" s="7"/>
      <c r="F20027" s="7"/>
    </row>
    <row r="20028" spans="5:6" ht="15" customHeight="1" x14ac:dyDescent="0.2">
      <c r="E20028" s="7"/>
      <c r="F20028" s="7"/>
    </row>
    <row r="20029" spans="5:6" ht="15" customHeight="1" x14ac:dyDescent="0.2">
      <c r="E20029" s="7"/>
      <c r="F20029" s="7"/>
    </row>
    <row r="20030" spans="5:6" ht="15" customHeight="1" x14ac:dyDescent="0.2">
      <c r="E20030" s="7"/>
      <c r="F20030" s="7"/>
    </row>
    <row r="20031" spans="5:6" ht="15" customHeight="1" x14ac:dyDescent="0.2">
      <c r="E20031" s="7"/>
      <c r="F20031" s="7"/>
    </row>
    <row r="20032" spans="5:6" ht="15" customHeight="1" x14ac:dyDescent="0.2">
      <c r="E20032" s="7"/>
      <c r="F20032" s="7"/>
    </row>
    <row r="20033" spans="5:6" ht="15" customHeight="1" x14ac:dyDescent="0.2">
      <c r="E20033" s="7"/>
      <c r="F20033" s="7"/>
    </row>
    <row r="20034" spans="5:6" ht="15" customHeight="1" x14ac:dyDescent="0.2">
      <c r="E20034" s="7"/>
      <c r="F20034" s="7"/>
    </row>
    <row r="20035" spans="5:6" ht="15" customHeight="1" x14ac:dyDescent="0.2">
      <c r="E20035" s="7"/>
      <c r="F20035" s="7"/>
    </row>
    <row r="20036" spans="5:6" ht="15" customHeight="1" x14ac:dyDescent="0.2">
      <c r="E20036" s="7"/>
      <c r="F20036" s="7"/>
    </row>
    <row r="20037" spans="5:6" ht="15" customHeight="1" x14ac:dyDescent="0.2">
      <c r="E20037" s="7"/>
      <c r="F20037" s="7"/>
    </row>
    <row r="20038" spans="5:6" ht="15" customHeight="1" x14ac:dyDescent="0.2">
      <c r="E20038" s="7"/>
      <c r="F20038" s="7"/>
    </row>
    <row r="20039" spans="5:6" ht="15" customHeight="1" x14ac:dyDescent="0.2">
      <c r="E20039" s="7"/>
      <c r="F20039" s="7"/>
    </row>
    <row r="20040" spans="5:6" ht="15" customHeight="1" x14ac:dyDescent="0.2">
      <c r="E20040" s="7"/>
      <c r="F20040" s="7"/>
    </row>
    <row r="20041" spans="5:6" ht="15" customHeight="1" x14ac:dyDescent="0.2">
      <c r="E20041" s="7"/>
      <c r="F20041" s="7"/>
    </row>
    <row r="20042" spans="5:6" ht="15" customHeight="1" x14ac:dyDescent="0.2">
      <c r="E20042" s="7"/>
      <c r="F20042" s="7"/>
    </row>
    <row r="20043" spans="5:6" ht="15" customHeight="1" x14ac:dyDescent="0.2">
      <c r="E20043" s="7"/>
      <c r="F20043" s="7"/>
    </row>
    <row r="20044" spans="5:6" ht="15" customHeight="1" x14ac:dyDescent="0.2">
      <c r="E20044" s="7"/>
      <c r="F20044" s="7"/>
    </row>
    <row r="20045" spans="5:6" ht="15" customHeight="1" x14ac:dyDescent="0.2">
      <c r="E20045" s="7"/>
      <c r="F20045" s="7"/>
    </row>
    <row r="20046" spans="5:6" ht="15" customHeight="1" x14ac:dyDescent="0.2">
      <c r="E20046" s="7"/>
      <c r="F20046" s="7"/>
    </row>
    <row r="20047" spans="5:6" ht="15" customHeight="1" x14ac:dyDescent="0.2">
      <c r="E20047" s="7"/>
      <c r="F20047" s="7"/>
    </row>
    <row r="20048" spans="5:6" ht="15" customHeight="1" x14ac:dyDescent="0.2">
      <c r="E20048" s="7"/>
      <c r="F20048" s="7"/>
    </row>
    <row r="20049" spans="5:6" ht="15" customHeight="1" x14ac:dyDescent="0.2">
      <c r="E20049" s="7"/>
      <c r="F20049" s="7"/>
    </row>
    <row r="20050" spans="5:6" ht="15" customHeight="1" x14ac:dyDescent="0.2">
      <c r="E20050" s="7"/>
      <c r="F20050" s="7"/>
    </row>
    <row r="20051" spans="5:6" ht="15" customHeight="1" x14ac:dyDescent="0.2">
      <c r="E20051" s="7"/>
      <c r="F20051" s="7"/>
    </row>
    <row r="20052" spans="5:6" ht="15" customHeight="1" x14ac:dyDescent="0.2">
      <c r="E20052" s="7"/>
      <c r="F20052" s="7"/>
    </row>
    <row r="20053" spans="5:6" ht="15" customHeight="1" x14ac:dyDescent="0.2">
      <c r="E20053" s="7"/>
      <c r="F20053" s="7"/>
    </row>
    <row r="20054" spans="5:6" ht="15" customHeight="1" x14ac:dyDescent="0.2">
      <c r="E20054" s="7"/>
      <c r="F20054" s="7"/>
    </row>
    <row r="20055" spans="5:6" ht="15" customHeight="1" x14ac:dyDescent="0.2">
      <c r="E20055" s="7"/>
      <c r="F20055" s="7"/>
    </row>
    <row r="20056" spans="5:6" ht="15" customHeight="1" x14ac:dyDescent="0.2">
      <c r="E20056" s="7"/>
      <c r="F20056" s="7"/>
    </row>
    <row r="20057" spans="5:6" ht="15" customHeight="1" x14ac:dyDescent="0.2">
      <c r="E20057" s="7"/>
      <c r="F20057" s="7"/>
    </row>
    <row r="20058" spans="5:6" ht="15" customHeight="1" x14ac:dyDescent="0.2">
      <c r="E20058" s="7"/>
      <c r="F20058" s="7"/>
    </row>
    <row r="20059" spans="5:6" ht="15" customHeight="1" x14ac:dyDescent="0.2">
      <c r="E20059" s="7"/>
      <c r="F20059" s="7"/>
    </row>
    <row r="20060" spans="5:6" ht="15" customHeight="1" x14ac:dyDescent="0.2">
      <c r="E20060" s="7"/>
      <c r="F20060" s="7"/>
    </row>
    <row r="20061" spans="5:6" ht="15" customHeight="1" x14ac:dyDescent="0.2">
      <c r="E20061" s="7"/>
      <c r="F20061" s="7"/>
    </row>
    <row r="20062" spans="5:6" ht="15" customHeight="1" x14ac:dyDescent="0.2">
      <c r="E20062" s="7"/>
      <c r="F20062" s="7"/>
    </row>
    <row r="20063" spans="5:6" ht="15" customHeight="1" x14ac:dyDescent="0.2">
      <c r="E20063" s="7"/>
      <c r="F20063" s="7"/>
    </row>
    <row r="20064" spans="5:6" ht="15" customHeight="1" x14ac:dyDescent="0.2">
      <c r="E20064" s="7"/>
      <c r="F20064" s="7"/>
    </row>
    <row r="20065" spans="5:6" ht="15" customHeight="1" x14ac:dyDescent="0.2">
      <c r="E20065" s="7"/>
      <c r="F20065" s="7"/>
    </row>
    <row r="20066" spans="5:6" ht="15" customHeight="1" x14ac:dyDescent="0.2">
      <c r="E20066" s="7"/>
      <c r="F20066" s="7"/>
    </row>
    <row r="20067" spans="5:6" ht="15" customHeight="1" x14ac:dyDescent="0.2">
      <c r="E20067" s="7"/>
      <c r="F20067" s="7"/>
    </row>
    <row r="20068" spans="5:6" ht="15" customHeight="1" x14ac:dyDescent="0.2">
      <c r="E20068" s="7"/>
      <c r="F20068" s="7"/>
    </row>
    <row r="20069" spans="5:6" ht="15" customHeight="1" x14ac:dyDescent="0.2">
      <c r="E20069" s="7"/>
      <c r="F20069" s="7"/>
    </row>
    <row r="20070" spans="5:6" ht="15" customHeight="1" x14ac:dyDescent="0.2">
      <c r="E20070" s="7"/>
      <c r="F20070" s="7"/>
    </row>
    <row r="20071" spans="5:6" ht="15" customHeight="1" x14ac:dyDescent="0.2">
      <c r="E20071" s="7"/>
      <c r="F20071" s="7"/>
    </row>
    <row r="20072" spans="5:6" ht="15" customHeight="1" x14ac:dyDescent="0.2">
      <c r="E20072" s="7"/>
      <c r="F20072" s="7"/>
    </row>
    <row r="20073" spans="5:6" ht="15" customHeight="1" x14ac:dyDescent="0.2">
      <c r="E20073" s="7"/>
      <c r="F20073" s="7"/>
    </row>
    <row r="20074" spans="5:6" ht="15" customHeight="1" x14ac:dyDescent="0.2">
      <c r="E20074" s="7"/>
      <c r="F20074" s="7"/>
    </row>
    <row r="20075" spans="5:6" ht="15" customHeight="1" x14ac:dyDescent="0.2">
      <c r="E20075" s="7"/>
      <c r="F20075" s="7"/>
    </row>
    <row r="20076" spans="5:6" ht="15" customHeight="1" x14ac:dyDescent="0.2">
      <c r="E20076" s="7"/>
      <c r="F20076" s="7"/>
    </row>
    <row r="20077" spans="5:6" ht="15" customHeight="1" x14ac:dyDescent="0.2">
      <c r="E20077" s="7"/>
      <c r="F20077" s="7"/>
    </row>
    <row r="20078" spans="5:6" ht="15" customHeight="1" x14ac:dyDescent="0.2">
      <c r="E20078" s="7"/>
      <c r="F20078" s="7"/>
    </row>
    <row r="20079" spans="5:6" ht="15" customHeight="1" x14ac:dyDescent="0.2">
      <c r="E20079" s="7"/>
      <c r="F20079" s="7"/>
    </row>
    <row r="20080" spans="5:6" ht="15" customHeight="1" x14ac:dyDescent="0.2">
      <c r="E20080" s="7"/>
      <c r="F20080" s="7"/>
    </row>
    <row r="20081" spans="5:6" ht="15" customHeight="1" x14ac:dyDescent="0.2">
      <c r="E20081" s="7"/>
      <c r="F20081" s="7"/>
    </row>
    <row r="20082" spans="5:6" ht="15" customHeight="1" x14ac:dyDescent="0.2">
      <c r="E20082" s="7"/>
      <c r="F20082" s="7"/>
    </row>
    <row r="20083" spans="5:6" ht="15" customHeight="1" x14ac:dyDescent="0.2">
      <c r="E20083" s="7"/>
      <c r="F20083" s="7"/>
    </row>
    <row r="20084" spans="5:6" ht="15" customHeight="1" x14ac:dyDescent="0.2">
      <c r="E20084" s="7"/>
      <c r="F20084" s="7"/>
    </row>
    <row r="20085" spans="5:6" ht="15" customHeight="1" x14ac:dyDescent="0.2">
      <c r="E20085" s="7"/>
      <c r="F20085" s="7"/>
    </row>
    <row r="20086" spans="5:6" ht="15" customHeight="1" x14ac:dyDescent="0.2">
      <c r="E20086" s="7"/>
      <c r="F20086" s="7"/>
    </row>
    <row r="20087" spans="5:6" ht="15" customHeight="1" x14ac:dyDescent="0.2">
      <c r="E20087" s="7"/>
      <c r="F20087" s="7"/>
    </row>
    <row r="20088" spans="5:6" ht="15" customHeight="1" x14ac:dyDescent="0.2">
      <c r="E20088" s="7"/>
      <c r="F20088" s="7"/>
    </row>
    <row r="20089" spans="5:6" ht="15" customHeight="1" x14ac:dyDescent="0.2">
      <c r="E20089" s="7"/>
      <c r="F20089" s="7"/>
    </row>
    <row r="20090" spans="5:6" ht="15" customHeight="1" x14ac:dyDescent="0.2">
      <c r="E20090" s="7"/>
      <c r="F20090" s="7"/>
    </row>
    <row r="20091" spans="5:6" ht="15" customHeight="1" x14ac:dyDescent="0.2">
      <c r="E20091" s="7"/>
      <c r="F20091" s="7"/>
    </row>
    <row r="20092" spans="5:6" ht="15" customHeight="1" x14ac:dyDescent="0.2">
      <c r="E20092" s="7"/>
      <c r="F20092" s="7"/>
    </row>
    <row r="20093" spans="5:6" ht="15" customHeight="1" x14ac:dyDescent="0.2">
      <c r="E20093" s="7"/>
      <c r="F20093" s="7"/>
    </row>
    <row r="20094" spans="5:6" ht="15" customHeight="1" x14ac:dyDescent="0.2">
      <c r="E20094" s="7"/>
      <c r="F20094" s="7"/>
    </row>
    <row r="20095" spans="5:6" ht="15" customHeight="1" x14ac:dyDescent="0.2">
      <c r="E20095" s="7"/>
      <c r="F20095" s="7"/>
    </row>
    <row r="20096" spans="5:6" ht="15" customHeight="1" x14ac:dyDescent="0.2">
      <c r="E20096" s="7"/>
      <c r="F20096" s="7"/>
    </row>
    <row r="20097" spans="5:6" ht="15" customHeight="1" x14ac:dyDescent="0.2">
      <c r="E20097" s="7"/>
      <c r="F20097" s="7"/>
    </row>
    <row r="20098" spans="5:6" ht="15" customHeight="1" x14ac:dyDescent="0.2">
      <c r="E20098" s="7"/>
      <c r="F20098" s="7"/>
    </row>
    <row r="20099" spans="5:6" ht="15" customHeight="1" x14ac:dyDescent="0.2">
      <c r="E20099" s="7"/>
      <c r="F20099" s="7"/>
    </row>
    <row r="20100" spans="5:6" ht="15" customHeight="1" x14ac:dyDescent="0.2">
      <c r="E20100" s="7"/>
      <c r="F20100" s="7"/>
    </row>
    <row r="20101" spans="5:6" ht="15" customHeight="1" x14ac:dyDescent="0.2">
      <c r="E20101" s="7"/>
      <c r="F20101" s="7"/>
    </row>
    <row r="20102" spans="5:6" ht="15" customHeight="1" x14ac:dyDescent="0.2">
      <c r="E20102" s="7"/>
      <c r="F20102" s="7"/>
    </row>
    <row r="20103" spans="5:6" ht="15" customHeight="1" x14ac:dyDescent="0.2">
      <c r="E20103" s="7"/>
      <c r="F20103" s="7"/>
    </row>
    <row r="20104" spans="5:6" ht="15" customHeight="1" x14ac:dyDescent="0.2">
      <c r="E20104" s="7"/>
      <c r="F20104" s="7"/>
    </row>
    <row r="20105" spans="5:6" ht="15" customHeight="1" x14ac:dyDescent="0.2">
      <c r="E20105" s="7"/>
      <c r="F20105" s="7"/>
    </row>
    <row r="20106" spans="5:6" ht="15" customHeight="1" x14ac:dyDescent="0.2">
      <c r="E20106" s="7"/>
      <c r="F20106" s="7"/>
    </row>
    <row r="20107" spans="5:6" ht="15" customHeight="1" x14ac:dyDescent="0.2">
      <c r="E20107" s="7"/>
      <c r="F20107" s="7"/>
    </row>
    <row r="20108" spans="5:6" ht="15" customHeight="1" x14ac:dyDescent="0.2">
      <c r="E20108" s="7"/>
      <c r="F20108" s="7"/>
    </row>
    <row r="20109" spans="5:6" ht="15" customHeight="1" x14ac:dyDescent="0.2">
      <c r="E20109" s="7"/>
      <c r="F20109" s="7"/>
    </row>
    <row r="20110" spans="5:6" ht="15" customHeight="1" x14ac:dyDescent="0.2">
      <c r="E20110" s="7"/>
      <c r="F20110" s="7"/>
    </row>
    <row r="20111" spans="5:6" ht="15" customHeight="1" x14ac:dyDescent="0.2">
      <c r="E20111" s="7"/>
      <c r="F20111" s="7"/>
    </row>
    <row r="20112" spans="5:6" ht="15" customHeight="1" x14ac:dyDescent="0.2">
      <c r="E20112" s="7"/>
      <c r="F20112" s="7"/>
    </row>
    <row r="20113" spans="5:6" ht="15" customHeight="1" x14ac:dyDescent="0.2">
      <c r="E20113" s="7"/>
      <c r="F20113" s="7"/>
    </row>
    <row r="20114" spans="5:6" ht="15" customHeight="1" x14ac:dyDescent="0.2">
      <c r="E20114" s="7"/>
      <c r="F20114" s="7"/>
    </row>
    <row r="20115" spans="5:6" ht="15" customHeight="1" x14ac:dyDescent="0.2">
      <c r="E20115" s="7"/>
      <c r="F20115" s="7"/>
    </row>
    <row r="20116" spans="5:6" ht="15" customHeight="1" x14ac:dyDescent="0.2">
      <c r="E20116" s="7"/>
      <c r="F20116" s="7"/>
    </row>
    <row r="20117" spans="5:6" ht="15" customHeight="1" x14ac:dyDescent="0.2">
      <c r="E20117" s="7"/>
      <c r="F20117" s="7"/>
    </row>
    <row r="20118" spans="5:6" ht="15" customHeight="1" x14ac:dyDescent="0.2">
      <c r="E20118" s="7"/>
      <c r="F20118" s="7"/>
    </row>
    <row r="20119" spans="5:6" ht="15" customHeight="1" x14ac:dyDescent="0.2">
      <c r="E20119" s="7"/>
      <c r="F20119" s="7"/>
    </row>
    <row r="20120" spans="5:6" ht="15" customHeight="1" x14ac:dyDescent="0.2">
      <c r="E20120" s="7"/>
      <c r="F20120" s="7"/>
    </row>
    <row r="20121" spans="5:6" ht="15" customHeight="1" x14ac:dyDescent="0.2">
      <c r="E20121" s="7"/>
      <c r="F20121" s="7"/>
    </row>
    <row r="20122" spans="5:6" ht="15" customHeight="1" x14ac:dyDescent="0.2">
      <c r="E20122" s="7"/>
      <c r="F20122" s="7"/>
    </row>
    <row r="20123" spans="5:6" ht="15" customHeight="1" x14ac:dyDescent="0.2">
      <c r="E20123" s="7"/>
      <c r="F20123" s="7"/>
    </row>
    <row r="20124" spans="5:6" ht="15" customHeight="1" x14ac:dyDescent="0.2">
      <c r="E20124" s="7"/>
      <c r="F20124" s="7"/>
    </row>
    <row r="20125" spans="5:6" ht="15" customHeight="1" x14ac:dyDescent="0.2">
      <c r="E20125" s="7"/>
      <c r="F20125" s="7"/>
    </row>
    <row r="20126" spans="5:6" ht="15" customHeight="1" x14ac:dyDescent="0.2">
      <c r="E20126" s="7"/>
      <c r="F20126" s="7"/>
    </row>
    <row r="20127" spans="5:6" ht="15" customHeight="1" x14ac:dyDescent="0.2">
      <c r="E20127" s="7"/>
      <c r="F20127" s="7"/>
    </row>
    <row r="20128" spans="5:6" ht="15" customHeight="1" x14ac:dyDescent="0.2">
      <c r="E20128" s="7"/>
      <c r="F20128" s="7"/>
    </row>
    <row r="20129" spans="5:6" ht="15" customHeight="1" x14ac:dyDescent="0.2">
      <c r="E20129" s="7"/>
      <c r="F20129" s="7"/>
    </row>
    <row r="20130" spans="5:6" ht="15" customHeight="1" x14ac:dyDescent="0.2">
      <c r="E20130" s="7"/>
      <c r="F20130" s="7"/>
    </row>
    <row r="20131" spans="5:6" ht="15" customHeight="1" x14ac:dyDescent="0.2">
      <c r="E20131" s="7"/>
      <c r="F20131" s="7"/>
    </row>
    <row r="20132" spans="5:6" ht="15" customHeight="1" x14ac:dyDescent="0.2">
      <c r="E20132" s="7"/>
      <c r="F20132" s="7"/>
    </row>
    <row r="20133" spans="5:6" ht="15" customHeight="1" x14ac:dyDescent="0.2">
      <c r="E20133" s="7"/>
      <c r="F20133" s="7"/>
    </row>
    <row r="20134" spans="5:6" ht="15" customHeight="1" x14ac:dyDescent="0.2">
      <c r="E20134" s="7"/>
      <c r="F20134" s="7"/>
    </row>
    <row r="20135" spans="5:6" ht="15" customHeight="1" x14ac:dyDescent="0.2">
      <c r="E20135" s="7"/>
      <c r="F20135" s="7"/>
    </row>
    <row r="20136" spans="5:6" ht="15" customHeight="1" x14ac:dyDescent="0.2">
      <c r="E20136" s="7"/>
      <c r="F20136" s="7"/>
    </row>
    <row r="20137" spans="5:6" ht="15" customHeight="1" x14ac:dyDescent="0.2">
      <c r="E20137" s="7"/>
      <c r="F20137" s="7"/>
    </row>
    <row r="20138" spans="5:6" ht="15" customHeight="1" x14ac:dyDescent="0.2">
      <c r="E20138" s="7"/>
      <c r="F20138" s="7"/>
    </row>
    <row r="20139" spans="5:6" ht="15" customHeight="1" x14ac:dyDescent="0.2">
      <c r="E20139" s="7"/>
      <c r="F20139" s="7"/>
    </row>
    <row r="20140" spans="5:6" ht="15" customHeight="1" x14ac:dyDescent="0.2">
      <c r="E20140" s="7"/>
      <c r="F20140" s="7"/>
    </row>
    <row r="20141" spans="5:6" ht="15" customHeight="1" x14ac:dyDescent="0.2">
      <c r="E20141" s="7"/>
      <c r="F20141" s="7"/>
    </row>
    <row r="20142" spans="5:6" ht="15" customHeight="1" x14ac:dyDescent="0.2">
      <c r="E20142" s="7"/>
      <c r="F20142" s="7"/>
    </row>
    <row r="20143" spans="5:6" ht="15" customHeight="1" x14ac:dyDescent="0.2">
      <c r="E20143" s="7"/>
      <c r="F20143" s="7"/>
    </row>
    <row r="20144" spans="5:6" ht="15" customHeight="1" x14ac:dyDescent="0.2">
      <c r="E20144" s="7"/>
      <c r="F20144" s="7"/>
    </row>
    <row r="20145" spans="5:6" ht="15" customHeight="1" x14ac:dyDescent="0.2">
      <c r="E20145" s="7"/>
      <c r="F20145" s="7"/>
    </row>
    <row r="20146" spans="5:6" ht="15" customHeight="1" x14ac:dyDescent="0.2">
      <c r="E20146" s="7"/>
      <c r="F20146" s="7"/>
    </row>
    <row r="20147" spans="5:6" ht="15" customHeight="1" x14ac:dyDescent="0.2">
      <c r="E20147" s="7"/>
      <c r="F20147" s="7"/>
    </row>
    <row r="20148" spans="5:6" ht="15" customHeight="1" x14ac:dyDescent="0.2">
      <c r="E20148" s="7"/>
      <c r="F20148" s="7"/>
    </row>
    <row r="20149" spans="5:6" ht="15" customHeight="1" x14ac:dyDescent="0.2">
      <c r="E20149" s="7"/>
      <c r="F20149" s="7"/>
    </row>
    <row r="20150" spans="5:6" ht="15" customHeight="1" x14ac:dyDescent="0.2">
      <c r="E20150" s="7"/>
      <c r="F20150" s="7"/>
    </row>
    <row r="20151" spans="5:6" ht="15" customHeight="1" x14ac:dyDescent="0.2">
      <c r="E20151" s="7"/>
      <c r="F20151" s="7"/>
    </row>
    <row r="20152" spans="5:6" ht="15" customHeight="1" x14ac:dyDescent="0.2">
      <c r="E20152" s="7"/>
      <c r="F20152" s="7"/>
    </row>
    <row r="20153" spans="5:6" ht="15" customHeight="1" x14ac:dyDescent="0.2">
      <c r="E20153" s="7"/>
      <c r="F20153" s="7"/>
    </row>
    <row r="20154" spans="5:6" ht="15" customHeight="1" x14ac:dyDescent="0.2">
      <c r="E20154" s="7"/>
      <c r="F20154" s="7"/>
    </row>
    <row r="20155" spans="5:6" ht="15" customHeight="1" x14ac:dyDescent="0.2">
      <c r="E20155" s="7"/>
      <c r="F20155" s="7"/>
    </row>
    <row r="20156" spans="5:6" ht="15" customHeight="1" x14ac:dyDescent="0.2">
      <c r="E20156" s="7"/>
      <c r="F20156" s="7"/>
    </row>
    <row r="20157" spans="5:6" ht="15" customHeight="1" x14ac:dyDescent="0.2">
      <c r="E20157" s="7"/>
      <c r="F20157" s="7"/>
    </row>
    <row r="20158" spans="5:6" ht="15" customHeight="1" x14ac:dyDescent="0.2">
      <c r="E20158" s="7"/>
      <c r="F20158" s="7"/>
    </row>
    <row r="20159" spans="5:6" ht="15" customHeight="1" x14ac:dyDescent="0.2">
      <c r="E20159" s="7"/>
      <c r="F20159" s="7"/>
    </row>
    <row r="20160" spans="5:6" ht="15" customHeight="1" x14ac:dyDescent="0.2">
      <c r="E20160" s="7"/>
      <c r="F20160" s="7"/>
    </row>
    <row r="20161" spans="5:6" ht="15" customHeight="1" x14ac:dyDescent="0.2">
      <c r="E20161" s="7"/>
      <c r="F20161" s="7"/>
    </row>
    <row r="20162" spans="5:6" ht="15" customHeight="1" x14ac:dyDescent="0.2">
      <c r="E20162" s="7"/>
      <c r="F20162" s="7"/>
    </row>
    <row r="20163" spans="5:6" ht="15" customHeight="1" x14ac:dyDescent="0.2">
      <c r="E20163" s="7"/>
      <c r="F20163" s="7"/>
    </row>
    <row r="20164" spans="5:6" ht="15" customHeight="1" x14ac:dyDescent="0.2">
      <c r="E20164" s="7"/>
      <c r="F20164" s="7"/>
    </row>
    <row r="20165" spans="5:6" ht="15" customHeight="1" x14ac:dyDescent="0.2">
      <c r="E20165" s="7"/>
      <c r="F20165" s="7"/>
    </row>
    <row r="20166" spans="5:6" ht="15" customHeight="1" x14ac:dyDescent="0.2">
      <c r="E20166" s="7"/>
      <c r="F20166" s="7"/>
    </row>
    <row r="20167" spans="5:6" ht="15" customHeight="1" x14ac:dyDescent="0.2">
      <c r="E20167" s="7"/>
      <c r="F20167" s="7"/>
    </row>
    <row r="20168" spans="5:6" ht="15" customHeight="1" x14ac:dyDescent="0.2">
      <c r="E20168" s="7"/>
      <c r="F20168" s="7"/>
    </row>
    <row r="20169" spans="5:6" ht="15" customHeight="1" x14ac:dyDescent="0.2">
      <c r="E20169" s="7"/>
      <c r="F20169" s="7"/>
    </row>
    <row r="20170" spans="5:6" ht="15" customHeight="1" x14ac:dyDescent="0.2">
      <c r="E20170" s="7"/>
      <c r="F20170" s="7"/>
    </row>
    <row r="20171" spans="5:6" ht="15" customHeight="1" x14ac:dyDescent="0.2">
      <c r="E20171" s="7"/>
      <c r="F20171" s="7"/>
    </row>
    <row r="20172" spans="5:6" ht="15" customHeight="1" x14ac:dyDescent="0.2">
      <c r="E20172" s="7"/>
      <c r="F20172" s="7"/>
    </row>
    <row r="20173" spans="5:6" ht="15" customHeight="1" x14ac:dyDescent="0.2">
      <c r="E20173" s="7"/>
      <c r="F20173" s="7"/>
    </row>
    <row r="20174" spans="5:6" ht="15" customHeight="1" x14ac:dyDescent="0.2">
      <c r="E20174" s="7"/>
      <c r="F20174" s="7"/>
    </row>
    <row r="20175" spans="5:6" ht="15" customHeight="1" x14ac:dyDescent="0.2">
      <c r="E20175" s="7"/>
      <c r="F20175" s="7"/>
    </row>
    <row r="20176" spans="5:6" ht="15" customHeight="1" x14ac:dyDescent="0.2">
      <c r="E20176" s="7"/>
      <c r="F20176" s="7"/>
    </row>
    <row r="20177" spans="5:6" ht="15" customHeight="1" x14ac:dyDescent="0.2">
      <c r="E20177" s="7"/>
      <c r="F20177" s="7"/>
    </row>
    <row r="20178" spans="5:6" ht="15" customHeight="1" x14ac:dyDescent="0.2">
      <c r="E20178" s="7"/>
      <c r="F20178" s="7"/>
    </row>
    <row r="20179" spans="5:6" ht="15" customHeight="1" x14ac:dyDescent="0.2">
      <c r="E20179" s="7"/>
      <c r="F20179" s="7"/>
    </row>
    <row r="20180" spans="5:6" ht="15" customHeight="1" x14ac:dyDescent="0.2">
      <c r="E20180" s="7"/>
      <c r="F20180" s="7"/>
    </row>
    <row r="20181" spans="5:6" ht="15" customHeight="1" x14ac:dyDescent="0.2">
      <c r="E20181" s="7"/>
      <c r="F20181" s="7"/>
    </row>
    <row r="20182" spans="5:6" ht="15" customHeight="1" x14ac:dyDescent="0.2">
      <c r="E20182" s="7"/>
      <c r="F20182" s="7"/>
    </row>
    <row r="20183" spans="5:6" ht="15" customHeight="1" x14ac:dyDescent="0.2">
      <c r="E20183" s="7"/>
      <c r="F20183" s="7"/>
    </row>
    <row r="20184" spans="5:6" ht="15" customHeight="1" x14ac:dyDescent="0.2">
      <c r="E20184" s="7"/>
      <c r="F20184" s="7"/>
    </row>
    <row r="20185" spans="5:6" ht="15" customHeight="1" x14ac:dyDescent="0.2">
      <c r="E20185" s="7"/>
      <c r="F20185" s="7"/>
    </row>
    <row r="20186" spans="5:6" ht="15" customHeight="1" x14ac:dyDescent="0.2">
      <c r="E20186" s="7"/>
      <c r="F20186" s="7"/>
    </row>
    <row r="20187" spans="5:6" ht="15" customHeight="1" x14ac:dyDescent="0.2">
      <c r="E20187" s="7"/>
      <c r="F20187" s="7"/>
    </row>
    <row r="20188" spans="5:6" ht="15" customHeight="1" x14ac:dyDescent="0.2">
      <c r="E20188" s="7"/>
      <c r="F20188" s="7"/>
    </row>
    <row r="20189" spans="5:6" ht="15" customHeight="1" x14ac:dyDescent="0.2">
      <c r="E20189" s="7"/>
      <c r="F20189" s="7"/>
    </row>
    <row r="20190" spans="5:6" ht="15" customHeight="1" x14ac:dyDescent="0.2">
      <c r="E20190" s="7"/>
      <c r="F20190" s="7"/>
    </row>
    <row r="20191" spans="5:6" ht="15" customHeight="1" x14ac:dyDescent="0.2">
      <c r="E20191" s="7"/>
      <c r="F20191" s="7"/>
    </row>
    <row r="20192" spans="5:6" ht="15" customHeight="1" x14ac:dyDescent="0.2">
      <c r="E20192" s="7"/>
      <c r="F20192" s="7"/>
    </row>
    <row r="20193" spans="5:6" ht="15" customHeight="1" x14ac:dyDescent="0.2">
      <c r="E20193" s="7"/>
      <c r="F20193" s="7"/>
    </row>
    <row r="20194" spans="5:6" ht="15" customHeight="1" x14ac:dyDescent="0.2">
      <c r="E20194" s="7"/>
      <c r="F20194" s="7"/>
    </row>
    <row r="20195" spans="5:6" ht="15" customHeight="1" x14ac:dyDescent="0.2">
      <c r="E20195" s="7"/>
      <c r="F20195" s="7"/>
    </row>
    <row r="20196" spans="5:6" ht="15" customHeight="1" x14ac:dyDescent="0.2">
      <c r="E20196" s="7"/>
      <c r="F20196" s="7"/>
    </row>
    <row r="20197" spans="5:6" ht="15" customHeight="1" x14ac:dyDescent="0.2">
      <c r="E20197" s="7"/>
      <c r="F20197" s="7"/>
    </row>
    <row r="20198" spans="5:6" ht="15" customHeight="1" x14ac:dyDescent="0.2">
      <c r="E20198" s="7"/>
      <c r="F20198" s="7"/>
    </row>
    <row r="20199" spans="5:6" ht="15" customHeight="1" x14ac:dyDescent="0.2">
      <c r="E20199" s="7"/>
      <c r="F20199" s="7"/>
    </row>
    <row r="20200" spans="5:6" ht="15" customHeight="1" x14ac:dyDescent="0.2">
      <c r="E20200" s="7"/>
      <c r="F20200" s="7"/>
    </row>
    <row r="20201" spans="5:6" ht="15" customHeight="1" x14ac:dyDescent="0.2">
      <c r="E20201" s="7"/>
      <c r="F20201" s="7"/>
    </row>
    <row r="20202" spans="5:6" ht="15" customHeight="1" x14ac:dyDescent="0.2">
      <c r="E20202" s="7"/>
      <c r="F20202" s="7"/>
    </row>
    <row r="20203" spans="5:6" ht="15" customHeight="1" x14ac:dyDescent="0.2">
      <c r="E20203" s="7"/>
      <c r="F20203" s="7"/>
    </row>
    <row r="20204" spans="5:6" ht="15" customHeight="1" x14ac:dyDescent="0.2">
      <c r="E20204" s="7"/>
      <c r="F20204" s="7"/>
    </row>
    <row r="20205" spans="5:6" ht="15" customHeight="1" x14ac:dyDescent="0.2">
      <c r="E20205" s="7"/>
      <c r="F20205" s="7"/>
    </row>
    <row r="20206" spans="5:6" ht="15" customHeight="1" x14ac:dyDescent="0.2">
      <c r="E20206" s="7"/>
      <c r="F20206" s="7"/>
    </row>
    <row r="20207" spans="5:6" ht="15" customHeight="1" x14ac:dyDescent="0.2">
      <c r="E20207" s="7"/>
      <c r="F20207" s="7"/>
    </row>
    <row r="20208" spans="5:6" ht="15" customHeight="1" x14ac:dyDescent="0.2">
      <c r="E20208" s="7"/>
      <c r="F20208" s="7"/>
    </row>
    <row r="20209" spans="5:6" ht="15" customHeight="1" x14ac:dyDescent="0.2">
      <c r="E20209" s="7"/>
      <c r="F20209" s="7"/>
    </row>
    <row r="20210" spans="5:6" ht="15" customHeight="1" x14ac:dyDescent="0.2">
      <c r="E20210" s="7"/>
      <c r="F20210" s="7"/>
    </row>
    <row r="20211" spans="5:6" ht="15" customHeight="1" x14ac:dyDescent="0.2">
      <c r="E20211" s="7"/>
      <c r="F20211" s="7"/>
    </row>
    <row r="20212" spans="5:6" ht="15" customHeight="1" x14ac:dyDescent="0.2">
      <c r="E20212" s="7"/>
      <c r="F20212" s="7"/>
    </row>
    <row r="20213" spans="5:6" ht="15" customHeight="1" x14ac:dyDescent="0.2">
      <c r="E20213" s="7"/>
      <c r="F20213" s="7"/>
    </row>
    <row r="20214" spans="5:6" ht="15" customHeight="1" x14ac:dyDescent="0.2">
      <c r="E20214" s="7"/>
      <c r="F20214" s="7"/>
    </row>
    <row r="20215" spans="5:6" ht="15" customHeight="1" x14ac:dyDescent="0.2">
      <c r="E20215" s="7"/>
      <c r="F20215" s="7"/>
    </row>
    <row r="20216" spans="5:6" ht="15" customHeight="1" x14ac:dyDescent="0.2">
      <c r="E20216" s="7"/>
      <c r="F20216" s="7"/>
    </row>
    <row r="20217" spans="5:6" ht="15" customHeight="1" x14ac:dyDescent="0.2">
      <c r="E20217" s="7"/>
      <c r="F20217" s="7"/>
    </row>
    <row r="20218" spans="5:6" ht="15" customHeight="1" x14ac:dyDescent="0.2">
      <c r="E20218" s="7"/>
      <c r="F20218" s="7"/>
    </row>
    <row r="20219" spans="5:6" ht="15" customHeight="1" x14ac:dyDescent="0.2">
      <c r="E20219" s="7"/>
      <c r="F20219" s="7"/>
    </row>
    <row r="20220" spans="5:6" ht="15" customHeight="1" x14ac:dyDescent="0.2">
      <c r="E20220" s="7"/>
      <c r="F20220" s="7"/>
    </row>
    <row r="20221" spans="5:6" ht="15" customHeight="1" x14ac:dyDescent="0.2">
      <c r="E20221" s="7"/>
      <c r="F20221" s="7"/>
    </row>
    <row r="20222" spans="5:6" ht="15" customHeight="1" x14ac:dyDescent="0.2">
      <c r="E20222" s="7"/>
      <c r="F20222" s="7"/>
    </row>
    <row r="20223" spans="5:6" ht="15" customHeight="1" x14ac:dyDescent="0.2">
      <c r="E20223" s="7"/>
      <c r="F20223" s="7"/>
    </row>
    <row r="20224" spans="5:6" ht="15" customHeight="1" x14ac:dyDescent="0.2">
      <c r="E20224" s="7"/>
      <c r="F20224" s="7"/>
    </row>
    <row r="20225" spans="5:6" ht="15" customHeight="1" x14ac:dyDescent="0.2">
      <c r="E20225" s="7"/>
      <c r="F20225" s="7"/>
    </row>
    <row r="20226" spans="5:6" ht="15" customHeight="1" x14ac:dyDescent="0.2">
      <c r="E20226" s="7"/>
      <c r="F20226" s="7"/>
    </row>
    <row r="20227" spans="5:6" ht="15" customHeight="1" x14ac:dyDescent="0.2">
      <c r="E20227" s="7"/>
      <c r="F20227" s="7"/>
    </row>
    <row r="20228" spans="5:6" ht="15" customHeight="1" x14ac:dyDescent="0.2">
      <c r="E20228" s="7"/>
      <c r="F20228" s="7"/>
    </row>
    <row r="20229" spans="5:6" ht="15" customHeight="1" x14ac:dyDescent="0.2">
      <c r="E20229" s="7"/>
      <c r="F20229" s="7"/>
    </row>
    <row r="20230" spans="5:6" ht="15" customHeight="1" x14ac:dyDescent="0.2">
      <c r="E20230" s="7"/>
      <c r="F20230" s="7"/>
    </row>
    <row r="20231" spans="5:6" ht="15" customHeight="1" x14ac:dyDescent="0.2">
      <c r="E20231" s="7"/>
      <c r="F20231" s="7"/>
    </row>
    <row r="20232" spans="5:6" ht="15" customHeight="1" x14ac:dyDescent="0.2">
      <c r="E20232" s="7"/>
      <c r="F20232" s="7"/>
    </row>
    <row r="20233" spans="5:6" ht="15" customHeight="1" x14ac:dyDescent="0.2">
      <c r="E20233" s="7"/>
      <c r="F20233" s="7"/>
    </row>
    <row r="20234" spans="5:6" ht="15" customHeight="1" x14ac:dyDescent="0.2">
      <c r="E20234" s="7"/>
      <c r="F20234" s="7"/>
    </row>
    <row r="20235" spans="5:6" ht="15" customHeight="1" x14ac:dyDescent="0.2">
      <c r="E20235" s="7"/>
      <c r="F20235" s="7"/>
    </row>
    <row r="20236" spans="5:6" ht="15" customHeight="1" x14ac:dyDescent="0.2">
      <c r="E20236" s="7"/>
      <c r="F20236" s="7"/>
    </row>
    <row r="20237" spans="5:6" ht="15" customHeight="1" x14ac:dyDescent="0.2">
      <c r="E20237" s="7"/>
      <c r="F20237" s="7"/>
    </row>
    <row r="20238" spans="5:6" ht="15" customHeight="1" x14ac:dyDescent="0.2">
      <c r="E20238" s="7"/>
      <c r="F20238" s="7"/>
    </row>
    <row r="20239" spans="5:6" ht="15" customHeight="1" x14ac:dyDescent="0.2">
      <c r="E20239" s="7"/>
      <c r="F20239" s="7"/>
    </row>
    <row r="20240" spans="5:6" ht="15" customHeight="1" x14ac:dyDescent="0.2">
      <c r="E20240" s="7"/>
      <c r="F20240" s="7"/>
    </row>
    <row r="20241" spans="5:6" ht="15" customHeight="1" x14ac:dyDescent="0.2">
      <c r="E20241" s="7"/>
      <c r="F20241" s="7"/>
    </row>
    <row r="20242" spans="5:6" ht="15" customHeight="1" x14ac:dyDescent="0.2">
      <c r="E20242" s="7"/>
      <c r="F20242" s="7"/>
    </row>
    <row r="20243" spans="5:6" ht="15" customHeight="1" x14ac:dyDescent="0.2">
      <c r="E20243" s="7"/>
      <c r="F20243" s="7"/>
    </row>
    <row r="20244" spans="5:6" ht="15" customHeight="1" x14ac:dyDescent="0.2">
      <c r="E20244" s="7"/>
      <c r="F20244" s="7"/>
    </row>
    <row r="20245" spans="5:6" ht="15" customHeight="1" x14ac:dyDescent="0.2">
      <c r="E20245" s="7"/>
      <c r="F20245" s="7"/>
    </row>
    <row r="20246" spans="5:6" ht="15" customHeight="1" x14ac:dyDescent="0.2">
      <c r="E20246" s="7"/>
      <c r="F20246" s="7"/>
    </row>
    <row r="20247" spans="5:6" ht="15" customHeight="1" x14ac:dyDescent="0.2">
      <c r="E20247" s="7"/>
      <c r="F20247" s="7"/>
    </row>
    <row r="20248" spans="5:6" ht="15" customHeight="1" x14ac:dyDescent="0.2">
      <c r="E20248" s="7"/>
      <c r="F20248" s="7"/>
    </row>
    <row r="20249" spans="5:6" ht="15" customHeight="1" x14ac:dyDescent="0.2">
      <c r="E20249" s="7"/>
      <c r="F20249" s="7"/>
    </row>
    <row r="20250" spans="5:6" ht="15" customHeight="1" x14ac:dyDescent="0.2">
      <c r="E20250" s="7"/>
      <c r="F20250" s="7"/>
    </row>
    <row r="20251" spans="5:6" ht="15" customHeight="1" x14ac:dyDescent="0.2">
      <c r="E20251" s="7"/>
      <c r="F20251" s="7"/>
    </row>
    <row r="20252" spans="5:6" ht="15" customHeight="1" x14ac:dyDescent="0.2">
      <c r="E20252" s="7"/>
      <c r="F20252" s="7"/>
    </row>
    <row r="20253" spans="5:6" ht="15" customHeight="1" x14ac:dyDescent="0.2">
      <c r="E20253" s="7"/>
      <c r="F20253" s="7"/>
    </row>
    <row r="20254" spans="5:6" ht="15" customHeight="1" x14ac:dyDescent="0.2">
      <c r="E20254" s="7"/>
      <c r="F20254" s="7"/>
    </row>
    <row r="20255" spans="5:6" ht="15" customHeight="1" x14ac:dyDescent="0.2">
      <c r="E20255" s="7"/>
      <c r="F20255" s="7"/>
    </row>
    <row r="20256" spans="5:6" ht="15" customHeight="1" x14ac:dyDescent="0.2">
      <c r="E20256" s="7"/>
      <c r="F20256" s="7"/>
    </row>
    <row r="20257" spans="5:6" ht="15" customHeight="1" x14ac:dyDescent="0.2">
      <c r="E20257" s="7"/>
      <c r="F20257" s="7"/>
    </row>
    <row r="20258" spans="5:6" ht="15" customHeight="1" x14ac:dyDescent="0.2">
      <c r="E20258" s="7"/>
      <c r="F20258" s="7"/>
    </row>
    <row r="20259" spans="5:6" ht="15" customHeight="1" x14ac:dyDescent="0.2">
      <c r="E20259" s="7"/>
      <c r="F20259" s="7"/>
    </row>
    <row r="20260" spans="5:6" ht="15" customHeight="1" x14ac:dyDescent="0.2">
      <c r="E20260" s="7"/>
      <c r="F20260" s="7"/>
    </row>
    <row r="20261" spans="5:6" ht="15" customHeight="1" x14ac:dyDescent="0.2">
      <c r="E20261" s="7"/>
      <c r="F20261" s="7"/>
    </row>
    <row r="20262" spans="5:6" ht="15" customHeight="1" x14ac:dyDescent="0.2">
      <c r="E20262" s="7"/>
      <c r="F20262" s="7"/>
    </row>
    <row r="20263" spans="5:6" ht="15" customHeight="1" x14ac:dyDescent="0.2">
      <c r="E20263" s="7"/>
      <c r="F20263" s="7"/>
    </row>
    <row r="20264" spans="5:6" ht="15" customHeight="1" x14ac:dyDescent="0.2">
      <c r="E20264" s="7"/>
      <c r="F20264" s="7"/>
    </row>
    <row r="20265" spans="5:6" ht="15" customHeight="1" x14ac:dyDescent="0.2">
      <c r="E20265" s="7"/>
      <c r="F20265" s="7"/>
    </row>
    <row r="20266" spans="5:6" ht="15" customHeight="1" x14ac:dyDescent="0.2">
      <c r="E20266" s="7"/>
      <c r="F20266" s="7"/>
    </row>
    <row r="20267" spans="5:6" ht="15" customHeight="1" x14ac:dyDescent="0.2">
      <c r="E20267" s="7"/>
      <c r="F20267" s="7"/>
    </row>
    <row r="20268" spans="5:6" ht="15" customHeight="1" x14ac:dyDescent="0.2">
      <c r="E20268" s="7"/>
      <c r="F20268" s="7"/>
    </row>
    <row r="20269" spans="5:6" ht="15" customHeight="1" x14ac:dyDescent="0.2">
      <c r="E20269" s="7"/>
      <c r="F20269" s="7"/>
    </row>
    <row r="20270" spans="5:6" ht="15" customHeight="1" x14ac:dyDescent="0.2">
      <c r="E20270" s="7"/>
      <c r="F20270" s="7"/>
    </row>
    <row r="20271" spans="5:6" ht="15" customHeight="1" x14ac:dyDescent="0.2">
      <c r="E20271" s="7"/>
      <c r="F20271" s="7"/>
    </row>
    <row r="20272" spans="5:6" ht="15" customHeight="1" x14ac:dyDescent="0.2">
      <c r="E20272" s="7"/>
      <c r="F20272" s="7"/>
    </row>
    <row r="20273" spans="5:6" ht="15" customHeight="1" x14ac:dyDescent="0.2">
      <c r="E20273" s="7"/>
      <c r="F20273" s="7"/>
    </row>
    <row r="20274" spans="5:6" ht="15" customHeight="1" x14ac:dyDescent="0.2">
      <c r="E20274" s="7"/>
      <c r="F20274" s="7"/>
    </row>
    <row r="20275" spans="5:6" ht="15" customHeight="1" x14ac:dyDescent="0.2">
      <c r="E20275" s="7"/>
      <c r="F20275" s="7"/>
    </row>
    <row r="20276" spans="5:6" ht="15" customHeight="1" x14ac:dyDescent="0.2">
      <c r="E20276" s="7"/>
      <c r="F20276" s="7"/>
    </row>
    <row r="20277" spans="5:6" ht="15" customHeight="1" x14ac:dyDescent="0.2">
      <c r="E20277" s="7"/>
      <c r="F20277" s="7"/>
    </row>
    <row r="20278" spans="5:6" ht="15" customHeight="1" x14ac:dyDescent="0.2">
      <c r="E20278" s="7"/>
      <c r="F20278" s="7"/>
    </row>
    <row r="20279" spans="5:6" ht="15" customHeight="1" x14ac:dyDescent="0.2">
      <c r="E20279" s="7"/>
      <c r="F20279" s="7"/>
    </row>
    <row r="20280" spans="5:6" ht="15" customHeight="1" x14ac:dyDescent="0.2">
      <c r="E20280" s="7"/>
      <c r="F20280" s="7"/>
    </row>
    <row r="20281" spans="5:6" ht="15" customHeight="1" x14ac:dyDescent="0.2">
      <c r="E20281" s="7"/>
      <c r="F20281" s="7"/>
    </row>
    <row r="20282" spans="5:6" ht="15" customHeight="1" x14ac:dyDescent="0.2">
      <c r="E20282" s="7"/>
      <c r="F20282" s="7"/>
    </row>
    <row r="20283" spans="5:6" ht="15" customHeight="1" x14ac:dyDescent="0.2">
      <c r="E20283" s="7"/>
      <c r="F20283" s="7"/>
    </row>
    <row r="20284" spans="5:6" ht="15" customHeight="1" x14ac:dyDescent="0.2">
      <c r="E20284" s="7"/>
      <c r="F20284" s="7"/>
    </row>
    <row r="20285" spans="5:6" ht="15" customHeight="1" x14ac:dyDescent="0.2">
      <c r="E20285" s="7"/>
      <c r="F20285" s="7"/>
    </row>
    <row r="20286" spans="5:6" ht="15" customHeight="1" x14ac:dyDescent="0.2">
      <c r="E20286" s="7"/>
      <c r="F20286" s="7"/>
    </row>
    <row r="20287" spans="5:6" ht="15" customHeight="1" x14ac:dyDescent="0.2">
      <c r="E20287" s="7"/>
      <c r="F20287" s="7"/>
    </row>
    <row r="20288" spans="5:6" ht="15" customHeight="1" x14ac:dyDescent="0.2">
      <c r="E20288" s="7"/>
      <c r="F20288" s="7"/>
    </row>
    <row r="20289" spans="5:6" ht="15" customHeight="1" x14ac:dyDescent="0.2">
      <c r="E20289" s="7"/>
      <c r="F20289" s="7"/>
    </row>
    <row r="20290" spans="5:6" ht="15" customHeight="1" x14ac:dyDescent="0.2">
      <c r="E20290" s="7"/>
      <c r="F20290" s="7"/>
    </row>
    <row r="20291" spans="5:6" ht="15" customHeight="1" x14ac:dyDescent="0.2">
      <c r="E20291" s="7"/>
      <c r="F20291" s="7"/>
    </row>
    <row r="20292" spans="5:6" ht="15" customHeight="1" x14ac:dyDescent="0.2">
      <c r="E20292" s="7"/>
      <c r="F20292" s="7"/>
    </row>
    <row r="20293" spans="5:6" ht="15" customHeight="1" x14ac:dyDescent="0.2">
      <c r="E20293" s="7"/>
      <c r="F20293" s="7"/>
    </row>
    <row r="20294" spans="5:6" ht="15" customHeight="1" x14ac:dyDescent="0.2">
      <c r="E20294" s="7"/>
      <c r="F20294" s="7"/>
    </row>
    <row r="20295" spans="5:6" ht="15" customHeight="1" x14ac:dyDescent="0.2">
      <c r="E20295" s="7"/>
      <c r="F20295" s="7"/>
    </row>
    <row r="20296" spans="5:6" ht="15" customHeight="1" x14ac:dyDescent="0.2">
      <c r="E20296" s="7"/>
      <c r="F20296" s="7"/>
    </row>
    <row r="20297" spans="5:6" ht="15" customHeight="1" x14ac:dyDescent="0.2">
      <c r="E20297" s="7"/>
      <c r="F20297" s="7"/>
    </row>
    <row r="20298" spans="5:6" ht="15" customHeight="1" x14ac:dyDescent="0.2">
      <c r="E20298" s="7"/>
      <c r="F20298" s="7"/>
    </row>
    <row r="20299" spans="5:6" ht="15" customHeight="1" x14ac:dyDescent="0.2">
      <c r="E20299" s="7"/>
      <c r="F20299" s="7"/>
    </row>
    <row r="20300" spans="5:6" ht="15" customHeight="1" x14ac:dyDescent="0.2">
      <c r="E20300" s="7"/>
      <c r="F20300" s="7"/>
    </row>
    <row r="20301" spans="5:6" ht="15" customHeight="1" x14ac:dyDescent="0.2">
      <c r="E20301" s="7"/>
      <c r="F20301" s="7"/>
    </row>
    <row r="20302" spans="5:6" ht="15" customHeight="1" x14ac:dyDescent="0.2">
      <c r="E20302" s="7"/>
      <c r="F20302" s="7"/>
    </row>
    <row r="20303" spans="5:6" ht="15" customHeight="1" x14ac:dyDescent="0.2">
      <c r="E20303" s="7"/>
      <c r="F20303" s="7"/>
    </row>
    <row r="20304" spans="5:6" ht="15" customHeight="1" x14ac:dyDescent="0.2">
      <c r="E20304" s="7"/>
      <c r="F20304" s="7"/>
    </row>
    <row r="20305" spans="5:6" ht="15" customHeight="1" x14ac:dyDescent="0.2">
      <c r="E20305" s="7"/>
      <c r="F20305" s="7"/>
    </row>
    <row r="20306" spans="5:6" ht="15" customHeight="1" x14ac:dyDescent="0.2">
      <c r="E20306" s="7"/>
      <c r="F20306" s="7"/>
    </row>
    <row r="20307" spans="5:6" ht="15" customHeight="1" x14ac:dyDescent="0.2">
      <c r="E20307" s="7"/>
      <c r="F20307" s="7"/>
    </row>
    <row r="20308" spans="5:6" ht="15" customHeight="1" x14ac:dyDescent="0.2">
      <c r="E20308" s="7"/>
      <c r="F20308" s="7"/>
    </row>
    <row r="20309" spans="5:6" ht="15" customHeight="1" x14ac:dyDescent="0.2">
      <c r="E20309" s="7"/>
      <c r="F20309" s="7"/>
    </row>
    <row r="20310" spans="5:6" ht="15" customHeight="1" x14ac:dyDescent="0.2">
      <c r="E20310" s="7"/>
      <c r="F20310" s="7"/>
    </row>
    <row r="20311" spans="5:6" ht="15" customHeight="1" x14ac:dyDescent="0.2">
      <c r="E20311" s="7"/>
      <c r="F20311" s="7"/>
    </row>
    <row r="20312" spans="5:6" ht="15" customHeight="1" x14ac:dyDescent="0.2">
      <c r="E20312" s="7"/>
      <c r="F20312" s="7"/>
    </row>
    <row r="20313" spans="5:6" ht="15" customHeight="1" x14ac:dyDescent="0.2">
      <c r="E20313" s="7"/>
      <c r="F20313" s="7"/>
    </row>
    <row r="20314" spans="5:6" ht="15" customHeight="1" x14ac:dyDescent="0.2">
      <c r="E20314" s="7"/>
      <c r="F20314" s="7"/>
    </row>
    <row r="20315" spans="5:6" ht="15" customHeight="1" x14ac:dyDescent="0.2">
      <c r="E20315" s="7"/>
      <c r="F20315" s="7"/>
    </row>
    <row r="20316" spans="5:6" ht="15" customHeight="1" x14ac:dyDescent="0.2">
      <c r="E20316" s="7"/>
      <c r="F20316" s="7"/>
    </row>
    <row r="20317" spans="5:6" ht="15" customHeight="1" x14ac:dyDescent="0.2">
      <c r="E20317" s="7"/>
      <c r="F20317" s="7"/>
    </row>
    <row r="20318" spans="5:6" ht="15" customHeight="1" x14ac:dyDescent="0.2">
      <c r="E20318" s="7"/>
      <c r="F20318" s="7"/>
    </row>
    <row r="20319" spans="5:6" ht="15" customHeight="1" x14ac:dyDescent="0.2">
      <c r="E20319" s="7"/>
      <c r="F20319" s="7"/>
    </row>
    <row r="20320" spans="5:6" ht="15" customHeight="1" x14ac:dyDescent="0.2">
      <c r="E20320" s="7"/>
      <c r="F20320" s="7"/>
    </row>
    <row r="20321" spans="5:6" ht="15" customHeight="1" x14ac:dyDescent="0.2">
      <c r="E20321" s="7"/>
      <c r="F20321" s="7"/>
    </row>
    <row r="20322" spans="5:6" ht="15" customHeight="1" x14ac:dyDescent="0.2">
      <c r="E20322" s="7"/>
      <c r="F20322" s="7"/>
    </row>
    <row r="20323" spans="5:6" ht="15" customHeight="1" x14ac:dyDescent="0.2">
      <c r="E20323" s="7"/>
      <c r="F20323" s="7"/>
    </row>
    <row r="20324" spans="5:6" ht="15" customHeight="1" x14ac:dyDescent="0.2">
      <c r="E20324" s="7"/>
      <c r="F20324" s="7"/>
    </row>
    <row r="20325" spans="5:6" ht="15" customHeight="1" x14ac:dyDescent="0.2">
      <c r="E20325" s="7"/>
      <c r="F20325" s="7"/>
    </row>
    <row r="20326" spans="5:6" ht="15" customHeight="1" x14ac:dyDescent="0.2">
      <c r="E20326" s="7"/>
      <c r="F20326" s="7"/>
    </row>
    <row r="20327" spans="5:6" ht="15" customHeight="1" x14ac:dyDescent="0.2">
      <c r="E20327" s="7"/>
      <c r="F20327" s="7"/>
    </row>
    <row r="20328" spans="5:6" ht="15" customHeight="1" x14ac:dyDescent="0.2">
      <c r="E20328" s="7"/>
      <c r="F20328" s="7"/>
    </row>
    <row r="20329" spans="5:6" ht="15" customHeight="1" x14ac:dyDescent="0.2">
      <c r="E20329" s="7"/>
      <c r="F20329" s="7"/>
    </row>
    <row r="20330" spans="5:6" ht="15" customHeight="1" x14ac:dyDescent="0.2">
      <c r="E20330" s="7"/>
      <c r="F20330" s="7"/>
    </row>
    <row r="20331" spans="5:6" ht="15" customHeight="1" x14ac:dyDescent="0.2">
      <c r="E20331" s="7"/>
      <c r="F20331" s="7"/>
    </row>
    <row r="20332" spans="5:6" ht="15" customHeight="1" x14ac:dyDescent="0.2">
      <c r="E20332" s="7"/>
      <c r="F20332" s="7"/>
    </row>
    <row r="20333" spans="5:6" ht="15" customHeight="1" x14ac:dyDescent="0.2">
      <c r="E20333" s="7"/>
      <c r="F20333" s="7"/>
    </row>
    <row r="20334" spans="5:6" ht="15" customHeight="1" x14ac:dyDescent="0.2">
      <c r="E20334" s="7"/>
      <c r="F20334" s="7"/>
    </row>
    <row r="20335" spans="5:6" ht="15" customHeight="1" x14ac:dyDescent="0.2">
      <c r="E20335" s="7"/>
      <c r="F20335" s="7"/>
    </row>
    <row r="20336" spans="5:6" ht="15" customHeight="1" x14ac:dyDescent="0.2">
      <c r="E20336" s="7"/>
      <c r="F20336" s="7"/>
    </row>
    <row r="20337" spans="5:6" ht="15" customHeight="1" x14ac:dyDescent="0.2">
      <c r="E20337" s="7"/>
      <c r="F20337" s="7"/>
    </row>
    <row r="20338" spans="5:6" ht="15" customHeight="1" x14ac:dyDescent="0.2">
      <c r="E20338" s="7"/>
      <c r="F20338" s="7"/>
    </row>
    <row r="20339" spans="5:6" ht="15" customHeight="1" x14ac:dyDescent="0.2">
      <c r="E20339" s="7"/>
      <c r="F20339" s="7"/>
    </row>
    <row r="20340" spans="5:6" ht="15" customHeight="1" x14ac:dyDescent="0.2">
      <c r="E20340" s="7"/>
      <c r="F20340" s="7"/>
    </row>
    <row r="20341" spans="5:6" ht="15" customHeight="1" x14ac:dyDescent="0.2">
      <c r="E20341" s="7"/>
      <c r="F20341" s="7"/>
    </row>
    <row r="20342" spans="5:6" ht="15" customHeight="1" x14ac:dyDescent="0.2">
      <c r="E20342" s="7"/>
      <c r="F20342" s="7"/>
    </row>
    <row r="20343" spans="5:6" ht="15" customHeight="1" x14ac:dyDescent="0.2">
      <c r="E20343" s="7"/>
      <c r="F20343" s="7"/>
    </row>
    <row r="20344" spans="5:6" ht="15" customHeight="1" x14ac:dyDescent="0.2">
      <c r="E20344" s="7"/>
      <c r="F20344" s="7"/>
    </row>
    <row r="20345" spans="5:6" ht="15" customHeight="1" x14ac:dyDescent="0.2">
      <c r="E20345" s="7"/>
      <c r="F20345" s="7"/>
    </row>
    <row r="20346" spans="5:6" ht="15" customHeight="1" x14ac:dyDescent="0.2">
      <c r="E20346" s="7"/>
      <c r="F20346" s="7"/>
    </row>
    <row r="20347" spans="5:6" ht="15" customHeight="1" x14ac:dyDescent="0.2">
      <c r="E20347" s="7"/>
      <c r="F20347" s="7"/>
    </row>
    <row r="20348" spans="5:6" ht="15" customHeight="1" x14ac:dyDescent="0.2">
      <c r="E20348" s="7"/>
      <c r="F20348" s="7"/>
    </row>
    <row r="20349" spans="5:6" ht="15" customHeight="1" x14ac:dyDescent="0.2">
      <c r="E20349" s="7"/>
      <c r="F20349" s="7"/>
    </row>
    <row r="20350" spans="5:6" ht="15" customHeight="1" x14ac:dyDescent="0.2">
      <c r="E20350" s="7"/>
      <c r="F20350" s="7"/>
    </row>
    <row r="20351" spans="5:6" ht="15" customHeight="1" x14ac:dyDescent="0.2">
      <c r="E20351" s="7"/>
      <c r="F20351" s="7"/>
    </row>
    <row r="20352" spans="5:6" ht="15" customHeight="1" x14ac:dyDescent="0.2">
      <c r="E20352" s="7"/>
      <c r="F20352" s="7"/>
    </row>
    <row r="20353" spans="5:6" ht="15" customHeight="1" x14ac:dyDescent="0.2">
      <c r="E20353" s="7"/>
      <c r="F20353" s="7"/>
    </row>
    <row r="20354" spans="5:6" ht="15" customHeight="1" x14ac:dyDescent="0.2">
      <c r="E20354" s="7"/>
      <c r="F20354" s="7"/>
    </row>
    <row r="20355" spans="5:6" ht="15" customHeight="1" x14ac:dyDescent="0.2">
      <c r="E20355" s="7"/>
      <c r="F20355" s="7"/>
    </row>
    <row r="20356" spans="5:6" ht="15" customHeight="1" x14ac:dyDescent="0.2">
      <c r="E20356" s="7"/>
      <c r="F20356" s="7"/>
    </row>
    <row r="20357" spans="5:6" ht="15" customHeight="1" x14ac:dyDescent="0.2">
      <c r="E20357" s="7"/>
      <c r="F20357" s="7"/>
    </row>
    <row r="20358" spans="5:6" ht="15" customHeight="1" x14ac:dyDescent="0.2">
      <c r="E20358" s="7"/>
      <c r="F20358" s="7"/>
    </row>
    <row r="20359" spans="5:6" ht="15" customHeight="1" x14ac:dyDescent="0.2">
      <c r="E20359" s="7"/>
      <c r="F20359" s="7"/>
    </row>
    <row r="20360" spans="5:6" ht="15" customHeight="1" x14ac:dyDescent="0.2">
      <c r="E20360" s="7"/>
      <c r="F20360" s="7"/>
    </row>
    <row r="20361" spans="5:6" ht="15" customHeight="1" x14ac:dyDescent="0.2">
      <c r="E20361" s="7"/>
      <c r="F20361" s="7"/>
    </row>
    <row r="20362" spans="5:6" ht="15" customHeight="1" x14ac:dyDescent="0.2">
      <c r="E20362" s="7"/>
      <c r="F20362" s="7"/>
    </row>
    <row r="20363" spans="5:6" ht="15" customHeight="1" x14ac:dyDescent="0.2">
      <c r="E20363" s="7"/>
      <c r="F20363" s="7"/>
    </row>
    <row r="20364" spans="5:6" ht="15" customHeight="1" x14ac:dyDescent="0.2">
      <c r="E20364" s="7"/>
      <c r="F20364" s="7"/>
    </row>
    <row r="20365" spans="5:6" ht="15" customHeight="1" x14ac:dyDescent="0.2">
      <c r="E20365" s="7"/>
      <c r="F20365" s="7"/>
    </row>
    <row r="20366" spans="5:6" ht="15" customHeight="1" x14ac:dyDescent="0.2">
      <c r="E20366" s="7"/>
      <c r="F20366" s="7"/>
    </row>
    <row r="20367" spans="5:6" ht="15" customHeight="1" x14ac:dyDescent="0.2">
      <c r="E20367" s="7"/>
      <c r="F20367" s="7"/>
    </row>
    <row r="20368" spans="5:6" ht="15" customHeight="1" x14ac:dyDescent="0.2">
      <c r="E20368" s="7"/>
      <c r="F20368" s="7"/>
    </row>
    <row r="20369" spans="5:6" ht="15" customHeight="1" x14ac:dyDescent="0.2">
      <c r="E20369" s="7"/>
      <c r="F20369" s="7"/>
    </row>
    <row r="20370" spans="5:6" ht="15" customHeight="1" x14ac:dyDescent="0.2">
      <c r="E20370" s="7"/>
      <c r="F20370" s="7"/>
    </row>
    <row r="20371" spans="5:6" ht="15" customHeight="1" x14ac:dyDescent="0.2">
      <c r="E20371" s="7"/>
      <c r="F20371" s="7"/>
    </row>
    <row r="20372" spans="5:6" ht="15" customHeight="1" x14ac:dyDescent="0.2">
      <c r="E20372" s="7"/>
      <c r="F20372" s="7"/>
    </row>
    <row r="20373" spans="5:6" ht="15" customHeight="1" x14ac:dyDescent="0.2">
      <c r="E20373" s="7"/>
      <c r="F20373" s="7"/>
    </row>
    <row r="20374" spans="5:6" ht="15" customHeight="1" x14ac:dyDescent="0.2">
      <c r="E20374" s="7"/>
      <c r="F20374" s="7"/>
    </row>
    <row r="20375" spans="5:6" ht="15" customHeight="1" x14ac:dyDescent="0.2">
      <c r="E20375" s="7"/>
      <c r="F20375" s="7"/>
    </row>
    <row r="20376" spans="5:6" ht="15" customHeight="1" x14ac:dyDescent="0.2">
      <c r="E20376" s="7"/>
      <c r="F20376" s="7"/>
    </row>
    <row r="20377" spans="5:6" ht="15" customHeight="1" x14ac:dyDescent="0.2">
      <c r="E20377" s="7"/>
      <c r="F20377" s="7"/>
    </row>
    <row r="20378" spans="5:6" ht="15" customHeight="1" x14ac:dyDescent="0.2">
      <c r="E20378" s="7"/>
      <c r="F20378" s="7"/>
    </row>
    <row r="20379" spans="5:6" ht="15" customHeight="1" x14ac:dyDescent="0.2">
      <c r="E20379" s="7"/>
      <c r="F20379" s="7"/>
    </row>
    <row r="20380" spans="5:6" ht="15" customHeight="1" x14ac:dyDescent="0.2">
      <c r="E20380" s="7"/>
      <c r="F20380" s="7"/>
    </row>
    <row r="20381" spans="5:6" ht="15" customHeight="1" x14ac:dyDescent="0.2">
      <c r="E20381" s="7"/>
      <c r="F20381" s="7"/>
    </row>
    <row r="20382" spans="5:6" ht="15" customHeight="1" x14ac:dyDescent="0.2">
      <c r="E20382" s="7"/>
      <c r="F20382" s="7"/>
    </row>
    <row r="20383" spans="5:6" ht="15" customHeight="1" x14ac:dyDescent="0.2">
      <c r="E20383" s="7"/>
      <c r="F20383" s="7"/>
    </row>
    <row r="20384" spans="5:6" ht="15" customHeight="1" x14ac:dyDescent="0.2">
      <c r="E20384" s="7"/>
      <c r="F20384" s="7"/>
    </row>
    <row r="20385" spans="5:6" ht="15" customHeight="1" x14ac:dyDescent="0.2">
      <c r="E20385" s="7"/>
      <c r="F20385" s="7"/>
    </row>
    <row r="20386" spans="5:6" ht="15" customHeight="1" x14ac:dyDescent="0.2">
      <c r="E20386" s="7"/>
      <c r="F20386" s="7"/>
    </row>
    <row r="20387" spans="5:6" ht="15" customHeight="1" x14ac:dyDescent="0.2">
      <c r="E20387" s="7"/>
      <c r="F20387" s="7"/>
    </row>
    <row r="20388" spans="5:6" ht="15" customHeight="1" x14ac:dyDescent="0.2">
      <c r="E20388" s="7"/>
      <c r="F20388" s="7"/>
    </row>
    <row r="20389" spans="5:6" ht="15" customHeight="1" x14ac:dyDescent="0.2">
      <c r="E20389" s="7"/>
      <c r="F20389" s="7"/>
    </row>
    <row r="20390" spans="5:6" ht="15" customHeight="1" x14ac:dyDescent="0.2">
      <c r="E20390" s="7"/>
      <c r="F20390" s="7"/>
    </row>
    <row r="20391" spans="5:6" ht="15" customHeight="1" x14ac:dyDescent="0.2">
      <c r="E20391" s="7"/>
      <c r="F20391" s="7"/>
    </row>
    <row r="20392" spans="5:6" ht="15" customHeight="1" x14ac:dyDescent="0.2">
      <c r="E20392" s="7"/>
      <c r="F20392" s="7"/>
    </row>
    <row r="20393" spans="5:6" ht="15" customHeight="1" x14ac:dyDescent="0.2">
      <c r="E20393" s="7"/>
      <c r="F20393" s="7"/>
    </row>
    <row r="20394" spans="5:6" ht="15" customHeight="1" x14ac:dyDescent="0.2">
      <c r="E20394" s="7"/>
      <c r="F20394" s="7"/>
    </row>
    <row r="20395" spans="5:6" ht="15" customHeight="1" x14ac:dyDescent="0.2">
      <c r="E20395" s="7"/>
      <c r="F20395" s="7"/>
    </row>
    <row r="20396" spans="5:6" ht="15" customHeight="1" x14ac:dyDescent="0.2">
      <c r="E20396" s="7"/>
      <c r="F20396" s="7"/>
    </row>
    <row r="20397" spans="5:6" ht="15" customHeight="1" x14ac:dyDescent="0.2">
      <c r="E20397" s="7"/>
      <c r="F20397" s="7"/>
    </row>
    <row r="20398" spans="5:6" ht="15" customHeight="1" x14ac:dyDescent="0.2">
      <c r="E20398" s="7"/>
      <c r="F20398" s="7"/>
    </row>
    <row r="20399" spans="5:6" ht="15" customHeight="1" x14ac:dyDescent="0.2">
      <c r="E20399" s="7"/>
      <c r="F20399" s="7"/>
    </row>
    <row r="20400" spans="5:6" ht="15" customHeight="1" x14ac:dyDescent="0.2">
      <c r="E20400" s="7"/>
      <c r="F20400" s="7"/>
    </row>
    <row r="20401" spans="5:6" ht="15" customHeight="1" x14ac:dyDescent="0.2">
      <c r="E20401" s="7"/>
      <c r="F20401" s="7"/>
    </row>
    <row r="20402" spans="5:6" ht="15" customHeight="1" x14ac:dyDescent="0.2">
      <c r="E20402" s="7"/>
      <c r="F20402" s="7"/>
    </row>
    <row r="20403" spans="5:6" ht="15" customHeight="1" x14ac:dyDescent="0.2">
      <c r="E20403" s="7"/>
      <c r="F20403" s="7"/>
    </row>
    <row r="20404" spans="5:6" ht="15" customHeight="1" x14ac:dyDescent="0.2">
      <c r="E20404" s="7"/>
      <c r="F20404" s="7"/>
    </row>
    <row r="20405" spans="5:6" ht="15" customHeight="1" x14ac:dyDescent="0.2">
      <c r="E20405" s="7"/>
      <c r="F20405" s="7"/>
    </row>
    <row r="20406" spans="5:6" ht="15" customHeight="1" x14ac:dyDescent="0.2">
      <c r="E20406" s="7"/>
      <c r="F20406" s="7"/>
    </row>
    <row r="20407" spans="5:6" ht="15" customHeight="1" x14ac:dyDescent="0.2">
      <c r="E20407" s="7"/>
      <c r="F20407" s="7"/>
    </row>
    <row r="20408" spans="5:6" ht="15" customHeight="1" x14ac:dyDescent="0.2">
      <c r="E20408" s="7"/>
      <c r="F20408" s="7"/>
    </row>
    <row r="20409" spans="5:6" ht="15" customHeight="1" x14ac:dyDescent="0.2">
      <c r="E20409" s="7"/>
      <c r="F20409" s="7"/>
    </row>
    <row r="20410" spans="5:6" ht="15" customHeight="1" x14ac:dyDescent="0.2">
      <c r="E20410" s="7"/>
      <c r="F20410" s="7"/>
    </row>
    <row r="20411" spans="5:6" ht="15" customHeight="1" x14ac:dyDescent="0.2">
      <c r="E20411" s="7"/>
      <c r="F20411" s="7"/>
    </row>
    <row r="20412" spans="5:6" ht="15" customHeight="1" x14ac:dyDescent="0.2">
      <c r="E20412" s="7"/>
      <c r="F20412" s="7"/>
    </row>
    <row r="20413" spans="5:6" ht="15" customHeight="1" x14ac:dyDescent="0.2">
      <c r="E20413" s="7"/>
      <c r="F20413" s="7"/>
    </row>
    <row r="20414" spans="5:6" ht="15" customHeight="1" x14ac:dyDescent="0.2">
      <c r="E20414" s="7"/>
      <c r="F20414" s="7"/>
    </row>
    <row r="20415" spans="5:6" ht="15" customHeight="1" x14ac:dyDescent="0.2">
      <c r="E20415" s="7"/>
      <c r="F20415" s="7"/>
    </row>
    <row r="20416" spans="5:6" ht="15" customHeight="1" x14ac:dyDescent="0.2">
      <c r="E20416" s="7"/>
      <c r="F20416" s="7"/>
    </row>
    <row r="20417" spans="5:6" ht="15" customHeight="1" x14ac:dyDescent="0.2">
      <c r="E20417" s="7"/>
      <c r="F20417" s="7"/>
    </row>
    <row r="20418" spans="5:6" ht="15" customHeight="1" x14ac:dyDescent="0.2">
      <c r="E20418" s="7"/>
      <c r="F20418" s="7"/>
    </row>
    <row r="20419" spans="5:6" ht="15" customHeight="1" x14ac:dyDescent="0.2">
      <c r="E20419" s="7"/>
      <c r="F20419" s="7"/>
    </row>
    <row r="20420" spans="5:6" ht="15" customHeight="1" x14ac:dyDescent="0.2">
      <c r="E20420" s="7"/>
      <c r="F20420" s="7"/>
    </row>
    <row r="20421" spans="5:6" ht="15" customHeight="1" x14ac:dyDescent="0.2">
      <c r="E20421" s="7"/>
      <c r="F20421" s="7"/>
    </row>
    <row r="20422" spans="5:6" ht="15" customHeight="1" x14ac:dyDescent="0.2">
      <c r="E20422" s="7"/>
      <c r="F20422" s="7"/>
    </row>
    <row r="20423" spans="5:6" ht="15" customHeight="1" x14ac:dyDescent="0.2">
      <c r="E20423" s="7"/>
      <c r="F20423" s="7"/>
    </row>
    <row r="20424" spans="5:6" ht="15" customHeight="1" x14ac:dyDescent="0.2">
      <c r="E20424" s="7"/>
      <c r="F20424" s="7"/>
    </row>
    <row r="20425" spans="5:6" ht="15" customHeight="1" x14ac:dyDescent="0.2">
      <c r="E20425" s="7"/>
      <c r="F20425" s="7"/>
    </row>
    <row r="20426" spans="5:6" ht="15" customHeight="1" x14ac:dyDescent="0.2">
      <c r="E20426" s="7"/>
      <c r="F20426" s="7"/>
    </row>
    <row r="20427" spans="5:6" ht="15" customHeight="1" x14ac:dyDescent="0.2">
      <c r="E20427" s="7"/>
      <c r="F20427" s="7"/>
    </row>
    <row r="20428" spans="5:6" ht="15" customHeight="1" x14ac:dyDescent="0.2">
      <c r="E20428" s="7"/>
      <c r="F20428" s="7"/>
    </row>
    <row r="20429" spans="5:6" ht="15" customHeight="1" x14ac:dyDescent="0.2">
      <c r="E20429" s="7"/>
      <c r="F20429" s="7"/>
    </row>
    <row r="20430" spans="5:6" ht="15" customHeight="1" x14ac:dyDescent="0.2">
      <c r="E20430" s="7"/>
      <c r="F20430" s="7"/>
    </row>
    <row r="20431" spans="5:6" ht="15" customHeight="1" x14ac:dyDescent="0.2">
      <c r="E20431" s="7"/>
      <c r="F20431" s="7"/>
    </row>
    <row r="20432" spans="5:6" ht="15" customHeight="1" x14ac:dyDescent="0.2">
      <c r="E20432" s="7"/>
      <c r="F20432" s="7"/>
    </row>
    <row r="20433" spans="5:6" ht="15" customHeight="1" x14ac:dyDescent="0.2">
      <c r="E20433" s="7"/>
      <c r="F20433" s="7"/>
    </row>
    <row r="20434" spans="5:6" ht="15" customHeight="1" x14ac:dyDescent="0.2">
      <c r="E20434" s="7"/>
      <c r="F20434" s="7"/>
    </row>
    <row r="20435" spans="5:6" ht="15" customHeight="1" x14ac:dyDescent="0.2">
      <c r="E20435" s="7"/>
      <c r="F20435" s="7"/>
    </row>
    <row r="20436" spans="5:6" ht="15" customHeight="1" x14ac:dyDescent="0.2">
      <c r="E20436" s="7"/>
      <c r="F20436" s="7"/>
    </row>
    <row r="20437" spans="5:6" ht="15" customHeight="1" x14ac:dyDescent="0.2">
      <c r="E20437" s="7"/>
      <c r="F20437" s="7"/>
    </row>
    <row r="20438" spans="5:6" ht="15" customHeight="1" x14ac:dyDescent="0.2">
      <c r="E20438" s="7"/>
      <c r="F20438" s="7"/>
    </row>
    <row r="20439" spans="5:6" ht="15" customHeight="1" x14ac:dyDescent="0.2">
      <c r="E20439" s="7"/>
      <c r="F20439" s="7"/>
    </row>
    <row r="20440" spans="5:6" ht="15" customHeight="1" x14ac:dyDescent="0.2">
      <c r="E20440" s="7"/>
      <c r="F20440" s="7"/>
    </row>
    <row r="20441" spans="5:6" ht="15" customHeight="1" x14ac:dyDescent="0.2">
      <c r="E20441" s="7"/>
      <c r="F20441" s="7"/>
    </row>
    <row r="20442" spans="5:6" ht="15" customHeight="1" x14ac:dyDescent="0.2">
      <c r="E20442" s="7"/>
      <c r="F20442" s="7"/>
    </row>
    <row r="20443" spans="5:6" ht="15" customHeight="1" x14ac:dyDescent="0.2">
      <c r="E20443" s="7"/>
      <c r="F20443" s="7"/>
    </row>
    <row r="20444" spans="5:6" ht="15" customHeight="1" x14ac:dyDescent="0.2">
      <c r="E20444" s="7"/>
      <c r="F20444" s="7"/>
    </row>
    <row r="20445" spans="5:6" ht="15" customHeight="1" x14ac:dyDescent="0.2">
      <c r="E20445" s="7"/>
      <c r="F20445" s="7"/>
    </row>
    <row r="20446" spans="5:6" ht="15" customHeight="1" x14ac:dyDescent="0.2">
      <c r="E20446" s="7"/>
      <c r="F20446" s="7"/>
    </row>
    <row r="20447" spans="5:6" ht="15" customHeight="1" x14ac:dyDescent="0.2">
      <c r="E20447" s="7"/>
      <c r="F20447" s="7"/>
    </row>
    <row r="20448" spans="5:6" ht="15" customHeight="1" x14ac:dyDescent="0.2">
      <c r="E20448" s="7"/>
      <c r="F20448" s="7"/>
    </row>
    <row r="20449" spans="5:6" ht="15" customHeight="1" x14ac:dyDescent="0.2">
      <c r="E20449" s="7"/>
      <c r="F20449" s="7"/>
    </row>
    <row r="20450" spans="5:6" ht="15" customHeight="1" x14ac:dyDescent="0.2">
      <c r="E20450" s="7"/>
      <c r="F20450" s="7"/>
    </row>
    <row r="20451" spans="5:6" ht="15" customHeight="1" x14ac:dyDescent="0.2">
      <c r="E20451" s="7"/>
      <c r="F20451" s="7"/>
    </row>
    <row r="20452" spans="5:6" ht="15" customHeight="1" x14ac:dyDescent="0.2">
      <c r="E20452" s="7"/>
      <c r="F20452" s="7"/>
    </row>
    <row r="20453" spans="5:6" ht="15" customHeight="1" x14ac:dyDescent="0.2">
      <c r="E20453" s="7"/>
      <c r="F20453" s="7"/>
    </row>
    <row r="20454" spans="5:6" ht="15" customHeight="1" x14ac:dyDescent="0.2">
      <c r="E20454" s="7"/>
      <c r="F20454" s="7"/>
    </row>
    <row r="20455" spans="5:6" ht="15" customHeight="1" x14ac:dyDescent="0.2">
      <c r="E20455" s="7"/>
      <c r="F20455" s="7"/>
    </row>
    <row r="20456" spans="5:6" ht="15" customHeight="1" x14ac:dyDescent="0.2">
      <c r="E20456" s="7"/>
      <c r="F20456" s="7"/>
    </row>
    <row r="20457" spans="5:6" ht="15" customHeight="1" x14ac:dyDescent="0.2">
      <c r="E20457" s="7"/>
      <c r="F20457" s="7"/>
    </row>
    <row r="20458" spans="5:6" ht="15" customHeight="1" x14ac:dyDescent="0.2">
      <c r="E20458" s="7"/>
      <c r="F20458" s="7"/>
    </row>
    <row r="20459" spans="5:6" ht="15" customHeight="1" x14ac:dyDescent="0.2">
      <c r="E20459" s="7"/>
      <c r="F20459" s="7"/>
    </row>
    <row r="20460" spans="5:6" ht="15" customHeight="1" x14ac:dyDescent="0.2">
      <c r="E20460" s="7"/>
      <c r="F20460" s="7"/>
    </row>
    <row r="20461" spans="5:6" ht="15" customHeight="1" x14ac:dyDescent="0.2">
      <c r="E20461" s="7"/>
      <c r="F20461" s="7"/>
    </row>
    <row r="20462" spans="5:6" ht="15" customHeight="1" x14ac:dyDescent="0.2">
      <c r="E20462" s="7"/>
      <c r="F20462" s="7"/>
    </row>
    <row r="20463" spans="5:6" ht="15" customHeight="1" x14ac:dyDescent="0.2">
      <c r="E20463" s="7"/>
      <c r="F20463" s="7"/>
    </row>
    <row r="20464" spans="5:6" ht="15" customHeight="1" x14ac:dyDescent="0.2">
      <c r="E20464" s="7"/>
      <c r="F20464" s="7"/>
    </row>
    <row r="20465" spans="5:6" ht="15" customHeight="1" x14ac:dyDescent="0.2">
      <c r="E20465" s="7"/>
      <c r="F20465" s="7"/>
    </row>
    <row r="20466" spans="5:6" ht="15" customHeight="1" x14ac:dyDescent="0.2">
      <c r="E20466" s="7"/>
      <c r="F20466" s="7"/>
    </row>
    <row r="20467" spans="5:6" ht="15" customHeight="1" x14ac:dyDescent="0.2">
      <c r="E20467" s="7"/>
      <c r="F20467" s="7"/>
    </row>
    <row r="20468" spans="5:6" ht="15" customHeight="1" x14ac:dyDescent="0.2">
      <c r="E20468" s="7"/>
      <c r="F20468" s="7"/>
    </row>
    <row r="20469" spans="5:6" ht="15" customHeight="1" x14ac:dyDescent="0.2">
      <c r="E20469" s="7"/>
      <c r="F20469" s="7"/>
    </row>
    <row r="20470" spans="5:6" ht="15" customHeight="1" x14ac:dyDescent="0.2">
      <c r="E20470" s="7"/>
      <c r="F20470" s="7"/>
    </row>
    <row r="20471" spans="5:6" ht="15" customHeight="1" x14ac:dyDescent="0.2">
      <c r="E20471" s="7"/>
      <c r="F20471" s="7"/>
    </row>
    <row r="20472" spans="5:6" ht="15" customHeight="1" x14ac:dyDescent="0.2">
      <c r="E20472" s="7"/>
      <c r="F20472" s="7"/>
    </row>
    <row r="20473" spans="5:6" ht="15" customHeight="1" x14ac:dyDescent="0.2">
      <c r="E20473" s="7"/>
      <c r="F20473" s="7"/>
    </row>
    <row r="20474" spans="5:6" ht="15" customHeight="1" x14ac:dyDescent="0.2">
      <c r="E20474" s="7"/>
      <c r="F20474" s="7"/>
    </row>
    <row r="20475" spans="5:6" ht="15" customHeight="1" x14ac:dyDescent="0.2">
      <c r="E20475" s="7"/>
      <c r="F20475" s="7"/>
    </row>
    <row r="20476" spans="5:6" ht="15" customHeight="1" x14ac:dyDescent="0.2">
      <c r="E20476" s="7"/>
      <c r="F20476" s="7"/>
    </row>
    <row r="20477" spans="5:6" ht="15" customHeight="1" x14ac:dyDescent="0.2">
      <c r="E20477" s="7"/>
      <c r="F20477" s="7"/>
    </row>
    <row r="20478" spans="5:6" ht="15" customHeight="1" x14ac:dyDescent="0.2">
      <c r="E20478" s="7"/>
      <c r="F20478" s="7"/>
    </row>
    <row r="20479" spans="5:6" ht="15" customHeight="1" x14ac:dyDescent="0.2">
      <c r="E20479" s="7"/>
      <c r="F20479" s="7"/>
    </row>
    <row r="20480" spans="5:6" ht="15" customHeight="1" x14ac:dyDescent="0.2">
      <c r="E20480" s="7"/>
      <c r="F20480" s="7"/>
    </row>
    <row r="20481" spans="5:6" ht="15" customHeight="1" x14ac:dyDescent="0.2">
      <c r="E20481" s="7"/>
      <c r="F20481" s="7"/>
    </row>
    <row r="20482" spans="5:6" ht="15" customHeight="1" x14ac:dyDescent="0.2">
      <c r="E20482" s="7"/>
      <c r="F20482" s="7"/>
    </row>
    <row r="20483" spans="5:6" ht="15" customHeight="1" x14ac:dyDescent="0.2">
      <c r="E20483" s="7"/>
      <c r="F20483" s="7"/>
    </row>
    <row r="20484" spans="5:6" ht="15" customHeight="1" x14ac:dyDescent="0.2">
      <c r="E20484" s="7"/>
      <c r="F20484" s="7"/>
    </row>
    <row r="20485" spans="5:6" ht="15" customHeight="1" x14ac:dyDescent="0.2">
      <c r="E20485" s="7"/>
      <c r="F20485" s="7"/>
    </row>
    <row r="20486" spans="5:6" ht="15" customHeight="1" x14ac:dyDescent="0.2">
      <c r="E20486" s="7"/>
      <c r="F20486" s="7"/>
    </row>
    <row r="20487" spans="5:6" ht="15" customHeight="1" x14ac:dyDescent="0.2">
      <c r="E20487" s="7"/>
      <c r="F20487" s="7"/>
    </row>
    <row r="20488" spans="5:6" ht="15" customHeight="1" x14ac:dyDescent="0.2">
      <c r="E20488" s="7"/>
      <c r="F20488" s="7"/>
    </row>
    <row r="20489" spans="5:6" ht="15" customHeight="1" x14ac:dyDescent="0.2">
      <c r="E20489" s="7"/>
      <c r="F20489" s="7"/>
    </row>
    <row r="20490" spans="5:6" ht="15" customHeight="1" x14ac:dyDescent="0.2">
      <c r="E20490" s="7"/>
      <c r="F20490" s="7"/>
    </row>
    <row r="20491" spans="5:6" ht="15" customHeight="1" x14ac:dyDescent="0.2">
      <c r="E20491" s="7"/>
      <c r="F20491" s="7"/>
    </row>
    <row r="20492" spans="5:6" ht="15" customHeight="1" x14ac:dyDescent="0.2">
      <c r="E20492" s="7"/>
      <c r="F20492" s="7"/>
    </row>
    <row r="20493" spans="5:6" ht="15" customHeight="1" x14ac:dyDescent="0.2">
      <c r="E20493" s="7"/>
      <c r="F20493" s="7"/>
    </row>
    <row r="20494" spans="5:6" ht="15" customHeight="1" x14ac:dyDescent="0.2">
      <c r="E20494" s="7"/>
      <c r="F20494" s="7"/>
    </row>
    <row r="20495" spans="5:6" ht="15" customHeight="1" x14ac:dyDescent="0.2">
      <c r="E20495" s="7"/>
      <c r="F20495" s="7"/>
    </row>
    <row r="20496" spans="5:6" ht="15" customHeight="1" x14ac:dyDescent="0.2">
      <c r="E20496" s="7"/>
      <c r="F20496" s="7"/>
    </row>
    <row r="20497" spans="5:6" ht="15" customHeight="1" x14ac:dyDescent="0.2">
      <c r="E20497" s="7"/>
      <c r="F20497" s="7"/>
    </row>
    <row r="20498" spans="5:6" ht="15" customHeight="1" x14ac:dyDescent="0.2">
      <c r="E20498" s="7"/>
      <c r="F20498" s="7"/>
    </row>
    <row r="20499" spans="5:6" ht="15" customHeight="1" x14ac:dyDescent="0.2">
      <c r="E20499" s="7"/>
      <c r="F20499" s="7"/>
    </row>
    <row r="20500" spans="5:6" ht="15" customHeight="1" x14ac:dyDescent="0.2">
      <c r="E20500" s="7"/>
      <c r="F20500" s="7"/>
    </row>
    <row r="20501" spans="5:6" ht="15" customHeight="1" x14ac:dyDescent="0.2">
      <c r="E20501" s="7"/>
      <c r="F20501" s="7"/>
    </row>
    <row r="20502" spans="5:6" ht="15" customHeight="1" x14ac:dyDescent="0.2">
      <c r="E20502" s="7"/>
      <c r="F20502" s="7"/>
    </row>
    <row r="20503" spans="5:6" ht="15" customHeight="1" x14ac:dyDescent="0.2">
      <c r="E20503" s="7"/>
      <c r="F20503" s="7"/>
    </row>
    <row r="20504" spans="5:6" ht="15" customHeight="1" x14ac:dyDescent="0.2">
      <c r="E20504" s="7"/>
      <c r="F20504" s="7"/>
    </row>
    <row r="20505" spans="5:6" ht="15" customHeight="1" x14ac:dyDescent="0.2">
      <c r="E20505" s="7"/>
      <c r="F20505" s="7"/>
    </row>
    <row r="20506" spans="5:6" ht="15" customHeight="1" x14ac:dyDescent="0.2">
      <c r="E20506" s="7"/>
      <c r="F20506" s="7"/>
    </row>
    <row r="20507" spans="5:6" ht="15" customHeight="1" x14ac:dyDescent="0.2">
      <c r="E20507" s="7"/>
      <c r="F20507" s="7"/>
    </row>
    <row r="20508" spans="5:6" ht="15" customHeight="1" x14ac:dyDescent="0.2">
      <c r="E20508" s="7"/>
      <c r="F20508" s="7"/>
    </row>
    <row r="20509" spans="5:6" ht="15" customHeight="1" x14ac:dyDescent="0.2">
      <c r="E20509" s="7"/>
      <c r="F20509" s="7"/>
    </row>
    <row r="20510" spans="5:6" ht="15" customHeight="1" x14ac:dyDescent="0.2">
      <c r="E20510" s="7"/>
      <c r="F20510" s="7"/>
    </row>
    <row r="20511" spans="5:6" ht="15" customHeight="1" x14ac:dyDescent="0.2">
      <c r="E20511" s="7"/>
      <c r="F20511" s="7"/>
    </row>
    <row r="20512" spans="5:6" ht="15" customHeight="1" x14ac:dyDescent="0.2">
      <c r="E20512" s="7"/>
      <c r="F20512" s="7"/>
    </row>
    <row r="20513" spans="5:6" ht="15" customHeight="1" x14ac:dyDescent="0.2">
      <c r="E20513" s="7"/>
      <c r="F20513" s="7"/>
    </row>
    <row r="20514" spans="5:6" ht="15" customHeight="1" x14ac:dyDescent="0.2">
      <c r="E20514" s="7"/>
      <c r="F20514" s="7"/>
    </row>
    <row r="20515" spans="5:6" ht="15" customHeight="1" x14ac:dyDescent="0.2">
      <c r="E20515" s="7"/>
      <c r="F20515" s="7"/>
    </row>
    <row r="20516" spans="5:6" ht="15" customHeight="1" x14ac:dyDescent="0.2">
      <c r="E20516" s="7"/>
      <c r="F20516" s="7"/>
    </row>
    <row r="20517" spans="5:6" ht="15" customHeight="1" x14ac:dyDescent="0.2">
      <c r="E20517" s="7"/>
      <c r="F20517" s="7"/>
    </row>
    <row r="20518" spans="5:6" ht="15" customHeight="1" x14ac:dyDescent="0.2">
      <c r="E20518" s="7"/>
      <c r="F20518" s="7"/>
    </row>
    <row r="20519" spans="5:6" ht="15" customHeight="1" x14ac:dyDescent="0.2">
      <c r="E20519" s="7"/>
      <c r="F20519" s="7"/>
    </row>
    <row r="20520" spans="5:6" ht="15" customHeight="1" x14ac:dyDescent="0.2">
      <c r="E20520" s="7"/>
      <c r="F20520" s="7"/>
    </row>
    <row r="20521" spans="5:6" ht="15" customHeight="1" x14ac:dyDescent="0.2">
      <c r="E20521" s="7"/>
      <c r="F20521" s="7"/>
    </row>
    <row r="20522" spans="5:6" ht="15" customHeight="1" x14ac:dyDescent="0.2">
      <c r="E20522" s="7"/>
      <c r="F20522" s="7"/>
    </row>
    <row r="20523" spans="5:6" ht="15" customHeight="1" x14ac:dyDescent="0.2">
      <c r="E20523" s="7"/>
      <c r="F20523" s="7"/>
    </row>
    <row r="20524" spans="5:6" ht="15" customHeight="1" x14ac:dyDescent="0.2">
      <c r="E20524" s="7"/>
      <c r="F20524" s="7"/>
    </row>
    <row r="20525" spans="5:6" ht="15" customHeight="1" x14ac:dyDescent="0.2">
      <c r="E20525" s="7"/>
      <c r="F20525" s="7"/>
    </row>
    <row r="20526" spans="5:6" ht="15" customHeight="1" x14ac:dyDescent="0.2">
      <c r="E20526" s="7"/>
      <c r="F20526" s="7"/>
    </row>
    <row r="20527" spans="5:6" ht="15" customHeight="1" x14ac:dyDescent="0.2">
      <c r="E20527" s="7"/>
      <c r="F20527" s="7"/>
    </row>
    <row r="20528" spans="5:6" ht="15" customHeight="1" x14ac:dyDescent="0.2">
      <c r="E20528" s="7"/>
      <c r="F20528" s="7"/>
    </row>
    <row r="20529" spans="5:6" ht="15" customHeight="1" x14ac:dyDescent="0.2">
      <c r="E20529" s="7"/>
      <c r="F20529" s="7"/>
    </row>
    <row r="20530" spans="5:6" ht="15" customHeight="1" x14ac:dyDescent="0.2">
      <c r="E20530" s="7"/>
      <c r="F20530" s="7"/>
    </row>
    <row r="20531" spans="5:6" ht="15" customHeight="1" x14ac:dyDescent="0.2">
      <c r="E20531" s="7"/>
      <c r="F20531" s="7"/>
    </row>
    <row r="20532" spans="5:6" ht="15" customHeight="1" x14ac:dyDescent="0.2">
      <c r="E20532" s="7"/>
      <c r="F20532" s="7"/>
    </row>
    <row r="20533" spans="5:6" ht="15" customHeight="1" x14ac:dyDescent="0.2">
      <c r="E20533" s="7"/>
      <c r="F20533" s="7"/>
    </row>
    <row r="20534" spans="5:6" ht="15" customHeight="1" x14ac:dyDescent="0.2">
      <c r="E20534" s="7"/>
      <c r="F20534" s="7"/>
    </row>
    <row r="20535" spans="5:6" ht="15" customHeight="1" x14ac:dyDescent="0.2">
      <c r="E20535" s="7"/>
      <c r="F20535" s="7"/>
    </row>
    <row r="20536" spans="5:6" ht="15" customHeight="1" x14ac:dyDescent="0.2">
      <c r="E20536" s="7"/>
      <c r="F20536" s="7"/>
    </row>
    <row r="20537" spans="5:6" ht="15" customHeight="1" x14ac:dyDescent="0.2">
      <c r="E20537" s="7"/>
      <c r="F20537" s="7"/>
    </row>
    <row r="20538" spans="5:6" ht="15" customHeight="1" x14ac:dyDescent="0.2">
      <c r="E20538" s="7"/>
      <c r="F20538" s="7"/>
    </row>
    <row r="20539" spans="5:6" ht="15" customHeight="1" x14ac:dyDescent="0.2">
      <c r="E20539" s="7"/>
      <c r="F20539" s="7"/>
    </row>
    <row r="20540" spans="5:6" ht="15" customHeight="1" x14ac:dyDescent="0.2">
      <c r="E20540" s="7"/>
      <c r="F20540" s="7"/>
    </row>
    <row r="20541" spans="5:6" ht="15" customHeight="1" x14ac:dyDescent="0.2">
      <c r="E20541" s="7"/>
      <c r="F20541" s="7"/>
    </row>
    <row r="20542" spans="5:6" ht="15" customHeight="1" x14ac:dyDescent="0.2">
      <c r="E20542" s="7"/>
      <c r="F20542" s="7"/>
    </row>
    <row r="20543" spans="5:6" ht="15" customHeight="1" x14ac:dyDescent="0.2">
      <c r="E20543" s="7"/>
      <c r="F20543" s="7"/>
    </row>
    <row r="20544" spans="5:6" ht="15" customHeight="1" x14ac:dyDescent="0.2">
      <c r="E20544" s="7"/>
      <c r="F20544" s="7"/>
    </row>
    <row r="20545" spans="5:6" ht="15" customHeight="1" x14ac:dyDescent="0.2">
      <c r="E20545" s="7"/>
      <c r="F20545" s="7"/>
    </row>
    <row r="20546" spans="5:6" ht="15" customHeight="1" x14ac:dyDescent="0.2">
      <c r="E20546" s="7"/>
      <c r="F20546" s="7"/>
    </row>
    <row r="20547" spans="5:6" ht="15" customHeight="1" x14ac:dyDescent="0.2">
      <c r="E20547" s="7"/>
      <c r="F20547" s="7"/>
    </row>
    <row r="20548" spans="5:6" ht="15" customHeight="1" x14ac:dyDescent="0.2">
      <c r="E20548" s="7"/>
      <c r="F20548" s="7"/>
    </row>
    <row r="20549" spans="5:6" ht="15" customHeight="1" x14ac:dyDescent="0.2">
      <c r="E20549" s="7"/>
      <c r="F20549" s="7"/>
    </row>
    <row r="20550" spans="5:6" ht="15" customHeight="1" x14ac:dyDescent="0.2">
      <c r="E20550" s="7"/>
      <c r="F20550" s="7"/>
    </row>
    <row r="20551" spans="5:6" ht="15" customHeight="1" x14ac:dyDescent="0.2">
      <c r="E20551" s="7"/>
      <c r="F20551" s="7"/>
    </row>
    <row r="20552" spans="5:6" ht="15" customHeight="1" x14ac:dyDescent="0.2">
      <c r="E20552" s="7"/>
      <c r="F20552" s="7"/>
    </row>
    <row r="20553" spans="5:6" ht="15" customHeight="1" x14ac:dyDescent="0.2">
      <c r="E20553" s="7"/>
      <c r="F20553" s="7"/>
    </row>
    <row r="20554" spans="5:6" ht="15" customHeight="1" x14ac:dyDescent="0.2">
      <c r="E20554" s="7"/>
      <c r="F20554" s="7"/>
    </row>
    <row r="20555" spans="5:6" ht="15" customHeight="1" x14ac:dyDescent="0.2">
      <c r="E20555" s="7"/>
      <c r="F20555" s="7"/>
    </row>
    <row r="20556" spans="5:6" ht="15" customHeight="1" x14ac:dyDescent="0.2">
      <c r="E20556" s="7"/>
      <c r="F20556" s="7"/>
    </row>
    <row r="20557" spans="5:6" ht="15" customHeight="1" x14ac:dyDescent="0.2">
      <c r="E20557" s="7"/>
      <c r="F20557" s="7"/>
    </row>
    <row r="20558" spans="5:6" ht="15" customHeight="1" x14ac:dyDescent="0.2">
      <c r="E20558" s="7"/>
      <c r="F20558" s="7"/>
    </row>
    <row r="20559" spans="5:6" ht="15" customHeight="1" x14ac:dyDescent="0.2">
      <c r="E20559" s="7"/>
      <c r="F20559" s="7"/>
    </row>
    <row r="20560" spans="5:6" ht="15" customHeight="1" x14ac:dyDescent="0.2">
      <c r="E20560" s="7"/>
      <c r="F20560" s="7"/>
    </row>
    <row r="20561" spans="5:6" ht="15" customHeight="1" x14ac:dyDescent="0.2">
      <c r="E20561" s="7"/>
      <c r="F20561" s="7"/>
    </row>
    <row r="20562" spans="5:6" ht="15" customHeight="1" x14ac:dyDescent="0.2">
      <c r="E20562" s="7"/>
      <c r="F20562" s="7"/>
    </row>
    <row r="20563" spans="5:6" ht="15" customHeight="1" x14ac:dyDescent="0.2">
      <c r="E20563" s="7"/>
      <c r="F20563" s="7"/>
    </row>
    <row r="20564" spans="5:6" ht="15" customHeight="1" x14ac:dyDescent="0.2">
      <c r="E20564" s="7"/>
      <c r="F20564" s="7"/>
    </row>
    <row r="20565" spans="5:6" ht="15" customHeight="1" x14ac:dyDescent="0.2">
      <c r="E20565" s="7"/>
      <c r="F20565" s="7"/>
    </row>
    <row r="20566" spans="5:6" ht="15" customHeight="1" x14ac:dyDescent="0.2">
      <c r="E20566" s="7"/>
      <c r="F20566" s="7"/>
    </row>
    <row r="20567" spans="5:6" ht="15" customHeight="1" x14ac:dyDescent="0.2">
      <c r="E20567" s="7"/>
      <c r="F20567" s="7"/>
    </row>
    <row r="20568" spans="5:6" ht="15" customHeight="1" x14ac:dyDescent="0.2">
      <c r="E20568" s="7"/>
      <c r="F20568" s="7"/>
    </row>
    <row r="20569" spans="5:6" ht="15" customHeight="1" x14ac:dyDescent="0.2">
      <c r="E20569" s="7"/>
      <c r="F20569" s="7"/>
    </row>
    <row r="20570" spans="5:6" ht="15" customHeight="1" x14ac:dyDescent="0.2">
      <c r="E20570" s="7"/>
      <c r="F20570" s="7"/>
    </row>
    <row r="20571" spans="5:6" ht="15" customHeight="1" x14ac:dyDescent="0.2">
      <c r="E20571" s="7"/>
      <c r="F20571" s="7"/>
    </row>
    <row r="20572" spans="5:6" ht="15" customHeight="1" x14ac:dyDescent="0.2">
      <c r="E20572" s="7"/>
      <c r="F20572" s="7"/>
    </row>
    <row r="20573" spans="5:6" ht="15" customHeight="1" x14ac:dyDescent="0.2">
      <c r="E20573" s="7"/>
      <c r="F20573" s="7"/>
    </row>
    <row r="20574" spans="5:6" ht="15" customHeight="1" x14ac:dyDescent="0.2">
      <c r="E20574" s="7"/>
      <c r="F20574" s="7"/>
    </row>
    <row r="20575" spans="5:6" ht="15" customHeight="1" x14ac:dyDescent="0.2">
      <c r="E20575" s="7"/>
      <c r="F20575" s="7"/>
    </row>
    <row r="20576" spans="5:6" ht="15" customHeight="1" x14ac:dyDescent="0.2">
      <c r="E20576" s="7"/>
      <c r="F20576" s="7"/>
    </row>
    <row r="20577" spans="5:6" ht="15" customHeight="1" x14ac:dyDescent="0.2">
      <c r="E20577" s="7"/>
      <c r="F20577" s="7"/>
    </row>
    <row r="20578" spans="5:6" ht="15" customHeight="1" x14ac:dyDescent="0.2">
      <c r="E20578" s="7"/>
      <c r="F20578" s="7"/>
    </row>
    <row r="20579" spans="5:6" ht="15" customHeight="1" x14ac:dyDescent="0.2">
      <c r="E20579" s="7"/>
      <c r="F20579" s="7"/>
    </row>
    <row r="20580" spans="5:6" ht="15" customHeight="1" x14ac:dyDescent="0.2">
      <c r="E20580" s="7"/>
      <c r="F20580" s="7"/>
    </row>
    <row r="20581" spans="5:6" ht="15" customHeight="1" x14ac:dyDescent="0.2">
      <c r="E20581" s="7"/>
      <c r="F20581" s="7"/>
    </row>
    <row r="20582" spans="5:6" ht="15" customHeight="1" x14ac:dyDescent="0.2">
      <c r="E20582" s="7"/>
      <c r="F20582" s="7"/>
    </row>
    <row r="20583" spans="5:6" ht="15" customHeight="1" x14ac:dyDescent="0.2">
      <c r="E20583" s="7"/>
      <c r="F20583" s="7"/>
    </row>
    <row r="20584" spans="5:6" ht="15" customHeight="1" x14ac:dyDescent="0.2">
      <c r="E20584" s="7"/>
      <c r="F20584" s="7"/>
    </row>
    <row r="20585" spans="5:6" ht="15" customHeight="1" x14ac:dyDescent="0.2">
      <c r="E20585" s="7"/>
      <c r="F20585" s="7"/>
    </row>
    <row r="20586" spans="5:6" ht="15" customHeight="1" x14ac:dyDescent="0.2">
      <c r="E20586" s="7"/>
      <c r="F20586" s="7"/>
    </row>
    <row r="20587" spans="5:6" ht="15" customHeight="1" x14ac:dyDescent="0.2">
      <c r="E20587" s="7"/>
      <c r="F20587" s="7"/>
    </row>
    <row r="20588" spans="5:6" ht="15" customHeight="1" x14ac:dyDescent="0.2">
      <c r="E20588" s="7"/>
      <c r="F20588" s="7"/>
    </row>
    <row r="20589" spans="5:6" ht="15" customHeight="1" x14ac:dyDescent="0.2">
      <c r="E20589" s="7"/>
      <c r="F20589" s="7"/>
    </row>
    <row r="20590" spans="5:6" ht="15" customHeight="1" x14ac:dyDescent="0.2">
      <c r="E20590" s="7"/>
      <c r="F20590" s="7"/>
    </row>
    <row r="20591" spans="5:6" ht="15" customHeight="1" x14ac:dyDescent="0.2">
      <c r="E20591" s="7"/>
      <c r="F20591" s="7"/>
    </row>
    <row r="20592" spans="5:6" ht="15" customHeight="1" x14ac:dyDescent="0.2">
      <c r="E20592" s="7"/>
      <c r="F20592" s="7"/>
    </row>
    <row r="20593" spans="5:6" ht="15" customHeight="1" x14ac:dyDescent="0.2">
      <c r="E20593" s="7"/>
      <c r="F20593" s="7"/>
    </row>
    <row r="20594" spans="5:6" ht="15" customHeight="1" x14ac:dyDescent="0.2">
      <c r="E20594" s="7"/>
      <c r="F20594" s="7"/>
    </row>
    <row r="20595" spans="5:6" ht="15" customHeight="1" x14ac:dyDescent="0.2">
      <c r="E20595" s="7"/>
      <c r="F20595" s="7"/>
    </row>
    <row r="20596" spans="5:6" ht="15" customHeight="1" x14ac:dyDescent="0.2">
      <c r="E20596" s="7"/>
      <c r="F20596" s="7"/>
    </row>
    <row r="20597" spans="5:6" ht="15" customHeight="1" x14ac:dyDescent="0.2">
      <c r="E20597" s="7"/>
      <c r="F20597" s="7"/>
    </row>
    <row r="20598" spans="5:6" ht="15" customHeight="1" x14ac:dyDescent="0.2">
      <c r="E20598" s="7"/>
      <c r="F20598" s="7"/>
    </row>
    <row r="20599" spans="5:6" ht="15" customHeight="1" x14ac:dyDescent="0.2">
      <c r="E20599" s="7"/>
      <c r="F20599" s="7"/>
    </row>
    <row r="20600" spans="5:6" ht="15" customHeight="1" x14ac:dyDescent="0.2">
      <c r="E20600" s="7"/>
      <c r="F20600" s="7"/>
    </row>
    <row r="20601" spans="5:6" ht="15" customHeight="1" x14ac:dyDescent="0.2">
      <c r="E20601" s="7"/>
      <c r="F20601" s="7"/>
    </row>
    <row r="20602" spans="5:6" ht="15" customHeight="1" x14ac:dyDescent="0.2">
      <c r="E20602" s="7"/>
      <c r="F20602" s="7"/>
    </row>
    <row r="20603" spans="5:6" ht="15" customHeight="1" x14ac:dyDescent="0.2">
      <c r="E20603" s="7"/>
      <c r="F20603" s="7"/>
    </row>
    <row r="20604" spans="5:6" ht="15" customHeight="1" x14ac:dyDescent="0.2">
      <c r="E20604" s="7"/>
      <c r="F20604" s="7"/>
    </row>
    <row r="20605" spans="5:6" ht="15" customHeight="1" x14ac:dyDescent="0.2">
      <c r="E20605" s="7"/>
      <c r="F20605" s="7"/>
    </row>
    <row r="20606" spans="5:6" ht="15" customHeight="1" x14ac:dyDescent="0.2">
      <c r="E20606" s="7"/>
      <c r="F20606" s="7"/>
    </row>
    <row r="20607" spans="5:6" ht="15" customHeight="1" x14ac:dyDescent="0.2">
      <c r="E20607" s="7"/>
      <c r="F20607" s="7"/>
    </row>
    <row r="20608" spans="5:6" ht="15" customHeight="1" x14ac:dyDescent="0.2">
      <c r="E20608" s="7"/>
      <c r="F20608" s="7"/>
    </row>
    <row r="20609" spans="5:6" ht="15" customHeight="1" x14ac:dyDescent="0.2">
      <c r="E20609" s="7"/>
      <c r="F20609" s="7"/>
    </row>
    <row r="20610" spans="5:6" ht="15" customHeight="1" x14ac:dyDescent="0.2">
      <c r="E20610" s="7"/>
      <c r="F20610" s="7"/>
    </row>
    <row r="20611" spans="5:6" ht="15" customHeight="1" x14ac:dyDescent="0.2">
      <c r="E20611" s="7"/>
      <c r="F20611" s="7"/>
    </row>
    <row r="20612" spans="5:6" ht="15" customHeight="1" x14ac:dyDescent="0.2">
      <c r="E20612" s="7"/>
      <c r="F20612" s="7"/>
    </row>
    <row r="20613" spans="5:6" ht="15" customHeight="1" x14ac:dyDescent="0.2">
      <c r="E20613" s="7"/>
      <c r="F20613" s="7"/>
    </row>
    <row r="20614" spans="5:6" ht="15" customHeight="1" x14ac:dyDescent="0.2">
      <c r="E20614" s="7"/>
      <c r="F20614" s="7"/>
    </row>
    <row r="20615" spans="5:6" ht="15" customHeight="1" x14ac:dyDescent="0.2">
      <c r="E20615" s="7"/>
      <c r="F20615" s="7"/>
    </row>
    <row r="20616" spans="5:6" ht="15" customHeight="1" x14ac:dyDescent="0.2">
      <c r="E20616" s="7"/>
      <c r="F20616" s="7"/>
    </row>
    <row r="20617" spans="5:6" ht="15" customHeight="1" x14ac:dyDescent="0.2">
      <c r="E20617" s="7"/>
      <c r="F20617" s="7"/>
    </row>
    <row r="20618" spans="5:6" ht="15" customHeight="1" x14ac:dyDescent="0.2">
      <c r="E20618" s="7"/>
      <c r="F20618" s="7"/>
    </row>
    <row r="20619" spans="5:6" ht="15" customHeight="1" x14ac:dyDescent="0.2">
      <c r="E20619" s="7"/>
      <c r="F20619" s="7"/>
    </row>
    <row r="20620" spans="5:6" ht="15" customHeight="1" x14ac:dyDescent="0.2">
      <c r="E20620" s="7"/>
      <c r="F20620" s="7"/>
    </row>
    <row r="20621" spans="5:6" ht="15" customHeight="1" x14ac:dyDescent="0.2">
      <c r="E20621" s="7"/>
      <c r="F20621" s="7"/>
    </row>
    <row r="20622" spans="5:6" ht="15" customHeight="1" x14ac:dyDescent="0.2">
      <c r="E20622" s="7"/>
      <c r="F20622" s="7"/>
    </row>
    <row r="20623" spans="5:6" ht="15" customHeight="1" x14ac:dyDescent="0.2">
      <c r="E20623" s="7"/>
      <c r="F20623" s="7"/>
    </row>
    <row r="20624" spans="5:6" ht="15" customHeight="1" x14ac:dyDescent="0.2">
      <c r="E20624" s="7"/>
      <c r="F20624" s="7"/>
    </row>
    <row r="20625" spans="5:6" ht="15" customHeight="1" x14ac:dyDescent="0.2">
      <c r="E20625" s="7"/>
      <c r="F20625" s="7"/>
    </row>
    <row r="20626" spans="5:6" ht="15" customHeight="1" x14ac:dyDescent="0.2">
      <c r="E20626" s="7"/>
      <c r="F20626" s="7"/>
    </row>
    <row r="20627" spans="5:6" ht="15" customHeight="1" x14ac:dyDescent="0.2">
      <c r="E20627" s="7"/>
      <c r="F20627" s="7"/>
    </row>
    <row r="20628" spans="5:6" ht="15" customHeight="1" x14ac:dyDescent="0.2">
      <c r="E20628" s="7"/>
      <c r="F20628" s="7"/>
    </row>
    <row r="20629" spans="5:6" ht="15" customHeight="1" x14ac:dyDescent="0.2">
      <c r="E20629" s="7"/>
      <c r="F20629" s="7"/>
    </row>
    <row r="20630" spans="5:6" ht="15" customHeight="1" x14ac:dyDescent="0.2">
      <c r="E20630" s="7"/>
      <c r="F20630" s="7"/>
    </row>
    <row r="20631" spans="5:6" ht="15" customHeight="1" x14ac:dyDescent="0.2">
      <c r="E20631" s="7"/>
      <c r="F20631" s="7"/>
    </row>
    <row r="20632" spans="5:6" ht="15" customHeight="1" x14ac:dyDescent="0.2">
      <c r="E20632" s="7"/>
      <c r="F20632" s="7"/>
    </row>
    <row r="20633" spans="5:6" ht="15" customHeight="1" x14ac:dyDescent="0.2">
      <c r="E20633" s="7"/>
      <c r="F20633" s="7"/>
    </row>
    <row r="20634" spans="5:6" ht="15" customHeight="1" x14ac:dyDescent="0.2">
      <c r="E20634" s="7"/>
      <c r="F20634" s="7"/>
    </row>
    <row r="20635" spans="5:6" ht="15" customHeight="1" x14ac:dyDescent="0.2">
      <c r="E20635" s="7"/>
      <c r="F20635" s="7"/>
    </row>
    <row r="20636" spans="5:6" ht="15" customHeight="1" x14ac:dyDescent="0.2">
      <c r="E20636" s="7"/>
      <c r="F20636" s="7"/>
    </row>
    <row r="20637" spans="5:6" ht="15" customHeight="1" x14ac:dyDescent="0.2">
      <c r="E20637" s="7"/>
      <c r="F20637" s="7"/>
    </row>
    <row r="20638" spans="5:6" ht="15" customHeight="1" x14ac:dyDescent="0.2">
      <c r="E20638" s="7"/>
      <c r="F20638" s="7"/>
    </row>
    <row r="20639" spans="5:6" ht="15" customHeight="1" x14ac:dyDescent="0.2">
      <c r="E20639" s="7"/>
      <c r="F20639" s="7"/>
    </row>
    <row r="20640" spans="5:6" ht="15" customHeight="1" x14ac:dyDescent="0.2">
      <c r="E20640" s="7"/>
      <c r="F20640" s="7"/>
    </row>
    <row r="20641" spans="5:6" ht="15" customHeight="1" x14ac:dyDescent="0.2">
      <c r="E20641" s="7"/>
      <c r="F20641" s="7"/>
    </row>
    <row r="20642" spans="5:6" ht="15" customHeight="1" x14ac:dyDescent="0.2">
      <c r="E20642" s="7"/>
      <c r="F20642" s="7"/>
    </row>
    <row r="20643" spans="5:6" ht="15" customHeight="1" x14ac:dyDescent="0.2">
      <c r="E20643" s="7"/>
      <c r="F20643" s="7"/>
    </row>
    <row r="20644" spans="5:6" ht="15" customHeight="1" x14ac:dyDescent="0.2">
      <c r="E20644" s="7"/>
      <c r="F20644" s="7"/>
    </row>
    <row r="20645" spans="5:6" ht="15" customHeight="1" x14ac:dyDescent="0.2">
      <c r="E20645" s="7"/>
      <c r="F20645" s="7"/>
    </row>
    <row r="20646" spans="5:6" ht="15" customHeight="1" x14ac:dyDescent="0.2">
      <c r="E20646" s="7"/>
      <c r="F20646" s="7"/>
    </row>
    <row r="20647" spans="5:6" ht="15" customHeight="1" x14ac:dyDescent="0.2">
      <c r="E20647" s="7"/>
      <c r="F20647" s="7"/>
    </row>
    <row r="20648" spans="5:6" ht="15" customHeight="1" x14ac:dyDescent="0.2">
      <c r="E20648" s="7"/>
      <c r="F20648" s="7"/>
    </row>
    <row r="20649" spans="5:6" ht="15" customHeight="1" x14ac:dyDescent="0.2">
      <c r="E20649" s="7"/>
      <c r="F20649" s="7"/>
    </row>
    <row r="20650" spans="5:6" ht="15" customHeight="1" x14ac:dyDescent="0.2">
      <c r="E20650" s="7"/>
      <c r="F20650" s="7"/>
    </row>
    <row r="20651" spans="5:6" ht="15" customHeight="1" x14ac:dyDescent="0.2">
      <c r="E20651" s="7"/>
      <c r="F20651" s="7"/>
    </row>
    <row r="20652" spans="5:6" ht="15" customHeight="1" x14ac:dyDescent="0.2">
      <c r="E20652" s="7"/>
      <c r="F20652" s="7"/>
    </row>
    <row r="20653" spans="5:6" ht="15" customHeight="1" x14ac:dyDescent="0.2">
      <c r="E20653" s="7"/>
      <c r="F20653" s="7"/>
    </row>
    <row r="20654" spans="5:6" ht="15" customHeight="1" x14ac:dyDescent="0.2">
      <c r="E20654" s="7"/>
      <c r="F20654" s="7"/>
    </row>
    <row r="20655" spans="5:6" ht="15" customHeight="1" x14ac:dyDescent="0.2">
      <c r="E20655" s="7"/>
      <c r="F20655" s="7"/>
    </row>
    <row r="20656" spans="5:6" ht="15" customHeight="1" x14ac:dyDescent="0.2">
      <c r="E20656" s="7"/>
      <c r="F20656" s="7"/>
    </row>
    <row r="20657" spans="5:6" ht="15" customHeight="1" x14ac:dyDescent="0.2">
      <c r="E20657" s="7"/>
      <c r="F20657" s="7"/>
    </row>
    <row r="20658" spans="5:6" ht="15" customHeight="1" x14ac:dyDescent="0.2">
      <c r="E20658" s="7"/>
      <c r="F20658" s="7"/>
    </row>
    <row r="20659" spans="5:6" ht="15" customHeight="1" x14ac:dyDescent="0.2">
      <c r="E20659" s="7"/>
      <c r="F20659" s="7"/>
    </row>
    <row r="20660" spans="5:6" ht="15" customHeight="1" x14ac:dyDescent="0.2">
      <c r="E20660" s="7"/>
      <c r="F20660" s="7"/>
    </row>
    <row r="20661" spans="5:6" ht="15" customHeight="1" x14ac:dyDescent="0.2">
      <c r="E20661" s="7"/>
      <c r="F20661" s="7"/>
    </row>
    <row r="20662" spans="5:6" ht="15" customHeight="1" x14ac:dyDescent="0.2">
      <c r="E20662" s="7"/>
      <c r="F20662" s="7"/>
    </row>
    <row r="20663" spans="5:6" ht="15" customHeight="1" x14ac:dyDescent="0.2">
      <c r="E20663" s="7"/>
      <c r="F20663" s="7"/>
    </row>
    <row r="20664" spans="5:6" ht="15" customHeight="1" x14ac:dyDescent="0.2">
      <c r="E20664" s="7"/>
      <c r="F20664" s="7"/>
    </row>
    <row r="20665" spans="5:6" ht="15" customHeight="1" x14ac:dyDescent="0.2">
      <c r="E20665" s="7"/>
      <c r="F20665" s="7"/>
    </row>
    <row r="20666" spans="5:6" ht="15" customHeight="1" x14ac:dyDescent="0.2">
      <c r="E20666" s="7"/>
      <c r="F20666" s="7"/>
    </row>
    <row r="20667" spans="5:6" ht="15" customHeight="1" x14ac:dyDescent="0.2">
      <c r="E20667" s="7"/>
      <c r="F20667" s="7"/>
    </row>
    <row r="20668" spans="5:6" ht="15" customHeight="1" x14ac:dyDescent="0.2">
      <c r="E20668" s="7"/>
      <c r="F20668" s="7"/>
    </row>
    <row r="20669" spans="5:6" ht="15" customHeight="1" x14ac:dyDescent="0.2">
      <c r="E20669" s="7"/>
      <c r="F20669" s="7"/>
    </row>
    <row r="20670" spans="5:6" ht="15" customHeight="1" x14ac:dyDescent="0.2">
      <c r="E20670" s="7"/>
      <c r="F20670" s="7"/>
    </row>
    <row r="20671" spans="5:6" ht="15" customHeight="1" x14ac:dyDescent="0.2">
      <c r="E20671" s="7"/>
      <c r="F20671" s="7"/>
    </row>
    <row r="20672" spans="5:6" ht="15" customHeight="1" x14ac:dyDescent="0.2">
      <c r="E20672" s="7"/>
      <c r="F20672" s="7"/>
    </row>
    <row r="20673" spans="5:6" ht="15" customHeight="1" x14ac:dyDescent="0.2">
      <c r="E20673" s="7"/>
      <c r="F20673" s="7"/>
    </row>
    <row r="20674" spans="5:6" ht="15" customHeight="1" x14ac:dyDescent="0.2">
      <c r="E20674" s="7"/>
      <c r="F20674" s="7"/>
    </row>
    <row r="20675" spans="5:6" ht="15" customHeight="1" x14ac:dyDescent="0.2">
      <c r="E20675" s="7"/>
      <c r="F20675" s="7"/>
    </row>
    <row r="20676" spans="5:6" ht="15" customHeight="1" x14ac:dyDescent="0.2">
      <c r="E20676" s="7"/>
      <c r="F20676" s="7"/>
    </row>
    <row r="20677" spans="5:6" ht="15" customHeight="1" x14ac:dyDescent="0.2">
      <c r="E20677" s="7"/>
      <c r="F20677" s="7"/>
    </row>
    <row r="20678" spans="5:6" ht="15" customHeight="1" x14ac:dyDescent="0.2">
      <c r="E20678" s="7"/>
      <c r="F20678" s="7"/>
    </row>
    <row r="20679" spans="5:6" ht="15" customHeight="1" x14ac:dyDescent="0.2">
      <c r="E20679" s="7"/>
      <c r="F20679" s="7"/>
    </row>
    <row r="20680" spans="5:6" ht="15" customHeight="1" x14ac:dyDescent="0.2">
      <c r="E20680" s="7"/>
      <c r="F20680" s="7"/>
    </row>
    <row r="20681" spans="5:6" ht="15" customHeight="1" x14ac:dyDescent="0.2">
      <c r="E20681" s="7"/>
      <c r="F20681" s="7"/>
    </row>
    <row r="20682" spans="5:6" ht="15" customHeight="1" x14ac:dyDescent="0.2">
      <c r="E20682" s="7"/>
      <c r="F20682" s="7"/>
    </row>
    <row r="20683" spans="5:6" ht="15" customHeight="1" x14ac:dyDescent="0.2">
      <c r="E20683" s="7"/>
      <c r="F20683" s="7"/>
    </row>
    <row r="20684" spans="5:6" ht="15" customHeight="1" x14ac:dyDescent="0.2">
      <c r="E20684" s="7"/>
      <c r="F20684" s="7"/>
    </row>
    <row r="20685" spans="5:6" ht="15" customHeight="1" x14ac:dyDescent="0.2">
      <c r="E20685" s="7"/>
      <c r="F20685" s="7"/>
    </row>
    <row r="20686" spans="5:6" ht="15" customHeight="1" x14ac:dyDescent="0.2">
      <c r="E20686" s="7"/>
      <c r="F20686" s="7"/>
    </row>
    <row r="20687" spans="5:6" ht="15" customHeight="1" x14ac:dyDescent="0.2">
      <c r="E20687" s="7"/>
      <c r="F20687" s="7"/>
    </row>
    <row r="20688" spans="5:6" ht="15" customHeight="1" x14ac:dyDescent="0.2">
      <c r="E20688" s="7"/>
      <c r="F20688" s="7"/>
    </row>
    <row r="20689" spans="5:6" ht="15" customHeight="1" x14ac:dyDescent="0.2">
      <c r="E20689" s="7"/>
      <c r="F20689" s="7"/>
    </row>
    <row r="20690" spans="5:6" ht="15" customHeight="1" x14ac:dyDescent="0.2">
      <c r="E20690" s="7"/>
      <c r="F20690" s="7"/>
    </row>
    <row r="20691" spans="5:6" ht="15" customHeight="1" x14ac:dyDescent="0.2">
      <c r="E20691" s="7"/>
      <c r="F20691" s="7"/>
    </row>
    <row r="20692" spans="5:6" ht="15" customHeight="1" x14ac:dyDescent="0.2">
      <c r="E20692" s="7"/>
      <c r="F20692" s="7"/>
    </row>
    <row r="20693" spans="5:6" ht="15" customHeight="1" x14ac:dyDescent="0.2">
      <c r="E20693" s="7"/>
      <c r="F20693" s="7"/>
    </row>
    <row r="20694" spans="5:6" ht="15" customHeight="1" x14ac:dyDescent="0.2">
      <c r="E20694" s="7"/>
      <c r="F20694" s="7"/>
    </row>
    <row r="20695" spans="5:6" ht="15" customHeight="1" x14ac:dyDescent="0.2">
      <c r="E20695" s="7"/>
      <c r="F20695" s="7"/>
    </row>
    <row r="20696" spans="5:6" ht="15" customHeight="1" x14ac:dyDescent="0.2">
      <c r="E20696" s="7"/>
      <c r="F20696" s="7"/>
    </row>
    <row r="20697" spans="5:6" ht="15" customHeight="1" x14ac:dyDescent="0.2">
      <c r="E20697" s="7"/>
      <c r="F20697" s="7"/>
    </row>
    <row r="20698" spans="5:6" ht="15" customHeight="1" x14ac:dyDescent="0.2">
      <c r="E20698" s="7"/>
      <c r="F20698" s="7"/>
    </row>
    <row r="20699" spans="5:6" ht="15" customHeight="1" x14ac:dyDescent="0.2">
      <c r="E20699" s="7"/>
      <c r="F20699" s="7"/>
    </row>
    <row r="20700" spans="5:6" ht="15" customHeight="1" x14ac:dyDescent="0.2">
      <c r="E20700" s="7"/>
      <c r="F20700" s="7"/>
    </row>
    <row r="20701" spans="5:6" ht="15" customHeight="1" x14ac:dyDescent="0.2">
      <c r="E20701" s="7"/>
      <c r="F20701" s="7"/>
    </row>
    <row r="20702" spans="5:6" ht="15" customHeight="1" x14ac:dyDescent="0.2">
      <c r="E20702" s="7"/>
      <c r="F20702" s="7"/>
    </row>
    <row r="20703" spans="5:6" ht="15" customHeight="1" x14ac:dyDescent="0.2">
      <c r="E20703" s="7"/>
      <c r="F20703" s="7"/>
    </row>
    <row r="20704" spans="5:6" ht="15" customHeight="1" x14ac:dyDescent="0.2">
      <c r="E20704" s="7"/>
      <c r="F20704" s="7"/>
    </row>
    <row r="20705" spans="5:6" ht="15" customHeight="1" x14ac:dyDescent="0.2">
      <c r="E20705" s="7"/>
      <c r="F20705" s="7"/>
    </row>
    <row r="20706" spans="5:6" ht="15" customHeight="1" x14ac:dyDescent="0.2">
      <c r="E20706" s="7"/>
      <c r="F20706" s="7"/>
    </row>
    <row r="20707" spans="5:6" ht="15" customHeight="1" x14ac:dyDescent="0.2">
      <c r="E20707" s="7"/>
      <c r="F20707" s="7"/>
    </row>
    <row r="20708" spans="5:6" ht="15" customHeight="1" x14ac:dyDescent="0.2">
      <c r="E20708" s="7"/>
      <c r="F20708" s="7"/>
    </row>
    <row r="20709" spans="5:6" ht="15" customHeight="1" x14ac:dyDescent="0.2">
      <c r="E20709" s="7"/>
      <c r="F20709" s="7"/>
    </row>
    <row r="20710" spans="5:6" ht="15" customHeight="1" x14ac:dyDescent="0.2">
      <c r="E20710" s="7"/>
      <c r="F20710" s="7"/>
    </row>
    <row r="20711" spans="5:6" ht="15" customHeight="1" x14ac:dyDescent="0.2">
      <c r="E20711" s="7"/>
      <c r="F20711" s="7"/>
    </row>
    <row r="20712" spans="5:6" ht="15" customHeight="1" x14ac:dyDescent="0.2">
      <c r="E20712" s="7"/>
      <c r="F20712" s="7"/>
    </row>
    <row r="20713" spans="5:6" ht="15" customHeight="1" x14ac:dyDescent="0.2">
      <c r="E20713" s="7"/>
      <c r="F20713" s="7"/>
    </row>
    <row r="20714" spans="5:6" ht="15" customHeight="1" x14ac:dyDescent="0.2">
      <c r="E20714" s="7"/>
      <c r="F20714" s="7"/>
    </row>
    <row r="20715" spans="5:6" ht="15" customHeight="1" x14ac:dyDescent="0.2">
      <c r="E20715" s="7"/>
      <c r="F20715" s="7"/>
    </row>
    <row r="20716" spans="5:6" ht="15" customHeight="1" x14ac:dyDescent="0.2">
      <c r="E20716" s="7"/>
      <c r="F20716" s="7"/>
    </row>
    <row r="20717" spans="5:6" ht="15" customHeight="1" x14ac:dyDescent="0.2">
      <c r="E20717" s="7"/>
      <c r="F20717" s="7"/>
    </row>
    <row r="20718" spans="5:6" ht="15" customHeight="1" x14ac:dyDescent="0.2">
      <c r="E20718" s="7"/>
      <c r="F20718" s="7"/>
    </row>
    <row r="20719" spans="5:6" ht="15" customHeight="1" x14ac:dyDescent="0.2">
      <c r="E20719" s="7"/>
      <c r="F20719" s="7"/>
    </row>
    <row r="20720" spans="5:6" ht="15" customHeight="1" x14ac:dyDescent="0.2">
      <c r="E20720" s="7"/>
      <c r="F20720" s="7"/>
    </row>
    <row r="20721" spans="5:6" ht="15" customHeight="1" x14ac:dyDescent="0.2">
      <c r="E20721" s="7"/>
      <c r="F20721" s="7"/>
    </row>
    <row r="20722" spans="5:6" ht="15" customHeight="1" x14ac:dyDescent="0.2">
      <c r="E20722" s="7"/>
      <c r="F20722" s="7"/>
    </row>
    <row r="20723" spans="5:6" ht="15" customHeight="1" x14ac:dyDescent="0.2">
      <c r="E20723" s="7"/>
      <c r="F20723" s="7"/>
    </row>
    <row r="20724" spans="5:6" ht="15" customHeight="1" x14ac:dyDescent="0.2">
      <c r="E20724" s="7"/>
      <c r="F20724" s="7"/>
    </row>
    <row r="20725" spans="5:6" ht="15" customHeight="1" x14ac:dyDescent="0.2">
      <c r="E20725" s="7"/>
      <c r="F20725" s="7"/>
    </row>
    <row r="20726" spans="5:6" ht="15" customHeight="1" x14ac:dyDescent="0.2">
      <c r="E20726" s="7"/>
      <c r="F20726" s="7"/>
    </row>
    <row r="20727" spans="5:6" ht="15" customHeight="1" x14ac:dyDescent="0.2">
      <c r="E20727" s="7"/>
      <c r="F20727" s="7"/>
    </row>
    <row r="20728" spans="5:6" ht="15" customHeight="1" x14ac:dyDescent="0.2">
      <c r="E20728" s="7"/>
      <c r="F20728" s="7"/>
    </row>
    <row r="20729" spans="5:6" ht="15" customHeight="1" x14ac:dyDescent="0.2">
      <c r="E20729" s="7"/>
      <c r="F20729" s="7"/>
    </row>
    <row r="20730" spans="5:6" ht="15" customHeight="1" x14ac:dyDescent="0.2">
      <c r="E20730" s="7"/>
      <c r="F20730" s="7"/>
    </row>
    <row r="20731" spans="5:6" ht="15" customHeight="1" x14ac:dyDescent="0.2">
      <c r="E20731" s="7"/>
      <c r="F20731" s="7"/>
    </row>
    <row r="20732" spans="5:6" ht="15" customHeight="1" x14ac:dyDescent="0.2">
      <c r="E20732" s="7"/>
      <c r="F20732" s="7"/>
    </row>
    <row r="20733" spans="5:6" ht="15" customHeight="1" x14ac:dyDescent="0.2">
      <c r="E20733" s="7"/>
      <c r="F20733" s="7"/>
    </row>
    <row r="20734" spans="5:6" ht="15" customHeight="1" x14ac:dyDescent="0.2">
      <c r="E20734" s="7"/>
      <c r="F20734" s="7"/>
    </row>
    <row r="20735" spans="5:6" ht="15" customHeight="1" x14ac:dyDescent="0.2">
      <c r="E20735" s="7"/>
      <c r="F20735" s="7"/>
    </row>
    <row r="20736" spans="5:6" ht="15" customHeight="1" x14ac:dyDescent="0.2">
      <c r="E20736" s="7"/>
      <c r="F20736" s="7"/>
    </row>
    <row r="20737" spans="5:6" ht="15" customHeight="1" x14ac:dyDescent="0.2">
      <c r="E20737" s="7"/>
      <c r="F20737" s="7"/>
    </row>
    <row r="20738" spans="5:6" ht="15" customHeight="1" x14ac:dyDescent="0.2">
      <c r="E20738" s="7"/>
      <c r="F20738" s="7"/>
    </row>
    <row r="20739" spans="5:6" ht="15" customHeight="1" x14ac:dyDescent="0.2">
      <c r="E20739" s="7"/>
      <c r="F20739" s="7"/>
    </row>
    <row r="20740" spans="5:6" ht="15" customHeight="1" x14ac:dyDescent="0.2">
      <c r="E20740" s="7"/>
      <c r="F20740" s="7"/>
    </row>
    <row r="20741" spans="5:6" ht="15" customHeight="1" x14ac:dyDescent="0.2">
      <c r="E20741" s="7"/>
      <c r="F20741" s="7"/>
    </row>
    <row r="20742" spans="5:6" ht="15" customHeight="1" x14ac:dyDescent="0.2">
      <c r="E20742" s="7"/>
      <c r="F20742" s="7"/>
    </row>
    <row r="20743" spans="5:6" ht="15" customHeight="1" x14ac:dyDescent="0.2">
      <c r="E20743" s="7"/>
      <c r="F20743" s="7"/>
    </row>
    <row r="20744" spans="5:6" ht="15" customHeight="1" x14ac:dyDescent="0.2">
      <c r="E20744" s="7"/>
      <c r="F20744" s="7"/>
    </row>
    <row r="20745" spans="5:6" ht="15" customHeight="1" x14ac:dyDescent="0.2">
      <c r="E20745" s="7"/>
      <c r="F20745" s="7"/>
    </row>
    <row r="20746" spans="5:6" ht="15" customHeight="1" x14ac:dyDescent="0.2">
      <c r="E20746" s="7"/>
      <c r="F20746" s="7"/>
    </row>
    <row r="20747" spans="5:6" ht="15" customHeight="1" x14ac:dyDescent="0.2">
      <c r="E20747" s="7"/>
      <c r="F20747" s="7"/>
    </row>
    <row r="20748" spans="5:6" ht="15" customHeight="1" x14ac:dyDescent="0.2">
      <c r="E20748" s="7"/>
      <c r="F20748" s="7"/>
    </row>
    <row r="20749" spans="5:6" ht="15" customHeight="1" x14ac:dyDescent="0.2">
      <c r="E20749" s="7"/>
      <c r="F20749" s="7"/>
    </row>
    <row r="20750" spans="5:6" ht="15" customHeight="1" x14ac:dyDescent="0.2">
      <c r="E20750" s="7"/>
      <c r="F20750" s="7"/>
    </row>
    <row r="20751" spans="5:6" ht="15" customHeight="1" x14ac:dyDescent="0.2">
      <c r="E20751" s="7"/>
      <c r="F20751" s="7"/>
    </row>
    <row r="20752" spans="5:6" ht="15" customHeight="1" x14ac:dyDescent="0.2">
      <c r="E20752" s="7"/>
      <c r="F20752" s="7"/>
    </row>
    <row r="20753" spans="5:6" ht="15" customHeight="1" x14ac:dyDescent="0.2">
      <c r="E20753" s="7"/>
      <c r="F20753" s="7"/>
    </row>
    <row r="20754" spans="5:6" ht="15" customHeight="1" x14ac:dyDescent="0.2">
      <c r="E20754" s="7"/>
      <c r="F20754" s="7"/>
    </row>
    <row r="20755" spans="5:6" ht="15" customHeight="1" x14ac:dyDescent="0.2">
      <c r="E20755" s="7"/>
      <c r="F20755" s="7"/>
    </row>
    <row r="20756" spans="5:6" ht="15" customHeight="1" x14ac:dyDescent="0.2">
      <c r="E20756" s="7"/>
      <c r="F20756" s="7"/>
    </row>
    <row r="20757" spans="5:6" ht="15" customHeight="1" x14ac:dyDescent="0.2">
      <c r="E20757" s="7"/>
      <c r="F20757" s="7"/>
    </row>
    <row r="20758" spans="5:6" ht="15" customHeight="1" x14ac:dyDescent="0.2">
      <c r="E20758" s="7"/>
      <c r="F20758" s="7"/>
    </row>
    <row r="20759" spans="5:6" ht="15" customHeight="1" x14ac:dyDescent="0.2">
      <c r="E20759" s="7"/>
      <c r="F20759" s="7"/>
    </row>
    <row r="20760" spans="5:6" ht="15" customHeight="1" x14ac:dyDescent="0.2">
      <c r="E20760" s="7"/>
      <c r="F20760" s="7"/>
    </row>
    <row r="20761" spans="5:6" ht="15" customHeight="1" x14ac:dyDescent="0.2">
      <c r="E20761" s="7"/>
      <c r="F20761" s="7"/>
    </row>
    <row r="20762" spans="5:6" ht="15" customHeight="1" x14ac:dyDescent="0.2">
      <c r="E20762" s="7"/>
      <c r="F20762" s="7"/>
    </row>
    <row r="20763" spans="5:6" ht="15" customHeight="1" x14ac:dyDescent="0.2">
      <c r="E20763" s="7"/>
      <c r="F20763" s="7"/>
    </row>
    <row r="20764" spans="5:6" ht="15" customHeight="1" x14ac:dyDescent="0.2">
      <c r="E20764" s="7"/>
      <c r="F20764" s="7"/>
    </row>
    <row r="20765" spans="5:6" ht="15" customHeight="1" x14ac:dyDescent="0.2">
      <c r="E20765" s="7"/>
      <c r="F20765" s="7"/>
    </row>
    <row r="20766" spans="5:6" ht="15" customHeight="1" x14ac:dyDescent="0.2">
      <c r="E20766" s="7"/>
      <c r="F20766" s="7"/>
    </row>
    <row r="20767" spans="5:6" ht="15" customHeight="1" x14ac:dyDescent="0.2">
      <c r="E20767" s="7"/>
      <c r="F20767" s="7"/>
    </row>
    <row r="20768" spans="5:6" ht="15" customHeight="1" x14ac:dyDescent="0.2">
      <c r="E20768" s="7"/>
      <c r="F20768" s="7"/>
    </row>
    <row r="20769" spans="5:6" ht="15" customHeight="1" x14ac:dyDescent="0.2">
      <c r="E20769" s="7"/>
      <c r="F20769" s="7"/>
    </row>
    <row r="20770" spans="5:6" ht="15" customHeight="1" x14ac:dyDescent="0.2">
      <c r="E20770" s="7"/>
      <c r="F20770" s="7"/>
    </row>
    <row r="20771" spans="5:6" ht="15" customHeight="1" x14ac:dyDescent="0.2">
      <c r="E20771" s="7"/>
      <c r="F20771" s="7"/>
    </row>
    <row r="20772" spans="5:6" ht="15" customHeight="1" x14ac:dyDescent="0.2">
      <c r="E20772" s="7"/>
      <c r="F20772" s="7"/>
    </row>
    <row r="20773" spans="5:6" ht="15" customHeight="1" x14ac:dyDescent="0.2">
      <c r="E20773" s="7"/>
      <c r="F20773" s="7"/>
    </row>
    <row r="20774" spans="5:6" ht="15" customHeight="1" x14ac:dyDescent="0.2">
      <c r="E20774" s="7"/>
      <c r="F20774" s="7"/>
    </row>
    <row r="20775" spans="5:6" ht="15" customHeight="1" x14ac:dyDescent="0.2">
      <c r="E20775" s="7"/>
      <c r="F20775" s="7"/>
    </row>
    <row r="20776" spans="5:6" ht="15" customHeight="1" x14ac:dyDescent="0.2">
      <c r="E20776" s="7"/>
      <c r="F20776" s="7"/>
    </row>
    <row r="20777" spans="5:6" ht="15" customHeight="1" x14ac:dyDescent="0.2">
      <c r="E20777" s="7"/>
      <c r="F20777" s="7"/>
    </row>
    <row r="20778" spans="5:6" ht="15" customHeight="1" x14ac:dyDescent="0.2">
      <c r="E20778" s="7"/>
      <c r="F20778" s="7"/>
    </row>
    <row r="20779" spans="5:6" ht="15" customHeight="1" x14ac:dyDescent="0.2">
      <c r="E20779" s="7"/>
      <c r="F20779" s="7"/>
    </row>
    <row r="20780" spans="5:6" ht="15" customHeight="1" x14ac:dyDescent="0.2">
      <c r="E20780" s="7"/>
      <c r="F20780" s="7"/>
    </row>
    <row r="20781" spans="5:6" ht="15" customHeight="1" x14ac:dyDescent="0.2">
      <c r="E20781" s="7"/>
      <c r="F20781" s="7"/>
    </row>
    <row r="20782" spans="5:6" ht="15" customHeight="1" x14ac:dyDescent="0.2">
      <c r="E20782" s="7"/>
      <c r="F20782" s="7"/>
    </row>
    <row r="20783" spans="5:6" ht="15" customHeight="1" x14ac:dyDescent="0.2">
      <c r="E20783" s="7"/>
      <c r="F20783" s="7"/>
    </row>
    <row r="20784" spans="5:6" ht="15" customHeight="1" x14ac:dyDescent="0.2">
      <c r="E20784" s="7"/>
      <c r="F20784" s="7"/>
    </row>
    <row r="20785" spans="5:6" ht="15" customHeight="1" x14ac:dyDescent="0.2">
      <c r="E20785" s="7"/>
      <c r="F20785" s="7"/>
    </row>
    <row r="20786" spans="5:6" ht="15" customHeight="1" x14ac:dyDescent="0.2">
      <c r="E20786" s="7"/>
      <c r="F20786" s="7"/>
    </row>
    <row r="20787" spans="5:6" ht="15" customHeight="1" x14ac:dyDescent="0.2">
      <c r="E20787" s="7"/>
      <c r="F20787" s="7"/>
    </row>
    <row r="20788" spans="5:6" ht="15" customHeight="1" x14ac:dyDescent="0.2">
      <c r="E20788" s="7"/>
      <c r="F20788" s="7"/>
    </row>
    <row r="20789" spans="5:6" ht="15" customHeight="1" x14ac:dyDescent="0.2">
      <c r="E20789" s="7"/>
      <c r="F20789" s="7"/>
    </row>
    <row r="20790" spans="5:6" ht="15" customHeight="1" x14ac:dyDescent="0.2">
      <c r="E20790" s="7"/>
      <c r="F20790" s="7"/>
    </row>
    <row r="20791" spans="5:6" ht="15" customHeight="1" x14ac:dyDescent="0.2">
      <c r="E20791" s="7"/>
      <c r="F20791" s="7"/>
    </row>
    <row r="20792" spans="5:6" ht="15" customHeight="1" x14ac:dyDescent="0.2">
      <c r="E20792" s="7"/>
      <c r="F20792" s="7"/>
    </row>
    <row r="20793" spans="5:6" ht="15" customHeight="1" x14ac:dyDescent="0.2">
      <c r="E20793" s="7"/>
      <c r="F20793" s="7"/>
    </row>
    <row r="20794" spans="5:6" ht="15" customHeight="1" x14ac:dyDescent="0.2">
      <c r="E20794" s="7"/>
      <c r="F20794" s="7"/>
    </row>
    <row r="20795" spans="5:6" ht="15" customHeight="1" x14ac:dyDescent="0.2">
      <c r="E20795" s="7"/>
      <c r="F20795" s="7"/>
    </row>
    <row r="20796" spans="5:6" ht="15" customHeight="1" x14ac:dyDescent="0.2">
      <c r="E20796" s="7"/>
      <c r="F20796" s="7"/>
    </row>
    <row r="20797" spans="5:6" ht="15" customHeight="1" x14ac:dyDescent="0.2">
      <c r="E20797" s="7"/>
      <c r="F20797" s="7"/>
    </row>
    <row r="20798" spans="5:6" ht="15" customHeight="1" x14ac:dyDescent="0.2">
      <c r="E20798" s="7"/>
      <c r="F20798" s="7"/>
    </row>
    <row r="20799" spans="5:6" ht="15" customHeight="1" x14ac:dyDescent="0.2">
      <c r="E20799" s="7"/>
      <c r="F20799" s="7"/>
    </row>
    <row r="20800" spans="5:6" ht="15" customHeight="1" x14ac:dyDescent="0.2">
      <c r="E20800" s="7"/>
      <c r="F20800" s="7"/>
    </row>
    <row r="20801" spans="5:6" ht="15" customHeight="1" x14ac:dyDescent="0.2">
      <c r="E20801" s="7"/>
      <c r="F20801" s="7"/>
    </row>
    <row r="20802" spans="5:6" ht="15" customHeight="1" x14ac:dyDescent="0.2">
      <c r="E20802" s="7"/>
      <c r="F20802" s="7"/>
    </row>
    <row r="20803" spans="5:6" ht="15" customHeight="1" x14ac:dyDescent="0.2">
      <c r="E20803" s="7"/>
      <c r="F20803" s="7"/>
    </row>
    <row r="20804" spans="5:6" ht="15" customHeight="1" x14ac:dyDescent="0.2">
      <c r="E20804" s="7"/>
      <c r="F20804" s="7"/>
    </row>
    <row r="20805" spans="5:6" ht="15" customHeight="1" x14ac:dyDescent="0.2">
      <c r="E20805" s="7"/>
      <c r="F20805" s="7"/>
    </row>
    <row r="20806" spans="5:6" ht="15" customHeight="1" x14ac:dyDescent="0.2">
      <c r="E20806" s="7"/>
      <c r="F20806" s="7"/>
    </row>
    <row r="20807" spans="5:6" ht="15" customHeight="1" x14ac:dyDescent="0.2">
      <c r="E20807" s="7"/>
      <c r="F20807" s="7"/>
    </row>
    <row r="20808" spans="5:6" ht="15" customHeight="1" x14ac:dyDescent="0.2">
      <c r="E20808" s="7"/>
      <c r="F20808" s="7"/>
    </row>
    <row r="20809" spans="5:6" ht="15" customHeight="1" x14ac:dyDescent="0.2">
      <c r="E20809" s="7"/>
      <c r="F20809" s="7"/>
    </row>
    <row r="20810" spans="5:6" ht="15" customHeight="1" x14ac:dyDescent="0.2">
      <c r="E20810" s="7"/>
      <c r="F20810" s="7"/>
    </row>
    <row r="20811" spans="5:6" ht="15" customHeight="1" x14ac:dyDescent="0.2">
      <c r="E20811" s="7"/>
      <c r="F20811" s="7"/>
    </row>
    <row r="20812" spans="5:6" ht="15" customHeight="1" x14ac:dyDescent="0.2">
      <c r="E20812" s="7"/>
      <c r="F20812" s="7"/>
    </row>
    <row r="20813" spans="5:6" ht="15" customHeight="1" x14ac:dyDescent="0.2">
      <c r="E20813" s="7"/>
      <c r="F20813" s="7"/>
    </row>
    <row r="20814" spans="5:6" ht="15" customHeight="1" x14ac:dyDescent="0.2">
      <c r="E20814" s="7"/>
      <c r="F20814" s="7"/>
    </row>
    <row r="20815" spans="5:6" ht="15" customHeight="1" x14ac:dyDescent="0.2">
      <c r="E20815" s="7"/>
      <c r="F20815" s="7"/>
    </row>
    <row r="20816" spans="5:6" ht="15" customHeight="1" x14ac:dyDescent="0.2">
      <c r="E20816" s="7"/>
      <c r="F20816" s="7"/>
    </row>
    <row r="20817" spans="5:6" ht="15" customHeight="1" x14ac:dyDescent="0.2">
      <c r="E20817" s="7"/>
      <c r="F20817" s="7"/>
    </row>
    <row r="20818" spans="5:6" ht="15" customHeight="1" x14ac:dyDescent="0.2">
      <c r="E20818" s="7"/>
      <c r="F20818" s="7"/>
    </row>
    <row r="20819" spans="5:6" ht="15" customHeight="1" x14ac:dyDescent="0.2">
      <c r="E20819" s="7"/>
      <c r="F20819" s="7"/>
    </row>
    <row r="20820" spans="5:6" ht="15" customHeight="1" x14ac:dyDescent="0.2">
      <c r="E20820" s="7"/>
      <c r="F20820" s="7"/>
    </row>
    <row r="20821" spans="5:6" ht="15" customHeight="1" x14ac:dyDescent="0.2">
      <c r="E20821" s="7"/>
      <c r="F20821" s="7"/>
    </row>
    <row r="20822" spans="5:6" ht="15" customHeight="1" x14ac:dyDescent="0.2">
      <c r="E20822" s="7"/>
      <c r="F20822" s="7"/>
    </row>
    <row r="20823" spans="5:6" ht="15" customHeight="1" x14ac:dyDescent="0.2">
      <c r="E20823" s="7"/>
      <c r="F20823" s="7"/>
    </row>
    <row r="20824" spans="5:6" ht="15" customHeight="1" x14ac:dyDescent="0.2">
      <c r="E20824" s="7"/>
      <c r="F20824" s="7"/>
    </row>
    <row r="20825" spans="5:6" ht="15" customHeight="1" x14ac:dyDescent="0.2">
      <c r="E20825" s="7"/>
      <c r="F20825" s="7"/>
    </row>
    <row r="20826" spans="5:6" ht="15" customHeight="1" x14ac:dyDescent="0.2">
      <c r="E20826" s="7"/>
      <c r="F20826" s="7"/>
    </row>
    <row r="20827" spans="5:6" ht="15" customHeight="1" x14ac:dyDescent="0.2">
      <c r="E20827" s="7"/>
      <c r="F20827" s="7"/>
    </row>
    <row r="20828" spans="5:6" ht="15" customHeight="1" x14ac:dyDescent="0.2">
      <c r="E20828" s="7"/>
      <c r="F20828" s="7"/>
    </row>
    <row r="20829" spans="5:6" ht="15" customHeight="1" x14ac:dyDescent="0.2">
      <c r="E20829" s="7"/>
      <c r="F20829" s="7"/>
    </row>
    <row r="20830" spans="5:6" ht="15" customHeight="1" x14ac:dyDescent="0.2">
      <c r="E20830" s="7"/>
      <c r="F20830" s="7"/>
    </row>
    <row r="20831" spans="5:6" ht="15" customHeight="1" x14ac:dyDescent="0.2">
      <c r="E20831" s="7"/>
      <c r="F20831" s="7"/>
    </row>
    <row r="20832" spans="5:6" ht="15" customHeight="1" x14ac:dyDescent="0.2">
      <c r="E20832" s="7"/>
      <c r="F20832" s="7"/>
    </row>
    <row r="20833" spans="5:6" ht="15" customHeight="1" x14ac:dyDescent="0.2">
      <c r="E20833" s="7"/>
      <c r="F20833" s="7"/>
    </row>
    <row r="20834" spans="5:6" ht="15" customHeight="1" x14ac:dyDescent="0.2">
      <c r="E20834" s="7"/>
      <c r="F20834" s="7"/>
    </row>
    <row r="20835" spans="5:6" ht="15" customHeight="1" x14ac:dyDescent="0.2">
      <c r="E20835" s="7"/>
      <c r="F20835" s="7"/>
    </row>
    <row r="20836" spans="5:6" ht="15" customHeight="1" x14ac:dyDescent="0.2">
      <c r="E20836" s="7"/>
      <c r="F20836" s="7"/>
    </row>
    <row r="20837" spans="5:6" ht="15" customHeight="1" x14ac:dyDescent="0.2">
      <c r="E20837" s="7"/>
      <c r="F20837" s="7"/>
    </row>
    <row r="20838" spans="5:6" ht="15" customHeight="1" x14ac:dyDescent="0.2">
      <c r="E20838" s="7"/>
      <c r="F20838" s="7"/>
    </row>
    <row r="20839" spans="5:6" ht="15" customHeight="1" x14ac:dyDescent="0.2">
      <c r="E20839" s="7"/>
      <c r="F20839" s="7"/>
    </row>
    <row r="20840" spans="5:6" ht="15" customHeight="1" x14ac:dyDescent="0.2">
      <c r="E20840" s="7"/>
      <c r="F20840" s="7"/>
    </row>
    <row r="20841" spans="5:6" ht="15" customHeight="1" x14ac:dyDescent="0.2">
      <c r="E20841" s="7"/>
      <c r="F20841" s="7"/>
    </row>
    <row r="20842" spans="5:6" ht="15" customHeight="1" x14ac:dyDescent="0.2">
      <c r="E20842" s="7"/>
      <c r="F20842" s="7"/>
    </row>
    <row r="20843" spans="5:6" ht="15" customHeight="1" x14ac:dyDescent="0.2">
      <c r="E20843" s="7"/>
      <c r="F20843" s="7"/>
    </row>
    <row r="20844" spans="5:6" ht="15" customHeight="1" x14ac:dyDescent="0.2">
      <c r="E20844" s="7"/>
      <c r="F20844" s="7"/>
    </row>
    <row r="20845" spans="5:6" ht="15" customHeight="1" x14ac:dyDescent="0.2">
      <c r="E20845" s="7"/>
      <c r="F20845" s="7"/>
    </row>
    <row r="20846" spans="5:6" ht="15" customHeight="1" x14ac:dyDescent="0.2">
      <c r="E20846" s="7"/>
      <c r="F20846" s="7"/>
    </row>
    <row r="20847" spans="5:6" ht="15" customHeight="1" x14ac:dyDescent="0.2">
      <c r="E20847" s="7"/>
      <c r="F20847" s="7"/>
    </row>
    <row r="20848" spans="5:6" ht="15" customHeight="1" x14ac:dyDescent="0.2">
      <c r="E20848" s="7"/>
      <c r="F20848" s="7"/>
    </row>
    <row r="20849" spans="5:6" ht="15" customHeight="1" x14ac:dyDescent="0.2">
      <c r="E20849" s="7"/>
      <c r="F20849" s="7"/>
    </row>
    <row r="20850" spans="5:6" ht="15" customHeight="1" x14ac:dyDescent="0.2">
      <c r="E20850" s="7"/>
      <c r="F20850" s="7"/>
    </row>
    <row r="20851" spans="5:6" ht="15" customHeight="1" x14ac:dyDescent="0.2">
      <c r="E20851" s="7"/>
      <c r="F20851" s="7"/>
    </row>
    <row r="20852" spans="5:6" ht="15" customHeight="1" x14ac:dyDescent="0.2">
      <c r="E20852" s="7"/>
      <c r="F20852" s="7"/>
    </row>
    <row r="20853" spans="5:6" ht="15" customHeight="1" x14ac:dyDescent="0.2">
      <c r="E20853" s="7"/>
      <c r="F20853" s="7"/>
    </row>
    <row r="20854" spans="5:6" ht="15" customHeight="1" x14ac:dyDescent="0.2">
      <c r="E20854" s="7"/>
      <c r="F20854" s="7"/>
    </row>
    <row r="20855" spans="5:6" ht="15" customHeight="1" x14ac:dyDescent="0.2">
      <c r="E20855" s="7"/>
      <c r="F20855" s="7"/>
    </row>
    <row r="20856" spans="5:6" ht="15" customHeight="1" x14ac:dyDescent="0.2">
      <c r="E20856" s="7"/>
      <c r="F20856" s="7"/>
    </row>
    <row r="20857" spans="5:6" ht="15" customHeight="1" x14ac:dyDescent="0.2">
      <c r="E20857" s="7"/>
      <c r="F20857" s="7"/>
    </row>
    <row r="20858" spans="5:6" ht="15" customHeight="1" x14ac:dyDescent="0.2">
      <c r="E20858" s="7"/>
      <c r="F20858" s="7"/>
    </row>
    <row r="20859" spans="5:6" ht="15" customHeight="1" x14ac:dyDescent="0.2">
      <c r="E20859" s="7"/>
      <c r="F20859" s="7"/>
    </row>
    <row r="20860" spans="5:6" ht="15" customHeight="1" x14ac:dyDescent="0.2">
      <c r="E20860" s="7"/>
      <c r="F20860" s="7"/>
    </row>
    <row r="20861" spans="5:6" ht="15" customHeight="1" x14ac:dyDescent="0.2">
      <c r="E20861" s="7"/>
      <c r="F20861" s="7"/>
    </row>
    <row r="20862" spans="5:6" ht="15" customHeight="1" x14ac:dyDescent="0.2">
      <c r="E20862" s="7"/>
      <c r="F20862" s="7"/>
    </row>
    <row r="20863" spans="5:6" ht="15" customHeight="1" x14ac:dyDescent="0.2">
      <c r="E20863" s="7"/>
      <c r="F20863" s="7"/>
    </row>
    <row r="20864" spans="5:6" ht="15" customHeight="1" x14ac:dyDescent="0.2">
      <c r="E20864" s="7"/>
      <c r="F20864" s="7"/>
    </row>
    <row r="20865" spans="5:6" ht="15" customHeight="1" x14ac:dyDescent="0.2">
      <c r="E20865" s="7"/>
      <c r="F20865" s="7"/>
    </row>
    <row r="20866" spans="5:6" ht="15" customHeight="1" x14ac:dyDescent="0.2">
      <c r="E20866" s="7"/>
      <c r="F20866" s="7"/>
    </row>
    <row r="20867" spans="5:6" ht="15" customHeight="1" x14ac:dyDescent="0.2">
      <c r="E20867" s="7"/>
      <c r="F20867" s="7"/>
    </row>
    <row r="20868" spans="5:6" ht="15" customHeight="1" x14ac:dyDescent="0.2">
      <c r="E20868" s="7"/>
      <c r="F20868" s="7"/>
    </row>
    <row r="20869" spans="5:6" ht="15" customHeight="1" x14ac:dyDescent="0.2">
      <c r="E20869" s="7"/>
      <c r="F20869" s="7"/>
    </row>
    <row r="20870" spans="5:6" ht="15" customHeight="1" x14ac:dyDescent="0.2">
      <c r="E20870" s="7"/>
      <c r="F20870" s="7"/>
    </row>
    <row r="20871" spans="5:6" ht="15" customHeight="1" x14ac:dyDescent="0.2">
      <c r="E20871" s="7"/>
      <c r="F20871" s="7"/>
    </row>
    <row r="20872" spans="5:6" ht="15" customHeight="1" x14ac:dyDescent="0.2">
      <c r="E20872" s="7"/>
      <c r="F20872" s="7"/>
    </row>
    <row r="20873" spans="5:6" ht="15" customHeight="1" x14ac:dyDescent="0.2">
      <c r="E20873" s="7"/>
      <c r="F20873" s="7"/>
    </row>
    <row r="20874" spans="5:6" ht="15" customHeight="1" x14ac:dyDescent="0.2">
      <c r="E20874" s="7"/>
      <c r="F20874" s="7"/>
    </row>
    <row r="20875" spans="5:6" ht="15" customHeight="1" x14ac:dyDescent="0.2">
      <c r="E20875" s="7"/>
      <c r="F20875" s="7"/>
    </row>
    <row r="20876" spans="5:6" ht="15" customHeight="1" x14ac:dyDescent="0.2">
      <c r="E20876" s="7"/>
      <c r="F20876" s="7"/>
    </row>
    <row r="20877" spans="5:6" ht="15" customHeight="1" x14ac:dyDescent="0.2">
      <c r="E20877" s="7"/>
      <c r="F20877" s="7"/>
    </row>
    <row r="20878" spans="5:6" ht="15" customHeight="1" x14ac:dyDescent="0.2">
      <c r="E20878" s="7"/>
      <c r="F20878" s="7"/>
    </row>
    <row r="20879" spans="5:6" ht="15" customHeight="1" x14ac:dyDescent="0.2">
      <c r="E20879" s="7"/>
      <c r="F20879" s="7"/>
    </row>
    <row r="20880" spans="5:6" ht="15" customHeight="1" x14ac:dyDescent="0.2">
      <c r="E20880" s="7"/>
      <c r="F20880" s="7"/>
    </row>
    <row r="20881" spans="5:6" ht="15" customHeight="1" x14ac:dyDescent="0.2">
      <c r="E20881" s="7"/>
      <c r="F20881" s="7"/>
    </row>
    <row r="20882" spans="5:6" ht="15" customHeight="1" x14ac:dyDescent="0.2">
      <c r="E20882" s="7"/>
      <c r="F20882" s="7"/>
    </row>
    <row r="20883" spans="5:6" ht="15" customHeight="1" x14ac:dyDescent="0.2">
      <c r="E20883" s="7"/>
      <c r="F20883" s="7"/>
    </row>
    <row r="20884" spans="5:6" ht="15" customHeight="1" x14ac:dyDescent="0.2">
      <c r="E20884" s="7"/>
      <c r="F20884" s="7"/>
    </row>
    <row r="20885" spans="5:6" ht="15" customHeight="1" x14ac:dyDescent="0.2">
      <c r="E20885" s="7"/>
      <c r="F20885" s="7"/>
    </row>
    <row r="20886" spans="5:6" ht="15" customHeight="1" x14ac:dyDescent="0.2">
      <c r="E20886" s="7"/>
      <c r="F20886" s="7"/>
    </row>
    <row r="20887" spans="5:6" ht="15" customHeight="1" x14ac:dyDescent="0.2">
      <c r="E20887" s="7"/>
      <c r="F20887" s="7"/>
    </row>
    <row r="20888" spans="5:6" ht="15" customHeight="1" x14ac:dyDescent="0.2">
      <c r="E20888" s="7"/>
      <c r="F20888" s="7"/>
    </row>
    <row r="20889" spans="5:6" ht="15" customHeight="1" x14ac:dyDescent="0.2">
      <c r="E20889" s="7"/>
      <c r="F20889" s="7"/>
    </row>
    <row r="20890" spans="5:6" ht="15" customHeight="1" x14ac:dyDescent="0.2">
      <c r="E20890" s="7"/>
      <c r="F20890" s="7"/>
    </row>
    <row r="20891" spans="5:6" ht="15" customHeight="1" x14ac:dyDescent="0.2">
      <c r="E20891" s="7"/>
      <c r="F20891" s="7"/>
    </row>
    <row r="20892" spans="5:6" ht="15" customHeight="1" x14ac:dyDescent="0.2">
      <c r="E20892" s="7"/>
      <c r="F20892" s="7"/>
    </row>
    <row r="20893" spans="5:6" ht="15" customHeight="1" x14ac:dyDescent="0.2">
      <c r="E20893" s="7"/>
      <c r="F20893" s="7"/>
    </row>
    <row r="20894" spans="5:6" ht="15" customHeight="1" x14ac:dyDescent="0.2">
      <c r="E20894" s="7"/>
      <c r="F20894" s="7"/>
    </row>
    <row r="20895" spans="5:6" ht="15" customHeight="1" x14ac:dyDescent="0.2">
      <c r="E20895" s="7"/>
      <c r="F20895" s="7"/>
    </row>
    <row r="20896" spans="5:6" ht="15" customHeight="1" x14ac:dyDescent="0.2">
      <c r="E20896" s="7"/>
      <c r="F20896" s="7"/>
    </row>
    <row r="20897" spans="5:6" ht="15" customHeight="1" x14ac:dyDescent="0.2">
      <c r="E20897" s="7"/>
      <c r="F20897" s="7"/>
    </row>
    <row r="20898" spans="5:6" ht="15" customHeight="1" x14ac:dyDescent="0.2">
      <c r="E20898" s="7"/>
      <c r="F20898" s="7"/>
    </row>
    <row r="20899" spans="5:6" ht="15" customHeight="1" x14ac:dyDescent="0.2">
      <c r="E20899" s="7"/>
      <c r="F20899" s="7"/>
    </row>
    <row r="20900" spans="5:6" ht="15" customHeight="1" x14ac:dyDescent="0.2">
      <c r="E20900" s="7"/>
      <c r="F20900" s="7"/>
    </row>
    <row r="20901" spans="5:6" ht="15" customHeight="1" x14ac:dyDescent="0.2">
      <c r="E20901" s="7"/>
      <c r="F20901" s="7"/>
    </row>
    <row r="20902" spans="5:6" ht="15" customHeight="1" x14ac:dyDescent="0.2">
      <c r="E20902" s="7"/>
      <c r="F20902" s="7"/>
    </row>
    <row r="20903" spans="5:6" ht="15" customHeight="1" x14ac:dyDescent="0.2">
      <c r="E20903" s="7"/>
      <c r="F20903" s="7"/>
    </row>
    <row r="20904" spans="5:6" ht="15" customHeight="1" x14ac:dyDescent="0.2">
      <c r="E20904" s="7"/>
      <c r="F20904" s="7"/>
    </row>
    <row r="20905" spans="5:6" ht="15" customHeight="1" x14ac:dyDescent="0.2">
      <c r="E20905" s="7"/>
      <c r="F20905" s="7"/>
    </row>
    <row r="20906" spans="5:6" ht="15" customHeight="1" x14ac:dyDescent="0.2">
      <c r="E20906" s="7"/>
      <c r="F20906" s="7"/>
    </row>
    <row r="20907" spans="5:6" ht="15" customHeight="1" x14ac:dyDescent="0.2">
      <c r="E20907" s="7"/>
      <c r="F20907" s="7"/>
    </row>
    <row r="20908" spans="5:6" ht="15" customHeight="1" x14ac:dyDescent="0.2">
      <c r="E20908" s="7"/>
      <c r="F20908" s="7"/>
    </row>
    <row r="20909" spans="5:6" ht="15" customHeight="1" x14ac:dyDescent="0.2">
      <c r="E20909" s="7"/>
      <c r="F20909" s="7"/>
    </row>
    <row r="20910" spans="5:6" ht="15" customHeight="1" x14ac:dyDescent="0.2">
      <c r="E20910" s="7"/>
      <c r="F20910" s="7"/>
    </row>
    <row r="20911" spans="5:6" ht="15" customHeight="1" x14ac:dyDescent="0.2">
      <c r="E20911" s="7"/>
      <c r="F20911" s="7"/>
    </row>
    <row r="20912" spans="5:6" ht="15" customHeight="1" x14ac:dyDescent="0.2">
      <c r="E20912" s="7"/>
      <c r="F20912" s="7"/>
    </row>
    <row r="20913" spans="5:6" ht="15" customHeight="1" x14ac:dyDescent="0.2">
      <c r="E20913" s="7"/>
      <c r="F20913" s="7"/>
    </row>
    <row r="20914" spans="5:6" ht="15" customHeight="1" x14ac:dyDescent="0.2">
      <c r="E20914" s="7"/>
      <c r="F20914" s="7"/>
    </row>
    <row r="20915" spans="5:6" ht="15" customHeight="1" x14ac:dyDescent="0.2">
      <c r="E20915" s="7"/>
      <c r="F20915" s="7"/>
    </row>
    <row r="20916" spans="5:6" ht="15" customHeight="1" x14ac:dyDescent="0.2">
      <c r="E20916" s="7"/>
      <c r="F20916" s="7"/>
    </row>
    <row r="20917" spans="5:6" ht="15" customHeight="1" x14ac:dyDescent="0.2">
      <c r="E20917" s="7"/>
      <c r="F20917" s="7"/>
    </row>
    <row r="20918" spans="5:6" ht="15" customHeight="1" x14ac:dyDescent="0.2">
      <c r="E20918" s="7"/>
      <c r="F20918" s="7"/>
    </row>
    <row r="20919" spans="5:6" ht="15" customHeight="1" x14ac:dyDescent="0.2">
      <c r="E20919" s="7"/>
      <c r="F20919" s="7"/>
    </row>
    <row r="20920" spans="5:6" ht="15" customHeight="1" x14ac:dyDescent="0.2">
      <c r="E20920" s="7"/>
      <c r="F20920" s="7"/>
    </row>
    <row r="20921" spans="5:6" ht="15" customHeight="1" x14ac:dyDescent="0.2">
      <c r="E20921" s="7"/>
      <c r="F20921" s="7"/>
    </row>
    <row r="20922" spans="5:6" ht="15" customHeight="1" x14ac:dyDescent="0.2">
      <c r="E20922" s="7"/>
      <c r="F20922" s="7"/>
    </row>
    <row r="20923" spans="5:6" ht="15" customHeight="1" x14ac:dyDescent="0.2">
      <c r="E20923" s="7"/>
      <c r="F20923" s="7"/>
    </row>
    <row r="20924" spans="5:6" ht="15" customHeight="1" x14ac:dyDescent="0.2">
      <c r="E20924" s="7"/>
      <c r="F20924" s="7"/>
    </row>
    <row r="20925" spans="5:6" ht="15" customHeight="1" x14ac:dyDescent="0.2">
      <c r="E20925" s="7"/>
      <c r="F20925" s="7"/>
    </row>
    <row r="20926" spans="5:6" ht="15" customHeight="1" x14ac:dyDescent="0.2">
      <c r="E20926" s="7"/>
      <c r="F20926" s="7"/>
    </row>
    <row r="20927" spans="5:6" ht="15" customHeight="1" x14ac:dyDescent="0.2">
      <c r="E20927" s="7"/>
      <c r="F20927" s="7"/>
    </row>
    <row r="20928" spans="5:6" ht="15" customHeight="1" x14ac:dyDescent="0.2">
      <c r="E20928" s="7"/>
      <c r="F20928" s="7"/>
    </row>
    <row r="20929" spans="5:6" ht="15" customHeight="1" x14ac:dyDescent="0.2">
      <c r="E20929" s="7"/>
      <c r="F20929" s="7"/>
    </row>
    <row r="20930" spans="5:6" ht="15" customHeight="1" x14ac:dyDescent="0.2">
      <c r="E20930" s="7"/>
      <c r="F20930" s="7"/>
    </row>
    <row r="20931" spans="5:6" ht="15" customHeight="1" x14ac:dyDescent="0.2">
      <c r="E20931" s="7"/>
      <c r="F20931" s="7"/>
    </row>
    <row r="20932" spans="5:6" ht="15" customHeight="1" x14ac:dyDescent="0.2">
      <c r="E20932" s="7"/>
      <c r="F20932" s="7"/>
    </row>
    <row r="20933" spans="5:6" ht="15" customHeight="1" x14ac:dyDescent="0.2">
      <c r="E20933" s="7"/>
      <c r="F20933" s="7"/>
    </row>
    <row r="20934" spans="5:6" ht="15" customHeight="1" x14ac:dyDescent="0.2">
      <c r="E20934" s="7"/>
      <c r="F20934" s="7"/>
    </row>
    <row r="20935" spans="5:6" ht="15" customHeight="1" x14ac:dyDescent="0.2">
      <c r="E20935" s="7"/>
      <c r="F20935" s="7"/>
    </row>
    <row r="20936" spans="5:6" ht="15" customHeight="1" x14ac:dyDescent="0.2">
      <c r="E20936" s="7"/>
      <c r="F20936" s="7"/>
    </row>
    <row r="20937" spans="5:6" ht="15" customHeight="1" x14ac:dyDescent="0.2">
      <c r="E20937" s="7"/>
      <c r="F20937" s="7"/>
    </row>
    <row r="20938" spans="5:6" ht="15" customHeight="1" x14ac:dyDescent="0.2">
      <c r="E20938" s="7"/>
      <c r="F20938" s="7"/>
    </row>
    <row r="20939" spans="5:6" ht="15" customHeight="1" x14ac:dyDescent="0.2">
      <c r="E20939" s="7"/>
      <c r="F20939" s="7"/>
    </row>
    <row r="20940" spans="5:6" ht="15" customHeight="1" x14ac:dyDescent="0.2">
      <c r="E20940" s="7"/>
      <c r="F20940" s="7"/>
    </row>
    <row r="20941" spans="5:6" ht="15" customHeight="1" x14ac:dyDescent="0.2">
      <c r="E20941" s="7"/>
      <c r="F20941" s="7"/>
    </row>
    <row r="20942" spans="5:6" ht="15" customHeight="1" x14ac:dyDescent="0.2">
      <c r="E20942" s="7"/>
      <c r="F20942" s="7"/>
    </row>
    <row r="20943" spans="5:6" ht="15" customHeight="1" x14ac:dyDescent="0.2">
      <c r="E20943" s="7"/>
      <c r="F20943" s="7"/>
    </row>
    <row r="20944" spans="5:6" ht="15" customHeight="1" x14ac:dyDescent="0.2">
      <c r="E20944" s="7"/>
      <c r="F20944" s="7"/>
    </row>
    <row r="20945" spans="5:6" ht="15" customHeight="1" x14ac:dyDescent="0.2">
      <c r="E20945" s="7"/>
      <c r="F20945" s="7"/>
    </row>
    <row r="20946" spans="5:6" ht="15" customHeight="1" x14ac:dyDescent="0.2">
      <c r="E20946" s="7"/>
      <c r="F20946" s="7"/>
    </row>
    <row r="20947" spans="5:6" ht="15" customHeight="1" x14ac:dyDescent="0.2">
      <c r="E20947" s="7"/>
      <c r="F20947" s="7"/>
    </row>
    <row r="20948" spans="5:6" ht="15" customHeight="1" x14ac:dyDescent="0.2">
      <c r="E20948" s="7"/>
      <c r="F20948" s="7"/>
    </row>
    <row r="20949" spans="5:6" ht="15" customHeight="1" x14ac:dyDescent="0.2">
      <c r="E20949" s="7"/>
      <c r="F20949" s="7"/>
    </row>
    <row r="20950" spans="5:6" ht="15" customHeight="1" x14ac:dyDescent="0.2">
      <c r="E20950" s="7"/>
      <c r="F20950" s="7"/>
    </row>
    <row r="20951" spans="5:6" ht="15" customHeight="1" x14ac:dyDescent="0.2">
      <c r="E20951" s="7"/>
      <c r="F20951" s="7"/>
    </row>
    <row r="20952" spans="5:6" ht="15" customHeight="1" x14ac:dyDescent="0.2">
      <c r="E20952" s="7"/>
      <c r="F20952" s="7"/>
    </row>
    <row r="20953" spans="5:6" ht="15" customHeight="1" x14ac:dyDescent="0.2">
      <c r="E20953" s="7"/>
      <c r="F20953" s="7"/>
    </row>
    <row r="20954" spans="5:6" ht="15" customHeight="1" x14ac:dyDescent="0.2">
      <c r="E20954" s="7"/>
      <c r="F20954" s="7"/>
    </row>
    <row r="20955" spans="5:6" ht="15" customHeight="1" x14ac:dyDescent="0.2">
      <c r="E20955" s="7"/>
      <c r="F20955" s="7"/>
    </row>
    <row r="20956" spans="5:6" ht="15" customHeight="1" x14ac:dyDescent="0.2">
      <c r="E20956" s="7"/>
      <c r="F20956" s="7"/>
    </row>
    <row r="20957" spans="5:6" ht="15" customHeight="1" x14ac:dyDescent="0.2">
      <c r="E20957" s="7"/>
      <c r="F20957" s="7"/>
    </row>
    <row r="20958" spans="5:6" ht="15" customHeight="1" x14ac:dyDescent="0.2">
      <c r="E20958" s="7"/>
      <c r="F20958" s="7"/>
    </row>
    <row r="20959" spans="5:6" ht="15" customHeight="1" x14ac:dyDescent="0.2">
      <c r="E20959" s="7"/>
      <c r="F20959" s="7"/>
    </row>
    <row r="20960" spans="5:6" ht="15" customHeight="1" x14ac:dyDescent="0.2">
      <c r="E20960" s="7"/>
      <c r="F20960" s="7"/>
    </row>
    <row r="20961" spans="5:6" ht="15" customHeight="1" x14ac:dyDescent="0.2">
      <c r="E20961" s="7"/>
      <c r="F20961" s="7"/>
    </row>
    <row r="20962" spans="5:6" ht="15" customHeight="1" x14ac:dyDescent="0.2">
      <c r="E20962" s="7"/>
      <c r="F20962" s="7"/>
    </row>
    <row r="20963" spans="5:6" ht="15" customHeight="1" x14ac:dyDescent="0.2">
      <c r="E20963" s="7"/>
      <c r="F20963" s="7"/>
    </row>
    <row r="20964" spans="5:6" ht="15" customHeight="1" x14ac:dyDescent="0.2">
      <c r="E20964" s="7"/>
      <c r="F20964" s="7"/>
    </row>
    <row r="20965" spans="5:6" ht="15" customHeight="1" x14ac:dyDescent="0.2">
      <c r="E20965" s="7"/>
      <c r="F20965" s="7"/>
    </row>
    <row r="20966" spans="5:6" ht="15" customHeight="1" x14ac:dyDescent="0.2">
      <c r="E20966" s="7"/>
      <c r="F20966" s="7"/>
    </row>
    <row r="20967" spans="5:6" ht="15" customHeight="1" x14ac:dyDescent="0.2">
      <c r="E20967" s="7"/>
      <c r="F20967" s="7"/>
    </row>
    <row r="20968" spans="5:6" ht="15" customHeight="1" x14ac:dyDescent="0.2">
      <c r="E20968" s="7"/>
      <c r="F20968" s="7"/>
    </row>
    <row r="20969" spans="5:6" ht="15" customHeight="1" x14ac:dyDescent="0.2">
      <c r="E20969" s="7"/>
      <c r="F20969" s="7"/>
    </row>
    <row r="20970" spans="5:6" ht="15" customHeight="1" x14ac:dyDescent="0.2">
      <c r="E20970" s="7"/>
      <c r="F20970" s="7"/>
    </row>
    <row r="20971" spans="5:6" ht="15" customHeight="1" x14ac:dyDescent="0.2">
      <c r="E20971" s="7"/>
      <c r="F20971" s="7"/>
    </row>
    <row r="20972" spans="5:6" ht="15" customHeight="1" x14ac:dyDescent="0.2">
      <c r="E20972" s="7"/>
      <c r="F20972" s="7"/>
    </row>
    <row r="20973" spans="5:6" ht="15" customHeight="1" x14ac:dyDescent="0.2">
      <c r="E20973" s="7"/>
      <c r="F20973" s="7"/>
    </row>
    <row r="20974" spans="5:6" ht="15" customHeight="1" x14ac:dyDescent="0.2">
      <c r="E20974" s="7"/>
      <c r="F20974" s="7"/>
    </row>
    <row r="20975" spans="5:6" ht="15" customHeight="1" x14ac:dyDescent="0.2">
      <c r="E20975" s="7"/>
      <c r="F20975" s="7"/>
    </row>
    <row r="20976" spans="5:6" ht="15" customHeight="1" x14ac:dyDescent="0.2">
      <c r="E20976" s="7"/>
      <c r="F20976" s="7"/>
    </row>
    <row r="20977" spans="5:6" ht="15" customHeight="1" x14ac:dyDescent="0.2">
      <c r="E20977" s="7"/>
      <c r="F20977" s="7"/>
    </row>
    <row r="20978" spans="5:6" ht="15" customHeight="1" x14ac:dyDescent="0.2">
      <c r="E20978" s="7"/>
      <c r="F20978" s="7"/>
    </row>
    <row r="20979" spans="5:6" ht="15" customHeight="1" x14ac:dyDescent="0.2">
      <c r="E20979" s="7"/>
      <c r="F20979" s="7"/>
    </row>
    <row r="20980" spans="5:6" ht="15" customHeight="1" x14ac:dyDescent="0.2">
      <c r="E20980" s="7"/>
      <c r="F20980" s="7"/>
    </row>
    <row r="20981" spans="5:6" ht="15" customHeight="1" x14ac:dyDescent="0.2">
      <c r="E20981" s="7"/>
      <c r="F20981" s="7"/>
    </row>
    <row r="20982" spans="5:6" ht="15" customHeight="1" x14ac:dyDescent="0.2">
      <c r="E20982" s="7"/>
      <c r="F20982" s="7"/>
    </row>
    <row r="20983" spans="5:6" ht="15" customHeight="1" x14ac:dyDescent="0.2">
      <c r="E20983" s="7"/>
      <c r="F20983" s="7"/>
    </row>
    <row r="20984" spans="5:6" ht="15" customHeight="1" x14ac:dyDescent="0.2">
      <c r="E20984" s="7"/>
      <c r="F20984" s="7"/>
    </row>
    <row r="20985" spans="5:6" ht="15" customHeight="1" x14ac:dyDescent="0.2">
      <c r="E20985" s="7"/>
      <c r="F20985" s="7"/>
    </row>
    <row r="20986" spans="5:6" ht="15" customHeight="1" x14ac:dyDescent="0.2">
      <c r="E20986" s="7"/>
      <c r="F20986" s="7"/>
    </row>
    <row r="20987" spans="5:6" ht="15" customHeight="1" x14ac:dyDescent="0.2">
      <c r="E20987" s="7"/>
      <c r="F20987" s="7"/>
    </row>
    <row r="20988" spans="5:6" ht="15" customHeight="1" x14ac:dyDescent="0.2">
      <c r="E20988" s="7"/>
      <c r="F20988" s="7"/>
    </row>
    <row r="20989" spans="5:6" ht="15" customHeight="1" x14ac:dyDescent="0.2">
      <c r="E20989" s="7"/>
      <c r="F20989" s="7"/>
    </row>
    <row r="20990" spans="5:6" ht="15" customHeight="1" x14ac:dyDescent="0.2">
      <c r="E20990" s="7"/>
      <c r="F20990" s="7"/>
    </row>
    <row r="20991" spans="5:6" ht="15" customHeight="1" x14ac:dyDescent="0.2">
      <c r="E20991" s="7"/>
      <c r="F20991" s="7"/>
    </row>
    <row r="20992" spans="5:6" ht="15" customHeight="1" x14ac:dyDescent="0.2">
      <c r="E20992" s="7"/>
      <c r="F20992" s="7"/>
    </row>
    <row r="20993" spans="5:6" ht="15" customHeight="1" x14ac:dyDescent="0.2">
      <c r="E20993" s="7"/>
      <c r="F20993" s="7"/>
    </row>
    <row r="20994" spans="5:6" ht="15" customHeight="1" x14ac:dyDescent="0.2">
      <c r="E20994" s="7"/>
      <c r="F20994" s="7"/>
    </row>
    <row r="20995" spans="5:6" ht="15" customHeight="1" x14ac:dyDescent="0.2">
      <c r="E20995" s="7"/>
      <c r="F20995" s="7"/>
    </row>
    <row r="20996" spans="5:6" ht="15" customHeight="1" x14ac:dyDescent="0.2">
      <c r="E20996" s="7"/>
      <c r="F20996" s="7"/>
    </row>
    <row r="20997" spans="5:6" ht="15" customHeight="1" x14ac:dyDescent="0.2">
      <c r="E20997" s="7"/>
      <c r="F20997" s="7"/>
    </row>
    <row r="20998" spans="5:6" ht="15" customHeight="1" x14ac:dyDescent="0.2">
      <c r="E20998" s="7"/>
      <c r="F20998" s="7"/>
    </row>
    <row r="20999" spans="5:6" ht="15" customHeight="1" x14ac:dyDescent="0.2">
      <c r="E20999" s="7"/>
      <c r="F20999" s="7"/>
    </row>
    <row r="21000" spans="5:6" ht="15" customHeight="1" x14ac:dyDescent="0.2">
      <c r="E21000" s="7"/>
      <c r="F21000" s="7"/>
    </row>
    <row r="21001" spans="5:6" ht="15" customHeight="1" x14ac:dyDescent="0.2">
      <c r="E21001" s="7"/>
      <c r="F21001" s="7"/>
    </row>
    <row r="21002" spans="5:6" ht="15" customHeight="1" x14ac:dyDescent="0.2">
      <c r="E21002" s="7"/>
      <c r="F21002" s="7"/>
    </row>
    <row r="21003" spans="5:6" ht="15" customHeight="1" x14ac:dyDescent="0.2">
      <c r="E21003" s="7"/>
      <c r="F21003" s="7"/>
    </row>
    <row r="21004" spans="5:6" ht="15" customHeight="1" x14ac:dyDescent="0.2">
      <c r="E21004" s="7"/>
      <c r="F21004" s="7"/>
    </row>
    <row r="21005" spans="5:6" ht="15" customHeight="1" x14ac:dyDescent="0.2">
      <c r="E21005" s="7"/>
      <c r="F21005" s="7"/>
    </row>
    <row r="21006" spans="5:6" ht="15" customHeight="1" x14ac:dyDescent="0.2">
      <c r="E21006" s="7"/>
      <c r="F21006" s="7"/>
    </row>
    <row r="21007" spans="5:6" ht="15" customHeight="1" x14ac:dyDescent="0.2">
      <c r="E21007" s="7"/>
      <c r="F21007" s="7"/>
    </row>
    <row r="21008" spans="5:6" ht="15" customHeight="1" x14ac:dyDescent="0.2">
      <c r="E21008" s="7"/>
      <c r="F21008" s="7"/>
    </row>
    <row r="21009" spans="5:6" ht="15" customHeight="1" x14ac:dyDescent="0.2">
      <c r="E21009" s="7"/>
      <c r="F21009" s="7"/>
    </row>
    <row r="21010" spans="5:6" ht="15" customHeight="1" x14ac:dyDescent="0.2">
      <c r="E21010" s="7"/>
      <c r="F21010" s="7"/>
    </row>
    <row r="21011" spans="5:6" ht="15" customHeight="1" x14ac:dyDescent="0.2">
      <c r="E21011" s="7"/>
      <c r="F21011" s="7"/>
    </row>
    <row r="21012" spans="5:6" ht="15" customHeight="1" x14ac:dyDescent="0.2">
      <c r="E21012" s="7"/>
      <c r="F21012" s="7"/>
    </row>
    <row r="21013" spans="5:6" ht="15" customHeight="1" x14ac:dyDescent="0.2">
      <c r="E21013" s="7"/>
      <c r="F21013" s="7"/>
    </row>
    <row r="21014" spans="5:6" ht="15" customHeight="1" x14ac:dyDescent="0.2">
      <c r="E21014" s="7"/>
      <c r="F21014" s="7"/>
    </row>
    <row r="21015" spans="5:6" ht="15" customHeight="1" x14ac:dyDescent="0.2">
      <c r="E21015" s="7"/>
      <c r="F21015" s="7"/>
    </row>
    <row r="21016" spans="5:6" ht="15" customHeight="1" x14ac:dyDescent="0.2">
      <c r="E21016" s="7"/>
      <c r="F21016" s="7"/>
    </row>
    <row r="21017" spans="5:6" ht="15" customHeight="1" x14ac:dyDescent="0.2">
      <c r="E21017" s="7"/>
      <c r="F21017" s="7"/>
    </row>
    <row r="21018" spans="5:6" ht="15" customHeight="1" x14ac:dyDescent="0.2">
      <c r="E21018" s="7"/>
      <c r="F21018" s="7"/>
    </row>
    <row r="21019" spans="5:6" ht="15" customHeight="1" x14ac:dyDescent="0.2">
      <c r="E21019" s="7"/>
      <c r="F21019" s="7"/>
    </row>
    <row r="21020" spans="5:6" ht="15" customHeight="1" x14ac:dyDescent="0.2">
      <c r="E21020" s="7"/>
      <c r="F21020" s="7"/>
    </row>
    <row r="21021" spans="5:6" ht="15" customHeight="1" x14ac:dyDescent="0.2">
      <c r="E21021" s="7"/>
      <c r="F21021" s="7"/>
    </row>
    <row r="21022" spans="5:6" ht="15" customHeight="1" x14ac:dyDescent="0.2">
      <c r="E21022" s="7"/>
      <c r="F21022" s="7"/>
    </row>
    <row r="21023" spans="5:6" ht="15" customHeight="1" x14ac:dyDescent="0.2">
      <c r="E21023" s="7"/>
      <c r="F21023" s="7"/>
    </row>
    <row r="21024" spans="5:6" ht="15" customHeight="1" x14ac:dyDescent="0.2">
      <c r="E21024" s="7"/>
      <c r="F21024" s="7"/>
    </row>
    <row r="21025" spans="5:6" ht="15" customHeight="1" x14ac:dyDescent="0.2">
      <c r="E21025" s="7"/>
      <c r="F21025" s="7"/>
    </row>
    <row r="21026" spans="5:6" ht="15" customHeight="1" x14ac:dyDescent="0.2">
      <c r="E21026" s="7"/>
      <c r="F21026" s="7"/>
    </row>
    <row r="21027" spans="5:6" ht="15" customHeight="1" x14ac:dyDescent="0.2">
      <c r="E21027" s="7"/>
      <c r="F21027" s="7"/>
    </row>
    <row r="21028" spans="5:6" ht="15" customHeight="1" x14ac:dyDescent="0.2">
      <c r="E21028" s="7"/>
      <c r="F21028" s="7"/>
    </row>
    <row r="21029" spans="5:6" ht="15" customHeight="1" x14ac:dyDescent="0.2">
      <c r="E21029" s="7"/>
      <c r="F21029" s="7"/>
    </row>
    <row r="21030" spans="5:6" ht="15" customHeight="1" x14ac:dyDescent="0.2">
      <c r="E21030" s="7"/>
      <c r="F21030" s="7"/>
    </row>
    <row r="21031" spans="5:6" ht="15" customHeight="1" x14ac:dyDescent="0.2">
      <c r="E21031" s="7"/>
      <c r="F21031" s="7"/>
    </row>
    <row r="21032" spans="5:6" ht="15" customHeight="1" x14ac:dyDescent="0.2">
      <c r="E21032" s="7"/>
      <c r="F21032" s="7"/>
    </row>
    <row r="21033" spans="5:6" ht="15" customHeight="1" x14ac:dyDescent="0.2">
      <c r="E21033" s="7"/>
      <c r="F21033" s="7"/>
    </row>
    <row r="21034" spans="5:6" ht="15" customHeight="1" x14ac:dyDescent="0.2">
      <c r="E21034" s="7"/>
      <c r="F21034" s="7"/>
    </row>
    <row r="21035" spans="5:6" ht="15" customHeight="1" x14ac:dyDescent="0.2">
      <c r="E21035" s="7"/>
      <c r="F21035" s="7"/>
    </row>
    <row r="21036" spans="5:6" ht="15" customHeight="1" x14ac:dyDescent="0.2">
      <c r="E21036" s="7"/>
      <c r="F21036" s="7"/>
    </row>
    <row r="21037" spans="5:6" ht="15" customHeight="1" x14ac:dyDescent="0.2">
      <c r="E21037" s="7"/>
      <c r="F21037" s="7"/>
    </row>
    <row r="21038" spans="5:6" ht="15" customHeight="1" x14ac:dyDescent="0.2">
      <c r="E21038" s="7"/>
      <c r="F21038" s="7"/>
    </row>
    <row r="21039" spans="5:6" ht="15" customHeight="1" x14ac:dyDescent="0.2">
      <c r="E21039" s="7"/>
      <c r="F21039" s="7"/>
    </row>
    <row r="21040" spans="5:6" ht="15" customHeight="1" x14ac:dyDescent="0.2">
      <c r="E21040" s="7"/>
      <c r="F21040" s="7"/>
    </row>
    <row r="21041" spans="5:6" ht="15" customHeight="1" x14ac:dyDescent="0.2">
      <c r="E21041" s="7"/>
      <c r="F21041" s="7"/>
    </row>
    <row r="21042" spans="5:6" ht="15" customHeight="1" x14ac:dyDescent="0.2">
      <c r="E21042" s="7"/>
      <c r="F21042" s="7"/>
    </row>
    <row r="21043" spans="5:6" ht="15" customHeight="1" x14ac:dyDescent="0.2">
      <c r="E21043" s="7"/>
      <c r="F21043" s="7"/>
    </row>
    <row r="21044" spans="5:6" ht="15" customHeight="1" x14ac:dyDescent="0.2">
      <c r="E21044" s="7"/>
      <c r="F21044" s="7"/>
    </row>
    <row r="21045" spans="5:6" ht="15" customHeight="1" x14ac:dyDescent="0.2">
      <c r="E21045" s="7"/>
      <c r="F21045" s="7"/>
    </row>
    <row r="21046" spans="5:6" ht="15" customHeight="1" x14ac:dyDescent="0.2">
      <c r="E21046" s="7"/>
      <c r="F21046" s="7"/>
    </row>
    <row r="21047" spans="5:6" ht="15" customHeight="1" x14ac:dyDescent="0.2">
      <c r="E21047" s="7"/>
      <c r="F21047" s="7"/>
    </row>
    <row r="21048" spans="5:6" ht="15" customHeight="1" x14ac:dyDescent="0.2">
      <c r="E21048" s="7"/>
      <c r="F21048" s="7"/>
    </row>
    <row r="21049" spans="5:6" ht="15" customHeight="1" x14ac:dyDescent="0.2">
      <c r="E21049" s="7"/>
      <c r="F21049" s="7"/>
    </row>
    <row r="21050" spans="5:6" ht="15" customHeight="1" x14ac:dyDescent="0.2">
      <c r="E21050" s="7"/>
      <c r="F21050" s="7"/>
    </row>
    <row r="21051" spans="5:6" ht="15" customHeight="1" x14ac:dyDescent="0.2">
      <c r="E21051" s="7"/>
      <c r="F21051" s="7"/>
    </row>
    <row r="21052" spans="5:6" ht="15" customHeight="1" x14ac:dyDescent="0.2">
      <c r="E21052" s="7"/>
      <c r="F21052" s="7"/>
    </row>
    <row r="21053" spans="5:6" ht="15" customHeight="1" x14ac:dyDescent="0.2">
      <c r="E21053" s="7"/>
      <c r="F21053" s="7"/>
    </row>
    <row r="21054" spans="5:6" ht="15" customHeight="1" x14ac:dyDescent="0.2">
      <c r="E21054" s="7"/>
      <c r="F21054" s="7"/>
    </row>
    <row r="21055" spans="5:6" ht="15" customHeight="1" x14ac:dyDescent="0.2">
      <c r="E21055" s="7"/>
      <c r="F21055" s="7"/>
    </row>
    <row r="21056" spans="5:6" ht="15" customHeight="1" x14ac:dyDescent="0.2">
      <c r="E21056" s="7"/>
      <c r="F21056" s="7"/>
    </row>
    <row r="21057" spans="5:6" ht="15" customHeight="1" x14ac:dyDescent="0.2">
      <c r="E21057" s="7"/>
      <c r="F21057" s="7"/>
    </row>
    <row r="21058" spans="5:6" ht="15" customHeight="1" x14ac:dyDescent="0.2">
      <c r="E21058" s="7"/>
      <c r="F21058" s="7"/>
    </row>
    <row r="21059" spans="5:6" ht="15" customHeight="1" x14ac:dyDescent="0.2">
      <c r="E21059" s="7"/>
      <c r="F21059" s="7"/>
    </row>
    <row r="21060" spans="5:6" ht="15" customHeight="1" x14ac:dyDescent="0.2">
      <c r="E21060" s="7"/>
      <c r="F21060" s="7"/>
    </row>
    <row r="21061" spans="5:6" ht="15" customHeight="1" x14ac:dyDescent="0.2">
      <c r="E21061" s="7"/>
      <c r="F21061" s="7"/>
    </row>
    <row r="21062" spans="5:6" ht="15" customHeight="1" x14ac:dyDescent="0.2">
      <c r="E21062" s="7"/>
      <c r="F21062" s="7"/>
    </row>
    <row r="21063" spans="5:6" ht="15" customHeight="1" x14ac:dyDescent="0.2">
      <c r="E21063" s="7"/>
      <c r="F21063" s="7"/>
    </row>
    <row r="21064" spans="5:6" ht="15" customHeight="1" x14ac:dyDescent="0.2">
      <c r="E21064" s="7"/>
      <c r="F21064" s="7"/>
    </row>
    <row r="21065" spans="5:6" ht="15" customHeight="1" x14ac:dyDescent="0.2">
      <c r="E21065" s="7"/>
      <c r="F21065" s="7"/>
    </row>
    <row r="21066" spans="5:6" ht="15" customHeight="1" x14ac:dyDescent="0.2">
      <c r="E21066" s="7"/>
      <c r="F21066" s="7"/>
    </row>
    <row r="21067" spans="5:6" ht="15" customHeight="1" x14ac:dyDescent="0.2">
      <c r="E21067" s="7"/>
      <c r="F21067" s="7"/>
    </row>
    <row r="21068" spans="5:6" ht="15" customHeight="1" x14ac:dyDescent="0.2">
      <c r="E21068" s="7"/>
      <c r="F21068" s="7"/>
    </row>
    <row r="21069" spans="5:6" ht="15" customHeight="1" x14ac:dyDescent="0.2">
      <c r="E21069" s="7"/>
      <c r="F21069" s="7"/>
    </row>
    <row r="21070" spans="5:6" ht="15" customHeight="1" x14ac:dyDescent="0.2">
      <c r="E21070" s="7"/>
      <c r="F21070" s="7"/>
    </row>
    <row r="21071" spans="5:6" ht="15" customHeight="1" x14ac:dyDescent="0.2">
      <c r="E21071" s="7"/>
      <c r="F21071" s="7"/>
    </row>
    <row r="21072" spans="5:6" ht="15" customHeight="1" x14ac:dyDescent="0.2">
      <c r="E21072" s="7"/>
      <c r="F21072" s="7"/>
    </row>
    <row r="21073" spans="5:6" ht="15" customHeight="1" x14ac:dyDescent="0.2">
      <c r="E21073" s="7"/>
      <c r="F21073" s="7"/>
    </row>
    <row r="21074" spans="5:6" ht="15" customHeight="1" x14ac:dyDescent="0.2">
      <c r="E21074" s="7"/>
      <c r="F21074" s="7"/>
    </row>
    <row r="21075" spans="5:6" ht="15" customHeight="1" x14ac:dyDescent="0.2">
      <c r="E21075" s="7"/>
      <c r="F21075" s="7"/>
    </row>
    <row r="21076" spans="5:6" ht="15" customHeight="1" x14ac:dyDescent="0.2">
      <c r="E21076" s="7"/>
      <c r="F21076" s="7"/>
    </row>
    <row r="21077" spans="5:6" ht="15" customHeight="1" x14ac:dyDescent="0.2">
      <c r="E21077" s="7"/>
      <c r="F21077" s="7"/>
    </row>
    <row r="21078" spans="5:6" ht="15" customHeight="1" x14ac:dyDescent="0.2">
      <c r="E21078" s="7"/>
      <c r="F21078" s="7"/>
    </row>
    <row r="21079" spans="5:6" ht="15" customHeight="1" x14ac:dyDescent="0.2">
      <c r="E21079" s="7"/>
      <c r="F21079" s="7"/>
    </row>
    <row r="21080" spans="5:6" ht="15" customHeight="1" x14ac:dyDescent="0.2">
      <c r="E21080" s="7"/>
      <c r="F21080" s="7"/>
    </row>
    <row r="21081" spans="5:6" ht="15" customHeight="1" x14ac:dyDescent="0.2">
      <c r="E21081" s="7"/>
      <c r="F21081" s="7"/>
    </row>
    <row r="21082" spans="5:6" ht="15" customHeight="1" x14ac:dyDescent="0.2">
      <c r="E21082" s="7"/>
      <c r="F21082" s="7"/>
    </row>
    <row r="21083" spans="5:6" ht="15" customHeight="1" x14ac:dyDescent="0.2">
      <c r="E21083" s="7"/>
      <c r="F21083" s="7"/>
    </row>
    <row r="21084" spans="5:6" ht="15" customHeight="1" x14ac:dyDescent="0.2">
      <c r="E21084" s="7"/>
      <c r="F21084" s="7"/>
    </row>
    <row r="21085" spans="5:6" ht="15" customHeight="1" x14ac:dyDescent="0.2">
      <c r="E21085" s="7"/>
      <c r="F21085" s="7"/>
    </row>
    <row r="21086" spans="5:6" ht="15" customHeight="1" x14ac:dyDescent="0.2">
      <c r="E21086" s="7"/>
      <c r="F21086" s="7"/>
    </row>
    <row r="21087" spans="5:6" ht="15" customHeight="1" x14ac:dyDescent="0.2">
      <c r="E21087" s="7"/>
      <c r="F21087" s="7"/>
    </row>
    <row r="21088" spans="5:6" ht="15" customHeight="1" x14ac:dyDescent="0.2">
      <c r="E21088" s="7"/>
      <c r="F21088" s="7"/>
    </row>
    <row r="21089" spans="5:6" ht="15" customHeight="1" x14ac:dyDescent="0.2">
      <c r="E21089" s="7"/>
      <c r="F21089" s="7"/>
    </row>
    <row r="21090" spans="5:6" ht="15" customHeight="1" x14ac:dyDescent="0.2">
      <c r="E21090" s="7"/>
      <c r="F21090" s="7"/>
    </row>
    <row r="21091" spans="5:6" ht="15" customHeight="1" x14ac:dyDescent="0.2">
      <c r="E21091" s="7"/>
      <c r="F21091" s="7"/>
    </row>
    <row r="21092" spans="5:6" ht="15" customHeight="1" x14ac:dyDescent="0.2">
      <c r="E21092" s="7"/>
      <c r="F21092" s="7"/>
    </row>
    <row r="21093" spans="5:6" ht="15" customHeight="1" x14ac:dyDescent="0.2">
      <c r="E21093" s="7"/>
      <c r="F21093" s="7"/>
    </row>
    <row r="21094" spans="5:6" ht="15" customHeight="1" x14ac:dyDescent="0.2">
      <c r="E21094" s="7"/>
      <c r="F21094" s="7"/>
    </row>
    <row r="21095" spans="5:6" ht="15" customHeight="1" x14ac:dyDescent="0.2">
      <c r="E21095" s="7"/>
      <c r="F21095" s="7"/>
    </row>
    <row r="21096" spans="5:6" ht="15" customHeight="1" x14ac:dyDescent="0.2">
      <c r="E21096" s="7"/>
      <c r="F21096" s="7"/>
    </row>
    <row r="21097" spans="5:6" ht="15" customHeight="1" x14ac:dyDescent="0.2">
      <c r="E21097" s="7"/>
      <c r="F21097" s="7"/>
    </row>
    <row r="21098" spans="5:6" ht="15" customHeight="1" x14ac:dyDescent="0.2">
      <c r="E21098" s="7"/>
      <c r="F21098" s="7"/>
    </row>
    <row r="21099" spans="5:6" ht="15" customHeight="1" x14ac:dyDescent="0.2">
      <c r="E21099" s="7"/>
      <c r="F21099" s="7"/>
    </row>
    <row r="21100" spans="5:6" ht="15" customHeight="1" x14ac:dyDescent="0.2">
      <c r="E21100" s="7"/>
      <c r="F21100" s="7"/>
    </row>
    <row r="21101" spans="5:6" ht="15" customHeight="1" x14ac:dyDescent="0.2">
      <c r="E21101" s="7"/>
      <c r="F21101" s="7"/>
    </row>
    <row r="21102" spans="5:6" ht="15" customHeight="1" x14ac:dyDescent="0.2">
      <c r="E21102" s="7"/>
      <c r="F21102" s="7"/>
    </row>
    <row r="21103" spans="5:6" ht="15" customHeight="1" x14ac:dyDescent="0.2">
      <c r="E21103" s="7"/>
      <c r="F21103" s="7"/>
    </row>
    <row r="21104" spans="5:6" ht="15" customHeight="1" x14ac:dyDescent="0.2">
      <c r="E21104" s="7"/>
      <c r="F21104" s="7"/>
    </row>
    <row r="21105" spans="5:6" ht="15" customHeight="1" x14ac:dyDescent="0.2">
      <c r="E21105" s="7"/>
      <c r="F21105" s="7"/>
    </row>
    <row r="21106" spans="5:6" ht="15" customHeight="1" x14ac:dyDescent="0.2">
      <c r="E21106" s="7"/>
      <c r="F21106" s="7"/>
    </row>
    <row r="21107" spans="5:6" ht="15" customHeight="1" x14ac:dyDescent="0.2">
      <c r="E21107" s="7"/>
      <c r="F21107" s="7"/>
    </row>
    <row r="21108" spans="5:6" ht="15" customHeight="1" x14ac:dyDescent="0.2">
      <c r="E21108" s="7"/>
      <c r="F21108" s="7"/>
    </row>
    <row r="21109" spans="5:6" ht="15" customHeight="1" x14ac:dyDescent="0.2">
      <c r="E21109" s="7"/>
      <c r="F21109" s="7"/>
    </row>
    <row r="21110" spans="5:6" ht="15" customHeight="1" x14ac:dyDescent="0.2">
      <c r="E21110" s="7"/>
      <c r="F21110" s="7"/>
    </row>
    <row r="21111" spans="5:6" ht="15" customHeight="1" x14ac:dyDescent="0.2">
      <c r="E21111" s="7"/>
      <c r="F21111" s="7"/>
    </row>
    <row r="21112" spans="5:6" ht="15" customHeight="1" x14ac:dyDescent="0.2">
      <c r="E21112" s="7"/>
      <c r="F21112" s="7"/>
    </row>
    <row r="21113" spans="5:6" ht="15" customHeight="1" x14ac:dyDescent="0.2">
      <c r="E21113" s="7"/>
      <c r="F21113" s="7"/>
    </row>
    <row r="21114" spans="5:6" ht="15" customHeight="1" x14ac:dyDescent="0.2">
      <c r="E21114" s="7"/>
      <c r="F21114" s="7"/>
    </row>
    <row r="21115" spans="5:6" ht="15" customHeight="1" x14ac:dyDescent="0.2">
      <c r="E21115" s="7"/>
      <c r="F21115" s="7"/>
    </row>
    <row r="21116" spans="5:6" ht="15" customHeight="1" x14ac:dyDescent="0.2">
      <c r="E21116" s="7"/>
      <c r="F21116" s="7"/>
    </row>
    <row r="21117" spans="5:6" ht="15" customHeight="1" x14ac:dyDescent="0.2">
      <c r="E21117" s="7"/>
      <c r="F21117" s="7"/>
    </row>
    <row r="21118" spans="5:6" ht="15" customHeight="1" x14ac:dyDescent="0.2">
      <c r="E21118" s="7"/>
      <c r="F21118" s="7"/>
    </row>
    <row r="21119" spans="5:6" ht="15" customHeight="1" x14ac:dyDescent="0.2">
      <c r="E21119" s="7"/>
      <c r="F21119" s="7"/>
    </row>
    <row r="21120" spans="5:6" ht="15" customHeight="1" x14ac:dyDescent="0.2">
      <c r="E21120" s="7"/>
      <c r="F21120" s="7"/>
    </row>
    <row r="21121" spans="5:6" ht="15" customHeight="1" x14ac:dyDescent="0.2">
      <c r="E21121" s="7"/>
      <c r="F21121" s="7"/>
    </row>
    <row r="21122" spans="5:6" ht="15" customHeight="1" x14ac:dyDescent="0.2">
      <c r="E21122" s="7"/>
      <c r="F21122" s="7"/>
    </row>
    <row r="21123" spans="5:6" ht="15" customHeight="1" x14ac:dyDescent="0.2">
      <c r="E21123" s="7"/>
      <c r="F21123" s="7"/>
    </row>
    <row r="21124" spans="5:6" ht="15" customHeight="1" x14ac:dyDescent="0.2">
      <c r="E21124" s="7"/>
      <c r="F21124" s="7"/>
    </row>
    <row r="21125" spans="5:6" ht="15" customHeight="1" x14ac:dyDescent="0.2">
      <c r="E21125" s="7"/>
      <c r="F21125" s="7"/>
    </row>
    <row r="21126" spans="5:6" ht="15" customHeight="1" x14ac:dyDescent="0.2">
      <c r="E21126" s="7"/>
      <c r="F21126" s="7"/>
    </row>
    <row r="21127" spans="5:6" ht="15" customHeight="1" x14ac:dyDescent="0.2">
      <c r="E21127" s="7"/>
      <c r="F21127" s="7"/>
    </row>
    <row r="21128" spans="5:6" ht="15" customHeight="1" x14ac:dyDescent="0.2">
      <c r="E21128" s="7"/>
      <c r="F21128" s="7"/>
    </row>
    <row r="21129" spans="5:6" ht="15" customHeight="1" x14ac:dyDescent="0.2">
      <c r="E21129" s="7"/>
      <c r="F21129" s="7"/>
    </row>
    <row r="21130" spans="5:6" ht="15" customHeight="1" x14ac:dyDescent="0.2">
      <c r="E21130" s="7"/>
      <c r="F21130" s="7"/>
    </row>
    <row r="21131" spans="5:6" ht="15" customHeight="1" x14ac:dyDescent="0.2">
      <c r="E21131" s="7"/>
      <c r="F21131" s="7"/>
    </row>
    <row r="21132" spans="5:6" ht="15" customHeight="1" x14ac:dyDescent="0.2">
      <c r="E21132" s="7"/>
      <c r="F21132" s="7"/>
    </row>
    <row r="21133" spans="5:6" ht="15" customHeight="1" x14ac:dyDescent="0.2">
      <c r="E21133" s="7"/>
      <c r="F21133" s="7"/>
    </row>
    <row r="21134" spans="5:6" ht="15" customHeight="1" x14ac:dyDescent="0.2">
      <c r="E21134" s="7"/>
      <c r="F21134" s="7"/>
    </row>
    <row r="21135" spans="5:6" ht="15" customHeight="1" x14ac:dyDescent="0.2">
      <c r="E21135" s="7"/>
      <c r="F21135" s="7"/>
    </row>
    <row r="21136" spans="5:6" ht="15" customHeight="1" x14ac:dyDescent="0.2">
      <c r="E21136" s="7"/>
      <c r="F21136" s="7"/>
    </row>
    <row r="21137" spans="5:6" ht="15" customHeight="1" x14ac:dyDescent="0.2">
      <c r="E21137" s="7"/>
      <c r="F21137" s="7"/>
    </row>
    <row r="21138" spans="5:6" ht="15" customHeight="1" x14ac:dyDescent="0.2">
      <c r="E21138" s="7"/>
      <c r="F21138" s="7"/>
    </row>
    <row r="21139" spans="5:6" ht="15" customHeight="1" x14ac:dyDescent="0.2">
      <c r="E21139" s="7"/>
      <c r="F21139" s="7"/>
    </row>
    <row r="21140" spans="5:6" ht="15" customHeight="1" x14ac:dyDescent="0.2">
      <c r="E21140" s="7"/>
      <c r="F21140" s="7"/>
    </row>
    <row r="21141" spans="5:6" ht="15" customHeight="1" x14ac:dyDescent="0.2">
      <c r="E21141" s="7"/>
      <c r="F21141" s="7"/>
    </row>
    <row r="21142" spans="5:6" ht="15" customHeight="1" x14ac:dyDescent="0.2">
      <c r="E21142" s="7"/>
      <c r="F21142" s="7"/>
    </row>
    <row r="21143" spans="5:6" ht="15" customHeight="1" x14ac:dyDescent="0.2">
      <c r="E21143" s="7"/>
      <c r="F21143" s="7"/>
    </row>
    <row r="21144" spans="5:6" ht="15" customHeight="1" x14ac:dyDescent="0.2">
      <c r="E21144" s="7"/>
      <c r="F21144" s="7"/>
    </row>
    <row r="21145" spans="5:6" ht="15" customHeight="1" x14ac:dyDescent="0.2">
      <c r="E21145" s="7"/>
      <c r="F21145" s="7"/>
    </row>
    <row r="21146" spans="5:6" ht="15" customHeight="1" x14ac:dyDescent="0.2">
      <c r="E21146" s="7"/>
      <c r="F21146" s="7"/>
    </row>
    <row r="21147" spans="5:6" ht="15" customHeight="1" x14ac:dyDescent="0.2">
      <c r="E21147" s="7"/>
      <c r="F21147" s="7"/>
    </row>
    <row r="21148" spans="5:6" ht="15" customHeight="1" x14ac:dyDescent="0.2">
      <c r="E21148" s="7"/>
      <c r="F21148" s="7"/>
    </row>
    <row r="21149" spans="5:6" ht="15" customHeight="1" x14ac:dyDescent="0.2">
      <c r="E21149" s="7"/>
      <c r="F21149" s="7"/>
    </row>
    <row r="21150" spans="5:6" ht="15" customHeight="1" x14ac:dyDescent="0.2">
      <c r="E21150" s="7"/>
      <c r="F21150" s="7"/>
    </row>
    <row r="21151" spans="5:6" ht="15" customHeight="1" x14ac:dyDescent="0.2">
      <c r="E21151" s="7"/>
      <c r="F21151" s="7"/>
    </row>
    <row r="21152" spans="5:6" ht="15" customHeight="1" x14ac:dyDescent="0.2">
      <c r="E21152" s="7"/>
      <c r="F21152" s="7"/>
    </row>
    <row r="21153" spans="5:6" ht="15" customHeight="1" x14ac:dyDescent="0.2">
      <c r="E21153" s="7"/>
      <c r="F21153" s="7"/>
    </row>
    <row r="21154" spans="5:6" ht="15" customHeight="1" x14ac:dyDescent="0.2">
      <c r="E21154" s="7"/>
      <c r="F21154" s="7"/>
    </row>
    <row r="21155" spans="5:6" ht="15" customHeight="1" x14ac:dyDescent="0.2">
      <c r="E21155" s="7"/>
      <c r="F21155" s="7"/>
    </row>
    <row r="21156" spans="5:6" ht="15" customHeight="1" x14ac:dyDescent="0.2">
      <c r="E21156" s="7"/>
      <c r="F21156" s="7"/>
    </row>
    <row r="21157" spans="5:6" ht="15" customHeight="1" x14ac:dyDescent="0.2">
      <c r="E21157" s="7"/>
      <c r="F21157" s="7"/>
    </row>
    <row r="21158" spans="5:6" ht="15" customHeight="1" x14ac:dyDescent="0.2">
      <c r="E21158" s="7"/>
      <c r="F21158" s="7"/>
    </row>
    <row r="21159" spans="5:6" ht="15" customHeight="1" x14ac:dyDescent="0.2">
      <c r="E21159" s="7"/>
      <c r="F21159" s="7"/>
    </row>
    <row r="21160" spans="5:6" ht="15" customHeight="1" x14ac:dyDescent="0.2">
      <c r="E21160" s="7"/>
      <c r="F21160" s="7"/>
    </row>
    <row r="21161" spans="5:6" ht="15" customHeight="1" x14ac:dyDescent="0.2">
      <c r="E21161" s="7"/>
      <c r="F21161" s="7"/>
    </row>
    <row r="21162" spans="5:6" ht="15" customHeight="1" x14ac:dyDescent="0.2">
      <c r="E21162" s="7"/>
      <c r="F21162" s="7"/>
    </row>
    <row r="21163" spans="5:6" ht="15" customHeight="1" x14ac:dyDescent="0.2">
      <c r="E21163" s="7"/>
      <c r="F21163" s="7"/>
    </row>
    <row r="21164" spans="5:6" ht="15" customHeight="1" x14ac:dyDescent="0.2">
      <c r="E21164" s="7"/>
      <c r="F21164" s="7"/>
    </row>
    <row r="21165" spans="5:6" ht="15" customHeight="1" x14ac:dyDescent="0.2">
      <c r="E21165" s="7"/>
      <c r="F21165" s="7"/>
    </row>
    <row r="21166" spans="5:6" ht="15" customHeight="1" x14ac:dyDescent="0.2">
      <c r="E21166" s="7"/>
      <c r="F21166" s="7"/>
    </row>
    <row r="21167" spans="5:6" ht="15" customHeight="1" x14ac:dyDescent="0.2">
      <c r="E21167" s="7"/>
      <c r="F21167" s="7"/>
    </row>
    <row r="21168" spans="5:6" ht="15" customHeight="1" x14ac:dyDescent="0.2">
      <c r="E21168" s="7"/>
      <c r="F21168" s="7"/>
    </row>
    <row r="21169" spans="5:6" ht="15" customHeight="1" x14ac:dyDescent="0.2">
      <c r="E21169" s="7"/>
      <c r="F21169" s="7"/>
    </row>
    <row r="21170" spans="5:6" ht="15" customHeight="1" x14ac:dyDescent="0.2">
      <c r="E21170" s="7"/>
      <c r="F21170" s="7"/>
    </row>
    <row r="21171" spans="5:6" ht="15" customHeight="1" x14ac:dyDescent="0.2">
      <c r="E21171" s="7"/>
      <c r="F21171" s="7"/>
    </row>
    <row r="21172" spans="5:6" ht="15" customHeight="1" x14ac:dyDescent="0.2">
      <c r="E21172" s="7"/>
      <c r="F21172" s="7"/>
    </row>
    <row r="21173" spans="5:6" ht="15" customHeight="1" x14ac:dyDescent="0.2">
      <c r="E21173" s="7"/>
      <c r="F21173" s="7"/>
    </row>
    <row r="21174" spans="5:6" ht="15" customHeight="1" x14ac:dyDescent="0.2">
      <c r="E21174" s="7"/>
      <c r="F21174" s="7"/>
    </row>
    <row r="21175" spans="5:6" ht="15" customHeight="1" x14ac:dyDescent="0.2">
      <c r="E21175" s="7"/>
      <c r="F21175" s="7"/>
    </row>
    <row r="21176" spans="5:6" ht="15" customHeight="1" x14ac:dyDescent="0.2">
      <c r="E21176" s="7"/>
      <c r="F21176" s="7"/>
    </row>
    <row r="21177" spans="5:6" ht="15" customHeight="1" x14ac:dyDescent="0.2">
      <c r="E21177" s="7"/>
      <c r="F21177" s="7"/>
    </row>
    <row r="21178" spans="5:6" ht="15" customHeight="1" x14ac:dyDescent="0.2">
      <c r="E21178" s="7"/>
      <c r="F21178" s="7"/>
    </row>
    <row r="21179" spans="5:6" ht="15" customHeight="1" x14ac:dyDescent="0.2">
      <c r="E21179" s="7"/>
      <c r="F21179" s="7"/>
    </row>
    <row r="21180" spans="5:6" ht="15" customHeight="1" x14ac:dyDescent="0.2">
      <c r="E21180" s="7"/>
      <c r="F21180" s="7"/>
    </row>
    <row r="21181" spans="5:6" ht="15" customHeight="1" x14ac:dyDescent="0.2">
      <c r="E21181" s="7"/>
      <c r="F21181" s="7"/>
    </row>
    <row r="21182" spans="5:6" ht="15" customHeight="1" x14ac:dyDescent="0.2">
      <c r="E21182" s="7"/>
      <c r="F21182" s="7"/>
    </row>
    <row r="21183" spans="5:6" ht="15" customHeight="1" x14ac:dyDescent="0.2">
      <c r="E21183" s="7"/>
      <c r="F21183" s="7"/>
    </row>
    <row r="21184" spans="5:6" ht="15" customHeight="1" x14ac:dyDescent="0.2">
      <c r="E21184" s="7"/>
      <c r="F21184" s="7"/>
    </row>
    <row r="21185" spans="5:6" ht="15" customHeight="1" x14ac:dyDescent="0.2">
      <c r="E21185" s="7"/>
      <c r="F21185" s="7"/>
    </row>
    <row r="21186" spans="5:6" ht="15" customHeight="1" x14ac:dyDescent="0.2">
      <c r="E21186" s="7"/>
      <c r="F21186" s="7"/>
    </row>
    <row r="21187" spans="5:6" ht="15" customHeight="1" x14ac:dyDescent="0.2">
      <c r="E21187" s="7"/>
      <c r="F21187" s="7"/>
    </row>
    <row r="21188" spans="5:6" ht="15" customHeight="1" x14ac:dyDescent="0.2">
      <c r="E21188" s="7"/>
      <c r="F21188" s="7"/>
    </row>
    <row r="21189" spans="5:6" ht="15" customHeight="1" x14ac:dyDescent="0.2">
      <c r="E21189" s="7"/>
      <c r="F21189" s="7"/>
    </row>
    <row r="21190" spans="5:6" ht="15" customHeight="1" x14ac:dyDescent="0.2">
      <c r="E21190" s="7"/>
      <c r="F21190" s="7"/>
    </row>
    <row r="21191" spans="5:6" ht="15" customHeight="1" x14ac:dyDescent="0.2">
      <c r="E21191" s="7"/>
      <c r="F21191" s="7"/>
    </row>
    <row r="21192" spans="5:6" ht="15" customHeight="1" x14ac:dyDescent="0.2">
      <c r="E21192" s="7"/>
      <c r="F21192" s="7"/>
    </row>
    <row r="21193" spans="5:6" ht="15" customHeight="1" x14ac:dyDescent="0.2">
      <c r="E21193" s="7"/>
      <c r="F21193" s="7"/>
    </row>
    <row r="21194" spans="5:6" ht="15" customHeight="1" x14ac:dyDescent="0.2">
      <c r="E21194" s="7"/>
      <c r="F21194" s="7"/>
    </row>
    <row r="21195" spans="5:6" ht="15" customHeight="1" x14ac:dyDescent="0.2">
      <c r="E21195" s="7"/>
      <c r="F21195" s="7"/>
    </row>
    <row r="21196" spans="5:6" ht="15" customHeight="1" x14ac:dyDescent="0.2">
      <c r="E21196" s="7"/>
      <c r="F21196" s="7"/>
    </row>
    <row r="21197" spans="5:6" ht="15" customHeight="1" x14ac:dyDescent="0.2">
      <c r="E21197" s="7"/>
      <c r="F21197" s="7"/>
    </row>
    <row r="21198" spans="5:6" ht="15" customHeight="1" x14ac:dyDescent="0.2">
      <c r="E21198" s="7"/>
      <c r="F21198" s="7"/>
    </row>
    <row r="21199" spans="5:6" ht="15" customHeight="1" x14ac:dyDescent="0.2">
      <c r="E21199" s="7"/>
      <c r="F21199" s="7"/>
    </row>
    <row r="21200" spans="5:6" ht="15" customHeight="1" x14ac:dyDescent="0.2">
      <c r="E21200" s="7"/>
      <c r="F21200" s="7"/>
    </row>
    <row r="21201" spans="5:6" ht="15" customHeight="1" x14ac:dyDescent="0.2">
      <c r="E21201" s="7"/>
      <c r="F21201" s="7"/>
    </row>
    <row r="21202" spans="5:6" ht="15" customHeight="1" x14ac:dyDescent="0.2">
      <c r="E21202" s="7"/>
      <c r="F21202" s="7"/>
    </row>
    <row r="21203" spans="5:6" ht="15" customHeight="1" x14ac:dyDescent="0.2">
      <c r="E21203" s="7"/>
      <c r="F21203" s="7"/>
    </row>
    <row r="21204" spans="5:6" ht="15" customHeight="1" x14ac:dyDescent="0.2">
      <c r="E21204" s="7"/>
      <c r="F21204" s="7"/>
    </row>
    <row r="21205" spans="5:6" ht="15" customHeight="1" x14ac:dyDescent="0.2">
      <c r="E21205" s="7"/>
      <c r="F21205" s="7"/>
    </row>
    <row r="21206" spans="5:6" ht="15" customHeight="1" x14ac:dyDescent="0.2">
      <c r="E21206" s="7"/>
      <c r="F21206" s="7"/>
    </row>
    <row r="21207" spans="5:6" ht="15" customHeight="1" x14ac:dyDescent="0.2">
      <c r="E21207" s="7"/>
      <c r="F21207" s="7"/>
    </row>
    <row r="21208" spans="5:6" ht="15" customHeight="1" x14ac:dyDescent="0.2">
      <c r="E21208" s="7"/>
      <c r="F21208" s="7"/>
    </row>
    <row r="21209" spans="5:6" ht="15" customHeight="1" x14ac:dyDescent="0.2">
      <c r="E21209" s="7"/>
      <c r="F21209" s="7"/>
    </row>
    <row r="21210" spans="5:6" ht="15" customHeight="1" x14ac:dyDescent="0.2">
      <c r="E21210" s="7"/>
      <c r="F21210" s="7"/>
    </row>
    <row r="21211" spans="5:6" ht="15" customHeight="1" x14ac:dyDescent="0.2">
      <c r="E21211" s="7"/>
      <c r="F21211" s="7"/>
    </row>
    <row r="21212" spans="5:6" ht="15" customHeight="1" x14ac:dyDescent="0.2">
      <c r="E21212" s="7"/>
      <c r="F21212" s="7"/>
    </row>
    <row r="21213" spans="5:6" ht="15" customHeight="1" x14ac:dyDescent="0.2">
      <c r="E21213" s="7"/>
      <c r="F21213" s="7"/>
    </row>
    <row r="21214" spans="5:6" ht="15" customHeight="1" x14ac:dyDescent="0.2">
      <c r="E21214" s="7"/>
      <c r="F21214" s="7"/>
    </row>
    <row r="21215" spans="5:6" ht="15" customHeight="1" x14ac:dyDescent="0.2">
      <c r="E21215" s="7"/>
      <c r="F21215" s="7"/>
    </row>
    <row r="21216" spans="5:6" ht="15" customHeight="1" x14ac:dyDescent="0.2">
      <c r="E21216" s="7"/>
      <c r="F21216" s="7"/>
    </row>
    <row r="21217" spans="5:6" ht="15" customHeight="1" x14ac:dyDescent="0.2">
      <c r="E21217" s="7"/>
      <c r="F21217" s="7"/>
    </row>
    <row r="21218" spans="5:6" ht="15" customHeight="1" x14ac:dyDescent="0.2">
      <c r="E21218" s="7"/>
      <c r="F21218" s="7"/>
    </row>
    <row r="21219" spans="5:6" ht="15" customHeight="1" x14ac:dyDescent="0.2">
      <c r="E21219" s="7"/>
      <c r="F21219" s="7"/>
    </row>
    <row r="21220" spans="5:6" ht="15" customHeight="1" x14ac:dyDescent="0.2">
      <c r="E21220" s="7"/>
      <c r="F21220" s="7"/>
    </row>
    <row r="21221" spans="5:6" ht="15" customHeight="1" x14ac:dyDescent="0.2">
      <c r="E21221" s="7"/>
      <c r="F21221" s="7"/>
    </row>
    <row r="21222" spans="5:6" ht="15" customHeight="1" x14ac:dyDescent="0.2">
      <c r="E21222" s="7"/>
      <c r="F21222" s="7"/>
    </row>
    <row r="21223" spans="5:6" ht="15" customHeight="1" x14ac:dyDescent="0.2">
      <c r="E21223" s="7"/>
      <c r="F21223" s="7"/>
    </row>
    <row r="21224" spans="5:6" ht="15" customHeight="1" x14ac:dyDescent="0.2">
      <c r="E21224" s="7"/>
      <c r="F21224" s="7"/>
    </row>
    <row r="21225" spans="5:6" ht="15" customHeight="1" x14ac:dyDescent="0.2">
      <c r="E21225" s="7"/>
      <c r="F21225" s="7"/>
    </row>
    <row r="21226" spans="5:6" ht="15" customHeight="1" x14ac:dyDescent="0.2">
      <c r="E21226" s="7"/>
      <c r="F21226" s="7"/>
    </row>
    <row r="21227" spans="5:6" ht="15" customHeight="1" x14ac:dyDescent="0.2">
      <c r="E21227" s="7"/>
      <c r="F21227" s="7"/>
    </row>
    <row r="21228" spans="5:6" ht="15" customHeight="1" x14ac:dyDescent="0.2">
      <c r="E21228" s="7"/>
      <c r="F21228" s="7"/>
    </row>
    <row r="21229" spans="5:6" ht="15" customHeight="1" x14ac:dyDescent="0.2">
      <c r="E21229" s="7"/>
      <c r="F21229" s="7"/>
    </row>
    <row r="21230" spans="5:6" ht="15" customHeight="1" x14ac:dyDescent="0.2">
      <c r="E21230" s="7"/>
      <c r="F21230" s="7"/>
    </row>
    <row r="21231" spans="5:6" ht="15" customHeight="1" x14ac:dyDescent="0.2">
      <c r="E21231" s="7"/>
      <c r="F21231" s="7"/>
    </row>
    <row r="21232" spans="5:6" ht="15" customHeight="1" x14ac:dyDescent="0.2">
      <c r="E21232" s="7"/>
      <c r="F21232" s="7"/>
    </row>
    <row r="21233" spans="5:6" ht="15" customHeight="1" x14ac:dyDescent="0.2">
      <c r="E21233" s="7"/>
      <c r="F21233" s="7"/>
    </row>
    <row r="21234" spans="5:6" ht="15" customHeight="1" x14ac:dyDescent="0.2">
      <c r="E21234" s="7"/>
      <c r="F21234" s="7"/>
    </row>
    <row r="21235" spans="5:6" ht="15" customHeight="1" x14ac:dyDescent="0.2">
      <c r="E21235" s="7"/>
      <c r="F21235" s="7"/>
    </row>
    <row r="21236" spans="5:6" ht="15" customHeight="1" x14ac:dyDescent="0.2">
      <c r="E21236" s="7"/>
      <c r="F21236" s="7"/>
    </row>
    <row r="21237" spans="5:6" ht="15" customHeight="1" x14ac:dyDescent="0.2">
      <c r="E21237" s="7"/>
      <c r="F21237" s="7"/>
    </row>
    <row r="21238" spans="5:6" ht="15" customHeight="1" x14ac:dyDescent="0.2">
      <c r="E21238" s="7"/>
      <c r="F21238" s="7"/>
    </row>
    <row r="21239" spans="5:6" ht="15" customHeight="1" x14ac:dyDescent="0.2">
      <c r="E21239" s="7"/>
      <c r="F21239" s="7"/>
    </row>
    <row r="21240" spans="5:6" ht="15" customHeight="1" x14ac:dyDescent="0.2">
      <c r="E21240" s="7"/>
      <c r="F21240" s="7"/>
    </row>
    <row r="21241" spans="5:6" ht="15" customHeight="1" x14ac:dyDescent="0.2">
      <c r="E21241" s="7"/>
      <c r="F21241" s="7"/>
    </row>
    <row r="21242" spans="5:6" ht="15" customHeight="1" x14ac:dyDescent="0.2">
      <c r="E21242" s="7"/>
      <c r="F21242" s="7"/>
    </row>
    <row r="21243" spans="5:6" ht="15" customHeight="1" x14ac:dyDescent="0.2">
      <c r="E21243" s="7"/>
      <c r="F21243" s="7"/>
    </row>
    <row r="21244" spans="5:6" ht="15" customHeight="1" x14ac:dyDescent="0.2">
      <c r="E21244" s="7"/>
      <c r="F21244" s="7"/>
    </row>
    <row r="21245" spans="5:6" ht="15" customHeight="1" x14ac:dyDescent="0.2">
      <c r="E21245" s="7"/>
      <c r="F21245" s="7"/>
    </row>
    <row r="21246" spans="5:6" ht="15" customHeight="1" x14ac:dyDescent="0.2">
      <c r="E21246" s="7"/>
      <c r="F21246" s="7"/>
    </row>
    <row r="21247" spans="5:6" ht="15" customHeight="1" x14ac:dyDescent="0.2">
      <c r="E21247" s="7"/>
      <c r="F21247" s="7"/>
    </row>
    <row r="21248" spans="5:6" ht="15" customHeight="1" x14ac:dyDescent="0.2">
      <c r="E21248" s="7"/>
      <c r="F21248" s="7"/>
    </row>
    <row r="21249" spans="5:6" ht="15" customHeight="1" x14ac:dyDescent="0.2">
      <c r="E21249" s="7"/>
      <c r="F21249" s="7"/>
    </row>
    <row r="21250" spans="5:6" ht="15" customHeight="1" x14ac:dyDescent="0.2">
      <c r="E21250" s="7"/>
      <c r="F21250" s="7"/>
    </row>
    <row r="21251" spans="5:6" ht="15" customHeight="1" x14ac:dyDescent="0.2">
      <c r="E21251" s="7"/>
      <c r="F21251" s="7"/>
    </row>
    <row r="21252" spans="5:6" ht="15" customHeight="1" x14ac:dyDescent="0.2">
      <c r="E21252" s="7"/>
      <c r="F21252" s="7"/>
    </row>
    <row r="21253" spans="5:6" ht="15" customHeight="1" x14ac:dyDescent="0.2">
      <c r="E21253" s="7"/>
      <c r="F21253" s="7"/>
    </row>
    <row r="21254" spans="5:6" ht="15" customHeight="1" x14ac:dyDescent="0.2">
      <c r="E21254" s="7"/>
      <c r="F21254" s="7"/>
    </row>
    <row r="21255" spans="5:6" ht="15" customHeight="1" x14ac:dyDescent="0.2">
      <c r="E21255" s="7"/>
      <c r="F21255" s="7"/>
    </row>
    <row r="21256" spans="5:6" ht="15" customHeight="1" x14ac:dyDescent="0.2">
      <c r="E21256" s="7"/>
      <c r="F21256" s="7"/>
    </row>
    <row r="21257" spans="5:6" ht="15" customHeight="1" x14ac:dyDescent="0.2">
      <c r="E21257" s="7"/>
      <c r="F21257" s="7"/>
    </row>
    <row r="21258" spans="5:6" ht="15" customHeight="1" x14ac:dyDescent="0.2">
      <c r="E21258" s="7"/>
      <c r="F21258" s="7"/>
    </row>
    <row r="21259" spans="5:6" ht="15" customHeight="1" x14ac:dyDescent="0.2">
      <c r="E21259" s="7"/>
      <c r="F21259" s="7"/>
    </row>
    <row r="21260" spans="5:6" ht="15" customHeight="1" x14ac:dyDescent="0.2">
      <c r="E21260" s="7"/>
      <c r="F21260" s="7"/>
    </row>
    <row r="21261" spans="5:6" ht="15" customHeight="1" x14ac:dyDescent="0.2">
      <c r="E21261" s="7"/>
      <c r="F21261" s="7"/>
    </row>
    <row r="21262" spans="5:6" ht="15" customHeight="1" x14ac:dyDescent="0.2">
      <c r="E21262" s="7"/>
      <c r="F21262" s="7"/>
    </row>
    <row r="21263" spans="5:6" ht="15" customHeight="1" x14ac:dyDescent="0.2">
      <c r="E21263" s="7"/>
      <c r="F21263" s="7"/>
    </row>
    <row r="21264" spans="5:6" ht="15" customHeight="1" x14ac:dyDescent="0.2">
      <c r="E21264" s="7"/>
      <c r="F21264" s="7"/>
    </row>
    <row r="21265" spans="5:6" ht="15" customHeight="1" x14ac:dyDescent="0.2">
      <c r="E21265" s="7"/>
      <c r="F21265" s="7"/>
    </row>
    <row r="21266" spans="5:6" ht="15" customHeight="1" x14ac:dyDescent="0.2">
      <c r="E21266" s="7"/>
      <c r="F21266" s="7"/>
    </row>
    <row r="21267" spans="5:6" ht="15" customHeight="1" x14ac:dyDescent="0.2">
      <c r="E21267" s="7"/>
      <c r="F21267" s="7"/>
    </row>
    <row r="21268" spans="5:6" ht="15" customHeight="1" x14ac:dyDescent="0.2">
      <c r="E21268" s="7"/>
      <c r="F21268" s="7"/>
    </row>
    <row r="21269" spans="5:6" ht="15" customHeight="1" x14ac:dyDescent="0.2">
      <c r="E21269" s="7"/>
      <c r="F21269" s="7"/>
    </row>
    <row r="21270" spans="5:6" ht="15" customHeight="1" x14ac:dyDescent="0.2">
      <c r="E21270" s="7"/>
      <c r="F21270" s="7"/>
    </row>
    <row r="21271" spans="5:6" ht="15" customHeight="1" x14ac:dyDescent="0.2">
      <c r="E21271" s="7"/>
      <c r="F21271" s="7"/>
    </row>
    <row r="21272" spans="5:6" ht="15" customHeight="1" x14ac:dyDescent="0.2">
      <c r="E21272" s="7"/>
      <c r="F21272" s="7"/>
    </row>
    <row r="21273" spans="5:6" ht="15" customHeight="1" x14ac:dyDescent="0.2">
      <c r="E21273" s="7"/>
      <c r="F21273" s="7"/>
    </row>
    <row r="21274" spans="5:6" ht="15" customHeight="1" x14ac:dyDescent="0.2">
      <c r="E21274" s="7"/>
      <c r="F21274" s="7"/>
    </row>
    <row r="21275" spans="5:6" ht="15" customHeight="1" x14ac:dyDescent="0.2">
      <c r="E21275" s="7"/>
      <c r="F21275" s="7"/>
    </row>
    <row r="21276" spans="5:6" ht="15" customHeight="1" x14ac:dyDescent="0.2">
      <c r="E21276" s="7"/>
      <c r="F21276" s="7"/>
    </row>
    <row r="21277" spans="5:6" ht="15" customHeight="1" x14ac:dyDescent="0.2">
      <c r="E21277" s="7"/>
      <c r="F21277" s="7"/>
    </row>
    <row r="21278" spans="5:6" ht="15" customHeight="1" x14ac:dyDescent="0.2">
      <c r="E21278" s="7"/>
      <c r="F21278" s="7"/>
    </row>
    <row r="21279" spans="5:6" ht="15" customHeight="1" x14ac:dyDescent="0.2">
      <c r="E21279" s="7"/>
      <c r="F21279" s="7"/>
    </row>
    <row r="21280" spans="5:6" ht="15" customHeight="1" x14ac:dyDescent="0.2">
      <c r="E21280" s="7"/>
      <c r="F21280" s="7"/>
    </row>
    <row r="21281" spans="5:6" ht="15" customHeight="1" x14ac:dyDescent="0.2">
      <c r="E21281" s="7"/>
      <c r="F21281" s="7"/>
    </row>
    <row r="21282" spans="5:6" ht="15" customHeight="1" x14ac:dyDescent="0.2">
      <c r="E21282" s="7"/>
      <c r="F21282" s="7"/>
    </row>
    <row r="21283" spans="5:6" ht="15" customHeight="1" x14ac:dyDescent="0.2">
      <c r="E21283" s="7"/>
      <c r="F21283" s="7"/>
    </row>
    <row r="21284" spans="5:6" ht="15" customHeight="1" x14ac:dyDescent="0.2">
      <c r="E21284" s="7"/>
      <c r="F21284" s="7"/>
    </row>
    <row r="21285" spans="5:6" ht="15" customHeight="1" x14ac:dyDescent="0.2">
      <c r="E21285" s="7"/>
      <c r="F21285" s="7"/>
    </row>
    <row r="21286" spans="5:6" ht="15" customHeight="1" x14ac:dyDescent="0.2">
      <c r="E21286" s="7"/>
      <c r="F21286" s="7"/>
    </row>
    <row r="21287" spans="5:6" ht="15" customHeight="1" x14ac:dyDescent="0.2">
      <c r="E21287" s="7"/>
      <c r="F21287" s="7"/>
    </row>
    <row r="21288" spans="5:6" ht="15" customHeight="1" x14ac:dyDescent="0.2">
      <c r="E21288" s="7"/>
      <c r="F21288" s="7"/>
    </row>
    <row r="21289" spans="5:6" ht="15" customHeight="1" x14ac:dyDescent="0.2">
      <c r="E21289" s="7"/>
      <c r="F21289" s="7"/>
    </row>
    <row r="21290" spans="5:6" ht="15" customHeight="1" x14ac:dyDescent="0.2">
      <c r="E21290" s="7"/>
      <c r="F21290" s="7"/>
    </row>
    <row r="21291" spans="5:6" ht="15" customHeight="1" x14ac:dyDescent="0.2">
      <c r="E21291" s="7"/>
      <c r="F21291" s="7"/>
    </row>
    <row r="21292" spans="5:6" ht="15" customHeight="1" x14ac:dyDescent="0.2">
      <c r="E21292" s="7"/>
      <c r="F21292" s="7"/>
    </row>
    <row r="21293" spans="5:6" ht="15" customHeight="1" x14ac:dyDescent="0.2">
      <c r="E21293" s="7"/>
      <c r="F21293" s="7"/>
    </row>
    <row r="21294" spans="5:6" ht="15" customHeight="1" x14ac:dyDescent="0.2">
      <c r="E21294" s="7"/>
      <c r="F21294" s="7"/>
    </row>
    <row r="21295" spans="5:6" ht="15" customHeight="1" x14ac:dyDescent="0.2">
      <c r="E21295" s="7"/>
      <c r="F21295" s="7"/>
    </row>
    <row r="21296" spans="5:6" ht="15" customHeight="1" x14ac:dyDescent="0.2">
      <c r="E21296" s="7"/>
      <c r="F21296" s="7"/>
    </row>
    <row r="21297" spans="5:6" ht="15" customHeight="1" x14ac:dyDescent="0.2">
      <c r="E21297" s="7"/>
      <c r="F21297" s="7"/>
    </row>
    <row r="21298" spans="5:6" ht="15" customHeight="1" x14ac:dyDescent="0.2">
      <c r="E21298" s="7"/>
      <c r="F21298" s="7"/>
    </row>
    <row r="21299" spans="5:6" ht="15" customHeight="1" x14ac:dyDescent="0.2">
      <c r="E21299" s="7"/>
      <c r="F21299" s="7"/>
    </row>
    <row r="21300" spans="5:6" ht="15" customHeight="1" x14ac:dyDescent="0.2">
      <c r="E21300" s="7"/>
      <c r="F21300" s="7"/>
    </row>
    <row r="21301" spans="5:6" ht="15" customHeight="1" x14ac:dyDescent="0.2">
      <c r="E21301" s="7"/>
      <c r="F21301" s="7"/>
    </row>
    <row r="21302" spans="5:6" ht="15" customHeight="1" x14ac:dyDescent="0.2">
      <c r="E21302" s="7"/>
      <c r="F21302" s="7"/>
    </row>
    <row r="21303" spans="5:6" ht="15" customHeight="1" x14ac:dyDescent="0.2">
      <c r="E21303" s="7"/>
      <c r="F21303" s="7"/>
    </row>
    <row r="21304" spans="5:6" ht="15" customHeight="1" x14ac:dyDescent="0.2">
      <c r="E21304" s="7"/>
      <c r="F21304" s="7"/>
    </row>
    <row r="21305" spans="5:6" ht="15" customHeight="1" x14ac:dyDescent="0.2">
      <c r="E21305" s="7"/>
      <c r="F21305" s="7"/>
    </row>
    <row r="21306" spans="5:6" ht="15" customHeight="1" x14ac:dyDescent="0.2">
      <c r="E21306" s="7"/>
      <c r="F21306" s="7"/>
    </row>
    <row r="21307" spans="5:6" ht="15" customHeight="1" x14ac:dyDescent="0.2">
      <c r="E21307" s="7"/>
      <c r="F21307" s="7"/>
    </row>
    <row r="21308" spans="5:6" ht="15" customHeight="1" x14ac:dyDescent="0.2">
      <c r="E21308" s="7"/>
      <c r="F21308" s="7"/>
    </row>
    <row r="21309" spans="5:6" ht="15" customHeight="1" x14ac:dyDescent="0.2">
      <c r="E21309" s="7"/>
      <c r="F21309" s="7"/>
    </row>
    <row r="21310" spans="5:6" ht="15" customHeight="1" x14ac:dyDescent="0.2">
      <c r="E21310" s="7"/>
      <c r="F21310" s="7"/>
    </row>
    <row r="21311" spans="5:6" ht="15" customHeight="1" x14ac:dyDescent="0.2">
      <c r="E21311" s="7"/>
      <c r="F21311" s="7"/>
    </row>
    <row r="21312" spans="5:6" ht="15" customHeight="1" x14ac:dyDescent="0.2">
      <c r="E21312" s="7"/>
      <c r="F21312" s="7"/>
    </row>
    <row r="21313" spans="5:6" ht="15" customHeight="1" x14ac:dyDescent="0.2">
      <c r="E21313" s="7"/>
      <c r="F21313" s="7"/>
    </row>
    <row r="21314" spans="5:6" ht="15" customHeight="1" x14ac:dyDescent="0.2">
      <c r="E21314" s="7"/>
      <c r="F21314" s="7"/>
    </row>
    <row r="21315" spans="5:6" ht="15" customHeight="1" x14ac:dyDescent="0.2">
      <c r="E21315" s="7"/>
      <c r="F21315" s="7"/>
    </row>
    <row r="21316" spans="5:6" ht="15" customHeight="1" x14ac:dyDescent="0.2">
      <c r="E21316" s="7"/>
      <c r="F21316" s="7"/>
    </row>
    <row r="21317" spans="5:6" ht="15" customHeight="1" x14ac:dyDescent="0.2">
      <c r="E21317" s="7"/>
      <c r="F21317" s="7"/>
    </row>
    <row r="21318" spans="5:6" ht="15" customHeight="1" x14ac:dyDescent="0.2">
      <c r="E21318" s="7"/>
      <c r="F21318" s="7"/>
    </row>
    <row r="21319" spans="5:6" ht="15" customHeight="1" x14ac:dyDescent="0.2">
      <c r="E21319" s="7"/>
      <c r="F21319" s="7"/>
    </row>
    <row r="21320" spans="5:6" ht="15" customHeight="1" x14ac:dyDescent="0.2">
      <c r="E21320" s="7"/>
      <c r="F21320" s="7"/>
    </row>
    <row r="21321" spans="5:6" ht="15" customHeight="1" x14ac:dyDescent="0.2">
      <c r="E21321" s="7"/>
      <c r="F21321" s="7"/>
    </row>
    <row r="21322" spans="5:6" ht="15" customHeight="1" x14ac:dyDescent="0.2">
      <c r="E21322" s="7"/>
      <c r="F21322" s="7"/>
    </row>
    <row r="21323" spans="5:6" ht="15" customHeight="1" x14ac:dyDescent="0.2">
      <c r="E21323" s="7"/>
      <c r="F21323" s="7"/>
    </row>
    <row r="21324" spans="5:6" ht="15" customHeight="1" x14ac:dyDescent="0.2">
      <c r="E21324" s="7"/>
      <c r="F21324" s="7"/>
    </row>
    <row r="21325" spans="5:6" ht="15" customHeight="1" x14ac:dyDescent="0.2">
      <c r="E21325" s="7"/>
      <c r="F21325" s="7"/>
    </row>
    <row r="21326" spans="5:6" ht="15" customHeight="1" x14ac:dyDescent="0.2">
      <c r="E21326" s="7"/>
      <c r="F21326" s="7"/>
    </row>
    <row r="21327" spans="5:6" ht="15" customHeight="1" x14ac:dyDescent="0.2">
      <c r="E21327" s="7"/>
      <c r="F21327" s="7"/>
    </row>
    <row r="21328" spans="5:6" ht="15" customHeight="1" x14ac:dyDescent="0.2">
      <c r="E21328" s="7"/>
      <c r="F21328" s="7"/>
    </row>
    <row r="21329" spans="5:6" ht="15" customHeight="1" x14ac:dyDescent="0.2">
      <c r="E21329" s="7"/>
      <c r="F21329" s="7"/>
    </row>
    <row r="21330" spans="5:6" ht="15" customHeight="1" x14ac:dyDescent="0.2">
      <c r="E21330" s="7"/>
      <c r="F21330" s="7"/>
    </row>
    <row r="21331" spans="5:6" ht="15" customHeight="1" x14ac:dyDescent="0.2">
      <c r="E21331" s="7"/>
      <c r="F21331" s="7"/>
    </row>
    <row r="21332" spans="5:6" ht="15" customHeight="1" x14ac:dyDescent="0.2">
      <c r="E21332" s="7"/>
      <c r="F21332" s="7"/>
    </row>
    <row r="21333" spans="5:6" ht="15" customHeight="1" x14ac:dyDescent="0.2">
      <c r="E21333" s="7"/>
      <c r="F21333" s="7"/>
    </row>
    <row r="21334" spans="5:6" ht="15" customHeight="1" x14ac:dyDescent="0.2">
      <c r="E21334" s="7"/>
      <c r="F21334" s="7"/>
    </row>
    <row r="21335" spans="5:6" ht="15" customHeight="1" x14ac:dyDescent="0.2">
      <c r="E21335" s="7"/>
      <c r="F21335" s="7"/>
    </row>
    <row r="21336" spans="5:6" ht="15" customHeight="1" x14ac:dyDescent="0.2">
      <c r="E21336" s="7"/>
      <c r="F21336" s="7"/>
    </row>
    <row r="21337" spans="5:6" ht="15" customHeight="1" x14ac:dyDescent="0.2">
      <c r="E21337" s="7"/>
      <c r="F21337" s="7"/>
    </row>
    <row r="21338" spans="5:6" ht="15" customHeight="1" x14ac:dyDescent="0.2">
      <c r="E21338" s="7"/>
      <c r="F21338" s="7"/>
    </row>
    <row r="21339" spans="5:6" ht="15" customHeight="1" x14ac:dyDescent="0.2">
      <c r="E21339" s="7"/>
      <c r="F21339" s="7"/>
    </row>
    <row r="21340" spans="5:6" ht="15" customHeight="1" x14ac:dyDescent="0.2">
      <c r="E21340" s="7"/>
      <c r="F21340" s="7"/>
    </row>
    <row r="21341" spans="5:6" ht="15" customHeight="1" x14ac:dyDescent="0.2">
      <c r="E21341" s="7"/>
      <c r="F21341" s="7"/>
    </row>
    <row r="21342" spans="5:6" ht="15" customHeight="1" x14ac:dyDescent="0.2">
      <c r="E21342" s="7"/>
      <c r="F21342" s="7"/>
    </row>
    <row r="21343" spans="5:6" ht="15" customHeight="1" x14ac:dyDescent="0.2">
      <c r="E21343" s="7"/>
      <c r="F21343" s="7"/>
    </row>
    <row r="21344" spans="5:6" ht="15" customHeight="1" x14ac:dyDescent="0.2">
      <c r="E21344" s="7"/>
      <c r="F21344" s="7"/>
    </row>
    <row r="21345" spans="5:6" ht="15" customHeight="1" x14ac:dyDescent="0.2">
      <c r="E21345" s="7"/>
      <c r="F21345" s="7"/>
    </row>
    <row r="21346" spans="5:6" ht="15" customHeight="1" x14ac:dyDescent="0.2">
      <c r="E21346" s="7"/>
      <c r="F21346" s="7"/>
    </row>
    <row r="21347" spans="5:6" ht="15" customHeight="1" x14ac:dyDescent="0.2">
      <c r="E21347" s="7"/>
      <c r="F21347" s="7"/>
    </row>
    <row r="21348" spans="5:6" ht="15" customHeight="1" x14ac:dyDescent="0.2">
      <c r="E21348" s="7"/>
      <c r="F21348" s="7"/>
    </row>
    <row r="21349" spans="5:6" ht="15" customHeight="1" x14ac:dyDescent="0.2">
      <c r="E21349" s="7"/>
      <c r="F21349" s="7"/>
    </row>
    <row r="21350" spans="5:6" ht="15" customHeight="1" x14ac:dyDescent="0.2">
      <c r="E21350" s="7"/>
      <c r="F21350" s="7"/>
    </row>
    <row r="21351" spans="5:6" ht="15" customHeight="1" x14ac:dyDescent="0.2">
      <c r="E21351" s="7"/>
      <c r="F21351" s="7"/>
    </row>
    <row r="21352" spans="5:6" ht="15" customHeight="1" x14ac:dyDescent="0.2">
      <c r="E21352" s="7"/>
      <c r="F21352" s="7"/>
    </row>
    <row r="21353" spans="5:6" ht="15" customHeight="1" x14ac:dyDescent="0.2">
      <c r="E21353" s="7"/>
      <c r="F21353" s="7"/>
    </row>
    <row r="21354" spans="5:6" ht="15" customHeight="1" x14ac:dyDescent="0.2">
      <c r="E21354" s="7"/>
      <c r="F21354" s="7"/>
    </row>
    <row r="21355" spans="5:6" ht="15" customHeight="1" x14ac:dyDescent="0.2">
      <c r="E21355" s="7"/>
      <c r="F21355" s="7"/>
    </row>
    <row r="21356" spans="5:6" ht="15" customHeight="1" x14ac:dyDescent="0.2">
      <c r="E21356" s="7"/>
      <c r="F21356" s="7"/>
    </row>
    <row r="21357" spans="5:6" ht="15" customHeight="1" x14ac:dyDescent="0.2">
      <c r="E21357" s="7"/>
      <c r="F21357" s="7"/>
    </row>
    <row r="21358" spans="5:6" ht="15" customHeight="1" x14ac:dyDescent="0.2">
      <c r="E21358" s="7"/>
      <c r="F21358" s="7"/>
    </row>
    <row r="21359" spans="5:6" ht="15" customHeight="1" x14ac:dyDescent="0.2">
      <c r="E21359" s="7"/>
      <c r="F21359" s="7"/>
    </row>
    <row r="21360" spans="5:6" ht="15" customHeight="1" x14ac:dyDescent="0.2">
      <c r="E21360" s="7"/>
      <c r="F21360" s="7"/>
    </row>
    <row r="21361" spans="5:6" ht="15" customHeight="1" x14ac:dyDescent="0.2">
      <c r="E21361" s="7"/>
      <c r="F21361" s="7"/>
    </row>
    <row r="21362" spans="5:6" ht="15" customHeight="1" x14ac:dyDescent="0.2">
      <c r="E21362" s="7"/>
      <c r="F21362" s="7"/>
    </row>
    <row r="21363" spans="5:6" ht="15" customHeight="1" x14ac:dyDescent="0.2">
      <c r="E21363" s="7"/>
      <c r="F21363" s="7"/>
    </row>
    <row r="21364" spans="5:6" ht="15" customHeight="1" x14ac:dyDescent="0.2">
      <c r="E21364" s="7"/>
      <c r="F21364" s="7"/>
    </row>
    <row r="21365" spans="5:6" ht="15" customHeight="1" x14ac:dyDescent="0.2">
      <c r="E21365" s="7"/>
      <c r="F21365" s="7"/>
    </row>
    <row r="21366" spans="5:6" ht="15" customHeight="1" x14ac:dyDescent="0.2">
      <c r="E21366" s="7"/>
      <c r="F21366" s="7"/>
    </row>
    <row r="21367" spans="5:6" ht="15" customHeight="1" x14ac:dyDescent="0.2">
      <c r="E21367" s="7"/>
      <c r="F21367" s="7"/>
    </row>
    <row r="21368" spans="5:6" ht="15" customHeight="1" x14ac:dyDescent="0.2">
      <c r="E21368" s="7"/>
      <c r="F21368" s="7"/>
    </row>
    <row r="21369" spans="5:6" ht="15" customHeight="1" x14ac:dyDescent="0.2">
      <c r="E21369" s="7"/>
      <c r="F21369" s="7"/>
    </row>
    <row r="21370" spans="5:6" ht="15" customHeight="1" x14ac:dyDescent="0.2">
      <c r="E21370" s="7"/>
      <c r="F21370" s="7"/>
    </row>
    <row r="21371" spans="5:6" ht="15" customHeight="1" x14ac:dyDescent="0.2">
      <c r="E21371" s="7"/>
      <c r="F21371" s="7"/>
    </row>
    <row r="21372" spans="5:6" ht="15" customHeight="1" x14ac:dyDescent="0.2">
      <c r="E21372" s="7"/>
      <c r="F21372" s="7"/>
    </row>
    <row r="21373" spans="5:6" ht="15" customHeight="1" x14ac:dyDescent="0.2">
      <c r="E21373" s="7"/>
      <c r="F21373" s="7"/>
    </row>
    <row r="21374" spans="5:6" ht="15" customHeight="1" x14ac:dyDescent="0.2">
      <c r="E21374" s="7"/>
      <c r="F21374" s="7"/>
    </row>
    <row r="21375" spans="5:6" ht="15" customHeight="1" x14ac:dyDescent="0.2">
      <c r="E21375" s="7"/>
      <c r="F21375" s="7"/>
    </row>
    <row r="21376" spans="5:6" ht="15" customHeight="1" x14ac:dyDescent="0.2">
      <c r="E21376" s="7"/>
      <c r="F21376" s="7"/>
    </row>
    <row r="21377" spans="5:6" ht="15" customHeight="1" x14ac:dyDescent="0.2">
      <c r="E21377" s="7"/>
      <c r="F21377" s="7"/>
    </row>
    <row r="21378" spans="5:6" ht="15" customHeight="1" x14ac:dyDescent="0.2">
      <c r="E21378" s="7"/>
      <c r="F21378" s="7"/>
    </row>
    <row r="21379" spans="5:6" ht="15" customHeight="1" x14ac:dyDescent="0.2">
      <c r="E21379" s="7"/>
      <c r="F21379" s="7"/>
    </row>
    <row r="21380" spans="5:6" ht="15" customHeight="1" x14ac:dyDescent="0.2">
      <c r="E21380" s="7"/>
      <c r="F21380" s="7"/>
    </row>
    <row r="21381" spans="5:6" ht="15" customHeight="1" x14ac:dyDescent="0.2">
      <c r="E21381" s="7"/>
      <c r="F21381" s="7"/>
    </row>
    <row r="21382" spans="5:6" ht="15" customHeight="1" x14ac:dyDescent="0.2">
      <c r="E21382" s="7"/>
      <c r="F21382" s="7"/>
    </row>
    <row r="21383" spans="5:6" ht="15" customHeight="1" x14ac:dyDescent="0.2">
      <c r="E21383" s="7"/>
      <c r="F21383" s="7"/>
    </row>
    <row r="21384" spans="5:6" ht="15" customHeight="1" x14ac:dyDescent="0.2">
      <c r="E21384" s="7"/>
      <c r="F21384" s="7"/>
    </row>
    <row r="21385" spans="5:6" ht="15" customHeight="1" x14ac:dyDescent="0.2">
      <c r="E21385" s="7"/>
      <c r="F21385" s="7"/>
    </row>
    <row r="21386" spans="5:6" ht="15" customHeight="1" x14ac:dyDescent="0.2">
      <c r="E21386" s="7"/>
      <c r="F21386" s="7"/>
    </row>
    <row r="21387" spans="5:6" ht="15" customHeight="1" x14ac:dyDescent="0.2">
      <c r="E21387" s="7"/>
      <c r="F21387" s="7"/>
    </row>
    <row r="21388" spans="5:6" ht="15" customHeight="1" x14ac:dyDescent="0.2">
      <c r="E21388" s="7"/>
      <c r="F21388" s="7"/>
    </row>
    <row r="21389" spans="5:6" ht="15" customHeight="1" x14ac:dyDescent="0.2">
      <c r="E21389" s="7"/>
      <c r="F21389" s="7"/>
    </row>
    <row r="21390" spans="5:6" ht="15" customHeight="1" x14ac:dyDescent="0.2">
      <c r="E21390" s="7"/>
      <c r="F21390" s="7"/>
    </row>
    <row r="21391" spans="5:6" ht="15" customHeight="1" x14ac:dyDescent="0.2">
      <c r="E21391" s="7"/>
      <c r="F21391" s="7"/>
    </row>
    <row r="21392" spans="5:6" ht="15" customHeight="1" x14ac:dyDescent="0.2">
      <c r="E21392" s="7"/>
      <c r="F21392" s="7"/>
    </row>
    <row r="21393" spans="5:6" ht="15" customHeight="1" x14ac:dyDescent="0.2">
      <c r="E21393" s="7"/>
      <c r="F21393" s="7"/>
    </row>
    <row r="21394" spans="5:6" ht="15" customHeight="1" x14ac:dyDescent="0.2">
      <c r="E21394" s="7"/>
      <c r="F21394" s="7"/>
    </row>
    <row r="21395" spans="5:6" ht="15" customHeight="1" x14ac:dyDescent="0.2">
      <c r="E21395" s="7"/>
      <c r="F21395" s="7"/>
    </row>
    <row r="21396" spans="5:6" ht="15" customHeight="1" x14ac:dyDescent="0.2">
      <c r="E21396" s="7"/>
      <c r="F21396" s="7"/>
    </row>
    <row r="21397" spans="5:6" ht="15" customHeight="1" x14ac:dyDescent="0.2">
      <c r="E21397" s="7"/>
      <c r="F21397" s="7"/>
    </row>
    <row r="21398" spans="5:6" ht="15" customHeight="1" x14ac:dyDescent="0.2">
      <c r="E21398" s="7"/>
      <c r="F21398" s="7"/>
    </row>
    <row r="21399" spans="5:6" ht="15" customHeight="1" x14ac:dyDescent="0.2">
      <c r="E21399" s="7"/>
      <c r="F21399" s="7"/>
    </row>
    <row r="21400" spans="5:6" ht="15" customHeight="1" x14ac:dyDescent="0.2">
      <c r="E21400" s="7"/>
      <c r="F21400" s="7"/>
    </row>
    <row r="21401" spans="5:6" ht="15" customHeight="1" x14ac:dyDescent="0.2">
      <c r="E21401" s="7"/>
      <c r="F21401" s="7"/>
    </row>
    <row r="21402" spans="5:6" ht="15" customHeight="1" x14ac:dyDescent="0.2">
      <c r="E21402" s="7"/>
      <c r="F21402" s="7"/>
    </row>
    <row r="21403" spans="5:6" ht="15" customHeight="1" x14ac:dyDescent="0.2">
      <c r="E21403" s="7"/>
      <c r="F21403" s="7"/>
    </row>
    <row r="21404" spans="5:6" ht="15" customHeight="1" x14ac:dyDescent="0.2">
      <c r="E21404" s="7"/>
      <c r="F21404" s="7"/>
    </row>
    <row r="21405" spans="5:6" ht="15" customHeight="1" x14ac:dyDescent="0.2">
      <c r="E21405" s="7"/>
      <c r="F21405" s="7"/>
    </row>
    <row r="21406" spans="5:6" ht="15" customHeight="1" x14ac:dyDescent="0.2">
      <c r="E21406" s="7"/>
      <c r="F21406" s="7"/>
    </row>
    <row r="21407" spans="5:6" ht="15" customHeight="1" x14ac:dyDescent="0.2">
      <c r="E21407" s="7"/>
      <c r="F21407" s="7"/>
    </row>
    <row r="21408" spans="5:6" ht="15" customHeight="1" x14ac:dyDescent="0.2">
      <c r="E21408" s="7"/>
      <c r="F21408" s="7"/>
    </row>
    <row r="21409" spans="5:6" ht="15" customHeight="1" x14ac:dyDescent="0.2">
      <c r="E21409" s="7"/>
      <c r="F21409" s="7"/>
    </row>
    <row r="21410" spans="5:6" ht="15" customHeight="1" x14ac:dyDescent="0.2">
      <c r="E21410" s="7"/>
      <c r="F21410" s="7"/>
    </row>
    <row r="21411" spans="5:6" ht="15" customHeight="1" x14ac:dyDescent="0.2">
      <c r="E21411" s="7"/>
      <c r="F21411" s="7"/>
    </row>
    <row r="21412" spans="5:6" ht="15" customHeight="1" x14ac:dyDescent="0.2">
      <c r="E21412" s="7"/>
      <c r="F21412" s="7"/>
    </row>
    <row r="21413" spans="5:6" ht="15" customHeight="1" x14ac:dyDescent="0.2">
      <c r="E21413" s="7"/>
      <c r="F21413" s="7"/>
    </row>
    <row r="21414" spans="5:6" ht="15" customHeight="1" x14ac:dyDescent="0.2">
      <c r="E21414" s="7"/>
      <c r="F21414" s="7"/>
    </row>
    <row r="21415" spans="5:6" ht="15" customHeight="1" x14ac:dyDescent="0.2">
      <c r="E21415" s="7"/>
      <c r="F21415" s="7"/>
    </row>
    <row r="21416" spans="5:6" ht="15" customHeight="1" x14ac:dyDescent="0.2">
      <c r="E21416" s="7"/>
      <c r="F21416" s="7"/>
    </row>
    <row r="21417" spans="5:6" ht="15" customHeight="1" x14ac:dyDescent="0.2">
      <c r="E21417" s="7"/>
      <c r="F21417" s="7"/>
    </row>
    <row r="21418" spans="5:6" ht="15" customHeight="1" x14ac:dyDescent="0.2">
      <c r="E21418" s="7"/>
      <c r="F21418" s="7"/>
    </row>
    <row r="21419" spans="5:6" ht="15" customHeight="1" x14ac:dyDescent="0.2">
      <c r="E21419" s="7"/>
      <c r="F21419" s="7"/>
    </row>
    <row r="21420" spans="5:6" ht="15" customHeight="1" x14ac:dyDescent="0.2">
      <c r="E21420" s="7"/>
      <c r="F21420" s="7"/>
    </row>
    <row r="21421" spans="5:6" ht="15" customHeight="1" x14ac:dyDescent="0.2">
      <c r="E21421" s="7"/>
      <c r="F21421" s="7"/>
    </row>
    <row r="21422" spans="5:6" ht="15" customHeight="1" x14ac:dyDescent="0.2">
      <c r="E21422" s="7"/>
      <c r="F21422" s="7"/>
    </row>
    <row r="21423" spans="5:6" ht="15" customHeight="1" x14ac:dyDescent="0.2">
      <c r="E21423" s="7"/>
      <c r="F21423" s="7"/>
    </row>
    <row r="21424" spans="5:6" ht="15" customHeight="1" x14ac:dyDescent="0.2">
      <c r="E21424" s="7"/>
      <c r="F21424" s="7"/>
    </row>
    <row r="21425" spans="5:6" ht="15" customHeight="1" x14ac:dyDescent="0.2">
      <c r="E21425" s="7"/>
      <c r="F21425" s="7"/>
    </row>
    <row r="21426" spans="5:6" ht="15" customHeight="1" x14ac:dyDescent="0.2">
      <c r="E21426" s="7"/>
      <c r="F21426" s="7"/>
    </row>
    <row r="21427" spans="5:6" ht="15" customHeight="1" x14ac:dyDescent="0.2">
      <c r="E21427" s="7"/>
      <c r="F21427" s="7"/>
    </row>
    <row r="21428" spans="5:6" ht="15" customHeight="1" x14ac:dyDescent="0.2">
      <c r="E21428" s="7"/>
      <c r="F21428" s="7"/>
    </row>
    <row r="21429" spans="5:6" ht="15" customHeight="1" x14ac:dyDescent="0.2">
      <c r="E21429" s="7"/>
      <c r="F21429" s="7"/>
    </row>
    <row r="21430" spans="5:6" ht="15" customHeight="1" x14ac:dyDescent="0.2">
      <c r="E21430" s="7"/>
      <c r="F21430" s="7"/>
    </row>
    <row r="21431" spans="5:6" ht="15" customHeight="1" x14ac:dyDescent="0.2">
      <c r="E21431" s="7"/>
      <c r="F21431" s="7"/>
    </row>
    <row r="21432" spans="5:6" ht="15" customHeight="1" x14ac:dyDescent="0.2">
      <c r="E21432" s="7"/>
      <c r="F21432" s="7"/>
    </row>
    <row r="21433" spans="5:6" ht="15" customHeight="1" x14ac:dyDescent="0.2">
      <c r="E21433" s="7"/>
      <c r="F21433" s="7"/>
    </row>
    <row r="21434" spans="5:6" ht="15" customHeight="1" x14ac:dyDescent="0.2">
      <c r="E21434" s="7"/>
      <c r="F21434" s="7"/>
    </row>
    <row r="21435" spans="5:6" ht="15" customHeight="1" x14ac:dyDescent="0.2">
      <c r="E21435" s="7"/>
      <c r="F21435" s="7"/>
    </row>
    <row r="21436" spans="5:6" ht="15" customHeight="1" x14ac:dyDescent="0.2">
      <c r="E21436" s="7"/>
      <c r="F21436" s="7"/>
    </row>
    <row r="21437" spans="5:6" ht="15" customHeight="1" x14ac:dyDescent="0.2">
      <c r="E21437" s="7"/>
      <c r="F21437" s="7"/>
    </row>
    <row r="21438" spans="5:6" ht="15" customHeight="1" x14ac:dyDescent="0.2">
      <c r="E21438" s="7"/>
      <c r="F21438" s="7"/>
    </row>
    <row r="21439" spans="5:6" ht="15" customHeight="1" x14ac:dyDescent="0.2">
      <c r="E21439" s="7"/>
      <c r="F21439" s="7"/>
    </row>
    <row r="21440" spans="5:6" ht="15" customHeight="1" x14ac:dyDescent="0.2">
      <c r="E21440" s="7"/>
      <c r="F21440" s="7"/>
    </row>
    <row r="21441" spans="5:6" ht="15" customHeight="1" x14ac:dyDescent="0.2">
      <c r="E21441" s="7"/>
      <c r="F21441" s="7"/>
    </row>
    <row r="21442" spans="5:6" ht="15" customHeight="1" x14ac:dyDescent="0.2">
      <c r="E21442" s="7"/>
      <c r="F21442" s="7"/>
    </row>
    <row r="21443" spans="5:6" ht="15" customHeight="1" x14ac:dyDescent="0.2">
      <c r="E21443" s="7"/>
      <c r="F21443" s="7"/>
    </row>
    <row r="21444" spans="5:6" ht="15" customHeight="1" x14ac:dyDescent="0.2">
      <c r="E21444" s="7"/>
      <c r="F21444" s="7"/>
    </row>
    <row r="21445" spans="5:6" ht="15" customHeight="1" x14ac:dyDescent="0.2">
      <c r="E21445" s="7"/>
      <c r="F21445" s="7"/>
    </row>
    <row r="21446" spans="5:6" ht="15" customHeight="1" x14ac:dyDescent="0.2">
      <c r="E21446" s="7"/>
      <c r="F21446" s="7"/>
    </row>
    <row r="21447" spans="5:6" ht="15" customHeight="1" x14ac:dyDescent="0.2">
      <c r="E21447" s="7"/>
      <c r="F21447" s="7"/>
    </row>
    <row r="21448" spans="5:6" ht="15" customHeight="1" x14ac:dyDescent="0.2">
      <c r="E21448" s="7"/>
      <c r="F21448" s="7"/>
    </row>
    <row r="21449" spans="5:6" ht="15" customHeight="1" x14ac:dyDescent="0.2">
      <c r="E21449" s="7"/>
      <c r="F21449" s="7"/>
    </row>
    <row r="21450" spans="5:6" ht="15" customHeight="1" x14ac:dyDescent="0.2">
      <c r="E21450" s="7"/>
      <c r="F21450" s="7"/>
    </row>
    <row r="21451" spans="5:6" ht="15" customHeight="1" x14ac:dyDescent="0.2">
      <c r="E21451" s="7"/>
      <c r="F21451" s="7"/>
    </row>
    <row r="21452" spans="5:6" ht="15" customHeight="1" x14ac:dyDescent="0.2">
      <c r="E21452" s="7"/>
      <c r="F21452" s="7"/>
    </row>
    <row r="21453" spans="5:6" ht="15" customHeight="1" x14ac:dyDescent="0.2">
      <c r="E21453" s="7"/>
      <c r="F21453" s="7"/>
    </row>
    <row r="21454" spans="5:6" ht="15" customHeight="1" x14ac:dyDescent="0.2">
      <c r="E21454" s="7"/>
      <c r="F21454" s="7"/>
    </row>
    <row r="21455" spans="5:6" ht="15" customHeight="1" x14ac:dyDescent="0.2">
      <c r="E21455" s="7"/>
      <c r="F21455" s="7"/>
    </row>
    <row r="21456" spans="5:6" ht="15" customHeight="1" x14ac:dyDescent="0.2">
      <c r="E21456" s="7"/>
      <c r="F21456" s="7"/>
    </row>
    <row r="21457" spans="5:6" ht="15" customHeight="1" x14ac:dyDescent="0.2">
      <c r="E21457" s="7"/>
      <c r="F21457" s="7"/>
    </row>
    <row r="21458" spans="5:6" ht="15" customHeight="1" x14ac:dyDescent="0.2">
      <c r="E21458" s="7"/>
      <c r="F21458" s="7"/>
    </row>
    <row r="21459" spans="5:6" ht="15" customHeight="1" x14ac:dyDescent="0.2">
      <c r="E21459" s="7"/>
      <c r="F21459" s="7"/>
    </row>
    <row r="21460" spans="5:6" ht="15" customHeight="1" x14ac:dyDescent="0.2">
      <c r="E21460" s="7"/>
      <c r="F21460" s="7"/>
    </row>
    <row r="21461" spans="5:6" ht="15" customHeight="1" x14ac:dyDescent="0.2">
      <c r="E21461" s="7"/>
      <c r="F21461" s="7"/>
    </row>
    <row r="21462" spans="5:6" ht="15" customHeight="1" x14ac:dyDescent="0.2">
      <c r="E21462" s="7"/>
      <c r="F21462" s="7"/>
    </row>
    <row r="21463" spans="5:6" ht="15" customHeight="1" x14ac:dyDescent="0.2">
      <c r="E21463" s="7"/>
      <c r="F21463" s="7"/>
    </row>
    <row r="21464" spans="5:6" ht="15" customHeight="1" x14ac:dyDescent="0.2">
      <c r="E21464" s="7"/>
      <c r="F21464" s="7"/>
    </row>
    <row r="21465" spans="5:6" ht="15" customHeight="1" x14ac:dyDescent="0.2">
      <c r="E21465" s="7"/>
      <c r="F21465" s="7"/>
    </row>
    <row r="21466" spans="5:6" ht="15" customHeight="1" x14ac:dyDescent="0.2">
      <c r="E21466" s="7"/>
      <c r="F21466" s="7"/>
    </row>
    <row r="21467" spans="5:6" ht="15" customHeight="1" x14ac:dyDescent="0.2">
      <c r="E21467" s="7"/>
      <c r="F21467" s="7"/>
    </row>
    <row r="21468" spans="5:6" ht="15" customHeight="1" x14ac:dyDescent="0.2">
      <c r="E21468" s="7"/>
      <c r="F21468" s="7"/>
    </row>
    <row r="21469" spans="5:6" ht="15" customHeight="1" x14ac:dyDescent="0.2">
      <c r="E21469" s="7"/>
      <c r="F21469" s="7"/>
    </row>
    <row r="21470" spans="5:6" ht="15" customHeight="1" x14ac:dyDescent="0.2">
      <c r="E21470" s="7"/>
      <c r="F21470" s="7"/>
    </row>
    <row r="21471" spans="5:6" ht="15" customHeight="1" x14ac:dyDescent="0.2">
      <c r="E21471" s="7"/>
      <c r="F21471" s="7"/>
    </row>
    <row r="21472" spans="5:6" ht="15" customHeight="1" x14ac:dyDescent="0.2">
      <c r="E21472" s="7"/>
      <c r="F21472" s="7"/>
    </row>
    <row r="21473" spans="5:6" ht="15" customHeight="1" x14ac:dyDescent="0.2">
      <c r="E21473" s="7"/>
      <c r="F21473" s="7"/>
    </row>
    <row r="21474" spans="5:6" ht="15" customHeight="1" x14ac:dyDescent="0.2">
      <c r="E21474" s="7"/>
      <c r="F21474" s="7"/>
    </row>
    <row r="21475" spans="5:6" ht="15" customHeight="1" x14ac:dyDescent="0.2">
      <c r="E21475" s="7"/>
      <c r="F21475" s="7"/>
    </row>
    <row r="21476" spans="5:6" ht="15" customHeight="1" x14ac:dyDescent="0.2">
      <c r="E21476" s="7"/>
      <c r="F21476" s="7"/>
    </row>
    <row r="21477" spans="5:6" ht="15" customHeight="1" x14ac:dyDescent="0.2">
      <c r="E21477" s="7"/>
      <c r="F21477" s="7"/>
    </row>
    <row r="21478" spans="5:6" ht="15" customHeight="1" x14ac:dyDescent="0.2">
      <c r="E21478" s="7"/>
      <c r="F21478" s="7"/>
    </row>
    <row r="21479" spans="5:6" ht="15" customHeight="1" x14ac:dyDescent="0.2">
      <c r="E21479" s="7"/>
      <c r="F21479" s="7"/>
    </row>
    <row r="21480" spans="5:6" ht="15" customHeight="1" x14ac:dyDescent="0.2">
      <c r="E21480" s="7"/>
      <c r="F21480" s="7"/>
    </row>
    <row r="21481" spans="5:6" ht="15" customHeight="1" x14ac:dyDescent="0.2">
      <c r="E21481" s="7"/>
      <c r="F21481" s="7"/>
    </row>
    <row r="21482" spans="5:6" ht="15" customHeight="1" x14ac:dyDescent="0.2">
      <c r="E21482" s="7"/>
      <c r="F21482" s="7"/>
    </row>
    <row r="21483" spans="5:6" ht="15" customHeight="1" x14ac:dyDescent="0.2">
      <c r="E21483" s="7"/>
      <c r="F21483" s="7"/>
    </row>
    <row r="21484" spans="5:6" ht="15" customHeight="1" x14ac:dyDescent="0.2">
      <c r="E21484" s="7"/>
      <c r="F21484" s="7"/>
    </row>
    <row r="21485" spans="5:6" ht="15" customHeight="1" x14ac:dyDescent="0.2">
      <c r="E21485" s="7"/>
      <c r="F21485" s="7"/>
    </row>
    <row r="21486" spans="5:6" ht="15" customHeight="1" x14ac:dyDescent="0.2">
      <c r="E21486" s="7"/>
      <c r="F21486" s="7"/>
    </row>
    <row r="21487" spans="5:6" ht="15" customHeight="1" x14ac:dyDescent="0.2">
      <c r="E21487" s="7"/>
      <c r="F21487" s="7"/>
    </row>
    <row r="21488" spans="5:6" ht="15" customHeight="1" x14ac:dyDescent="0.2">
      <c r="E21488" s="7"/>
      <c r="F21488" s="7"/>
    </row>
    <row r="21489" spans="5:6" ht="15" customHeight="1" x14ac:dyDescent="0.2">
      <c r="E21489" s="7"/>
      <c r="F21489" s="7"/>
    </row>
    <row r="21490" spans="5:6" ht="15" customHeight="1" x14ac:dyDescent="0.2">
      <c r="E21490" s="7"/>
      <c r="F21490" s="7"/>
    </row>
    <row r="21491" spans="5:6" ht="15" customHeight="1" x14ac:dyDescent="0.2">
      <c r="E21491" s="7"/>
      <c r="F21491" s="7"/>
    </row>
    <row r="21492" spans="5:6" ht="15" customHeight="1" x14ac:dyDescent="0.2">
      <c r="E21492" s="7"/>
      <c r="F21492" s="7"/>
    </row>
    <row r="21493" spans="5:6" ht="15" customHeight="1" x14ac:dyDescent="0.2">
      <c r="E21493" s="7"/>
      <c r="F21493" s="7"/>
    </row>
    <row r="21494" spans="5:6" ht="15" customHeight="1" x14ac:dyDescent="0.2">
      <c r="E21494" s="7"/>
      <c r="F21494" s="7"/>
    </row>
    <row r="21495" spans="5:6" ht="15" customHeight="1" x14ac:dyDescent="0.2">
      <c r="E21495" s="7"/>
      <c r="F21495" s="7"/>
    </row>
    <row r="21496" spans="5:6" ht="15" customHeight="1" x14ac:dyDescent="0.2">
      <c r="E21496" s="7"/>
      <c r="F21496" s="7"/>
    </row>
    <row r="21497" spans="5:6" ht="15" customHeight="1" x14ac:dyDescent="0.2">
      <c r="E21497" s="7"/>
      <c r="F21497" s="7"/>
    </row>
    <row r="21498" spans="5:6" ht="15" customHeight="1" x14ac:dyDescent="0.2">
      <c r="E21498" s="7"/>
      <c r="F21498" s="7"/>
    </row>
    <row r="21499" spans="5:6" ht="15" customHeight="1" x14ac:dyDescent="0.2">
      <c r="E21499" s="7"/>
      <c r="F21499" s="7"/>
    </row>
    <row r="21500" spans="5:6" ht="15" customHeight="1" x14ac:dyDescent="0.2">
      <c r="E21500" s="7"/>
      <c r="F21500" s="7"/>
    </row>
    <row r="21501" spans="5:6" ht="15" customHeight="1" x14ac:dyDescent="0.2">
      <c r="E21501" s="7"/>
      <c r="F21501" s="7"/>
    </row>
    <row r="21502" spans="5:6" ht="15" customHeight="1" x14ac:dyDescent="0.2">
      <c r="E21502" s="7"/>
      <c r="F21502" s="7"/>
    </row>
    <row r="21503" spans="5:6" ht="15" customHeight="1" x14ac:dyDescent="0.2">
      <c r="E21503" s="7"/>
      <c r="F21503" s="7"/>
    </row>
    <row r="21504" spans="5:6" ht="15" customHeight="1" x14ac:dyDescent="0.2">
      <c r="E21504" s="7"/>
      <c r="F21504" s="7"/>
    </row>
    <row r="21505" spans="5:6" ht="15" customHeight="1" x14ac:dyDescent="0.2">
      <c r="E21505" s="7"/>
      <c r="F21505" s="7"/>
    </row>
    <row r="21506" spans="5:6" ht="15" customHeight="1" x14ac:dyDescent="0.2">
      <c r="E21506" s="7"/>
      <c r="F21506" s="7"/>
    </row>
    <row r="21507" spans="5:6" ht="15" customHeight="1" x14ac:dyDescent="0.2">
      <c r="E21507" s="7"/>
      <c r="F21507" s="7"/>
    </row>
    <row r="21508" spans="5:6" ht="15" customHeight="1" x14ac:dyDescent="0.2">
      <c r="E21508" s="7"/>
      <c r="F21508" s="7"/>
    </row>
    <row r="21509" spans="5:6" ht="15" customHeight="1" x14ac:dyDescent="0.2">
      <c r="E21509" s="7"/>
      <c r="F21509" s="7"/>
    </row>
    <row r="21510" spans="5:6" ht="15" customHeight="1" x14ac:dyDescent="0.2">
      <c r="E21510" s="7"/>
      <c r="F21510" s="7"/>
    </row>
    <row r="21511" spans="5:6" ht="15" customHeight="1" x14ac:dyDescent="0.2">
      <c r="E21511" s="7"/>
      <c r="F21511" s="7"/>
    </row>
    <row r="21512" spans="5:6" ht="15" customHeight="1" x14ac:dyDescent="0.2">
      <c r="E21512" s="7"/>
      <c r="F21512" s="7"/>
    </row>
    <row r="21513" spans="5:6" ht="15" customHeight="1" x14ac:dyDescent="0.2">
      <c r="E21513" s="7"/>
      <c r="F21513" s="7"/>
    </row>
    <row r="21514" spans="5:6" ht="15" customHeight="1" x14ac:dyDescent="0.2">
      <c r="E21514" s="7"/>
      <c r="F21514" s="7"/>
    </row>
    <row r="21515" spans="5:6" ht="15" customHeight="1" x14ac:dyDescent="0.2">
      <c r="E21515" s="7"/>
      <c r="F21515" s="7"/>
    </row>
    <row r="21516" spans="5:6" ht="15" customHeight="1" x14ac:dyDescent="0.2">
      <c r="E21516" s="7"/>
      <c r="F21516" s="7"/>
    </row>
    <row r="21517" spans="5:6" ht="15" customHeight="1" x14ac:dyDescent="0.2">
      <c r="E21517" s="7"/>
      <c r="F21517" s="7"/>
    </row>
    <row r="21518" spans="5:6" ht="15" customHeight="1" x14ac:dyDescent="0.2">
      <c r="E21518" s="7"/>
      <c r="F21518" s="7"/>
    </row>
    <row r="21519" spans="5:6" ht="15" customHeight="1" x14ac:dyDescent="0.2">
      <c r="E21519" s="7"/>
      <c r="F21519" s="7"/>
    </row>
    <row r="21520" spans="5:6" ht="15" customHeight="1" x14ac:dyDescent="0.2">
      <c r="E21520" s="7"/>
      <c r="F21520" s="7"/>
    </row>
    <row r="21521" spans="5:6" ht="15" customHeight="1" x14ac:dyDescent="0.2">
      <c r="E21521" s="7"/>
      <c r="F21521" s="7"/>
    </row>
    <row r="21522" spans="5:6" ht="15" customHeight="1" x14ac:dyDescent="0.2">
      <c r="E21522" s="7"/>
      <c r="F21522" s="7"/>
    </row>
    <row r="21523" spans="5:6" ht="15" customHeight="1" x14ac:dyDescent="0.2">
      <c r="E21523" s="7"/>
      <c r="F21523" s="7"/>
    </row>
    <row r="21524" spans="5:6" ht="15" customHeight="1" x14ac:dyDescent="0.2">
      <c r="E21524" s="7"/>
      <c r="F21524" s="7"/>
    </row>
    <row r="21525" spans="5:6" ht="15" customHeight="1" x14ac:dyDescent="0.2">
      <c r="E21525" s="7"/>
      <c r="F21525" s="7"/>
    </row>
    <row r="21526" spans="5:6" ht="15" customHeight="1" x14ac:dyDescent="0.2">
      <c r="E21526" s="7"/>
      <c r="F21526" s="7"/>
    </row>
    <row r="21527" spans="5:6" ht="15" customHeight="1" x14ac:dyDescent="0.2">
      <c r="E21527" s="7"/>
      <c r="F21527" s="7"/>
    </row>
    <row r="21528" spans="5:6" ht="15" customHeight="1" x14ac:dyDescent="0.2">
      <c r="E21528" s="7"/>
      <c r="F21528" s="7"/>
    </row>
    <row r="21529" spans="5:6" ht="15" customHeight="1" x14ac:dyDescent="0.2">
      <c r="E21529" s="7"/>
      <c r="F21529" s="7"/>
    </row>
    <row r="21530" spans="5:6" ht="15" customHeight="1" x14ac:dyDescent="0.2">
      <c r="E21530" s="7"/>
      <c r="F21530" s="7"/>
    </row>
    <row r="21531" spans="5:6" ht="15" customHeight="1" x14ac:dyDescent="0.2">
      <c r="E21531" s="7"/>
      <c r="F21531" s="7"/>
    </row>
    <row r="21532" spans="5:6" ht="15" customHeight="1" x14ac:dyDescent="0.2">
      <c r="E21532" s="7"/>
      <c r="F21532" s="7"/>
    </row>
    <row r="21533" spans="5:6" ht="15" customHeight="1" x14ac:dyDescent="0.2">
      <c r="E21533" s="7"/>
      <c r="F21533" s="7"/>
    </row>
    <row r="21534" spans="5:6" ht="15" customHeight="1" x14ac:dyDescent="0.2">
      <c r="E21534" s="7"/>
      <c r="F21534" s="7"/>
    </row>
    <row r="21535" spans="5:6" ht="15" customHeight="1" x14ac:dyDescent="0.2">
      <c r="E21535" s="7"/>
      <c r="F21535" s="7"/>
    </row>
    <row r="21536" spans="5:6" ht="15" customHeight="1" x14ac:dyDescent="0.2">
      <c r="E21536" s="7"/>
      <c r="F21536" s="7"/>
    </row>
    <row r="21537" spans="5:6" ht="15" customHeight="1" x14ac:dyDescent="0.2">
      <c r="E21537" s="7"/>
      <c r="F21537" s="7"/>
    </row>
    <row r="21538" spans="5:6" ht="15" customHeight="1" x14ac:dyDescent="0.2">
      <c r="E21538" s="7"/>
      <c r="F21538" s="7"/>
    </row>
    <row r="21539" spans="5:6" ht="15" customHeight="1" x14ac:dyDescent="0.2">
      <c r="E21539" s="7"/>
      <c r="F21539" s="7"/>
    </row>
    <row r="21540" spans="5:6" ht="15" customHeight="1" x14ac:dyDescent="0.2">
      <c r="E21540" s="7"/>
      <c r="F21540" s="7"/>
    </row>
    <row r="21541" spans="5:6" ht="15" customHeight="1" x14ac:dyDescent="0.2">
      <c r="E21541" s="7"/>
      <c r="F21541" s="7"/>
    </row>
    <row r="21542" spans="5:6" ht="15" customHeight="1" x14ac:dyDescent="0.2">
      <c r="E21542" s="7"/>
      <c r="F21542" s="7"/>
    </row>
    <row r="21543" spans="5:6" ht="15" customHeight="1" x14ac:dyDescent="0.2">
      <c r="E21543" s="7"/>
      <c r="F21543" s="7"/>
    </row>
    <row r="21544" spans="5:6" ht="15" customHeight="1" x14ac:dyDescent="0.2">
      <c r="E21544" s="7"/>
      <c r="F21544" s="7"/>
    </row>
    <row r="21545" spans="5:6" ht="15" customHeight="1" x14ac:dyDescent="0.2">
      <c r="E21545" s="7"/>
      <c r="F21545" s="7"/>
    </row>
    <row r="21546" spans="5:6" ht="15" customHeight="1" x14ac:dyDescent="0.2">
      <c r="E21546" s="7"/>
      <c r="F21546" s="7"/>
    </row>
    <row r="21547" spans="5:6" ht="15" customHeight="1" x14ac:dyDescent="0.2">
      <c r="E21547" s="7"/>
      <c r="F21547" s="7"/>
    </row>
    <row r="21548" spans="5:6" ht="15" customHeight="1" x14ac:dyDescent="0.2">
      <c r="E21548" s="7"/>
      <c r="F21548" s="7"/>
    </row>
    <row r="21549" spans="5:6" ht="15" customHeight="1" x14ac:dyDescent="0.2">
      <c r="E21549" s="7"/>
      <c r="F21549" s="7"/>
    </row>
    <row r="21550" spans="5:6" ht="15" customHeight="1" x14ac:dyDescent="0.2">
      <c r="E21550" s="7"/>
      <c r="F21550" s="7"/>
    </row>
    <row r="21551" spans="5:6" ht="15" customHeight="1" x14ac:dyDescent="0.2">
      <c r="E21551" s="7"/>
      <c r="F21551" s="7"/>
    </row>
    <row r="21552" spans="5:6" ht="15" customHeight="1" x14ac:dyDescent="0.2">
      <c r="E21552" s="7"/>
      <c r="F21552" s="7"/>
    </row>
    <row r="21553" spans="5:6" ht="15" customHeight="1" x14ac:dyDescent="0.2">
      <c r="E21553" s="7"/>
      <c r="F21553" s="7"/>
    </row>
    <row r="21554" spans="5:6" ht="15" customHeight="1" x14ac:dyDescent="0.2">
      <c r="E21554" s="7"/>
      <c r="F21554" s="7"/>
    </row>
    <row r="21555" spans="5:6" ht="15" customHeight="1" x14ac:dyDescent="0.2">
      <c r="E21555" s="7"/>
      <c r="F21555" s="7"/>
    </row>
    <row r="21556" spans="5:6" ht="15" customHeight="1" x14ac:dyDescent="0.2">
      <c r="E21556" s="7"/>
      <c r="F21556" s="7"/>
    </row>
    <row r="21557" spans="5:6" ht="15" customHeight="1" x14ac:dyDescent="0.2">
      <c r="E21557" s="7"/>
      <c r="F21557" s="7"/>
    </row>
    <row r="21558" spans="5:6" ht="15" customHeight="1" x14ac:dyDescent="0.2">
      <c r="E21558" s="7"/>
      <c r="F21558" s="7"/>
    </row>
    <row r="21559" spans="5:6" ht="15" customHeight="1" x14ac:dyDescent="0.2">
      <c r="E21559" s="7"/>
      <c r="F21559" s="7"/>
    </row>
    <row r="21560" spans="5:6" ht="15" customHeight="1" x14ac:dyDescent="0.2">
      <c r="E21560" s="7"/>
      <c r="F21560" s="7"/>
    </row>
    <row r="21561" spans="5:6" ht="15" customHeight="1" x14ac:dyDescent="0.2">
      <c r="E21561" s="7"/>
      <c r="F21561" s="7"/>
    </row>
    <row r="21562" spans="5:6" ht="15" customHeight="1" x14ac:dyDescent="0.2">
      <c r="E21562" s="7"/>
      <c r="F21562" s="7"/>
    </row>
    <row r="21563" spans="5:6" ht="15" customHeight="1" x14ac:dyDescent="0.2">
      <c r="E21563" s="7"/>
      <c r="F21563" s="7"/>
    </row>
    <row r="21564" spans="5:6" ht="15" customHeight="1" x14ac:dyDescent="0.2">
      <c r="E21564" s="7"/>
      <c r="F21564" s="7"/>
    </row>
    <row r="21565" spans="5:6" ht="15" customHeight="1" x14ac:dyDescent="0.2">
      <c r="E21565" s="7"/>
      <c r="F21565" s="7"/>
    </row>
    <row r="21566" spans="5:6" ht="15" customHeight="1" x14ac:dyDescent="0.2">
      <c r="E21566" s="7"/>
      <c r="F21566" s="7"/>
    </row>
    <row r="21567" spans="5:6" ht="15" customHeight="1" x14ac:dyDescent="0.2">
      <c r="E21567" s="7"/>
      <c r="F21567" s="7"/>
    </row>
    <row r="21568" spans="5:6" ht="15" customHeight="1" x14ac:dyDescent="0.2">
      <c r="E21568" s="7"/>
      <c r="F21568" s="7"/>
    </row>
    <row r="21569" spans="5:6" ht="15" customHeight="1" x14ac:dyDescent="0.2">
      <c r="E21569" s="7"/>
      <c r="F21569" s="7"/>
    </row>
    <row r="21570" spans="5:6" ht="15" customHeight="1" x14ac:dyDescent="0.2">
      <c r="E21570" s="7"/>
      <c r="F21570" s="7"/>
    </row>
    <row r="21571" spans="5:6" ht="15" customHeight="1" x14ac:dyDescent="0.2">
      <c r="E21571" s="7"/>
      <c r="F21571" s="7"/>
    </row>
    <row r="21572" spans="5:6" ht="15" customHeight="1" x14ac:dyDescent="0.2">
      <c r="E21572" s="7"/>
      <c r="F21572" s="7"/>
    </row>
    <row r="21573" spans="5:6" ht="15" customHeight="1" x14ac:dyDescent="0.2">
      <c r="E21573" s="7"/>
      <c r="F21573" s="7"/>
    </row>
    <row r="21574" spans="5:6" ht="15" customHeight="1" x14ac:dyDescent="0.2">
      <c r="E21574" s="7"/>
      <c r="F21574" s="7"/>
    </row>
    <row r="21575" spans="5:6" ht="15" customHeight="1" x14ac:dyDescent="0.2">
      <c r="E21575" s="7"/>
      <c r="F21575" s="7"/>
    </row>
    <row r="21576" spans="5:6" ht="15" customHeight="1" x14ac:dyDescent="0.2">
      <c r="E21576" s="7"/>
      <c r="F21576" s="7"/>
    </row>
    <row r="21577" spans="5:6" ht="15" customHeight="1" x14ac:dyDescent="0.2">
      <c r="E21577" s="7"/>
      <c r="F21577" s="7"/>
    </row>
    <row r="21578" spans="5:6" ht="15" customHeight="1" x14ac:dyDescent="0.2">
      <c r="E21578" s="7"/>
      <c r="F21578" s="7"/>
    </row>
    <row r="21579" spans="5:6" ht="15" customHeight="1" x14ac:dyDescent="0.2">
      <c r="E21579" s="7"/>
      <c r="F21579" s="7"/>
    </row>
    <row r="21580" spans="5:6" ht="15" customHeight="1" x14ac:dyDescent="0.2">
      <c r="E21580" s="7"/>
      <c r="F21580" s="7"/>
    </row>
    <row r="21581" spans="5:6" ht="15" customHeight="1" x14ac:dyDescent="0.2">
      <c r="E21581" s="7"/>
      <c r="F21581" s="7"/>
    </row>
    <row r="21582" spans="5:6" ht="15" customHeight="1" x14ac:dyDescent="0.2">
      <c r="E21582" s="7"/>
      <c r="F21582" s="7"/>
    </row>
    <row r="21583" spans="5:6" ht="15" customHeight="1" x14ac:dyDescent="0.2">
      <c r="E21583" s="7"/>
      <c r="F21583" s="7"/>
    </row>
    <row r="21584" spans="5:6" ht="15" customHeight="1" x14ac:dyDescent="0.2">
      <c r="E21584" s="7"/>
      <c r="F21584" s="7"/>
    </row>
    <row r="21585" spans="5:6" ht="15" customHeight="1" x14ac:dyDescent="0.2">
      <c r="E21585" s="7"/>
      <c r="F21585" s="7"/>
    </row>
    <row r="21586" spans="5:6" ht="15" customHeight="1" x14ac:dyDescent="0.2">
      <c r="E21586" s="7"/>
      <c r="F21586" s="7"/>
    </row>
    <row r="21587" spans="5:6" ht="15" customHeight="1" x14ac:dyDescent="0.2">
      <c r="E21587" s="7"/>
      <c r="F21587" s="7"/>
    </row>
    <row r="21588" spans="5:6" ht="15" customHeight="1" x14ac:dyDescent="0.2">
      <c r="E21588" s="7"/>
      <c r="F21588" s="7"/>
    </row>
    <row r="21589" spans="5:6" ht="15" customHeight="1" x14ac:dyDescent="0.2">
      <c r="E21589" s="7"/>
      <c r="F21589" s="7"/>
    </row>
    <row r="21590" spans="5:6" ht="15" customHeight="1" x14ac:dyDescent="0.2">
      <c r="E21590" s="7"/>
      <c r="F21590" s="7"/>
    </row>
    <row r="21591" spans="5:6" ht="15" customHeight="1" x14ac:dyDescent="0.2">
      <c r="E21591" s="7"/>
      <c r="F21591" s="7"/>
    </row>
    <row r="21592" spans="5:6" ht="15" customHeight="1" x14ac:dyDescent="0.2">
      <c r="E21592" s="7"/>
      <c r="F21592" s="7"/>
    </row>
    <row r="21593" spans="5:6" ht="15" customHeight="1" x14ac:dyDescent="0.2">
      <c r="E21593" s="7"/>
      <c r="F21593" s="7"/>
    </row>
    <row r="21594" spans="5:6" ht="15" customHeight="1" x14ac:dyDescent="0.2">
      <c r="E21594" s="7"/>
      <c r="F21594" s="7"/>
    </row>
    <row r="21595" spans="5:6" ht="15" customHeight="1" x14ac:dyDescent="0.2">
      <c r="E21595" s="7"/>
      <c r="F21595" s="7"/>
    </row>
    <row r="21596" spans="5:6" ht="15" customHeight="1" x14ac:dyDescent="0.2">
      <c r="E21596" s="7"/>
      <c r="F21596" s="7"/>
    </row>
    <row r="21597" spans="5:6" ht="15" customHeight="1" x14ac:dyDescent="0.2">
      <c r="E21597" s="7"/>
      <c r="F21597" s="7"/>
    </row>
    <row r="21598" spans="5:6" ht="15" customHeight="1" x14ac:dyDescent="0.2">
      <c r="E21598" s="7"/>
      <c r="F21598" s="7"/>
    </row>
    <row r="21599" spans="5:6" ht="15" customHeight="1" x14ac:dyDescent="0.2">
      <c r="E21599" s="7"/>
      <c r="F21599" s="7"/>
    </row>
    <row r="21600" spans="5:6" ht="15" customHeight="1" x14ac:dyDescent="0.2">
      <c r="E21600" s="7"/>
      <c r="F21600" s="7"/>
    </row>
    <row r="21601" spans="5:6" ht="15" customHeight="1" x14ac:dyDescent="0.2">
      <c r="E21601" s="7"/>
      <c r="F21601" s="7"/>
    </row>
    <row r="21602" spans="5:6" ht="15" customHeight="1" x14ac:dyDescent="0.2">
      <c r="E21602" s="7"/>
      <c r="F21602" s="7"/>
    </row>
    <row r="21603" spans="5:6" ht="15" customHeight="1" x14ac:dyDescent="0.2">
      <c r="E21603" s="7"/>
      <c r="F21603" s="7"/>
    </row>
    <row r="21604" spans="5:6" ht="15" customHeight="1" x14ac:dyDescent="0.2">
      <c r="E21604" s="7"/>
      <c r="F21604" s="7"/>
    </row>
    <row r="21605" spans="5:6" ht="15" customHeight="1" x14ac:dyDescent="0.2">
      <c r="E21605" s="7"/>
      <c r="F21605" s="7"/>
    </row>
    <row r="21606" spans="5:6" ht="15" customHeight="1" x14ac:dyDescent="0.2">
      <c r="E21606" s="7"/>
      <c r="F21606" s="7"/>
    </row>
    <row r="21607" spans="5:6" ht="15" customHeight="1" x14ac:dyDescent="0.2">
      <c r="E21607" s="7"/>
      <c r="F21607" s="7"/>
    </row>
    <row r="21608" spans="5:6" ht="15" customHeight="1" x14ac:dyDescent="0.2">
      <c r="E21608" s="7"/>
      <c r="F21608" s="7"/>
    </row>
    <row r="21609" spans="5:6" ht="15" customHeight="1" x14ac:dyDescent="0.2">
      <c r="E21609" s="7"/>
      <c r="F21609" s="7"/>
    </row>
    <row r="21610" spans="5:6" ht="15" customHeight="1" x14ac:dyDescent="0.2">
      <c r="E21610" s="7"/>
      <c r="F21610" s="7"/>
    </row>
    <row r="21611" spans="5:6" ht="15" customHeight="1" x14ac:dyDescent="0.2">
      <c r="E21611" s="7"/>
      <c r="F21611" s="7"/>
    </row>
    <row r="21612" spans="5:6" ht="15" customHeight="1" x14ac:dyDescent="0.2">
      <c r="E21612" s="7"/>
      <c r="F21612" s="7"/>
    </row>
    <row r="21613" spans="5:6" ht="15" customHeight="1" x14ac:dyDescent="0.2">
      <c r="E21613" s="7"/>
      <c r="F21613" s="7"/>
    </row>
    <row r="21614" spans="5:6" ht="15" customHeight="1" x14ac:dyDescent="0.2">
      <c r="E21614" s="7"/>
      <c r="F21614" s="7"/>
    </row>
    <row r="21615" spans="5:6" ht="15" customHeight="1" x14ac:dyDescent="0.2">
      <c r="E21615" s="7"/>
      <c r="F21615" s="7"/>
    </row>
    <row r="21616" spans="5:6" ht="15" customHeight="1" x14ac:dyDescent="0.2">
      <c r="E21616" s="7"/>
      <c r="F21616" s="7"/>
    </row>
    <row r="21617" spans="5:6" ht="15" customHeight="1" x14ac:dyDescent="0.2">
      <c r="E21617" s="7"/>
      <c r="F21617" s="7"/>
    </row>
    <row r="21618" spans="5:6" ht="15" customHeight="1" x14ac:dyDescent="0.2">
      <c r="E21618" s="7"/>
      <c r="F21618" s="7"/>
    </row>
    <row r="21619" spans="5:6" ht="15" customHeight="1" x14ac:dyDescent="0.2">
      <c r="E21619" s="7"/>
      <c r="F21619" s="7"/>
    </row>
    <row r="21620" spans="5:6" ht="15" customHeight="1" x14ac:dyDescent="0.2">
      <c r="E21620" s="7"/>
      <c r="F21620" s="7"/>
    </row>
    <row r="21621" spans="5:6" ht="15" customHeight="1" x14ac:dyDescent="0.2">
      <c r="E21621" s="7"/>
      <c r="F21621" s="7"/>
    </row>
    <row r="21622" spans="5:6" ht="15" customHeight="1" x14ac:dyDescent="0.2">
      <c r="E21622" s="7"/>
      <c r="F21622" s="7"/>
    </row>
    <row r="21623" spans="5:6" ht="15" customHeight="1" x14ac:dyDescent="0.2">
      <c r="E21623" s="7"/>
      <c r="F21623" s="7"/>
    </row>
    <row r="21624" spans="5:6" ht="15" customHeight="1" x14ac:dyDescent="0.2">
      <c r="E21624" s="7"/>
      <c r="F21624" s="7"/>
    </row>
    <row r="21625" spans="5:6" ht="15" customHeight="1" x14ac:dyDescent="0.2">
      <c r="E21625" s="7"/>
      <c r="F21625" s="7"/>
    </row>
    <row r="21626" spans="5:6" ht="15" customHeight="1" x14ac:dyDescent="0.2">
      <c r="E21626" s="7"/>
      <c r="F21626" s="7"/>
    </row>
    <row r="21627" spans="5:6" ht="15" customHeight="1" x14ac:dyDescent="0.2">
      <c r="E21627" s="7"/>
      <c r="F21627" s="7"/>
    </row>
    <row r="21628" spans="5:6" ht="15" customHeight="1" x14ac:dyDescent="0.2">
      <c r="E21628" s="7"/>
      <c r="F21628" s="7"/>
    </row>
    <row r="21629" spans="5:6" ht="15" customHeight="1" x14ac:dyDescent="0.2">
      <c r="E21629" s="7"/>
      <c r="F21629" s="7"/>
    </row>
    <row r="21630" spans="5:6" ht="15" customHeight="1" x14ac:dyDescent="0.2">
      <c r="E21630" s="7"/>
      <c r="F21630" s="7"/>
    </row>
    <row r="21631" spans="5:6" ht="15" customHeight="1" x14ac:dyDescent="0.2">
      <c r="E21631" s="7"/>
      <c r="F21631" s="7"/>
    </row>
    <row r="21632" spans="5:6" ht="15" customHeight="1" x14ac:dyDescent="0.2">
      <c r="E21632" s="7"/>
      <c r="F21632" s="7"/>
    </row>
    <row r="21633" spans="5:6" ht="15" customHeight="1" x14ac:dyDescent="0.2">
      <c r="E21633" s="7"/>
      <c r="F21633" s="7"/>
    </row>
    <row r="21634" spans="5:6" ht="15" customHeight="1" x14ac:dyDescent="0.2">
      <c r="E21634" s="7"/>
      <c r="F21634" s="7"/>
    </row>
    <row r="21635" spans="5:6" ht="15" customHeight="1" x14ac:dyDescent="0.2">
      <c r="E21635" s="7"/>
      <c r="F21635" s="7"/>
    </row>
    <row r="21636" spans="5:6" ht="15" customHeight="1" x14ac:dyDescent="0.2">
      <c r="E21636" s="7"/>
      <c r="F21636" s="7"/>
    </row>
    <row r="21637" spans="5:6" ht="15" customHeight="1" x14ac:dyDescent="0.2">
      <c r="E21637" s="7"/>
      <c r="F21637" s="7"/>
    </row>
    <row r="21638" spans="5:6" ht="15" customHeight="1" x14ac:dyDescent="0.2">
      <c r="E21638" s="7"/>
      <c r="F21638" s="7"/>
    </row>
    <row r="21639" spans="5:6" ht="15" customHeight="1" x14ac:dyDescent="0.2">
      <c r="E21639" s="7"/>
      <c r="F21639" s="7"/>
    </row>
    <row r="21640" spans="5:6" ht="15" customHeight="1" x14ac:dyDescent="0.2">
      <c r="E21640" s="7"/>
      <c r="F21640" s="7"/>
    </row>
    <row r="21641" spans="5:6" ht="15" customHeight="1" x14ac:dyDescent="0.2">
      <c r="E21641" s="7"/>
      <c r="F21641" s="7"/>
    </row>
    <row r="21642" spans="5:6" ht="15" customHeight="1" x14ac:dyDescent="0.2">
      <c r="E21642" s="7"/>
      <c r="F21642" s="7"/>
    </row>
    <row r="21643" spans="5:6" ht="15" customHeight="1" x14ac:dyDescent="0.2">
      <c r="E21643" s="7"/>
      <c r="F21643" s="7"/>
    </row>
    <row r="21644" spans="5:6" ht="15" customHeight="1" x14ac:dyDescent="0.2">
      <c r="E21644" s="7"/>
      <c r="F21644" s="7"/>
    </row>
    <row r="21645" spans="5:6" ht="15" customHeight="1" x14ac:dyDescent="0.2">
      <c r="E21645" s="7"/>
      <c r="F21645" s="7"/>
    </row>
    <row r="21646" spans="5:6" ht="15" customHeight="1" x14ac:dyDescent="0.2">
      <c r="E21646" s="7"/>
      <c r="F21646" s="7"/>
    </row>
    <row r="21647" spans="5:6" ht="15" customHeight="1" x14ac:dyDescent="0.2">
      <c r="E21647" s="7"/>
      <c r="F21647" s="7"/>
    </row>
    <row r="21648" spans="5:6" ht="15" customHeight="1" x14ac:dyDescent="0.2">
      <c r="E21648" s="7"/>
      <c r="F21648" s="7"/>
    </row>
    <row r="21649" spans="5:6" ht="15" customHeight="1" x14ac:dyDescent="0.2">
      <c r="E21649" s="7"/>
      <c r="F21649" s="7"/>
    </row>
    <row r="21650" spans="5:6" ht="15" customHeight="1" x14ac:dyDescent="0.2">
      <c r="E21650" s="7"/>
      <c r="F21650" s="7"/>
    </row>
    <row r="21651" spans="5:6" ht="15" customHeight="1" x14ac:dyDescent="0.2">
      <c r="E21651" s="7"/>
      <c r="F21651" s="7"/>
    </row>
    <row r="21652" spans="5:6" ht="15" customHeight="1" x14ac:dyDescent="0.2">
      <c r="E21652" s="7"/>
      <c r="F21652" s="7"/>
    </row>
    <row r="21653" spans="5:6" ht="15" customHeight="1" x14ac:dyDescent="0.2">
      <c r="E21653" s="7"/>
      <c r="F21653" s="7"/>
    </row>
    <row r="21654" spans="5:6" ht="15" customHeight="1" x14ac:dyDescent="0.2">
      <c r="E21654" s="7"/>
      <c r="F21654" s="7"/>
    </row>
    <row r="21655" spans="5:6" ht="15" customHeight="1" x14ac:dyDescent="0.2">
      <c r="E21655" s="7"/>
      <c r="F21655" s="7"/>
    </row>
    <row r="21656" spans="5:6" ht="15" customHeight="1" x14ac:dyDescent="0.2">
      <c r="E21656" s="7"/>
      <c r="F21656" s="7"/>
    </row>
    <row r="21657" spans="5:6" ht="15" customHeight="1" x14ac:dyDescent="0.2">
      <c r="E21657" s="7"/>
      <c r="F21657" s="7"/>
    </row>
    <row r="21658" spans="5:6" ht="15" customHeight="1" x14ac:dyDescent="0.2">
      <c r="E21658" s="7"/>
      <c r="F21658" s="7"/>
    </row>
    <row r="21659" spans="5:6" ht="15" customHeight="1" x14ac:dyDescent="0.2">
      <c r="E21659" s="7"/>
      <c r="F21659" s="7"/>
    </row>
    <row r="21660" spans="5:6" ht="15" customHeight="1" x14ac:dyDescent="0.2">
      <c r="E21660" s="7"/>
      <c r="F21660" s="7"/>
    </row>
    <row r="21661" spans="5:6" ht="15" customHeight="1" x14ac:dyDescent="0.2">
      <c r="E21661" s="7"/>
      <c r="F21661" s="7"/>
    </row>
    <row r="21662" spans="5:6" ht="15" customHeight="1" x14ac:dyDescent="0.2">
      <c r="E21662" s="7"/>
      <c r="F21662" s="7"/>
    </row>
    <row r="21663" spans="5:6" ht="15" customHeight="1" x14ac:dyDescent="0.2">
      <c r="E21663" s="7"/>
      <c r="F21663" s="7"/>
    </row>
    <row r="21664" spans="5:6" ht="15" customHeight="1" x14ac:dyDescent="0.2">
      <c r="E21664" s="7"/>
      <c r="F21664" s="7"/>
    </row>
    <row r="21665" spans="5:6" ht="15" customHeight="1" x14ac:dyDescent="0.2">
      <c r="E21665" s="7"/>
      <c r="F21665" s="7"/>
    </row>
    <row r="21666" spans="5:6" ht="15" customHeight="1" x14ac:dyDescent="0.2">
      <c r="E21666" s="7"/>
      <c r="F21666" s="7"/>
    </row>
    <row r="21667" spans="5:6" ht="15" customHeight="1" x14ac:dyDescent="0.2">
      <c r="E21667" s="7"/>
      <c r="F21667" s="7"/>
    </row>
    <row r="21668" spans="5:6" ht="15" customHeight="1" x14ac:dyDescent="0.2">
      <c r="E21668" s="7"/>
      <c r="F21668" s="7"/>
    </row>
    <row r="21669" spans="5:6" ht="15" customHeight="1" x14ac:dyDescent="0.2">
      <c r="E21669" s="7"/>
      <c r="F21669" s="7"/>
    </row>
    <row r="21670" spans="5:6" ht="15" customHeight="1" x14ac:dyDescent="0.2">
      <c r="E21670" s="7"/>
      <c r="F21670" s="7"/>
    </row>
    <row r="21671" spans="5:6" ht="15" customHeight="1" x14ac:dyDescent="0.2">
      <c r="E21671" s="7"/>
      <c r="F21671" s="7"/>
    </row>
    <row r="21672" spans="5:6" ht="15" customHeight="1" x14ac:dyDescent="0.2">
      <c r="E21672" s="7"/>
      <c r="F21672" s="7"/>
    </row>
    <row r="21673" spans="5:6" ht="15" customHeight="1" x14ac:dyDescent="0.2">
      <c r="E21673" s="7"/>
      <c r="F21673" s="7"/>
    </row>
    <row r="21674" spans="5:6" ht="15" customHeight="1" x14ac:dyDescent="0.2">
      <c r="E21674" s="7"/>
      <c r="F21674" s="7"/>
    </row>
    <row r="21675" spans="5:6" ht="15" customHeight="1" x14ac:dyDescent="0.2">
      <c r="E21675" s="7"/>
      <c r="F21675" s="7"/>
    </row>
    <row r="21676" spans="5:6" ht="15" customHeight="1" x14ac:dyDescent="0.2">
      <c r="E21676" s="7"/>
      <c r="F21676" s="7"/>
    </row>
    <row r="21677" spans="5:6" ht="15" customHeight="1" x14ac:dyDescent="0.2">
      <c r="E21677" s="7"/>
      <c r="F21677" s="7"/>
    </row>
    <row r="21678" spans="5:6" ht="15" customHeight="1" x14ac:dyDescent="0.2">
      <c r="E21678" s="7"/>
      <c r="F21678" s="7"/>
    </row>
    <row r="21679" spans="5:6" ht="15" customHeight="1" x14ac:dyDescent="0.2">
      <c r="E21679" s="7"/>
      <c r="F21679" s="7"/>
    </row>
    <row r="21680" spans="5:6" ht="15" customHeight="1" x14ac:dyDescent="0.2">
      <c r="E21680" s="7"/>
      <c r="F21680" s="7"/>
    </row>
    <row r="21681" spans="5:6" ht="15" customHeight="1" x14ac:dyDescent="0.2">
      <c r="E21681" s="7"/>
      <c r="F21681" s="7"/>
    </row>
    <row r="21682" spans="5:6" ht="15" customHeight="1" x14ac:dyDescent="0.2">
      <c r="E21682" s="7"/>
      <c r="F21682" s="7"/>
    </row>
    <row r="21683" spans="5:6" ht="15" customHeight="1" x14ac:dyDescent="0.2">
      <c r="E21683" s="7"/>
      <c r="F21683" s="7"/>
    </row>
    <row r="21684" spans="5:6" ht="15" customHeight="1" x14ac:dyDescent="0.2">
      <c r="E21684" s="7"/>
      <c r="F21684" s="7"/>
    </row>
    <row r="21685" spans="5:6" ht="15" customHeight="1" x14ac:dyDescent="0.2">
      <c r="E21685" s="7"/>
      <c r="F21685" s="7"/>
    </row>
    <row r="21686" spans="5:6" ht="15" customHeight="1" x14ac:dyDescent="0.2">
      <c r="E21686" s="7"/>
      <c r="F21686" s="7"/>
    </row>
    <row r="21687" spans="5:6" ht="15" customHeight="1" x14ac:dyDescent="0.2">
      <c r="E21687" s="7"/>
      <c r="F21687" s="7"/>
    </row>
    <row r="21688" spans="5:6" ht="15" customHeight="1" x14ac:dyDescent="0.2">
      <c r="E21688" s="7"/>
      <c r="F21688" s="7"/>
    </row>
    <row r="21689" spans="5:6" ht="15" customHeight="1" x14ac:dyDescent="0.2">
      <c r="E21689" s="7"/>
      <c r="F21689" s="7"/>
    </row>
    <row r="21690" spans="5:6" ht="15" customHeight="1" x14ac:dyDescent="0.2">
      <c r="E21690" s="7"/>
      <c r="F21690" s="7"/>
    </row>
    <row r="21691" spans="5:6" ht="15" customHeight="1" x14ac:dyDescent="0.2">
      <c r="E21691" s="7"/>
      <c r="F21691" s="7"/>
    </row>
    <row r="21692" spans="5:6" ht="15" customHeight="1" x14ac:dyDescent="0.2">
      <c r="E21692" s="7"/>
      <c r="F21692" s="7"/>
    </row>
    <row r="21693" spans="5:6" ht="15" customHeight="1" x14ac:dyDescent="0.2">
      <c r="E21693" s="7"/>
      <c r="F21693" s="7"/>
    </row>
    <row r="21694" spans="5:6" ht="15" customHeight="1" x14ac:dyDescent="0.2">
      <c r="E21694" s="7"/>
      <c r="F21694" s="7"/>
    </row>
    <row r="21695" spans="5:6" ht="15" customHeight="1" x14ac:dyDescent="0.2">
      <c r="E21695" s="7"/>
      <c r="F21695" s="7"/>
    </row>
    <row r="21696" spans="5:6" ht="15" customHeight="1" x14ac:dyDescent="0.2">
      <c r="E21696" s="7"/>
      <c r="F21696" s="7"/>
    </row>
    <row r="21697" spans="5:6" ht="15" customHeight="1" x14ac:dyDescent="0.2">
      <c r="E21697" s="7"/>
      <c r="F21697" s="7"/>
    </row>
    <row r="21698" spans="5:6" ht="15" customHeight="1" x14ac:dyDescent="0.2">
      <c r="E21698" s="7"/>
      <c r="F21698" s="7"/>
    </row>
    <row r="21699" spans="5:6" ht="15" customHeight="1" x14ac:dyDescent="0.2">
      <c r="E21699" s="7"/>
      <c r="F21699" s="7"/>
    </row>
    <row r="21700" spans="5:6" ht="15" customHeight="1" x14ac:dyDescent="0.2">
      <c r="E21700" s="7"/>
      <c r="F21700" s="7"/>
    </row>
    <row r="21701" spans="5:6" ht="15" customHeight="1" x14ac:dyDescent="0.2">
      <c r="E21701" s="7"/>
      <c r="F21701" s="7"/>
    </row>
    <row r="21702" spans="5:6" ht="15" customHeight="1" x14ac:dyDescent="0.2">
      <c r="E21702" s="7"/>
      <c r="F21702" s="7"/>
    </row>
    <row r="21703" spans="5:6" ht="15" customHeight="1" x14ac:dyDescent="0.2">
      <c r="E21703" s="7"/>
      <c r="F21703" s="7"/>
    </row>
    <row r="21704" spans="5:6" ht="15" customHeight="1" x14ac:dyDescent="0.2">
      <c r="E21704" s="7"/>
      <c r="F21704" s="7"/>
    </row>
    <row r="21705" spans="5:6" ht="15" customHeight="1" x14ac:dyDescent="0.2">
      <c r="E21705" s="7"/>
      <c r="F21705" s="7"/>
    </row>
    <row r="21706" spans="5:6" ht="15" customHeight="1" x14ac:dyDescent="0.2">
      <c r="E21706" s="7"/>
      <c r="F21706" s="7"/>
    </row>
    <row r="21707" spans="5:6" ht="15" customHeight="1" x14ac:dyDescent="0.2">
      <c r="E21707" s="7"/>
      <c r="F21707" s="7"/>
    </row>
    <row r="21708" spans="5:6" ht="15" customHeight="1" x14ac:dyDescent="0.2">
      <c r="E21708" s="7"/>
      <c r="F21708" s="7"/>
    </row>
    <row r="21709" spans="5:6" ht="15" customHeight="1" x14ac:dyDescent="0.2">
      <c r="E21709" s="7"/>
      <c r="F21709" s="7"/>
    </row>
    <row r="21710" spans="5:6" ht="15" customHeight="1" x14ac:dyDescent="0.2">
      <c r="E21710" s="7"/>
      <c r="F21710" s="7"/>
    </row>
    <row r="21711" spans="5:6" ht="15" customHeight="1" x14ac:dyDescent="0.2">
      <c r="E21711" s="7"/>
      <c r="F21711" s="7"/>
    </row>
    <row r="21712" spans="5:6" ht="15" customHeight="1" x14ac:dyDescent="0.2">
      <c r="E21712" s="7"/>
      <c r="F21712" s="7"/>
    </row>
    <row r="21713" spans="5:6" ht="15" customHeight="1" x14ac:dyDescent="0.2">
      <c r="E21713" s="7"/>
      <c r="F21713" s="7"/>
    </row>
    <row r="21714" spans="5:6" ht="15" customHeight="1" x14ac:dyDescent="0.2">
      <c r="E21714" s="7"/>
      <c r="F21714" s="7"/>
    </row>
    <row r="21715" spans="5:6" ht="15" customHeight="1" x14ac:dyDescent="0.2">
      <c r="E21715" s="7"/>
      <c r="F21715" s="7"/>
    </row>
    <row r="21716" spans="5:6" ht="15" customHeight="1" x14ac:dyDescent="0.2">
      <c r="E21716" s="7"/>
      <c r="F21716" s="7"/>
    </row>
    <row r="21717" spans="5:6" ht="15" customHeight="1" x14ac:dyDescent="0.2">
      <c r="E21717" s="7"/>
      <c r="F21717" s="7"/>
    </row>
    <row r="21718" spans="5:6" ht="15" customHeight="1" x14ac:dyDescent="0.2">
      <c r="E21718" s="7"/>
      <c r="F21718" s="7"/>
    </row>
    <row r="21719" spans="5:6" ht="15" customHeight="1" x14ac:dyDescent="0.2">
      <c r="E21719" s="7"/>
      <c r="F21719" s="7"/>
    </row>
    <row r="21720" spans="5:6" ht="15" customHeight="1" x14ac:dyDescent="0.2">
      <c r="E21720" s="7"/>
      <c r="F21720" s="7"/>
    </row>
    <row r="21721" spans="5:6" ht="15" customHeight="1" x14ac:dyDescent="0.2">
      <c r="E21721" s="7"/>
      <c r="F21721" s="7"/>
    </row>
    <row r="21722" spans="5:6" ht="15" customHeight="1" x14ac:dyDescent="0.2">
      <c r="E21722" s="7"/>
      <c r="F21722" s="7"/>
    </row>
    <row r="21723" spans="5:6" ht="15" customHeight="1" x14ac:dyDescent="0.2">
      <c r="E21723" s="7"/>
      <c r="F21723" s="7"/>
    </row>
    <row r="21724" spans="5:6" ht="15" customHeight="1" x14ac:dyDescent="0.2">
      <c r="E21724" s="7"/>
      <c r="F21724" s="7"/>
    </row>
    <row r="21725" spans="5:6" ht="15" customHeight="1" x14ac:dyDescent="0.2">
      <c r="E21725" s="7"/>
      <c r="F21725" s="7"/>
    </row>
    <row r="21726" spans="5:6" ht="15" customHeight="1" x14ac:dyDescent="0.2">
      <c r="E21726" s="7"/>
      <c r="F21726" s="7"/>
    </row>
    <row r="21727" spans="5:6" ht="15" customHeight="1" x14ac:dyDescent="0.2">
      <c r="E21727" s="7"/>
      <c r="F21727" s="7"/>
    </row>
    <row r="21728" spans="5:6" ht="15" customHeight="1" x14ac:dyDescent="0.2">
      <c r="E21728" s="7"/>
      <c r="F21728" s="7"/>
    </row>
    <row r="21729" spans="5:6" ht="15" customHeight="1" x14ac:dyDescent="0.2">
      <c r="E21729" s="7"/>
      <c r="F21729" s="7"/>
    </row>
    <row r="21730" spans="5:6" ht="15" customHeight="1" x14ac:dyDescent="0.2">
      <c r="E21730" s="7"/>
      <c r="F21730" s="7"/>
    </row>
    <row r="21731" spans="5:6" ht="15" customHeight="1" x14ac:dyDescent="0.2">
      <c r="E21731" s="7"/>
      <c r="F21731" s="7"/>
    </row>
    <row r="21732" spans="5:6" ht="15" customHeight="1" x14ac:dyDescent="0.2">
      <c r="E21732" s="7"/>
      <c r="F21732" s="7"/>
    </row>
    <row r="21733" spans="5:6" ht="15" customHeight="1" x14ac:dyDescent="0.2">
      <c r="E21733" s="7"/>
      <c r="F21733" s="7"/>
    </row>
    <row r="21734" spans="5:6" ht="15" customHeight="1" x14ac:dyDescent="0.2">
      <c r="E21734" s="7"/>
      <c r="F21734" s="7"/>
    </row>
    <row r="21735" spans="5:6" ht="15" customHeight="1" x14ac:dyDescent="0.2">
      <c r="E21735" s="7"/>
      <c r="F21735" s="7"/>
    </row>
    <row r="21736" spans="5:6" ht="15" customHeight="1" x14ac:dyDescent="0.2">
      <c r="E21736" s="7"/>
      <c r="F21736" s="7"/>
    </row>
    <row r="21737" spans="5:6" ht="15" customHeight="1" x14ac:dyDescent="0.2">
      <c r="E21737" s="7"/>
      <c r="F21737" s="7"/>
    </row>
    <row r="21738" spans="5:6" ht="15" customHeight="1" x14ac:dyDescent="0.2">
      <c r="E21738" s="7"/>
      <c r="F21738" s="7"/>
    </row>
    <row r="21739" spans="5:6" ht="15" customHeight="1" x14ac:dyDescent="0.2">
      <c r="E21739" s="7"/>
      <c r="F21739" s="7"/>
    </row>
    <row r="21740" spans="5:6" ht="15" customHeight="1" x14ac:dyDescent="0.2">
      <c r="E21740" s="7"/>
      <c r="F21740" s="7"/>
    </row>
    <row r="21741" spans="5:6" ht="15" customHeight="1" x14ac:dyDescent="0.2">
      <c r="E21741" s="7"/>
      <c r="F21741" s="7"/>
    </row>
    <row r="21742" spans="5:6" ht="15" customHeight="1" x14ac:dyDescent="0.2">
      <c r="E21742" s="7"/>
      <c r="F21742" s="7"/>
    </row>
    <row r="21743" spans="5:6" ht="15" customHeight="1" x14ac:dyDescent="0.2">
      <c r="E21743" s="7"/>
      <c r="F21743" s="7"/>
    </row>
    <row r="21744" spans="5:6" ht="15" customHeight="1" x14ac:dyDescent="0.2">
      <c r="E21744" s="7"/>
      <c r="F21744" s="7"/>
    </row>
    <row r="21745" spans="5:6" ht="15" customHeight="1" x14ac:dyDescent="0.2">
      <c r="E21745" s="7"/>
      <c r="F21745" s="7"/>
    </row>
    <row r="21746" spans="5:6" ht="15" customHeight="1" x14ac:dyDescent="0.2">
      <c r="E21746" s="7"/>
      <c r="F21746" s="7"/>
    </row>
    <row r="21747" spans="5:6" ht="15" customHeight="1" x14ac:dyDescent="0.2">
      <c r="E21747" s="7"/>
      <c r="F21747" s="7"/>
    </row>
    <row r="21748" spans="5:6" ht="15" customHeight="1" x14ac:dyDescent="0.2">
      <c r="E21748" s="7"/>
      <c r="F21748" s="7"/>
    </row>
    <row r="21749" spans="5:6" ht="15" customHeight="1" x14ac:dyDescent="0.2">
      <c r="E21749" s="7"/>
      <c r="F21749" s="7"/>
    </row>
    <row r="21750" spans="5:6" ht="15" customHeight="1" x14ac:dyDescent="0.2">
      <c r="E21750" s="7"/>
      <c r="F21750" s="7"/>
    </row>
    <row r="21751" spans="5:6" ht="15" customHeight="1" x14ac:dyDescent="0.2">
      <c r="E21751" s="7"/>
      <c r="F21751" s="7"/>
    </row>
    <row r="21752" spans="5:6" ht="15" customHeight="1" x14ac:dyDescent="0.2">
      <c r="E21752" s="7"/>
      <c r="F21752" s="7"/>
    </row>
    <row r="21753" spans="5:6" ht="15" customHeight="1" x14ac:dyDescent="0.2">
      <c r="E21753" s="7"/>
      <c r="F21753" s="7"/>
    </row>
    <row r="21754" spans="5:6" ht="15" customHeight="1" x14ac:dyDescent="0.2">
      <c r="E21754" s="7"/>
      <c r="F21754" s="7"/>
    </row>
    <row r="21755" spans="5:6" ht="15" customHeight="1" x14ac:dyDescent="0.2">
      <c r="E21755" s="7"/>
      <c r="F21755" s="7"/>
    </row>
    <row r="21756" spans="5:6" ht="15" customHeight="1" x14ac:dyDescent="0.2">
      <c r="E21756" s="7"/>
      <c r="F21756" s="7"/>
    </row>
    <row r="21757" spans="5:6" ht="15" customHeight="1" x14ac:dyDescent="0.2">
      <c r="E21757" s="7"/>
      <c r="F21757" s="7"/>
    </row>
    <row r="21758" spans="5:6" ht="15" customHeight="1" x14ac:dyDescent="0.2">
      <c r="E21758" s="7"/>
      <c r="F21758" s="7"/>
    </row>
    <row r="21759" spans="5:6" ht="15" customHeight="1" x14ac:dyDescent="0.2">
      <c r="E21759" s="7"/>
      <c r="F21759" s="7"/>
    </row>
    <row r="21760" spans="5:6" ht="15" customHeight="1" x14ac:dyDescent="0.2">
      <c r="E21760" s="7"/>
      <c r="F21760" s="7"/>
    </row>
    <row r="21761" spans="5:6" ht="15" customHeight="1" x14ac:dyDescent="0.2">
      <c r="E21761" s="7"/>
      <c r="F21761" s="7"/>
    </row>
    <row r="21762" spans="5:6" ht="15" customHeight="1" x14ac:dyDescent="0.2">
      <c r="E21762" s="7"/>
      <c r="F21762" s="7"/>
    </row>
    <row r="21763" spans="5:6" ht="15" customHeight="1" x14ac:dyDescent="0.2">
      <c r="E21763" s="7"/>
      <c r="F21763" s="7"/>
    </row>
    <row r="21764" spans="5:6" ht="15" customHeight="1" x14ac:dyDescent="0.2">
      <c r="E21764" s="7"/>
      <c r="F21764" s="7"/>
    </row>
    <row r="21765" spans="5:6" ht="15" customHeight="1" x14ac:dyDescent="0.2">
      <c r="E21765" s="7"/>
      <c r="F21765" s="7"/>
    </row>
    <row r="21766" spans="5:6" ht="15" customHeight="1" x14ac:dyDescent="0.2">
      <c r="E21766" s="7"/>
      <c r="F21766" s="7"/>
    </row>
    <row r="21767" spans="5:6" ht="15" customHeight="1" x14ac:dyDescent="0.2">
      <c r="E21767" s="7"/>
      <c r="F21767" s="7"/>
    </row>
    <row r="21768" spans="5:6" ht="15" customHeight="1" x14ac:dyDescent="0.2">
      <c r="E21768" s="7"/>
      <c r="F21768" s="7"/>
    </row>
    <row r="21769" spans="5:6" ht="15" customHeight="1" x14ac:dyDescent="0.2">
      <c r="E21769" s="7"/>
      <c r="F21769" s="7"/>
    </row>
    <row r="21770" spans="5:6" ht="15" customHeight="1" x14ac:dyDescent="0.2">
      <c r="E21770" s="7"/>
      <c r="F21770" s="7"/>
    </row>
    <row r="21771" spans="5:6" ht="15" customHeight="1" x14ac:dyDescent="0.2">
      <c r="E21771" s="7"/>
      <c r="F21771" s="7"/>
    </row>
    <row r="21772" spans="5:6" ht="15" customHeight="1" x14ac:dyDescent="0.2">
      <c r="E21772" s="7"/>
      <c r="F21772" s="7"/>
    </row>
    <row r="21773" spans="5:6" ht="15" customHeight="1" x14ac:dyDescent="0.2">
      <c r="E21773" s="7"/>
      <c r="F21773" s="7"/>
    </row>
    <row r="21774" spans="5:6" ht="15" customHeight="1" x14ac:dyDescent="0.2">
      <c r="E21774" s="7"/>
      <c r="F21774" s="7"/>
    </row>
    <row r="21775" spans="5:6" ht="15" customHeight="1" x14ac:dyDescent="0.2">
      <c r="E21775" s="7"/>
      <c r="F21775" s="7"/>
    </row>
    <row r="21776" spans="5:6" ht="15" customHeight="1" x14ac:dyDescent="0.2">
      <c r="E21776" s="7"/>
      <c r="F21776" s="7"/>
    </row>
    <row r="21777" spans="5:6" ht="15" customHeight="1" x14ac:dyDescent="0.2">
      <c r="E21777" s="7"/>
      <c r="F21777" s="7"/>
    </row>
    <row r="21778" spans="5:6" ht="15" customHeight="1" x14ac:dyDescent="0.2">
      <c r="E21778" s="7"/>
      <c r="F21778" s="7"/>
    </row>
    <row r="21779" spans="5:6" ht="15" customHeight="1" x14ac:dyDescent="0.2">
      <c r="E21779" s="7"/>
      <c r="F21779" s="7"/>
    </row>
    <row r="21780" spans="5:6" ht="15" customHeight="1" x14ac:dyDescent="0.2">
      <c r="E21780" s="7"/>
      <c r="F21780" s="7"/>
    </row>
    <row r="21781" spans="5:6" ht="15" customHeight="1" x14ac:dyDescent="0.2">
      <c r="E21781" s="7"/>
      <c r="F21781" s="7"/>
    </row>
    <row r="21782" spans="5:6" ht="15" customHeight="1" x14ac:dyDescent="0.2">
      <c r="E21782" s="7"/>
      <c r="F21782" s="7"/>
    </row>
    <row r="21783" spans="5:6" ht="15" customHeight="1" x14ac:dyDescent="0.2">
      <c r="E21783" s="7"/>
      <c r="F21783" s="7"/>
    </row>
    <row r="21784" spans="5:6" ht="15" customHeight="1" x14ac:dyDescent="0.2">
      <c r="E21784" s="7"/>
      <c r="F21784" s="7"/>
    </row>
    <row r="21785" spans="5:6" ht="15" customHeight="1" x14ac:dyDescent="0.2">
      <c r="E21785" s="7"/>
      <c r="F21785" s="7"/>
    </row>
    <row r="21786" spans="5:6" ht="15" customHeight="1" x14ac:dyDescent="0.2">
      <c r="E21786" s="7"/>
      <c r="F21786" s="7"/>
    </row>
    <row r="21787" spans="5:6" ht="15" customHeight="1" x14ac:dyDescent="0.2">
      <c r="E21787" s="7"/>
      <c r="F21787" s="7"/>
    </row>
    <row r="21788" spans="5:6" ht="15" customHeight="1" x14ac:dyDescent="0.2">
      <c r="E21788" s="7"/>
      <c r="F21788" s="7"/>
    </row>
    <row r="21789" spans="5:6" ht="15" customHeight="1" x14ac:dyDescent="0.2">
      <c r="E21789" s="7"/>
      <c r="F21789" s="7"/>
    </row>
    <row r="21790" spans="5:6" ht="15" customHeight="1" x14ac:dyDescent="0.2">
      <c r="E21790" s="7"/>
      <c r="F21790" s="7"/>
    </row>
    <row r="21791" spans="5:6" ht="15" customHeight="1" x14ac:dyDescent="0.2">
      <c r="E21791" s="7"/>
      <c r="F21791" s="7"/>
    </row>
    <row r="21792" spans="5:6" ht="15" customHeight="1" x14ac:dyDescent="0.2">
      <c r="E21792" s="7"/>
      <c r="F21792" s="7"/>
    </row>
    <row r="21793" spans="5:6" ht="15" customHeight="1" x14ac:dyDescent="0.2">
      <c r="E21793" s="7"/>
      <c r="F21793" s="7"/>
    </row>
    <row r="21794" spans="5:6" ht="15" customHeight="1" x14ac:dyDescent="0.2">
      <c r="E21794" s="7"/>
      <c r="F21794" s="7"/>
    </row>
    <row r="21795" spans="5:6" ht="15" customHeight="1" x14ac:dyDescent="0.2">
      <c r="E21795" s="7"/>
      <c r="F21795" s="7"/>
    </row>
    <row r="21796" spans="5:6" ht="15" customHeight="1" x14ac:dyDescent="0.2">
      <c r="E21796" s="7"/>
      <c r="F21796" s="7"/>
    </row>
    <row r="21797" spans="5:6" ht="15" customHeight="1" x14ac:dyDescent="0.2">
      <c r="E21797" s="7"/>
      <c r="F21797" s="7"/>
    </row>
    <row r="21798" spans="5:6" ht="15" customHeight="1" x14ac:dyDescent="0.2">
      <c r="E21798" s="7"/>
      <c r="F21798" s="7"/>
    </row>
    <row r="21799" spans="5:6" ht="15" customHeight="1" x14ac:dyDescent="0.2">
      <c r="E21799" s="7"/>
      <c r="F21799" s="7"/>
    </row>
    <row r="21800" spans="5:6" ht="15" customHeight="1" x14ac:dyDescent="0.2">
      <c r="E21800" s="7"/>
      <c r="F21800" s="7"/>
    </row>
    <row r="21801" spans="5:6" ht="15" customHeight="1" x14ac:dyDescent="0.2">
      <c r="E21801" s="7"/>
      <c r="F21801" s="7"/>
    </row>
    <row r="21802" spans="5:6" ht="15" customHeight="1" x14ac:dyDescent="0.2">
      <c r="E21802" s="7"/>
      <c r="F21802" s="7"/>
    </row>
    <row r="21803" spans="5:6" ht="15" customHeight="1" x14ac:dyDescent="0.2">
      <c r="E21803" s="7"/>
      <c r="F21803" s="7"/>
    </row>
    <row r="21804" spans="5:6" ht="15" customHeight="1" x14ac:dyDescent="0.2">
      <c r="E21804" s="7"/>
      <c r="F21804" s="7"/>
    </row>
    <row r="21805" spans="5:6" ht="15" customHeight="1" x14ac:dyDescent="0.2">
      <c r="E21805" s="7"/>
      <c r="F21805" s="7"/>
    </row>
    <row r="21806" spans="5:6" ht="15" customHeight="1" x14ac:dyDescent="0.2">
      <c r="E21806" s="7"/>
      <c r="F21806" s="7"/>
    </row>
    <row r="21807" spans="5:6" ht="15" customHeight="1" x14ac:dyDescent="0.2">
      <c r="E21807" s="7"/>
      <c r="F21807" s="7"/>
    </row>
    <row r="21808" spans="5:6" ht="15" customHeight="1" x14ac:dyDescent="0.2">
      <c r="E21808" s="7"/>
      <c r="F21808" s="7"/>
    </row>
    <row r="21809" spans="5:6" ht="15" customHeight="1" x14ac:dyDescent="0.2">
      <c r="E21809" s="7"/>
      <c r="F21809" s="7"/>
    </row>
    <row r="21810" spans="5:6" ht="15" customHeight="1" x14ac:dyDescent="0.2">
      <c r="E21810" s="7"/>
      <c r="F21810" s="7"/>
    </row>
    <row r="21811" spans="5:6" ht="15" customHeight="1" x14ac:dyDescent="0.2">
      <c r="E21811" s="7"/>
      <c r="F21811" s="7"/>
    </row>
    <row r="21812" spans="5:6" ht="15" customHeight="1" x14ac:dyDescent="0.2">
      <c r="E21812" s="7"/>
      <c r="F21812" s="7"/>
    </row>
    <row r="21813" spans="5:6" ht="15" customHeight="1" x14ac:dyDescent="0.2">
      <c r="E21813" s="7"/>
      <c r="F21813" s="7"/>
    </row>
    <row r="21814" spans="5:6" ht="15" customHeight="1" x14ac:dyDescent="0.2">
      <c r="E21814" s="7"/>
      <c r="F21814" s="7"/>
    </row>
    <row r="21815" spans="5:6" ht="15" customHeight="1" x14ac:dyDescent="0.2">
      <c r="E21815" s="7"/>
      <c r="F21815" s="7"/>
    </row>
    <row r="21816" spans="5:6" ht="15" customHeight="1" x14ac:dyDescent="0.2">
      <c r="E21816" s="7"/>
      <c r="F21816" s="7"/>
    </row>
    <row r="21817" spans="5:6" ht="15" customHeight="1" x14ac:dyDescent="0.2">
      <c r="E21817" s="7"/>
      <c r="F21817" s="7"/>
    </row>
    <row r="21818" spans="5:6" ht="15" customHeight="1" x14ac:dyDescent="0.2">
      <c r="E21818" s="7"/>
      <c r="F21818" s="7"/>
    </row>
    <row r="21819" spans="5:6" ht="15" customHeight="1" x14ac:dyDescent="0.2">
      <c r="E21819" s="7"/>
      <c r="F21819" s="7"/>
    </row>
    <row r="21820" spans="5:6" ht="15" customHeight="1" x14ac:dyDescent="0.2">
      <c r="E21820" s="7"/>
      <c r="F21820" s="7"/>
    </row>
    <row r="21821" spans="5:6" ht="15" customHeight="1" x14ac:dyDescent="0.2">
      <c r="E21821" s="7"/>
      <c r="F21821" s="7"/>
    </row>
    <row r="21822" spans="5:6" ht="15" customHeight="1" x14ac:dyDescent="0.2">
      <c r="E21822" s="7"/>
      <c r="F21822" s="7"/>
    </row>
    <row r="21823" spans="5:6" ht="15" customHeight="1" x14ac:dyDescent="0.2">
      <c r="E21823" s="7"/>
      <c r="F21823" s="7"/>
    </row>
    <row r="21824" spans="5:6" ht="15" customHeight="1" x14ac:dyDescent="0.2">
      <c r="E21824" s="7"/>
      <c r="F21824" s="7"/>
    </row>
    <row r="21825" spans="5:6" ht="15" customHeight="1" x14ac:dyDescent="0.2">
      <c r="E21825" s="7"/>
      <c r="F21825" s="7"/>
    </row>
    <row r="21826" spans="5:6" ht="15" customHeight="1" x14ac:dyDescent="0.2">
      <c r="E21826" s="7"/>
      <c r="F21826" s="7"/>
    </row>
    <row r="21827" spans="5:6" ht="15" customHeight="1" x14ac:dyDescent="0.2">
      <c r="E21827" s="7"/>
      <c r="F21827" s="7"/>
    </row>
    <row r="21828" spans="5:6" ht="15" customHeight="1" x14ac:dyDescent="0.2">
      <c r="E21828" s="7"/>
      <c r="F21828" s="7"/>
    </row>
    <row r="21829" spans="5:6" ht="15" customHeight="1" x14ac:dyDescent="0.2">
      <c r="E21829" s="7"/>
      <c r="F21829" s="7"/>
    </row>
    <row r="21830" spans="5:6" ht="15" customHeight="1" x14ac:dyDescent="0.2">
      <c r="E21830" s="7"/>
      <c r="F21830" s="7"/>
    </row>
    <row r="21831" spans="5:6" ht="15" customHeight="1" x14ac:dyDescent="0.2">
      <c r="E21831" s="7"/>
      <c r="F21831" s="7"/>
    </row>
    <row r="21832" spans="5:6" ht="15" customHeight="1" x14ac:dyDescent="0.2">
      <c r="E21832" s="7"/>
      <c r="F21832" s="7"/>
    </row>
    <row r="21833" spans="5:6" ht="15" customHeight="1" x14ac:dyDescent="0.2">
      <c r="E21833" s="7"/>
      <c r="F21833" s="7"/>
    </row>
    <row r="21834" spans="5:6" ht="15" customHeight="1" x14ac:dyDescent="0.2">
      <c r="E21834" s="7"/>
      <c r="F21834" s="7"/>
    </row>
    <row r="21835" spans="5:6" ht="15" customHeight="1" x14ac:dyDescent="0.2">
      <c r="E21835" s="7"/>
      <c r="F21835" s="7"/>
    </row>
    <row r="21836" spans="5:6" ht="15" customHeight="1" x14ac:dyDescent="0.2">
      <c r="E21836" s="7"/>
      <c r="F21836" s="7"/>
    </row>
    <row r="21837" spans="5:6" ht="15" customHeight="1" x14ac:dyDescent="0.2">
      <c r="E21837" s="7"/>
      <c r="F21837" s="7"/>
    </row>
    <row r="21838" spans="5:6" ht="15" customHeight="1" x14ac:dyDescent="0.2">
      <c r="E21838" s="7"/>
      <c r="F21838" s="7"/>
    </row>
    <row r="21839" spans="5:6" ht="15" customHeight="1" x14ac:dyDescent="0.2">
      <c r="E21839" s="7"/>
      <c r="F21839" s="7"/>
    </row>
    <row r="21840" spans="5:6" ht="15" customHeight="1" x14ac:dyDescent="0.2">
      <c r="E21840" s="7"/>
      <c r="F21840" s="7"/>
    </row>
    <row r="21841" spans="5:6" ht="15" customHeight="1" x14ac:dyDescent="0.2">
      <c r="E21841" s="7"/>
      <c r="F21841" s="7"/>
    </row>
    <row r="21842" spans="5:6" ht="15" customHeight="1" x14ac:dyDescent="0.2">
      <c r="E21842" s="7"/>
      <c r="F21842" s="7"/>
    </row>
    <row r="21843" spans="5:6" ht="15" customHeight="1" x14ac:dyDescent="0.2">
      <c r="E21843" s="7"/>
      <c r="F21843" s="7"/>
    </row>
    <row r="21844" spans="5:6" ht="15" customHeight="1" x14ac:dyDescent="0.2">
      <c r="E21844" s="7"/>
      <c r="F21844" s="7"/>
    </row>
    <row r="21845" spans="5:6" ht="15" customHeight="1" x14ac:dyDescent="0.2">
      <c r="E21845" s="7"/>
      <c r="F21845" s="7"/>
    </row>
    <row r="21846" spans="5:6" ht="15" customHeight="1" x14ac:dyDescent="0.2">
      <c r="E21846" s="7"/>
      <c r="F21846" s="7"/>
    </row>
    <row r="21847" spans="5:6" ht="15" customHeight="1" x14ac:dyDescent="0.2">
      <c r="E21847" s="7"/>
      <c r="F21847" s="7"/>
    </row>
    <row r="21848" spans="5:6" ht="15" customHeight="1" x14ac:dyDescent="0.2">
      <c r="E21848" s="7"/>
      <c r="F21848" s="7"/>
    </row>
    <row r="21849" spans="5:6" ht="15" customHeight="1" x14ac:dyDescent="0.2">
      <c r="E21849" s="7"/>
      <c r="F21849" s="7"/>
    </row>
    <row r="21850" spans="5:6" ht="15" customHeight="1" x14ac:dyDescent="0.2">
      <c r="E21850" s="7"/>
      <c r="F21850" s="7"/>
    </row>
    <row r="21851" spans="5:6" ht="15" customHeight="1" x14ac:dyDescent="0.2">
      <c r="E21851" s="7"/>
      <c r="F21851" s="7"/>
    </row>
    <row r="21852" spans="5:6" ht="15" customHeight="1" x14ac:dyDescent="0.2">
      <c r="E21852" s="7"/>
      <c r="F21852" s="7"/>
    </row>
    <row r="21853" spans="5:6" ht="15" customHeight="1" x14ac:dyDescent="0.2">
      <c r="E21853" s="7"/>
      <c r="F21853" s="7"/>
    </row>
    <row r="21854" spans="5:6" ht="15" customHeight="1" x14ac:dyDescent="0.2">
      <c r="E21854" s="7"/>
      <c r="F21854" s="7"/>
    </row>
    <row r="21855" spans="5:6" ht="15" customHeight="1" x14ac:dyDescent="0.2">
      <c r="E21855" s="7"/>
      <c r="F21855" s="7"/>
    </row>
    <row r="21856" spans="5:6" ht="15" customHeight="1" x14ac:dyDescent="0.2">
      <c r="E21856" s="7"/>
      <c r="F21856" s="7"/>
    </row>
    <row r="21857" spans="5:6" ht="15" customHeight="1" x14ac:dyDescent="0.2">
      <c r="E21857" s="7"/>
      <c r="F21857" s="7"/>
    </row>
    <row r="21858" spans="5:6" ht="15" customHeight="1" x14ac:dyDescent="0.2">
      <c r="E21858" s="7"/>
      <c r="F21858" s="7"/>
    </row>
    <row r="21859" spans="5:6" ht="15" customHeight="1" x14ac:dyDescent="0.2">
      <c r="E21859" s="7"/>
      <c r="F21859" s="7"/>
    </row>
    <row r="21860" spans="5:6" ht="15" customHeight="1" x14ac:dyDescent="0.2">
      <c r="E21860" s="7"/>
      <c r="F21860" s="7"/>
    </row>
    <row r="21861" spans="5:6" ht="15" customHeight="1" x14ac:dyDescent="0.2">
      <c r="E21861" s="7"/>
      <c r="F21861" s="7"/>
    </row>
    <row r="21862" spans="5:6" ht="15" customHeight="1" x14ac:dyDescent="0.2">
      <c r="E21862" s="7"/>
      <c r="F21862" s="7"/>
    </row>
    <row r="21863" spans="5:6" ht="15" customHeight="1" x14ac:dyDescent="0.2">
      <c r="E21863" s="7"/>
      <c r="F21863" s="7"/>
    </row>
    <row r="21864" spans="5:6" ht="15" customHeight="1" x14ac:dyDescent="0.2">
      <c r="E21864" s="7"/>
      <c r="F21864" s="7"/>
    </row>
    <row r="21865" spans="5:6" ht="15" customHeight="1" x14ac:dyDescent="0.2">
      <c r="E21865" s="7"/>
      <c r="F21865" s="7"/>
    </row>
    <row r="21866" spans="5:6" ht="15" customHeight="1" x14ac:dyDescent="0.2">
      <c r="E21866" s="7"/>
      <c r="F21866" s="7"/>
    </row>
    <row r="21867" spans="5:6" ht="15" customHeight="1" x14ac:dyDescent="0.2">
      <c r="E21867" s="7"/>
      <c r="F21867" s="7"/>
    </row>
    <row r="21868" spans="5:6" ht="15" customHeight="1" x14ac:dyDescent="0.2">
      <c r="E21868" s="7"/>
      <c r="F21868" s="7"/>
    </row>
    <row r="21869" spans="5:6" ht="15" customHeight="1" x14ac:dyDescent="0.2">
      <c r="E21869" s="7"/>
      <c r="F21869" s="7"/>
    </row>
    <row r="21870" spans="5:6" ht="15" customHeight="1" x14ac:dyDescent="0.2">
      <c r="E21870" s="7"/>
      <c r="F21870" s="7"/>
    </row>
    <row r="21871" spans="5:6" ht="15" customHeight="1" x14ac:dyDescent="0.2">
      <c r="E21871" s="7"/>
      <c r="F21871" s="7"/>
    </row>
    <row r="21872" spans="5:6" ht="15" customHeight="1" x14ac:dyDescent="0.2">
      <c r="E21872" s="7"/>
      <c r="F21872" s="7"/>
    </row>
    <row r="21873" spans="5:6" ht="15" customHeight="1" x14ac:dyDescent="0.2">
      <c r="E21873" s="7"/>
      <c r="F21873" s="7"/>
    </row>
    <row r="21874" spans="5:6" ht="15" customHeight="1" x14ac:dyDescent="0.2">
      <c r="E21874" s="7"/>
      <c r="F21874" s="7"/>
    </row>
    <row r="21875" spans="5:6" ht="15" customHeight="1" x14ac:dyDescent="0.2">
      <c r="E21875" s="7"/>
      <c r="F21875" s="7"/>
    </row>
    <row r="21876" spans="5:6" ht="15" customHeight="1" x14ac:dyDescent="0.2">
      <c r="E21876" s="7"/>
      <c r="F21876" s="7"/>
    </row>
    <row r="21877" spans="5:6" ht="15" customHeight="1" x14ac:dyDescent="0.2">
      <c r="E21877" s="7"/>
      <c r="F21877" s="7"/>
    </row>
    <row r="21878" spans="5:6" ht="15" customHeight="1" x14ac:dyDescent="0.2">
      <c r="E21878" s="7"/>
      <c r="F21878" s="7"/>
    </row>
    <row r="21879" spans="5:6" ht="15" customHeight="1" x14ac:dyDescent="0.2">
      <c r="E21879" s="7"/>
      <c r="F21879" s="7"/>
    </row>
    <row r="21880" spans="5:6" ht="15" customHeight="1" x14ac:dyDescent="0.2">
      <c r="E21880" s="7"/>
      <c r="F21880" s="7"/>
    </row>
    <row r="21881" spans="5:6" ht="15" customHeight="1" x14ac:dyDescent="0.2">
      <c r="E21881" s="7"/>
      <c r="F21881" s="7"/>
    </row>
    <row r="21882" spans="5:6" ht="15" customHeight="1" x14ac:dyDescent="0.2">
      <c r="E21882" s="7"/>
      <c r="F21882" s="7"/>
    </row>
    <row r="21883" spans="5:6" ht="15" customHeight="1" x14ac:dyDescent="0.2">
      <c r="E21883" s="7"/>
      <c r="F21883" s="7"/>
    </row>
    <row r="21884" spans="5:6" ht="15" customHeight="1" x14ac:dyDescent="0.2">
      <c r="E21884" s="7"/>
      <c r="F21884" s="7"/>
    </row>
    <row r="21885" spans="5:6" ht="15" customHeight="1" x14ac:dyDescent="0.2">
      <c r="E21885" s="7"/>
      <c r="F21885" s="7"/>
    </row>
    <row r="21886" spans="5:6" ht="15" customHeight="1" x14ac:dyDescent="0.2">
      <c r="E21886" s="7"/>
      <c r="F21886" s="7"/>
    </row>
    <row r="21887" spans="5:6" ht="15" customHeight="1" x14ac:dyDescent="0.2">
      <c r="E21887" s="7"/>
      <c r="F21887" s="7"/>
    </row>
    <row r="21888" spans="5:6" ht="15" customHeight="1" x14ac:dyDescent="0.2">
      <c r="E21888" s="7"/>
      <c r="F21888" s="7"/>
    </row>
    <row r="21889" spans="5:6" ht="15" customHeight="1" x14ac:dyDescent="0.2">
      <c r="E21889" s="7"/>
      <c r="F21889" s="7"/>
    </row>
    <row r="21890" spans="5:6" ht="15" customHeight="1" x14ac:dyDescent="0.2">
      <c r="E21890" s="7"/>
      <c r="F21890" s="7"/>
    </row>
    <row r="21891" spans="5:6" ht="15" customHeight="1" x14ac:dyDescent="0.2">
      <c r="E21891" s="7"/>
      <c r="F21891" s="7"/>
    </row>
    <row r="21892" spans="5:6" ht="15" customHeight="1" x14ac:dyDescent="0.2">
      <c r="E21892" s="7"/>
      <c r="F21892" s="7"/>
    </row>
    <row r="21893" spans="5:6" ht="15" customHeight="1" x14ac:dyDescent="0.2">
      <c r="E21893" s="7"/>
      <c r="F21893" s="7"/>
    </row>
    <row r="21894" spans="5:6" ht="15" customHeight="1" x14ac:dyDescent="0.2">
      <c r="E21894" s="7"/>
      <c r="F21894" s="7"/>
    </row>
    <row r="21895" spans="5:6" ht="15" customHeight="1" x14ac:dyDescent="0.2">
      <c r="E21895" s="7"/>
      <c r="F21895" s="7"/>
    </row>
    <row r="21896" spans="5:6" ht="15" customHeight="1" x14ac:dyDescent="0.2">
      <c r="E21896" s="7"/>
      <c r="F21896" s="7"/>
    </row>
    <row r="21897" spans="5:6" ht="15" customHeight="1" x14ac:dyDescent="0.2">
      <c r="E21897" s="7"/>
      <c r="F21897" s="7"/>
    </row>
    <row r="21898" spans="5:6" ht="15" customHeight="1" x14ac:dyDescent="0.2">
      <c r="E21898" s="7"/>
      <c r="F21898" s="7"/>
    </row>
    <row r="21899" spans="5:6" ht="15" customHeight="1" x14ac:dyDescent="0.2">
      <c r="E21899" s="7"/>
      <c r="F21899" s="7"/>
    </row>
    <row r="21900" spans="5:6" ht="15" customHeight="1" x14ac:dyDescent="0.2">
      <c r="E21900" s="7"/>
      <c r="F21900" s="7"/>
    </row>
    <row r="21901" spans="5:6" ht="15" customHeight="1" x14ac:dyDescent="0.2">
      <c r="E21901" s="7"/>
      <c r="F21901" s="7"/>
    </row>
    <row r="21902" spans="5:6" ht="15" customHeight="1" x14ac:dyDescent="0.2">
      <c r="E21902" s="7"/>
      <c r="F21902" s="7"/>
    </row>
    <row r="21903" spans="5:6" ht="15" customHeight="1" x14ac:dyDescent="0.2">
      <c r="E21903" s="7"/>
      <c r="F21903" s="7"/>
    </row>
    <row r="21904" spans="5:6" ht="15" customHeight="1" x14ac:dyDescent="0.2">
      <c r="E21904" s="7"/>
      <c r="F21904" s="7"/>
    </row>
    <row r="21905" spans="5:6" ht="15" customHeight="1" x14ac:dyDescent="0.2">
      <c r="E21905" s="7"/>
      <c r="F21905" s="7"/>
    </row>
    <row r="21906" spans="5:6" ht="15" customHeight="1" x14ac:dyDescent="0.2">
      <c r="E21906" s="7"/>
      <c r="F21906" s="7"/>
    </row>
    <row r="21907" spans="5:6" ht="15" customHeight="1" x14ac:dyDescent="0.2">
      <c r="E21907" s="7"/>
      <c r="F21907" s="7"/>
    </row>
    <row r="21908" spans="5:6" ht="15" customHeight="1" x14ac:dyDescent="0.2">
      <c r="E21908" s="7"/>
      <c r="F21908" s="7"/>
    </row>
    <row r="21909" spans="5:6" ht="15" customHeight="1" x14ac:dyDescent="0.2">
      <c r="E21909" s="7"/>
      <c r="F21909" s="7"/>
    </row>
    <row r="21910" spans="5:6" ht="15" customHeight="1" x14ac:dyDescent="0.2">
      <c r="E21910" s="7"/>
      <c r="F21910" s="7"/>
    </row>
    <row r="21911" spans="5:6" ht="15" customHeight="1" x14ac:dyDescent="0.2">
      <c r="E21911" s="7"/>
      <c r="F21911" s="7"/>
    </row>
    <row r="21912" spans="5:6" ht="15" customHeight="1" x14ac:dyDescent="0.2">
      <c r="E21912" s="7"/>
      <c r="F21912" s="7"/>
    </row>
    <row r="21913" spans="5:6" ht="15" customHeight="1" x14ac:dyDescent="0.2">
      <c r="E21913" s="7"/>
      <c r="F21913" s="7"/>
    </row>
    <row r="21914" spans="5:6" ht="15" customHeight="1" x14ac:dyDescent="0.2">
      <c r="E21914" s="7"/>
      <c r="F21914" s="7"/>
    </row>
    <row r="21915" spans="5:6" ht="15" customHeight="1" x14ac:dyDescent="0.2">
      <c r="E21915" s="7"/>
      <c r="F21915" s="7"/>
    </row>
    <row r="21916" spans="5:6" ht="15" customHeight="1" x14ac:dyDescent="0.2">
      <c r="E21916" s="7"/>
      <c r="F21916" s="7"/>
    </row>
    <row r="21917" spans="5:6" ht="15" customHeight="1" x14ac:dyDescent="0.2">
      <c r="E21917" s="7"/>
      <c r="F21917" s="7"/>
    </row>
    <row r="21918" spans="5:6" ht="15" customHeight="1" x14ac:dyDescent="0.2">
      <c r="E21918" s="7"/>
      <c r="F21918" s="7"/>
    </row>
    <row r="21919" spans="5:6" ht="15" customHeight="1" x14ac:dyDescent="0.2">
      <c r="E21919" s="7"/>
      <c r="F21919" s="7"/>
    </row>
    <row r="21920" spans="5:6" ht="15" customHeight="1" x14ac:dyDescent="0.2">
      <c r="E21920" s="7"/>
      <c r="F21920" s="7"/>
    </row>
    <row r="21921" spans="5:6" ht="15" customHeight="1" x14ac:dyDescent="0.2">
      <c r="E21921" s="7"/>
      <c r="F21921" s="7"/>
    </row>
    <row r="21922" spans="5:6" ht="15" customHeight="1" x14ac:dyDescent="0.2">
      <c r="E21922" s="7"/>
      <c r="F21922" s="7"/>
    </row>
    <row r="21923" spans="5:6" ht="15" customHeight="1" x14ac:dyDescent="0.2">
      <c r="E21923" s="7"/>
      <c r="F21923" s="7"/>
    </row>
    <row r="21924" spans="5:6" ht="15" customHeight="1" x14ac:dyDescent="0.2">
      <c r="E21924" s="7"/>
      <c r="F21924" s="7"/>
    </row>
    <row r="21925" spans="5:6" ht="15" customHeight="1" x14ac:dyDescent="0.2">
      <c r="E21925" s="7"/>
      <c r="F21925" s="7"/>
    </row>
    <row r="21926" spans="5:6" ht="15" customHeight="1" x14ac:dyDescent="0.2">
      <c r="E21926" s="7"/>
      <c r="F21926" s="7"/>
    </row>
    <row r="21927" spans="5:6" ht="15" customHeight="1" x14ac:dyDescent="0.2">
      <c r="E21927" s="7"/>
      <c r="F21927" s="7"/>
    </row>
    <row r="21928" spans="5:6" ht="15" customHeight="1" x14ac:dyDescent="0.2">
      <c r="E21928" s="7"/>
      <c r="F21928" s="7"/>
    </row>
    <row r="21929" spans="5:6" ht="15" customHeight="1" x14ac:dyDescent="0.2">
      <c r="E21929" s="7"/>
      <c r="F21929" s="7"/>
    </row>
    <row r="21930" spans="5:6" ht="15" customHeight="1" x14ac:dyDescent="0.2">
      <c r="E21930" s="7"/>
      <c r="F21930" s="7"/>
    </row>
    <row r="21931" spans="5:6" ht="15" customHeight="1" x14ac:dyDescent="0.2">
      <c r="E21931" s="7"/>
      <c r="F21931" s="7"/>
    </row>
    <row r="21932" spans="5:6" ht="15" customHeight="1" x14ac:dyDescent="0.2">
      <c r="E21932" s="7"/>
      <c r="F21932" s="7"/>
    </row>
    <row r="21933" spans="5:6" ht="15" customHeight="1" x14ac:dyDescent="0.2">
      <c r="E21933" s="7"/>
      <c r="F21933" s="7"/>
    </row>
    <row r="21934" spans="5:6" ht="15" customHeight="1" x14ac:dyDescent="0.2">
      <c r="E21934" s="7"/>
      <c r="F21934" s="7"/>
    </row>
    <row r="21935" spans="5:6" ht="15" customHeight="1" x14ac:dyDescent="0.2">
      <c r="E21935" s="7"/>
      <c r="F21935" s="7"/>
    </row>
    <row r="21936" spans="5:6" ht="15" customHeight="1" x14ac:dyDescent="0.2">
      <c r="E21936" s="7"/>
      <c r="F21936" s="7"/>
    </row>
    <row r="21937" spans="5:6" ht="15" customHeight="1" x14ac:dyDescent="0.2">
      <c r="E21937" s="7"/>
      <c r="F21937" s="7"/>
    </row>
    <row r="21938" spans="5:6" ht="15" customHeight="1" x14ac:dyDescent="0.2">
      <c r="E21938" s="7"/>
      <c r="F21938" s="7"/>
    </row>
    <row r="21939" spans="5:6" ht="15" customHeight="1" x14ac:dyDescent="0.2">
      <c r="E21939" s="7"/>
      <c r="F21939" s="7"/>
    </row>
    <row r="21940" spans="5:6" ht="15" customHeight="1" x14ac:dyDescent="0.2">
      <c r="E21940" s="7"/>
      <c r="F21940" s="7"/>
    </row>
    <row r="21941" spans="5:6" ht="15" customHeight="1" x14ac:dyDescent="0.2">
      <c r="E21941" s="7"/>
      <c r="F21941" s="7"/>
    </row>
    <row r="21942" spans="5:6" ht="15" customHeight="1" x14ac:dyDescent="0.2">
      <c r="E21942" s="7"/>
      <c r="F21942" s="7"/>
    </row>
    <row r="21943" spans="5:6" ht="15" customHeight="1" x14ac:dyDescent="0.2">
      <c r="E21943" s="7"/>
      <c r="F21943" s="7"/>
    </row>
    <row r="21944" spans="5:6" ht="15" customHeight="1" x14ac:dyDescent="0.2">
      <c r="E21944" s="7"/>
      <c r="F21944" s="7"/>
    </row>
    <row r="21945" spans="5:6" ht="15" customHeight="1" x14ac:dyDescent="0.2">
      <c r="E21945" s="7"/>
      <c r="F21945" s="7"/>
    </row>
    <row r="21946" spans="5:6" ht="15" customHeight="1" x14ac:dyDescent="0.2">
      <c r="E21946" s="7"/>
      <c r="F21946" s="7"/>
    </row>
    <row r="21947" spans="5:6" ht="15" customHeight="1" x14ac:dyDescent="0.2">
      <c r="E21947" s="7"/>
      <c r="F21947" s="7"/>
    </row>
    <row r="21948" spans="5:6" ht="15" customHeight="1" x14ac:dyDescent="0.2">
      <c r="E21948" s="7"/>
      <c r="F21948" s="7"/>
    </row>
    <row r="21949" spans="5:6" ht="15" customHeight="1" x14ac:dyDescent="0.2">
      <c r="E21949" s="7"/>
      <c r="F21949" s="7"/>
    </row>
    <row r="21950" spans="5:6" ht="15" customHeight="1" x14ac:dyDescent="0.2">
      <c r="E21950" s="7"/>
      <c r="F21950" s="7"/>
    </row>
    <row r="21951" spans="5:6" ht="15" customHeight="1" x14ac:dyDescent="0.2">
      <c r="E21951" s="7"/>
      <c r="F21951" s="7"/>
    </row>
    <row r="21952" spans="5:6" ht="15" customHeight="1" x14ac:dyDescent="0.2">
      <c r="E21952" s="7"/>
      <c r="F21952" s="7"/>
    </row>
    <row r="21953" spans="5:6" ht="15" customHeight="1" x14ac:dyDescent="0.2">
      <c r="E21953" s="7"/>
      <c r="F21953" s="7"/>
    </row>
    <row r="21954" spans="5:6" ht="15" customHeight="1" x14ac:dyDescent="0.2">
      <c r="E21954" s="7"/>
      <c r="F21954" s="7"/>
    </row>
    <row r="21955" spans="5:6" ht="15" customHeight="1" x14ac:dyDescent="0.2">
      <c r="E21955" s="7"/>
      <c r="F21955" s="7"/>
    </row>
    <row r="21956" spans="5:6" ht="15" customHeight="1" x14ac:dyDescent="0.2">
      <c r="E21956" s="7"/>
      <c r="F21956" s="7"/>
    </row>
    <row r="21957" spans="5:6" ht="15" customHeight="1" x14ac:dyDescent="0.2">
      <c r="E21957" s="7"/>
      <c r="F21957" s="7"/>
    </row>
    <row r="21958" spans="5:6" ht="15" customHeight="1" x14ac:dyDescent="0.2">
      <c r="E21958" s="7"/>
      <c r="F21958" s="7"/>
    </row>
    <row r="21959" spans="5:6" ht="15" customHeight="1" x14ac:dyDescent="0.2">
      <c r="E21959" s="7"/>
      <c r="F21959" s="7"/>
    </row>
    <row r="21960" spans="5:6" ht="15" customHeight="1" x14ac:dyDescent="0.2">
      <c r="E21960" s="7"/>
      <c r="F21960" s="7"/>
    </row>
    <row r="21961" spans="5:6" ht="15" customHeight="1" x14ac:dyDescent="0.2">
      <c r="E21961" s="7"/>
      <c r="F21961" s="7"/>
    </row>
    <row r="21962" spans="5:6" ht="15" customHeight="1" x14ac:dyDescent="0.2">
      <c r="E21962" s="7"/>
      <c r="F21962" s="7"/>
    </row>
    <row r="21963" spans="5:6" ht="15" customHeight="1" x14ac:dyDescent="0.2">
      <c r="E21963" s="7"/>
      <c r="F21963" s="7"/>
    </row>
    <row r="21964" spans="5:6" ht="15" customHeight="1" x14ac:dyDescent="0.2">
      <c r="E21964" s="7"/>
      <c r="F21964" s="7"/>
    </row>
    <row r="21965" spans="5:6" ht="15" customHeight="1" x14ac:dyDescent="0.2">
      <c r="E21965" s="7"/>
      <c r="F21965" s="7"/>
    </row>
    <row r="21966" spans="5:6" ht="15" customHeight="1" x14ac:dyDescent="0.2">
      <c r="E21966" s="7"/>
      <c r="F21966" s="7"/>
    </row>
    <row r="21967" spans="5:6" ht="15" customHeight="1" x14ac:dyDescent="0.2">
      <c r="E21967" s="7"/>
      <c r="F21967" s="7"/>
    </row>
    <row r="21968" spans="5:6" ht="15" customHeight="1" x14ac:dyDescent="0.2">
      <c r="E21968" s="7"/>
      <c r="F21968" s="7"/>
    </row>
    <row r="21969" spans="5:6" ht="15" customHeight="1" x14ac:dyDescent="0.2">
      <c r="E21969" s="7"/>
      <c r="F21969" s="7"/>
    </row>
    <row r="21970" spans="5:6" ht="15" customHeight="1" x14ac:dyDescent="0.2">
      <c r="E21970" s="7"/>
      <c r="F21970" s="7"/>
    </row>
    <row r="21971" spans="5:6" ht="15" customHeight="1" x14ac:dyDescent="0.2">
      <c r="E21971" s="7"/>
      <c r="F21971" s="7"/>
    </row>
    <row r="21972" spans="5:6" ht="15" customHeight="1" x14ac:dyDescent="0.2">
      <c r="E21972" s="7"/>
      <c r="F21972" s="7"/>
    </row>
    <row r="21973" spans="5:6" ht="15" customHeight="1" x14ac:dyDescent="0.2">
      <c r="E21973" s="7"/>
      <c r="F21973" s="7"/>
    </row>
    <row r="21974" spans="5:6" ht="15" customHeight="1" x14ac:dyDescent="0.2">
      <c r="E21974" s="7"/>
      <c r="F21974" s="7"/>
    </row>
    <row r="21975" spans="5:6" ht="15" customHeight="1" x14ac:dyDescent="0.2">
      <c r="E21975" s="7"/>
      <c r="F21975" s="7"/>
    </row>
    <row r="21976" spans="5:6" ht="15" customHeight="1" x14ac:dyDescent="0.2">
      <c r="E21976" s="7"/>
      <c r="F21976" s="7"/>
    </row>
    <row r="21977" spans="5:6" ht="15" customHeight="1" x14ac:dyDescent="0.2">
      <c r="E21977" s="7"/>
      <c r="F21977" s="7"/>
    </row>
    <row r="21978" spans="5:6" ht="15" customHeight="1" x14ac:dyDescent="0.2">
      <c r="E21978" s="7"/>
      <c r="F21978" s="7"/>
    </row>
    <row r="21979" spans="5:6" ht="15" customHeight="1" x14ac:dyDescent="0.2">
      <c r="E21979" s="7"/>
      <c r="F21979" s="7"/>
    </row>
    <row r="21980" spans="5:6" ht="15" customHeight="1" x14ac:dyDescent="0.2">
      <c r="E21980" s="7"/>
      <c r="F21980" s="7"/>
    </row>
    <row r="21981" spans="5:6" ht="15" customHeight="1" x14ac:dyDescent="0.2">
      <c r="E21981" s="7"/>
      <c r="F21981" s="7"/>
    </row>
    <row r="21982" spans="5:6" ht="15" customHeight="1" x14ac:dyDescent="0.2">
      <c r="E21982" s="7"/>
      <c r="F21982" s="7"/>
    </row>
    <row r="21983" spans="5:6" ht="15" customHeight="1" x14ac:dyDescent="0.2">
      <c r="E21983" s="7"/>
      <c r="F21983" s="7"/>
    </row>
    <row r="21984" spans="5:6" ht="15" customHeight="1" x14ac:dyDescent="0.2">
      <c r="E21984" s="7"/>
      <c r="F21984" s="7"/>
    </row>
    <row r="21985" spans="5:6" ht="15" customHeight="1" x14ac:dyDescent="0.2">
      <c r="E21985" s="7"/>
      <c r="F21985" s="7"/>
    </row>
    <row r="21986" spans="5:6" ht="15" customHeight="1" x14ac:dyDescent="0.2">
      <c r="E21986" s="7"/>
      <c r="F21986" s="7"/>
    </row>
    <row r="21987" spans="5:6" ht="15" customHeight="1" x14ac:dyDescent="0.2">
      <c r="E21987" s="7"/>
      <c r="F21987" s="7"/>
    </row>
    <row r="21988" spans="5:6" ht="15" customHeight="1" x14ac:dyDescent="0.2">
      <c r="E21988" s="7"/>
      <c r="F21988" s="7"/>
    </row>
    <row r="21989" spans="5:6" ht="15" customHeight="1" x14ac:dyDescent="0.2">
      <c r="E21989" s="7"/>
      <c r="F21989" s="7"/>
    </row>
    <row r="21990" spans="5:6" ht="15" customHeight="1" x14ac:dyDescent="0.2">
      <c r="E21990" s="7"/>
      <c r="F21990" s="7"/>
    </row>
    <row r="21991" spans="5:6" ht="15" customHeight="1" x14ac:dyDescent="0.2">
      <c r="E21991" s="7"/>
      <c r="F21991" s="7"/>
    </row>
    <row r="21992" spans="5:6" ht="15" customHeight="1" x14ac:dyDescent="0.2">
      <c r="E21992" s="7"/>
      <c r="F21992" s="7"/>
    </row>
    <row r="21993" spans="5:6" ht="15" customHeight="1" x14ac:dyDescent="0.2">
      <c r="E21993" s="7"/>
      <c r="F21993" s="7"/>
    </row>
    <row r="21994" spans="5:6" ht="15" customHeight="1" x14ac:dyDescent="0.2">
      <c r="E21994" s="7"/>
      <c r="F21994" s="7"/>
    </row>
    <row r="21995" spans="5:6" ht="15" customHeight="1" x14ac:dyDescent="0.2">
      <c r="E21995" s="7"/>
      <c r="F21995" s="7"/>
    </row>
    <row r="21996" spans="5:6" ht="15" customHeight="1" x14ac:dyDescent="0.2">
      <c r="E21996" s="7"/>
      <c r="F21996" s="7"/>
    </row>
    <row r="21997" spans="5:6" ht="15" customHeight="1" x14ac:dyDescent="0.2">
      <c r="E21997" s="7"/>
      <c r="F21997" s="7"/>
    </row>
    <row r="21998" spans="5:6" ht="15" customHeight="1" x14ac:dyDescent="0.2">
      <c r="E21998" s="7"/>
      <c r="F21998" s="7"/>
    </row>
    <row r="21999" spans="5:6" ht="15" customHeight="1" x14ac:dyDescent="0.2">
      <c r="E21999" s="7"/>
      <c r="F21999" s="7"/>
    </row>
    <row r="22000" spans="5:6" ht="15" customHeight="1" x14ac:dyDescent="0.2">
      <c r="E22000" s="7"/>
      <c r="F22000" s="7"/>
    </row>
    <row r="22001" spans="5:6" ht="15" customHeight="1" x14ac:dyDescent="0.2">
      <c r="E22001" s="7"/>
      <c r="F22001" s="7"/>
    </row>
    <row r="22002" spans="5:6" ht="15" customHeight="1" x14ac:dyDescent="0.2">
      <c r="E22002" s="7"/>
      <c r="F22002" s="7"/>
    </row>
    <row r="22003" spans="5:6" ht="15" customHeight="1" x14ac:dyDescent="0.2">
      <c r="E22003" s="7"/>
      <c r="F22003" s="7"/>
    </row>
    <row r="22004" spans="5:6" ht="15" customHeight="1" x14ac:dyDescent="0.2">
      <c r="E22004" s="7"/>
      <c r="F22004" s="7"/>
    </row>
    <row r="22005" spans="5:6" ht="15" customHeight="1" x14ac:dyDescent="0.2">
      <c r="E22005" s="7"/>
      <c r="F22005" s="7"/>
    </row>
    <row r="22006" spans="5:6" ht="15" customHeight="1" x14ac:dyDescent="0.2">
      <c r="E22006" s="7"/>
      <c r="F22006" s="7"/>
    </row>
    <row r="22007" spans="5:6" ht="15" customHeight="1" x14ac:dyDescent="0.2">
      <c r="E22007" s="7"/>
      <c r="F22007" s="7"/>
    </row>
    <row r="22008" spans="5:6" ht="15" customHeight="1" x14ac:dyDescent="0.2">
      <c r="E22008" s="7"/>
      <c r="F22008" s="7"/>
    </row>
    <row r="22009" spans="5:6" ht="15" customHeight="1" x14ac:dyDescent="0.2">
      <c r="E22009" s="7"/>
      <c r="F22009" s="7"/>
    </row>
    <row r="22010" spans="5:6" ht="15" customHeight="1" x14ac:dyDescent="0.2">
      <c r="E22010" s="7"/>
      <c r="F22010" s="7"/>
    </row>
    <row r="22011" spans="5:6" ht="15" customHeight="1" x14ac:dyDescent="0.2">
      <c r="E22011" s="7"/>
      <c r="F22011" s="7"/>
    </row>
    <row r="22012" spans="5:6" ht="15" customHeight="1" x14ac:dyDescent="0.2">
      <c r="E22012" s="7"/>
      <c r="F22012" s="7"/>
    </row>
    <row r="22013" spans="5:6" ht="15" customHeight="1" x14ac:dyDescent="0.2">
      <c r="E22013" s="7"/>
      <c r="F22013" s="7"/>
    </row>
    <row r="22014" spans="5:6" ht="15" customHeight="1" x14ac:dyDescent="0.2">
      <c r="E22014" s="7"/>
      <c r="F22014" s="7"/>
    </row>
    <row r="22015" spans="5:6" ht="15" customHeight="1" x14ac:dyDescent="0.2">
      <c r="E22015" s="7"/>
      <c r="F22015" s="7"/>
    </row>
    <row r="22016" spans="5:6" ht="15" customHeight="1" x14ac:dyDescent="0.2">
      <c r="E22016" s="7"/>
      <c r="F22016" s="7"/>
    </row>
    <row r="22017" spans="5:6" ht="15" customHeight="1" x14ac:dyDescent="0.2">
      <c r="E22017" s="7"/>
      <c r="F22017" s="7"/>
    </row>
    <row r="22018" spans="5:6" ht="15" customHeight="1" x14ac:dyDescent="0.2">
      <c r="E22018" s="7"/>
      <c r="F22018" s="7"/>
    </row>
    <row r="22019" spans="5:6" ht="15" customHeight="1" x14ac:dyDescent="0.2">
      <c r="E22019" s="7"/>
      <c r="F22019" s="7"/>
    </row>
    <row r="22020" spans="5:6" ht="15" customHeight="1" x14ac:dyDescent="0.2">
      <c r="E22020" s="7"/>
      <c r="F22020" s="7"/>
    </row>
    <row r="22021" spans="5:6" ht="15" customHeight="1" x14ac:dyDescent="0.2">
      <c r="E22021" s="7"/>
      <c r="F22021" s="7"/>
    </row>
    <row r="22022" spans="5:6" ht="15" customHeight="1" x14ac:dyDescent="0.2">
      <c r="E22022" s="7"/>
      <c r="F22022" s="7"/>
    </row>
    <row r="22023" spans="5:6" ht="15" customHeight="1" x14ac:dyDescent="0.2">
      <c r="E22023" s="7"/>
      <c r="F22023" s="7"/>
    </row>
    <row r="22024" spans="5:6" ht="15" customHeight="1" x14ac:dyDescent="0.2">
      <c r="E22024" s="7"/>
      <c r="F22024" s="7"/>
    </row>
    <row r="22025" spans="5:6" ht="15" customHeight="1" x14ac:dyDescent="0.2">
      <c r="E22025" s="7"/>
      <c r="F22025" s="7"/>
    </row>
    <row r="22026" spans="5:6" ht="15" customHeight="1" x14ac:dyDescent="0.2">
      <c r="E22026" s="7"/>
      <c r="F22026" s="7"/>
    </row>
    <row r="22027" spans="5:6" ht="15" customHeight="1" x14ac:dyDescent="0.2">
      <c r="E22027" s="7"/>
      <c r="F22027" s="7"/>
    </row>
    <row r="22028" spans="5:6" ht="15" customHeight="1" x14ac:dyDescent="0.2">
      <c r="E22028" s="7"/>
      <c r="F22028" s="7"/>
    </row>
    <row r="22029" spans="5:6" ht="15" customHeight="1" x14ac:dyDescent="0.2">
      <c r="E22029" s="7"/>
      <c r="F22029" s="7"/>
    </row>
    <row r="22030" spans="5:6" ht="15" customHeight="1" x14ac:dyDescent="0.2">
      <c r="E22030" s="7"/>
      <c r="F22030" s="7"/>
    </row>
    <row r="22031" spans="5:6" ht="15" customHeight="1" x14ac:dyDescent="0.2">
      <c r="E22031" s="7"/>
      <c r="F22031" s="7"/>
    </row>
    <row r="22032" spans="5:6" ht="15" customHeight="1" x14ac:dyDescent="0.2">
      <c r="E22032" s="7"/>
      <c r="F22032" s="7"/>
    </row>
    <row r="22033" spans="5:6" ht="15" customHeight="1" x14ac:dyDescent="0.2">
      <c r="E22033" s="7"/>
      <c r="F22033" s="7"/>
    </row>
    <row r="22034" spans="5:6" ht="15" customHeight="1" x14ac:dyDescent="0.2">
      <c r="E22034" s="7"/>
      <c r="F22034" s="7"/>
    </row>
    <row r="22035" spans="5:6" ht="15" customHeight="1" x14ac:dyDescent="0.2">
      <c r="E22035" s="7"/>
      <c r="F22035" s="7"/>
    </row>
    <row r="22036" spans="5:6" ht="15" customHeight="1" x14ac:dyDescent="0.2">
      <c r="E22036" s="7"/>
      <c r="F22036" s="7"/>
    </row>
    <row r="22037" spans="5:6" ht="15" customHeight="1" x14ac:dyDescent="0.2">
      <c r="E22037" s="7"/>
      <c r="F22037" s="7"/>
    </row>
    <row r="22038" spans="5:6" ht="15" customHeight="1" x14ac:dyDescent="0.2">
      <c r="E22038" s="7"/>
      <c r="F22038" s="7"/>
    </row>
    <row r="22039" spans="5:6" ht="15" customHeight="1" x14ac:dyDescent="0.2">
      <c r="E22039" s="7"/>
      <c r="F22039" s="7"/>
    </row>
    <row r="22040" spans="5:6" ht="15" customHeight="1" x14ac:dyDescent="0.2">
      <c r="E22040" s="7"/>
      <c r="F22040" s="7"/>
    </row>
    <row r="22041" spans="5:6" ht="15" customHeight="1" x14ac:dyDescent="0.2">
      <c r="E22041" s="7"/>
      <c r="F22041" s="7"/>
    </row>
    <row r="22042" spans="5:6" ht="15" customHeight="1" x14ac:dyDescent="0.2">
      <c r="E22042" s="7"/>
      <c r="F22042" s="7"/>
    </row>
    <row r="22043" spans="5:6" ht="15" customHeight="1" x14ac:dyDescent="0.2">
      <c r="E22043" s="7"/>
      <c r="F22043" s="7"/>
    </row>
    <row r="22044" spans="5:6" ht="15" customHeight="1" x14ac:dyDescent="0.2">
      <c r="E22044" s="7"/>
      <c r="F22044" s="7"/>
    </row>
    <row r="22045" spans="5:6" ht="15" customHeight="1" x14ac:dyDescent="0.2">
      <c r="E22045" s="7"/>
      <c r="F22045" s="7"/>
    </row>
    <row r="22046" spans="5:6" ht="15" customHeight="1" x14ac:dyDescent="0.2">
      <c r="E22046" s="7"/>
      <c r="F22046" s="7"/>
    </row>
    <row r="22047" spans="5:6" ht="15" customHeight="1" x14ac:dyDescent="0.2">
      <c r="E22047" s="7"/>
      <c r="F22047" s="7"/>
    </row>
    <row r="22048" spans="5:6" ht="15" customHeight="1" x14ac:dyDescent="0.2">
      <c r="E22048" s="7"/>
      <c r="F22048" s="7"/>
    </row>
    <row r="22049" spans="5:6" ht="15" customHeight="1" x14ac:dyDescent="0.2">
      <c r="E22049" s="7"/>
      <c r="F22049" s="7"/>
    </row>
    <row r="22050" spans="5:6" ht="15" customHeight="1" x14ac:dyDescent="0.2">
      <c r="E22050" s="7"/>
      <c r="F22050" s="7"/>
    </row>
    <row r="22051" spans="5:6" ht="15" customHeight="1" x14ac:dyDescent="0.2">
      <c r="E22051" s="7"/>
      <c r="F22051" s="7"/>
    </row>
    <row r="22052" spans="5:6" ht="15" customHeight="1" x14ac:dyDescent="0.2">
      <c r="E22052" s="7"/>
      <c r="F22052" s="7"/>
    </row>
    <row r="22053" spans="5:6" ht="15" customHeight="1" x14ac:dyDescent="0.2">
      <c r="E22053" s="7"/>
      <c r="F22053" s="7"/>
    </row>
    <row r="22054" spans="5:6" ht="15" customHeight="1" x14ac:dyDescent="0.2">
      <c r="E22054" s="7"/>
      <c r="F22054" s="7"/>
    </row>
    <row r="22055" spans="5:6" ht="15" customHeight="1" x14ac:dyDescent="0.2">
      <c r="E22055" s="7"/>
      <c r="F22055" s="7"/>
    </row>
    <row r="22056" spans="5:6" ht="15" customHeight="1" x14ac:dyDescent="0.2">
      <c r="E22056" s="7"/>
      <c r="F22056" s="7"/>
    </row>
    <row r="22057" spans="5:6" ht="15" customHeight="1" x14ac:dyDescent="0.2">
      <c r="E22057" s="7"/>
      <c r="F22057" s="7"/>
    </row>
    <row r="22058" spans="5:6" ht="15" customHeight="1" x14ac:dyDescent="0.2">
      <c r="E22058" s="7"/>
      <c r="F22058" s="7"/>
    </row>
    <row r="22059" spans="5:6" ht="15" customHeight="1" x14ac:dyDescent="0.2">
      <c r="E22059" s="7"/>
      <c r="F22059" s="7"/>
    </row>
    <row r="22060" spans="5:6" ht="15" customHeight="1" x14ac:dyDescent="0.2">
      <c r="E22060" s="7"/>
      <c r="F22060" s="7"/>
    </row>
    <row r="22061" spans="5:6" ht="15" customHeight="1" x14ac:dyDescent="0.2">
      <c r="E22061" s="7"/>
      <c r="F22061" s="7"/>
    </row>
    <row r="22062" spans="5:6" ht="15" customHeight="1" x14ac:dyDescent="0.2">
      <c r="E22062" s="7"/>
      <c r="F22062" s="7"/>
    </row>
    <row r="22063" spans="5:6" ht="15" customHeight="1" x14ac:dyDescent="0.2">
      <c r="E22063" s="7"/>
      <c r="F22063" s="7"/>
    </row>
    <row r="22064" spans="5:6" ht="15" customHeight="1" x14ac:dyDescent="0.2">
      <c r="E22064" s="7"/>
      <c r="F22064" s="7"/>
    </row>
    <row r="22065" spans="5:6" ht="15" customHeight="1" x14ac:dyDescent="0.2">
      <c r="E22065" s="7"/>
      <c r="F22065" s="7"/>
    </row>
    <row r="22066" spans="5:6" ht="15" customHeight="1" x14ac:dyDescent="0.2">
      <c r="E22066" s="7"/>
      <c r="F22066" s="7"/>
    </row>
    <row r="22067" spans="5:6" ht="15" customHeight="1" x14ac:dyDescent="0.2">
      <c r="E22067" s="7"/>
      <c r="F22067" s="7"/>
    </row>
    <row r="22068" spans="5:6" ht="15" customHeight="1" x14ac:dyDescent="0.2">
      <c r="E22068" s="7"/>
      <c r="F22068" s="7"/>
    </row>
    <row r="22069" spans="5:6" ht="15" customHeight="1" x14ac:dyDescent="0.2">
      <c r="E22069" s="7"/>
      <c r="F22069" s="7"/>
    </row>
    <row r="22070" spans="5:6" ht="15" customHeight="1" x14ac:dyDescent="0.2">
      <c r="E22070" s="7"/>
      <c r="F22070" s="7"/>
    </row>
    <row r="22071" spans="5:6" ht="15" customHeight="1" x14ac:dyDescent="0.2">
      <c r="E22071" s="7"/>
      <c r="F22071" s="7"/>
    </row>
    <row r="22072" spans="5:6" ht="15" customHeight="1" x14ac:dyDescent="0.2">
      <c r="E22072" s="7"/>
      <c r="F22072" s="7"/>
    </row>
    <row r="22073" spans="5:6" ht="15" customHeight="1" x14ac:dyDescent="0.2">
      <c r="E22073" s="7"/>
      <c r="F22073" s="7"/>
    </row>
    <row r="22074" spans="5:6" ht="15" customHeight="1" x14ac:dyDescent="0.2">
      <c r="E22074" s="7"/>
      <c r="F22074" s="7"/>
    </row>
    <row r="22075" spans="5:6" ht="15" customHeight="1" x14ac:dyDescent="0.2">
      <c r="E22075" s="7"/>
      <c r="F22075" s="7"/>
    </row>
    <row r="22076" spans="5:6" ht="15" customHeight="1" x14ac:dyDescent="0.2">
      <c r="E22076" s="7"/>
      <c r="F22076" s="7"/>
    </row>
    <row r="22077" spans="5:6" ht="15" customHeight="1" x14ac:dyDescent="0.2">
      <c r="E22077" s="7"/>
      <c r="F22077" s="7"/>
    </row>
    <row r="22078" spans="5:6" ht="15" customHeight="1" x14ac:dyDescent="0.2">
      <c r="E22078" s="7"/>
      <c r="F22078" s="7"/>
    </row>
    <row r="22079" spans="5:6" ht="15" customHeight="1" x14ac:dyDescent="0.2">
      <c r="E22079" s="7"/>
      <c r="F22079" s="7"/>
    </row>
    <row r="22080" spans="5:6" ht="15" customHeight="1" x14ac:dyDescent="0.2">
      <c r="E22080" s="7"/>
      <c r="F22080" s="7"/>
    </row>
    <row r="22081" spans="5:6" ht="15" customHeight="1" x14ac:dyDescent="0.2">
      <c r="E22081" s="7"/>
      <c r="F22081" s="7"/>
    </row>
    <row r="22082" spans="5:6" ht="15" customHeight="1" x14ac:dyDescent="0.2">
      <c r="E22082" s="7"/>
      <c r="F22082" s="7"/>
    </row>
    <row r="22083" spans="5:6" ht="15" customHeight="1" x14ac:dyDescent="0.2">
      <c r="E22083" s="7"/>
      <c r="F22083" s="7"/>
    </row>
    <row r="22084" spans="5:6" ht="15" customHeight="1" x14ac:dyDescent="0.2">
      <c r="E22084" s="7"/>
      <c r="F22084" s="7"/>
    </row>
    <row r="22085" spans="5:6" ht="15" customHeight="1" x14ac:dyDescent="0.2">
      <c r="E22085" s="7"/>
      <c r="F22085" s="7"/>
    </row>
    <row r="22086" spans="5:6" ht="15" customHeight="1" x14ac:dyDescent="0.2">
      <c r="E22086" s="7"/>
      <c r="F22086" s="7"/>
    </row>
    <row r="22087" spans="5:6" ht="15" customHeight="1" x14ac:dyDescent="0.2">
      <c r="E22087" s="7"/>
      <c r="F22087" s="7"/>
    </row>
    <row r="22088" spans="5:6" ht="15" customHeight="1" x14ac:dyDescent="0.2">
      <c r="E22088" s="7"/>
      <c r="F22088" s="7"/>
    </row>
    <row r="22089" spans="5:6" ht="15" customHeight="1" x14ac:dyDescent="0.2">
      <c r="E22089" s="7"/>
      <c r="F22089" s="7"/>
    </row>
    <row r="22090" spans="5:6" ht="15" customHeight="1" x14ac:dyDescent="0.2">
      <c r="E22090" s="7"/>
      <c r="F22090" s="7"/>
    </row>
    <row r="22091" spans="5:6" ht="15" customHeight="1" x14ac:dyDescent="0.2">
      <c r="E22091" s="7"/>
      <c r="F22091" s="7"/>
    </row>
    <row r="22092" spans="5:6" ht="15" customHeight="1" x14ac:dyDescent="0.2">
      <c r="E22092" s="7"/>
      <c r="F22092" s="7"/>
    </row>
    <row r="22093" spans="5:6" ht="15" customHeight="1" x14ac:dyDescent="0.2">
      <c r="E22093" s="7"/>
      <c r="F22093" s="7"/>
    </row>
    <row r="22094" spans="5:6" ht="15" customHeight="1" x14ac:dyDescent="0.2">
      <c r="E22094" s="7"/>
      <c r="F22094" s="7"/>
    </row>
    <row r="22095" spans="5:6" ht="15" customHeight="1" x14ac:dyDescent="0.2">
      <c r="E22095" s="7"/>
      <c r="F22095" s="7"/>
    </row>
    <row r="22096" spans="5:6" ht="15" customHeight="1" x14ac:dyDescent="0.2">
      <c r="E22096" s="7"/>
      <c r="F22096" s="7"/>
    </row>
    <row r="22097" spans="5:6" ht="15" customHeight="1" x14ac:dyDescent="0.2">
      <c r="E22097" s="7"/>
      <c r="F22097" s="7"/>
    </row>
    <row r="22098" spans="5:6" ht="15" customHeight="1" x14ac:dyDescent="0.2">
      <c r="E22098" s="7"/>
      <c r="F22098" s="7"/>
    </row>
    <row r="22099" spans="5:6" ht="15" customHeight="1" x14ac:dyDescent="0.2">
      <c r="E22099" s="7"/>
      <c r="F22099" s="7"/>
    </row>
    <row r="22100" spans="5:6" ht="15" customHeight="1" x14ac:dyDescent="0.2">
      <c r="E22100" s="7"/>
      <c r="F22100" s="7"/>
    </row>
    <row r="22101" spans="5:6" ht="15" customHeight="1" x14ac:dyDescent="0.2">
      <c r="E22101" s="7"/>
      <c r="F22101" s="7"/>
    </row>
    <row r="22102" spans="5:6" ht="15" customHeight="1" x14ac:dyDescent="0.2">
      <c r="E22102" s="7"/>
      <c r="F22102" s="7"/>
    </row>
    <row r="22103" spans="5:6" ht="15" customHeight="1" x14ac:dyDescent="0.2">
      <c r="E22103" s="7"/>
      <c r="F22103" s="7"/>
    </row>
    <row r="22104" spans="5:6" ht="15" customHeight="1" x14ac:dyDescent="0.2">
      <c r="E22104" s="7"/>
      <c r="F22104" s="7"/>
    </row>
    <row r="22105" spans="5:6" ht="15" customHeight="1" x14ac:dyDescent="0.2">
      <c r="E22105" s="7"/>
      <c r="F22105" s="7"/>
    </row>
    <row r="22106" spans="5:6" ht="15" customHeight="1" x14ac:dyDescent="0.2">
      <c r="E22106" s="7"/>
      <c r="F22106" s="7"/>
    </row>
    <row r="22107" spans="5:6" ht="15" customHeight="1" x14ac:dyDescent="0.2">
      <c r="E22107" s="7"/>
      <c r="F22107" s="7"/>
    </row>
    <row r="22108" spans="5:6" ht="15" customHeight="1" x14ac:dyDescent="0.2">
      <c r="E22108" s="7"/>
      <c r="F22108" s="7"/>
    </row>
    <row r="22109" spans="5:6" ht="15" customHeight="1" x14ac:dyDescent="0.2">
      <c r="E22109" s="7"/>
      <c r="F22109" s="7"/>
    </row>
    <row r="22110" spans="5:6" ht="15" customHeight="1" x14ac:dyDescent="0.2">
      <c r="E22110" s="7"/>
      <c r="F22110" s="7"/>
    </row>
    <row r="22111" spans="5:6" ht="15" customHeight="1" x14ac:dyDescent="0.2">
      <c r="E22111" s="7"/>
      <c r="F22111" s="7"/>
    </row>
    <row r="22112" spans="5:6" ht="15" customHeight="1" x14ac:dyDescent="0.2">
      <c r="E22112" s="7"/>
      <c r="F22112" s="7"/>
    </row>
    <row r="22113" spans="5:6" ht="15" customHeight="1" x14ac:dyDescent="0.2">
      <c r="E22113" s="7"/>
      <c r="F22113" s="7"/>
    </row>
    <row r="22114" spans="5:6" ht="15" customHeight="1" x14ac:dyDescent="0.2">
      <c r="E22114" s="7"/>
      <c r="F22114" s="7"/>
    </row>
    <row r="22115" spans="5:6" ht="15" customHeight="1" x14ac:dyDescent="0.2">
      <c r="E22115" s="7"/>
      <c r="F22115" s="7"/>
    </row>
    <row r="22116" spans="5:6" ht="15" customHeight="1" x14ac:dyDescent="0.2">
      <c r="E22116" s="7"/>
      <c r="F22116" s="7"/>
    </row>
    <row r="22117" spans="5:6" ht="15" customHeight="1" x14ac:dyDescent="0.2">
      <c r="E22117" s="7"/>
      <c r="F22117" s="7"/>
    </row>
    <row r="22118" spans="5:6" ht="15" customHeight="1" x14ac:dyDescent="0.2">
      <c r="E22118" s="7"/>
      <c r="F22118" s="7"/>
    </row>
    <row r="22119" spans="5:6" ht="15" customHeight="1" x14ac:dyDescent="0.2">
      <c r="E22119" s="7"/>
      <c r="F22119" s="7"/>
    </row>
    <row r="22120" spans="5:6" ht="15" customHeight="1" x14ac:dyDescent="0.2">
      <c r="E22120" s="7"/>
      <c r="F22120" s="7"/>
    </row>
    <row r="22121" spans="5:6" ht="15" customHeight="1" x14ac:dyDescent="0.2">
      <c r="E22121" s="7"/>
      <c r="F22121" s="7"/>
    </row>
    <row r="22122" spans="5:6" ht="15" customHeight="1" x14ac:dyDescent="0.2">
      <c r="E22122" s="7"/>
      <c r="F22122" s="7"/>
    </row>
    <row r="22123" spans="5:6" ht="15" customHeight="1" x14ac:dyDescent="0.2">
      <c r="E22123" s="7"/>
      <c r="F22123" s="7"/>
    </row>
    <row r="22124" spans="5:6" ht="15" customHeight="1" x14ac:dyDescent="0.2">
      <c r="E22124" s="7"/>
      <c r="F22124" s="7"/>
    </row>
    <row r="22125" spans="5:6" ht="15" customHeight="1" x14ac:dyDescent="0.2">
      <c r="E22125" s="7"/>
      <c r="F22125" s="7"/>
    </row>
    <row r="22126" spans="5:6" ht="15" customHeight="1" x14ac:dyDescent="0.2">
      <c r="E22126" s="7"/>
      <c r="F22126" s="7"/>
    </row>
    <row r="22127" spans="5:6" ht="15" customHeight="1" x14ac:dyDescent="0.2">
      <c r="E22127" s="7"/>
      <c r="F22127" s="7"/>
    </row>
    <row r="22128" spans="5:6" ht="15" customHeight="1" x14ac:dyDescent="0.2">
      <c r="E22128" s="7"/>
      <c r="F22128" s="7"/>
    </row>
    <row r="22129" spans="5:6" ht="15" customHeight="1" x14ac:dyDescent="0.2">
      <c r="E22129" s="7"/>
      <c r="F22129" s="7"/>
    </row>
    <row r="22130" spans="5:6" ht="15" customHeight="1" x14ac:dyDescent="0.2">
      <c r="E22130" s="7"/>
      <c r="F22130" s="7"/>
    </row>
    <row r="22131" spans="5:6" ht="15" customHeight="1" x14ac:dyDescent="0.2">
      <c r="E22131" s="7"/>
      <c r="F22131" s="7"/>
    </row>
    <row r="22132" spans="5:6" ht="15" customHeight="1" x14ac:dyDescent="0.2">
      <c r="E22132" s="7"/>
      <c r="F22132" s="7"/>
    </row>
    <row r="22133" spans="5:6" ht="15" customHeight="1" x14ac:dyDescent="0.2">
      <c r="E22133" s="7"/>
      <c r="F22133" s="7"/>
    </row>
    <row r="22134" spans="5:6" ht="15" customHeight="1" x14ac:dyDescent="0.2">
      <c r="E22134" s="7"/>
      <c r="F22134" s="7"/>
    </row>
    <row r="22135" spans="5:6" ht="15" customHeight="1" x14ac:dyDescent="0.2">
      <c r="E22135" s="7"/>
      <c r="F22135" s="7"/>
    </row>
    <row r="22136" spans="5:6" ht="15" customHeight="1" x14ac:dyDescent="0.2">
      <c r="E22136" s="7"/>
      <c r="F22136" s="7"/>
    </row>
    <row r="22137" spans="5:6" ht="15" customHeight="1" x14ac:dyDescent="0.2">
      <c r="E22137" s="7"/>
      <c r="F22137" s="7"/>
    </row>
    <row r="22138" spans="5:6" ht="15" customHeight="1" x14ac:dyDescent="0.2">
      <c r="E22138" s="7"/>
      <c r="F22138" s="7"/>
    </row>
    <row r="22139" spans="5:6" ht="15" customHeight="1" x14ac:dyDescent="0.2">
      <c r="E22139" s="7"/>
      <c r="F22139" s="7"/>
    </row>
    <row r="22140" spans="5:6" ht="15" customHeight="1" x14ac:dyDescent="0.2">
      <c r="E22140" s="7"/>
      <c r="F22140" s="7"/>
    </row>
    <row r="22141" spans="5:6" ht="15" customHeight="1" x14ac:dyDescent="0.2">
      <c r="E22141" s="7"/>
      <c r="F22141" s="7"/>
    </row>
    <row r="22142" spans="5:6" ht="15" customHeight="1" x14ac:dyDescent="0.2">
      <c r="E22142" s="7"/>
      <c r="F22142" s="7"/>
    </row>
    <row r="22143" spans="5:6" ht="15" customHeight="1" x14ac:dyDescent="0.2">
      <c r="E22143" s="7"/>
      <c r="F22143" s="7"/>
    </row>
    <row r="22144" spans="5:6" ht="15" customHeight="1" x14ac:dyDescent="0.2">
      <c r="E22144" s="7"/>
      <c r="F22144" s="7"/>
    </row>
    <row r="22145" spans="5:6" ht="15" customHeight="1" x14ac:dyDescent="0.2">
      <c r="E22145" s="7"/>
      <c r="F22145" s="7"/>
    </row>
    <row r="22146" spans="5:6" ht="15" customHeight="1" x14ac:dyDescent="0.2">
      <c r="E22146" s="7"/>
      <c r="F22146" s="7"/>
    </row>
    <row r="22147" spans="5:6" ht="15" customHeight="1" x14ac:dyDescent="0.2">
      <c r="E22147" s="7"/>
      <c r="F22147" s="7"/>
    </row>
    <row r="22148" spans="5:6" ht="15" customHeight="1" x14ac:dyDescent="0.2">
      <c r="E22148" s="7"/>
      <c r="F22148" s="7"/>
    </row>
    <row r="22149" spans="5:6" ht="15" customHeight="1" x14ac:dyDescent="0.2">
      <c r="E22149" s="7"/>
      <c r="F22149" s="7"/>
    </row>
    <row r="22150" spans="5:6" ht="15" customHeight="1" x14ac:dyDescent="0.2">
      <c r="E22150" s="7"/>
      <c r="F22150" s="7"/>
    </row>
    <row r="22151" spans="5:6" ht="15" customHeight="1" x14ac:dyDescent="0.2">
      <c r="E22151" s="7"/>
      <c r="F22151" s="7"/>
    </row>
    <row r="22152" spans="5:6" ht="15" customHeight="1" x14ac:dyDescent="0.2">
      <c r="E22152" s="7"/>
      <c r="F22152" s="7"/>
    </row>
    <row r="22153" spans="5:6" ht="15" customHeight="1" x14ac:dyDescent="0.2">
      <c r="E22153" s="7"/>
      <c r="F22153" s="7"/>
    </row>
    <row r="22154" spans="5:6" ht="15" customHeight="1" x14ac:dyDescent="0.2">
      <c r="E22154" s="7"/>
      <c r="F22154" s="7"/>
    </row>
    <row r="22155" spans="5:6" ht="15" customHeight="1" x14ac:dyDescent="0.2">
      <c r="E22155" s="7"/>
      <c r="F22155" s="7"/>
    </row>
    <row r="22156" spans="5:6" ht="15" customHeight="1" x14ac:dyDescent="0.2">
      <c r="E22156" s="7"/>
      <c r="F22156" s="7"/>
    </row>
    <row r="22157" spans="5:6" ht="15" customHeight="1" x14ac:dyDescent="0.2">
      <c r="E22157" s="7"/>
      <c r="F22157" s="7"/>
    </row>
    <row r="22158" spans="5:6" ht="15" customHeight="1" x14ac:dyDescent="0.2">
      <c r="E22158" s="7"/>
      <c r="F22158" s="7"/>
    </row>
    <row r="22159" spans="5:6" ht="15" customHeight="1" x14ac:dyDescent="0.2">
      <c r="E22159" s="7"/>
      <c r="F22159" s="7"/>
    </row>
    <row r="22160" spans="5:6" ht="15" customHeight="1" x14ac:dyDescent="0.2">
      <c r="E22160" s="7"/>
      <c r="F22160" s="7"/>
    </row>
    <row r="22161" spans="5:6" ht="15" customHeight="1" x14ac:dyDescent="0.2">
      <c r="E22161" s="7"/>
      <c r="F22161" s="7"/>
    </row>
    <row r="22162" spans="5:6" ht="15" customHeight="1" x14ac:dyDescent="0.2">
      <c r="E22162" s="7"/>
      <c r="F22162" s="7"/>
    </row>
    <row r="22163" spans="5:6" ht="15" customHeight="1" x14ac:dyDescent="0.2">
      <c r="E22163" s="7"/>
      <c r="F22163" s="7"/>
    </row>
    <row r="22164" spans="5:6" ht="15" customHeight="1" x14ac:dyDescent="0.2">
      <c r="E22164" s="7"/>
      <c r="F22164" s="7"/>
    </row>
    <row r="22165" spans="5:6" ht="15" customHeight="1" x14ac:dyDescent="0.2">
      <c r="E22165" s="7"/>
      <c r="F22165" s="7"/>
    </row>
    <row r="22166" spans="5:6" ht="15" customHeight="1" x14ac:dyDescent="0.2">
      <c r="E22166" s="7"/>
      <c r="F22166" s="7"/>
    </row>
    <row r="22167" spans="5:6" ht="15" customHeight="1" x14ac:dyDescent="0.2">
      <c r="E22167" s="7"/>
      <c r="F22167" s="7"/>
    </row>
    <row r="22168" spans="5:6" ht="15" customHeight="1" x14ac:dyDescent="0.2">
      <c r="E22168" s="7"/>
      <c r="F22168" s="7"/>
    </row>
    <row r="22169" spans="5:6" ht="15" customHeight="1" x14ac:dyDescent="0.2">
      <c r="E22169" s="7"/>
      <c r="F22169" s="7"/>
    </row>
    <row r="22170" spans="5:6" ht="15" customHeight="1" x14ac:dyDescent="0.2">
      <c r="E22170" s="7"/>
      <c r="F22170" s="7"/>
    </row>
    <row r="22171" spans="5:6" ht="15" customHeight="1" x14ac:dyDescent="0.2">
      <c r="E22171" s="7"/>
      <c r="F22171" s="7"/>
    </row>
    <row r="22172" spans="5:6" ht="15" customHeight="1" x14ac:dyDescent="0.2">
      <c r="E22172" s="7"/>
      <c r="F22172" s="7"/>
    </row>
    <row r="22173" spans="5:6" ht="15" customHeight="1" x14ac:dyDescent="0.2">
      <c r="E22173" s="7"/>
      <c r="F22173" s="7"/>
    </row>
    <row r="22174" spans="5:6" ht="15" customHeight="1" x14ac:dyDescent="0.2">
      <c r="E22174" s="7"/>
      <c r="F22174" s="7"/>
    </row>
    <row r="22175" spans="5:6" ht="15" customHeight="1" x14ac:dyDescent="0.2">
      <c r="E22175" s="7"/>
      <c r="F22175" s="7"/>
    </row>
    <row r="22176" spans="5:6" ht="15" customHeight="1" x14ac:dyDescent="0.2">
      <c r="E22176" s="7"/>
      <c r="F22176" s="7"/>
    </row>
    <row r="22177" spans="5:6" ht="15" customHeight="1" x14ac:dyDescent="0.2">
      <c r="E22177" s="7"/>
      <c r="F22177" s="7"/>
    </row>
    <row r="22178" spans="5:6" ht="15" customHeight="1" x14ac:dyDescent="0.2">
      <c r="E22178" s="7"/>
      <c r="F22178" s="7"/>
    </row>
    <row r="22179" spans="5:6" ht="15" customHeight="1" x14ac:dyDescent="0.2">
      <c r="E22179" s="7"/>
      <c r="F22179" s="7"/>
    </row>
    <row r="22180" spans="5:6" ht="15" customHeight="1" x14ac:dyDescent="0.2">
      <c r="E22180" s="7"/>
      <c r="F22180" s="7"/>
    </row>
    <row r="22181" spans="5:6" ht="15" customHeight="1" x14ac:dyDescent="0.2">
      <c r="E22181" s="7"/>
      <c r="F22181" s="7"/>
    </row>
    <row r="22182" spans="5:6" ht="15" customHeight="1" x14ac:dyDescent="0.2">
      <c r="E22182" s="7"/>
      <c r="F22182" s="7"/>
    </row>
    <row r="22183" spans="5:6" ht="15" customHeight="1" x14ac:dyDescent="0.2">
      <c r="E22183" s="7"/>
      <c r="F22183" s="7"/>
    </row>
    <row r="22184" spans="5:6" ht="15" customHeight="1" x14ac:dyDescent="0.2">
      <c r="E22184" s="7"/>
      <c r="F22184" s="7"/>
    </row>
    <row r="22185" spans="5:6" ht="15" customHeight="1" x14ac:dyDescent="0.2">
      <c r="E22185" s="7"/>
      <c r="F22185" s="7"/>
    </row>
    <row r="22186" spans="5:6" ht="15" customHeight="1" x14ac:dyDescent="0.2">
      <c r="E22186" s="7"/>
      <c r="F22186" s="7"/>
    </row>
    <row r="22187" spans="5:6" ht="15" customHeight="1" x14ac:dyDescent="0.2">
      <c r="E22187" s="7"/>
      <c r="F22187" s="7"/>
    </row>
    <row r="22188" spans="5:6" ht="15" customHeight="1" x14ac:dyDescent="0.2">
      <c r="E22188" s="7"/>
      <c r="F22188" s="7"/>
    </row>
    <row r="22189" spans="5:6" ht="15" customHeight="1" x14ac:dyDescent="0.2">
      <c r="E22189" s="7"/>
      <c r="F22189" s="7"/>
    </row>
    <row r="22190" spans="5:6" ht="15" customHeight="1" x14ac:dyDescent="0.2">
      <c r="E22190" s="7"/>
      <c r="F22190" s="7"/>
    </row>
    <row r="22191" spans="5:6" ht="15" customHeight="1" x14ac:dyDescent="0.2">
      <c r="E22191" s="7"/>
      <c r="F22191" s="7"/>
    </row>
    <row r="22192" spans="5:6" ht="15" customHeight="1" x14ac:dyDescent="0.2">
      <c r="E22192" s="7"/>
      <c r="F22192" s="7"/>
    </row>
    <row r="22193" spans="5:6" ht="15" customHeight="1" x14ac:dyDescent="0.2">
      <c r="E22193" s="7"/>
      <c r="F22193" s="7"/>
    </row>
    <row r="22194" spans="5:6" ht="15" customHeight="1" x14ac:dyDescent="0.2">
      <c r="E22194" s="7"/>
      <c r="F22194" s="7"/>
    </row>
    <row r="22195" spans="5:6" ht="15" customHeight="1" x14ac:dyDescent="0.2">
      <c r="E22195" s="7"/>
      <c r="F22195" s="7"/>
    </row>
    <row r="22196" spans="5:6" ht="15" customHeight="1" x14ac:dyDescent="0.2">
      <c r="E22196" s="7"/>
      <c r="F22196" s="7"/>
    </row>
    <row r="22197" spans="5:6" ht="15" customHeight="1" x14ac:dyDescent="0.2">
      <c r="E22197" s="7"/>
      <c r="F22197" s="7"/>
    </row>
    <row r="22198" spans="5:6" ht="15" customHeight="1" x14ac:dyDescent="0.2">
      <c r="E22198" s="7"/>
      <c r="F22198" s="7"/>
    </row>
    <row r="22199" spans="5:6" ht="15" customHeight="1" x14ac:dyDescent="0.2">
      <c r="E22199" s="7"/>
      <c r="F22199" s="7"/>
    </row>
    <row r="22200" spans="5:6" ht="15" customHeight="1" x14ac:dyDescent="0.2">
      <c r="E22200" s="7"/>
      <c r="F22200" s="7"/>
    </row>
    <row r="22201" spans="5:6" ht="15" customHeight="1" x14ac:dyDescent="0.2">
      <c r="E22201" s="7"/>
      <c r="F22201" s="7"/>
    </row>
    <row r="22202" spans="5:6" ht="15" customHeight="1" x14ac:dyDescent="0.2">
      <c r="E22202" s="7"/>
      <c r="F22202" s="7"/>
    </row>
    <row r="22203" spans="5:6" ht="15" customHeight="1" x14ac:dyDescent="0.2">
      <c r="E22203" s="7"/>
      <c r="F22203" s="7"/>
    </row>
    <row r="22204" spans="5:6" ht="15" customHeight="1" x14ac:dyDescent="0.2">
      <c r="E22204" s="7"/>
      <c r="F22204" s="7"/>
    </row>
    <row r="22205" spans="5:6" ht="15" customHeight="1" x14ac:dyDescent="0.2">
      <c r="E22205" s="7"/>
      <c r="F22205" s="7"/>
    </row>
    <row r="22206" spans="5:6" ht="15" customHeight="1" x14ac:dyDescent="0.2">
      <c r="E22206" s="7"/>
      <c r="F22206" s="7"/>
    </row>
    <row r="22207" spans="5:6" ht="15" customHeight="1" x14ac:dyDescent="0.2">
      <c r="E22207" s="7"/>
      <c r="F22207" s="7"/>
    </row>
    <row r="22208" spans="5:6" ht="15" customHeight="1" x14ac:dyDescent="0.2">
      <c r="E22208" s="7"/>
      <c r="F22208" s="7"/>
    </row>
    <row r="22209" spans="5:6" ht="15" customHeight="1" x14ac:dyDescent="0.2">
      <c r="E22209" s="7"/>
      <c r="F22209" s="7"/>
    </row>
    <row r="22210" spans="5:6" ht="15" customHeight="1" x14ac:dyDescent="0.2">
      <c r="E22210" s="7"/>
      <c r="F22210" s="7"/>
    </row>
    <row r="22211" spans="5:6" ht="15" customHeight="1" x14ac:dyDescent="0.2">
      <c r="E22211" s="7"/>
      <c r="F22211" s="7"/>
    </row>
    <row r="22212" spans="5:6" ht="15" customHeight="1" x14ac:dyDescent="0.2">
      <c r="E22212" s="7"/>
      <c r="F22212" s="7"/>
    </row>
    <row r="22213" spans="5:6" ht="15" customHeight="1" x14ac:dyDescent="0.2">
      <c r="E22213" s="7"/>
      <c r="F22213" s="7"/>
    </row>
    <row r="22214" spans="5:6" ht="15" customHeight="1" x14ac:dyDescent="0.2">
      <c r="E22214" s="7"/>
      <c r="F22214" s="7"/>
    </row>
    <row r="22215" spans="5:6" ht="15" customHeight="1" x14ac:dyDescent="0.2">
      <c r="E22215" s="7"/>
      <c r="F22215" s="7"/>
    </row>
    <row r="22216" spans="5:6" ht="15" customHeight="1" x14ac:dyDescent="0.2">
      <c r="E22216" s="7"/>
      <c r="F22216" s="7"/>
    </row>
    <row r="22217" spans="5:6" ht="15" customHeight="1" x14ac:dyDescent="0.2">
      <c r="E22217" s="7"/>
      <c r="F22217" s="7"/>
    </row>
    <row r="22218" spans="5:6" ht="15" customHeight="1" x14ac:dyDescent="0.2">
      <c r="E22218" s="7"/>
      <c r="F22218" s="7"/>
    </row>
    <row r="22219" spans="5:6" ht="15" customHeight="1" x14ac:dyDescent="0.2">
      <c r="E22219" s="7"/>
      <c r="F22219" s="7"/>
    </row>
    <row r="22220" spans="5:6" ht="15" customHeight="1" x14ac:dyDescent="0.2">
      <c r="E22220" s="7"/>
      <c r="F22220" s="7"/>
    </row>
    <row r="22221" spans="5:6" ht="15" customHeight="1" x14ac:dyDescent="0.2">
      <c r="E22221" s="7"/>
      <c r="F22221" s="7"/>
    </row>
    <row r="22222" spans="5:6" ht="15" customHeight="1" x14ac:dyDescent="0.2">
      <c r="E22222" s="7"/>
      <c r="F22222" s="7"/>
    </row>
    <row r="22223" spans="5:6" ht="15" customHeight="1" x14ac:dyDescent="0.2">
      <c r="E22223" s="7"/>
      <c r="F22223" s="7"/>
    </row>
    <row r="22224" spans="5:6" ht="15" customHeight="1" x14ac:dyDescent="0.2">
      <c r="E22224" s="7"/>
      <c r="F22224" s="7"/>
    </row>
    <row r="22225" spans="5:6" ht="15" customHeight="1" x14ac:dyDescent="0.2">
      <c r="E22225" s="7"/>
      <c r="F22225" s="7"/>
    </row>
    <row r="22226" spans="5:6" ht="15" customHeight="1" x14ac:dyDescent="0.2">
      <c r="E22226" s="7"/>
      <c r="F22226" s="7"/>
    </row>
    <row r="22227" spans="5:6" ht="15" customHeight="1" x14ac:dyDescent="0.2">
      <c r="E22227" s="7"/>
      <c r="F22227" s="7"/>
    </row>
    <row r="22228" spans="5:6" ht="15" customHeight="1" x14ac:dyDescent="0.2">
      <c r="E22228" s="7"/>
      <c r="F22228" s="7"/>
    </row>
    <row r="22229" spans="5:6" ht="15" customHeight="1" x14ac:dyDescent="0.2">
      <c r="E22229" s="7"/>
      <c r="F22229" s="7"/>
    </row>
    <row r="22230" spans="5:6" ht="15" customHeight="1" x14ac:dyDescent="0.2">
      <c r="E22230" s="7"/>
      <c r="F22230" s="7"/>
    </row>
    <row r="22231" spans="5:6" ht="15" customHeight="1" x14ac:dyDescent="0.2">
      <c r="E22231" s="7"/>
      <c r="F22231" s="7"/>
    </row>
    <row r="22232" spans="5:6" ht="15" customHeight="1" x14ac:dyDescent="0.2">
      <c r="E22232" s="7"/>
      <c r="F22232" s="7"/>
    </row>
    <row r="22233" spans="5:6" ht="15" customHeight="1" x14ac:dyDescent="0.2">
      <c r="E22233" s="7"/>
      <c r="F22233" s="7"/>
    </row>
    <row r="22234" spans="5:6" ht="15" customHeight="1" x14ac:dyDescent="0.2">
      <c r="E22234" s="7"/>
      <c r="F22234" s="7"/>
    </row>
    <row r="22235" spans="5:6" ht="15" customHeight="1" x14ac:dyDescent="0.2">
      <c r="E22235" s="7"/>
      <c r="F22235" s="7"/>
    </row>
    <row r="22236" spans="5:6" ht="15" customHeight="1" x14ac:dyDescent="0.2">
      <c r="E22236" s="7"/>
      <c r="F22236" s="7"/>
    </row>
    <row r="22237" spans="5:6" ht="15" customHeight="1" x14ac:dyDescent="0.2">
      <c r="E22237" s="7"/>
      <c r="F22237" s="7"/>
    </row>
    <row r="22238" spans="5:6" ht="15" customHeight="1" x14ac:dyDescent="0.2">
      <c r="E22238" s="7"/>
      <c r="F22238" s="7"/>
    </row>
    <row r="22239" spans="5:6" ht="15" customHeight="1" x14ac:dyDescent="0.2">
      <c r="E22239" s="7"/>
      <c r="F22239" s="7"/>
    </row>
    <row r="22240" spans="5:6" ht="15" customHeight="1" x14ac:dyDescent="0.2">
      <c r="E22240" s="7"/>
      <c r="F22240" s="7"/>
    </row>
    <row r="22241" spans="5:6" ht="15" customHeight="1" x14ac:dyDescent="0.2">
      <c r="E22241" s="7"/>
      <c r="F22241" s="7"/>
    </row>
    <row r="22242" spans="5:6" ht="15" customHeight="1" x14ac:dyDescent="0.2">
      <c r="E22242" s="7"/>
      <c r="F22242" s="7"/>
    </row>
    <row r="22243" spans="5:6" ht="15" customHeight="1" x14ac:dyDescent="0.2">
      <c r="E22243" s="7"/>
      <c r="F22243" s="7"/>
    </row>
    <row r="22244" spans="5:6" ht="15" customHeight="1" x14ac:dyDescent="0.2">
      <c r="E22244" s="7"/>
      <c r="F22244" s="7"/>
    </row>
    <row r="22245" spans="5:6" ht="15" customHeight="1" x14ac:dyDescent="0.2">
      <c r="E22245" s="7"/>
      <c r="F22245" s="7"/>
    </row>
    <row r="22246" spans="5:6" ht="15" customHeight="1" x14ac:dyDescent="0.2">
      <c r="E22246" s="7"/>
      <c r="F22246" s="7"/>
    </row>
    <row r="22247" spans="5:6" ht="15" customHeight="1" x14ac:dyDescent="0.2">
      <c r="E22247" s="7"/>
      <c r="F22247" s="7"/>
    </row>
    <row r="22248" spans="5:6" ht="15" customHeight="1" x14ac:dyDescent="0.2">
      <c r="E22248" s="7"/>
      <c r="F22248" s="7"/>
    </row>
    <row r="22249" spans="5:6" ht="15" customHeight="1" x14ac:dyDescent="0.2">
      <c r="E22249" s="7"/>
      <c r="F22249" s="7"/>
    </row>
    <row r="22250" spans="5:6" ht="15" customHeight="1" x14ac:dyDescent="0.2">
      <c r="E22250" s="7"/>
      <c r="F22250" s="7"/>
    </row>
    <row r="22251" spans="5:6" ht="15" customHeight="1" x14ac:dyDescent="0.2">
      <c r="E22251" s="7"/>
      <c r="F22251" s="7"/>
    </row>
    <row r="22252" spans="5:6" ht="15" customHeight="1" x14ac:dyDescent="0.2">
      <c r="E22252" s="7"/>
      <c r="F22252" s="7"/>
    </row>
    <row r="22253" spans="5:6" ht="15" customHeight="1" x14ac:dyDescent="0.2">
      <c r="E22253" s="7"/>
      <c r="F22253" s="7"/>
    </row>
    <row r="22254" spans="5:6" ht="15" customHeight="1" x14ac:dyDescent="0.2">
      <c r="E22254" s="7"/>
      <c r="F22254" s="7"/>
    </row>
    <row r="22255" spans="5:6" ht="15" customHeight="1" x14ac:dyDescent="0.2">
      <c r="E22255" s="7"/>
      <c r="F22255" s="7"/>
    </row>
    <row r="22256" spans="5:6" ht="15" customHeight="1" x14ac:dyDescent="0.2">
      <c r="E22256" s="7"/>
      <c r="F22256" s="7"/>
    </row>
    <row r="22257" spans="5:6" ht="15" customHeight="1" x14ac:dyDescent="0.2">
      <c r="E22257" s="7"/>
      <c r="F22257" s="7"/>
    </row>
    <row r="22258" spans="5:6" ht="15" customHeight="1" x14ac:dyDescent="0.2">
      <c r="E22258" s="7"/>
      <c r="F22258" s="7"/>
    </row>
    <row r="22259" spans="5:6" ht="15" customHeight="1" x14ac:dyDescent="0.2">
      <c r="E22259" s="7"/>
      <c r="F22259" s="7"/>
    </row>
    <row r="22260" spans="5:6" ht="15" customHeight="1" x14ac:dyDescent="0.2">
      <c r="E22260" s="7"/>
      <c r="F22260" s="7"/>
    </row>
    <row r="22261" spans="5:6" ht="15" customHeight="1" x14ac:dyDescent="0.2">
      <c r="E22261" s="7"/>
      <c r="F22261" s="7"/>
    </row>
    <row r="22262" spans="5:6" ht="15" customHeight="1" x14ac:dyDescent="0.2">
      <c r="E22262" s="7"/>
      <c r="F22262" s="7"/>
    </row>
    <row r="22263" spans="5:6" ht="15" customHeight="1" x14ac:dyDescent="0.2">
      <c r="E22263" s="7"/>
      <c r="F22263" s="7"/>
    </row>
    <row r="22264" spans="5:6" ht="15" customHeight="1" x14ac:dyDescent="0.2">
      <c r="E22264" s="7"/>
      <c r="F22264" s="7"/>
    </row>
    <row r="22265" spans="5:6" ht="15" customHeight="1" x14ac:dyDescent="0.2">
      <c r="E22265" s="7"/>
      <c r="F22265" s="7"/>
    </row>
    <row r="22266" spans="5:6" ht="15" customHeight="1" x14ac:dyDescent="0.2">
      <c r="E22266" s="7"/>
      <c r="F22266" s="7"/>
    </row>
    <row r="22267" spans="5:6" ht="15" customHeight="1" x14ac:dyDescent="0.2">
      <c r="E22267" s="7"/>
      <c r="F22267" s="7"/>
    </row>
    <row r="22268" spans="5:6" ht="15" customHeight="1" x14ac:dyDescent="0.2">
      <c r="E22268" s="7"/>
      <c r="F22268" s="7"/>
    </row>
    <row r="22269" spans="5:6" ht="15" customHeight="1" x14ac:dyDescent="0.2">
      <c r="E22269" s="7"/>
      <c r="F22269" s="7"/>
    </row>
    <row r="22270" spans="5:6" ht="15" customHeight="1" x14ac:dyDescent="0.2">
      <c r="E22270" s="7"/>
      <c r="F22270" s="7"/>
    </row>
    <row r="22271" spans="5:6" ht="15" customHeight="1" x14ac:dyDescent="0.2">
      <c r="E22271" s="7"/>
      <c r="F22271" s="7"/>
    </row>
    <row r="22272" spans="5:6" ht="15" customHeight="1" x14ac:dyDescent="0.2">
      <c r="E22272" s="7"/>
      <c r="F22272" s="7"/>
    </row>
    <row r="22273" spans="5:6" ht="15" customHeight="1" x14ac:dyDescent="0.2">
      <c r="E22273" s="7"/>
      <c r="F22273" s="7"/>
    </row>
    <row r="22274" spans="5:6" ht="15" customHeight="1" x14ac:dyDescent="0.2">
      <c r="E22274" s="7"/>
      <c r="F22274" s="7"/>
    </row>
    <row r="22275" spans="5:6" ht="15" customHeight="1" x14ac:dyDescent="0.2">
      <c r="E22275" s="7"/>
      <c r="F22275" s="7"/>
    </row>
    <row r="22276" spans="5:6" ht="15" customHeight="1" x14ac:dyDescent="0.2">
      <c r="E22276" s="7"/>
      <c r="F22276" s="7"/>
    </row>
    <row r="22277" spans="5:6" ht="15" customHeight="1" x14ac:dyDescent="0.2">
      <c r="E22277" s="7"/>
      <c r="F22277" s="7"/>
    </row>
    <row r="22278" spans="5:6" ht="15" customHeight="1" x14ac:dyDescent="0.2">
      <c r="E22278" s="7"/>
      <c r="F22278" s="7"/>
    </row>
    <row r="22279" spans="5:6" ht="15" customHeight="1" x14ac:dyDescent="0.2">
      <c r="E22279" s="7"/>
      <c r="F22279" s="7"/>
    </row>
    <row r="22280" spans="5:6" ht="15" customHeight="1" x14ac:dyDescent="0.2">
      <c r="E22280" s="7"/>
      <c r="F22280" s="7"/>
    </row>
    <row r="22281" spans="5:6" ht="15" customHeight="1" x14ac:dyDescent="0.2">
      <c r="E22281" s="7"/>
      <c r="F22281" s="7"/>
    </row>
    <row r="22282" spans="5:6" ht="15" customHeight="1" x14ac:dyDescent="0.2">
      <c r="E22282" s="7"/>
      <c r="F22282" s="7"/>
    </row>
    <row r="22283" spans="5:6" ht="15" customHeight="1" x14ac:dyDescent="0.2">
      <c r="E22283" s="7"/>
      <c r="F22283" s="7"/>
    </row>
    <row r="22284" spans="5:6" ht="15" customHeight="1" x14ac:dyDescent="0.2">
      <c r="E22284" s="7"/>
      <c r="F22284" s="7"/>
    </row>
    <row r="22285" spans="5:6" ht="15" customHeight="1" x14ac:dyDescent="0.2">
      <c r="E22285" s="7"/>
      <c r="F22285" s="7"/>
    </row>
    <row r="22286" spans="5:6" ht="15" customHeight="1" x14ac:dyDescent="0.2">
      <c r="E22286" s="7"/>
      <c r="F22286" s="7"/>
    </row>
    <row r="22287" spans="5:6" ht="15" customHeight="1" x14ac:dyDescent="0.2">
      <c r="E22287" s="7"/>
      <c r="F22287" s="7"/>
    </row>
    <row r="22288" spans="5:6" ht="15" customHeight="1" x14ac:dyDescent="0.2">
      <c r="E22288" s="7"/>
      <c r="F22288" s="7"/>
    </row>
    <row r="22289" spans="5:6" ht="15" customHeight="1" x14ac:dyDescent="0.2">
      <c r="E22289" s="7"/>
      <c r="F22289" s="7"/>
    </row>
    <row r="22290" spans="5:6" ht="15" customHeight="1" x14ac:dyDescent="0.2">
      <c r="E22290" s="7"/>
      <c r="F22290" s="7"/>
    </row>
    <row r="22291" spans="5:6" ht="15" customHeight="1" x14ac:dyDescent="0.2">
      <c r="E22291" s="7"/>
      <c r="F22291" s="7"/>
    </row>
    <row r="22292" spans="5:6" ht="15" customHeight="1" x14ac:dyDescent="0.2">
      <c r="E22292" s="7"/>
      <c r="F22292" s="7"/>
    </row>
    <row r="22293" spans="5:6" ht="15" customHeight="1" x14ac:dyDescent="0.2">
      <c r="E22293" s="7"/>
      <c r="F22293" s="7"/>
    </row>
    <row r="22294" spans="5:6" ht="15" customHeight="1" x14ac:dyDescent="0.2">
      <c r="E22294" s="7"/>
      <c r="F22294" s="7"/>
    </row>
    <row r="22295" spans="5:6" ht="15" customHeight="1" x14ac:dyDescent="0.2">
      <c r="E22295" s="7"/>
      <c r="F22295" s="7"/>
    </row>
    <row r="22296" spans="5:6" ht="15" customHeight="1" x14ac:dyDescent="0.2">
      <c r="E22296" s="7"/>
      <c r="F22296" s="7"/>
    </row>
    <row r="22297" spans="5:6" ht="15" customHeight="1" x14ac:dyDescent="0.2">
      <c r="E22297" s="7"/>
      <c r="F22297" s="7"/>
    </row>
    <row r="22298" spans="5:6" ht="15" customHeight="1" x14ac:dyDescent="0.2">
      <c r="E22298" s="7"/>
      <c r="F22298" s="7"/>
    </row>
    <row r="22299" spans="5:6" ht="15" customHeight="1" x14ac:dyDescent="0.2">
      <c r="E22299" s="7"/>
      <c r="F22299" s="7"/>
    </row>
    <row r="22300" spans="5:6" ht="15" customHeight="1" x14ac:dyDescent="0.2">
      <c r="E22300" s="7"/>
      <c r="F22300" s="7"/>
    </row>
    <row r="22301" spans="5:6" ht="15" customHeight="1" x14ac:dyDescent="0.2">
      <c r="E22301" s="7"/>
      <c r="F22301" s="7"/>
    </row>
    <row r="22302" spans="5:6" ht="15" customHeight="1" x14ac:dyDescent="0.2">
      <c r="E22302" s="7"/>
      <c r="F22302" s="7"/>
    </row>
    <row r="22303" spans="5:6" ht="15" customHeight="1" x14ac:dyDescent="0.2">
      <c r="E22303" s="7"/>
      <c r="F22303" s="7"/>
    </row>
    <row r="22304" spans="5:6" ht="15" customHeight="1" x14ac:dyDescent="0.2">
      <c r="E22304" s="7"/>
      <c r="F22304" s="7"/>
    </row>
    <row r="22305" spans="5:6" ht="15" customHeight="1" x14ac:dyDescent="0.2">
      <c r="E22305" s="7"/>
      <c r="F22305" s="7"/>
    </row>
    <row r="22306" spans="5:6" ht="15" customHeight="1" x14ac:dyDescent="0.2">
      <c r="E22306" s="7"/>
      <c r="F22306" s="7"/>
    </row>
    <row r="22307" spans="5:6" ht="15" customHeight="1" x14ac:dyDescent="0.2">
      <c r="E22307" s="7"/>
      <c r="F22307" s="7"/>
    </row>
    <row r="22308" spans="5:6" ht="15" customHeight="1" x14ac:dyDescent="0.2">
      <c r="E22308" s="7"/>
      <c r="F22308" s="7"/>
    </row>
    <row r="22309" spans="5:6" ht="15" customHeight="1" x14ac:dyDescent="0.2">
      <c r="E22309" s="7"/>
      <c r="F22309" s="7"/>
    </row>
    <row r="22310" spans="5:6" ht="15" customHeight="1" x14ac:dyDescent="0.2">
      <c r="E22310" s="7"/>
      <c r="F22310" s="7"/>
    </row>
    <row r="22311" spans="5:6" ht="15" customHeight="1" x14ac:dyDescent="0.2">
      <c r="E22311" s="7"/>
      <c r="F22311" s="7"/>
    </row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workbookViewId="0">
      <selection activeCell="G19" sqref="G19"/>
    </sheetView>
  </sheetViews>
  <sheetFormatPr defaultColWidth="12.5703125" defaultRowHeight="15" customHeight="1" x14ac:dyDescent="0.2"/>
  <cols>
    <col min="1" max="1" width="19.42578125" customWidth="1"/>
    <col min="2" max="26" width="11.42578125" customWidth="1"/>
  </cols>
  <sheetData>
    <row r="1" spans="1:13" ht="12.75" customHeight="1" x14ac:dyDescent="0.2">
      <c r="A1" s="1" t="s">
        <v>50</v>
      </c>
    </row>
    <row r="2" spans="1:13" ht="12.75" customHeight="1" x14ac:dyDescent="0.2"/>
    <row r="3" spans="1:13" ht="12.75" customHeight="1" x14ac:dyDescent="0.2">
      <c r="A3" s="1" t="s">
        <v>97</v>
      </c>
      <c r="B3" t="str">
        <f>'Premium summary'!B3</f>
        <v>GG Specialty Insurance Company</v>
      </c>
    </row>
    <row r="4" spans="1:13" ht="12.75" customHeight="1" x14ac:dyDescent="0.2">
      <c r="A4" s="1" t="s">
        <v>29</v>
      </c>
      <c r="B4" t="str">
        <f>'Premium summary'!B4</f>
        <v>Energy QS</v>
      </c>
    </row>
    <row r="5" spans="1:13" ht="12.75" customHeight="1" x14ac:dyDescent="0.2">
      <c r="A5" s="1" t="s">
        <v>30</v>
      </c>
      <c r="B5" s="5">
        <f>'Premium summary'!B5</f>
        <v>45748</v>
      </c>
    </row>
    <row r="6" spans="1:13" ht="12.75" customHeight="1" x14ac:dyDescent="0.2">
      <c r="A6" s="1" t="s">
        <v>41</v>
      </c>
      <c r="B6" s="5">
        <f>'Rate change'!B6</f>
        <v>45626</v>
      </c>
    </row>
    <row r="7" spans="1:13" ht="12.75" customHeight="1" x14ac:dyDescent="0.2"/>
    <row r="8" spans="1:13" ht="12.75" customHeight="1" x14ac:dyDescent="0.2">
      <c r="A8" s="1" t="s">
        <v>62</v>
      </c>
    </row>
    <row r="9" spans="1:13" ht="12.75" customHeight="1" x14ac:dyDescent="0.2">
      <c r="B9" s="18" t="s">
        <v>63</v>
      </c>
      <c r="C9" s="19"/>
      <c r="D9" s="19"/>
      <c r="E9" s="19"/>
      <c r="F9" s="18" t="s">
        <v>38</v>
      </c>
      <c r="G9" s="19"/>
      <c r="H9" s="19"/>
      <c r="I9" s="19"/>
      <c r="J9" s="18" t="s">
        <v>64</v>
      </c>
      <c r="K9" s="19"/>
      <c r="L9" s="19"/>
      <c r="M9" s="19"/>
    </row>
    <row r="10" spans="1:13" ht="12.75" customHeight="1" x14ac:dyDescent="0.2">
      <c r="A10" s="1" t="s">
        <v>65</v>
      </c>
      <c r="B10" s="1" t="s">
        <v>60</v>
      </c>
      <c r="C10" s="1" t="s">
        <v>66</v>
      </c>
      <c r="D10" s="1" t="s">
        <v>67</v>
      </c>
      <c r="E10" s="1" t="s">
        <v>68</v>
      </c>
      <c r="F10" s="1" t="s">
        <v>60</v>
      </c>
      <c r="G10" s="1" t="s">
        <v>66</v>
      </c>
      <c r="H10" s="1" t="s">
        <v>67</v>
      </c>
      <c r="I10" s="1" t="s">
        <v>68</v>
      </c>
      <c r="J10" s="1" t="s">
        <v>60</v>
      </c>
      <c r="K10" s="1" t="s">
        <v>66</v>
      </c>
      <c r="L10" s="1" t="s">
        <v>67</v>
      </c>
      <c r="M10" s="1" t="s">
        <v>68</v>
      </c>
    </row>
    <row r="11" spans="1:13" ht="12.75" customHeight="1" x14ac:dyDescent="0.2">
      <c r="A11" s="1" t="s">
        <v>69</v>
      </c>
      <c r="B11" s="9">
        <v>7755051</v>
      </c>
      <c r="C11" s="14">
        <f t="shared" ref="C11:C14" si="0">B11/B$15</f>
        <v>0.14130027061146977</v>
      </c>
      <c r="D11">
        <v>1147</v>
      </c>
      <c r="E11" s="14">
        <f t="shared" ref="E11:E14" si="1">D11/D$15</f>
        <v>0.40978921043229727</v>
      </c>
      <c r="F11" s="9">
        <v>4257903</v>
      </c>
      <c r="G11" s="14">
        <f t="shared" ref="G11:G14" si="2">F11/F$15</f>
        <v>0.14327505156404197</v>
      </c>
      <c r="H11">
        <v>768</v>
      </c>
      <c r="I11" s="14">
        <f t="shared" ref="I11:I14" si="3">H11/H$15</f>
        <v>0.40209424083769635</v>
      </c>
      <c r="J11" s="9">
        <f>B11+F11</f>
        <v>12012954</v>
      </c>
      <c r="K11" s="14">
        <f t="shared" ref="K11:K14" si="4">J11/J$15</f>
        <v>0.14199395859668204</v>
      </c>
      <c r="L11">
        <f>D11+H11</f>
        <v>1915</v>
      </c>
      <c r="M11" s="14">
        <f t="shared" ref="M11:M14" si="5">L11/L$15</f>
        <v>0.40666808239541302</v>
      </c>
    </row>
    <row r="12" spans="1:13" ht="12.75" customHeight="1" x14ac:dyDescent="0.2">
      <c r="A12" s="1" t="s">
        <v>70</v>
      </c>
      <c r="B12" s="9">
        <v>6434536</v>
      </c>
      <c r="C12" s="14">
        <f t="shared" si="0"/>
        <v>0.11723993537363508</v>
      </c>
      <c r="D12">
        <v>554</v>
      </c>
      <c r="E12" s="14">
        <f t="shared" si="1"/>
        <v>0.19792783136834582</v>
      </c>
      <c r="F12" s="9">
        <v>3702519</v>
      </c>
      <c r="G12" s="14">
        <f t="shared" si="2"/>
        <v>0.12458682140993939</v>
      </c>
      <c r="H12">
        <v>397</v>
      </c>
      <c r="I12" s="14">
        <f t="shared" si="3"/>
        <v>0.20785340314136125</v>
      </c>
      <c r="J12" s="9">
        <f t="shared" ref="J12:J14" si="6">B12+F12</f>
        <v>10137055</v>
      </c>
      <c r="K12" s="14">
        <f t="shared" si="4"/>
        <v>0.11982070088358689</v>
      </c>
      <c r="L12">
        <f t="shared" ref="L12:L14" si="7">D12+H12</f>
        <v>951</v>
      </c>
      <c r="M12" s="14">
        <f t="shared" si="5"/>
        <v>0.20195370566999363</v>
      </c>
    </row>
    <row r="13" spans="1:13" ht="12.75" customHeight="1" x14ac:dyDescent="0.2">
      <c r="A13" s="1" t="s">
        <v>71</v>
      </c>
      <c r="B13" s="9">
        <v>8347739</v>
      </c>
      <c r="C13" s="14">
        <f t="shared" si="0"/>
        <v>0.15209929369825162</v>
      </c>
      <c r="D13">
        <v>537</v>
      </c>
      <c r="E13" s="14">
        <f t="shared" si="1"/>
        <v>0.19185423365487675</v>
      </c>
      <c r="F13" s="9">
        <v>4666494</v>
      </c>
      <c r="G13" s="14">
        <f t="shared" si="2"/>
        <v>0.15702381394627649</v>
      </c>
      <c r="H13">
        <v>374</v>
      </c>
      <c r="I13" s="14">
        <f t="shared" si="3"/>
        <v>0.19581151832460733</v>
      </c>
      <c r="J13" s="9">
        <f t="shared" si="6"/>
        <v>13014233</v>
      </c>
      <c r="K13" s="14">
        <f t="shared" si="4"/>
        <v>0.15382914658372729</v>
      </c>
      <c r="L13">
        <f t="shared" si="7"/>
        <v>911</v>
      </c>
      <c r="M13" s="14">
        <f t="shared" si="5"/>
        <v>0.19345933319176045</v>
      </c>
    </row>
    <row r="14" spans="1:13" ht="12.75" customHeight="1" x14ac:dyDescent="0.2">
      <c r="A14" s="1" t="s">
        <v>72</v>
      </c>
      <c r="B14" s="9">
        <v>32346157</v>
      </c>
      <c r="C14" s="14">
        <f t="shared" si="0"/>
        <v>0.58936050031664355</v>
      </c>
      <c r="D14">
        <v>561</v>
      </c>
      <c r="E14" s="14">
        <f t="shared" si="1"/>
        <v>0.20042872454448016</v>
      </c>
      <c r="F14" s="9">
        <v>17091468</v>
      </c>
      <c r="G14" s="14">
        <f t="shared" si="2"/>
        <v>0.57511431307974215</v>
      </c>
      <c r="H14">
        <v>371</v>
      </c>
      <c r="I14" s="14">
        <f t="shared" si="3"/>
        <v>0.19424083769633507</v>
      </c>
      <c r="J14" s="9">
        <f t="shared" si="6"/>
        <v>49437625</v>
      </c>
      <c r="K14" s="14">
        <f t="shared" si="4"/>
        <v>0.5843561939360038</v>
      </c>
      <c r="L14">
        <f t="shared" si="7"/>
        <v>932</v>
      </c>
      <c r="M14" s="14">
        <f t="shared" si="5"/>
        <v>0.19791887874283287</v>
      </c>
    </row>
    <row r="15" spans="1:13" ht="12.75" customHeight="1" x14ac:dyDescent="0.2">
      <c r="A15" s="1" t="s">
        <v>73</v>
      </c>
      <c r="B15" s="9">
        <f>SUM(B11:B14)</f>
        <v>54883483</v>
      </c>
      <c r="D15">
        <f>SUM(D11:D14)</f>
        <v>2799</v>
      </c>
      <c r="F15" s="9">
        <f>SUM(F11:F14)</f>
        <v>29718384</v>
      </c>
      <c r="H15">
        <f>SUM(H11:H14)</f>
        <v>1910</v>
      </c>
      <c r="J15" s="9">
        <f>SUM(J11:J14)</f>
        <v>84601867</v>
      </c>
      <c r="L15">
        <f>SUM(L11:L14)</f>
        <v>4709</v>
      </c>
    </row>
    <row r="16" spans="1:13" ht="12.75" customHeight="1" x14ac:dyDescent="0.2"/>
    <row r="17" spans="1:1" ht="12.75" customHeight="1" x14ac:dyDescent="0.2">
      <c r="A17" s="1" t="s">
        <v>34</v>
      </c>
    </row>
    <row r="18" spans="1:1" ht="12.75" customHeight="1" x14ac:dyDescent="0.2">
      <c r="A18" s="1" t="str">
        <f>"Policies incepting between "&amp;TEXT(EOMONTH(B6,-12)+1,"Mmmm dd, yyyy")&amp;" and "&amp;TEXT(B6,"Mmmm dd, yyyy")</f>
        <v>Policies incepting between December 01, 2023 and November 30, 2024</v>
      </c>
    </row>
    <row r="19" spans="1:1" ht="12.75" customHeight="1" x14ac:dyDescent="0.2">
      <c r="A19" s="1"/>
    </row>
    <row r="20" spans="1:1" ht="12.75" customHeight="1" x14ac:dyDescent="0.2"/>
    <row r="21" spans="1:1" ht="12.75" customHeight="1" x14ac:dyDescent="0.2">
      <c r="A21" s="16"/>
    </row>
    <row r="22" spans="1:1" ht="12.75" customHeight="1" x14ac:dyDescent="0.2">
      <c r="A22" s="16"/>
    </row>
    <row r="23" spans="1:1" ht="12.75" customHeight="1" x14ac:dyDescent="0.2">
      <c r="A23" s="16"/>
    </row>
    <row r="24" spans="1:1" ht="12.75" customHeight="1" x14ac:dyDescent="0.2">
      <c r="A24" s="16"/>
    </row>
    <row r="25" spans="1:1" ht="12.75" customHeight="1" x14ac:dyDescent="0.2">
      <c r="A25" s="16"/>
    </row>
    <row r="26" spans="1:1" ht="12.75" customHeight="1" x14ac:dyDescent="0.2">
      <c r="A26" s="16"/>
    </row>
    <row r="27" spans="1:1" ht="12.75" customHeight="1" x14ac:dyDescent="0.2">
      <c r="A27" s="16"/>
    </row>
    <row r="28" spans="1:1" ht="12.75" customHeight="1" x14ac:dyDescent="0.2">
      <c r="A28" s="16"/>
    </row>
    <row r="29" spans="1:1" ht="12.75" customHeight="1" x14ac:dyDescent="0.2">
      <c r="A29" s="17"/>
    </row>
    <row r="30" spans="1:1" ht="12.75" customHeight="1" x14ac:dyDescent="0.2">
      <c r="A30" s="16"/>
    </row>
    <row r="31" spans="1:1" ht="12.75" customHeight="1" x14ac:dyDescent="0.2">
      <c r="A31" s="16"/>
    </row>
    <row r="32" spans="1:1" ht="12.75" customHeight="1" x14ac:dyDescent="0.2">
      <c r="A32" s="17"/>
    </row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3">
    <mergeCell ref="B9:E9"/>
    <mergeCell ref="F9:I9"/>
    <mergeCell ref="J9:M9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496"/>
  <sheetViews>
    <sheetView workbookViewId="0">
      <selection activeCell="F14" sqref="F14"/>
    </sheetView>
  </sheetViews>
  <sheetFormatPr defaultColWidth="12.5703125" defaultRowHeight="15" customHeight="1" x14ac:dyDescent="0.2"/>
  <cols>
    <col min="1" max="4" width="11.42578125" customWidth="1"/>
    <col min="5" max="5" width="12.28515625" bestFit="1" customWidth="1"/>
    <col min="6" max="8" width="11.42578125" customWidth="1"/>
    <col min="9" max="9" width="10.5703125" customWidth="1"/>
    <col min="10" max="25" width="11.42578125" customWidth="1"/>
  </cols>
  <sheetData>
    <row r="1" spans="1:18" ht="12.75" customHeight="1" x14ac:dyDescent="0.2">
      <c r="A1" s="1" t="s">
        <v>74</v>
      </c>
    </row>
    <row r="2" spans="1:18" ht="12.75" customHeight="1" x14ac:dyDescent="0.2"/>
    <row r="3" spans="1:18" ht="12.75" customHeight="1" x14ac:dyDescent="0.2">
      <c r="A3" s="1" t="s">
        <v>97</v>
      </c>
      <c r="B3" t="str">
        <f>'Premium summary'!B3</f>
        <v>GG Specialty Insurance Company</v>
      </c>
    </row>
    <row r="4" spans="1:18" ht="12.75" customHeight="1" x14ac:dyDescent="0.2">
      <c r="A4" s="1" t="s">
        <v>29</v>
      </c>
      <c r="B4" t="str">
        <f>'Premium summary'!B4</f>
        <v>Energy QS</v>
      </c>
    </row>
    <row r="5" spans="1:18" ht="12.75" customHeight="1" x14ac:dyDescent="0.2">
      <c r="A5" s="1" t="s">
        <v>30</v>
      </c>
      <c r="B5" s="5">
        <f>'Premium summary'!B5</f>
        <v>45748</v>
      </c>
    </row>
    <row r="6" spans="1:18" ht="12.75" customHeight="1" x14ac:dyDescent="0.2">
      <c r="A6" s="1" t="s">
        <v>41</v>
      </c>
      <c r="B6" s="5">
        <f>'Rate change'!B6</f>
        <v>45626</v>
      </c>
    </row>
    <row r="7" spans="1:18" ht="12.75" customHeight="1" x14ac:dyDescent="0.2">
      <c r="A7" s="1" t="s">
        <v>51</v>
      </c>
      <c r="B7" s="1" t="s">
        <v>52</v>
      </c>
    </row>
    <row r="8" spans="1:18" ht="12.75" customHeight="1" x14ac:dyDescent="0.2"/>
    <row r="9" spans="1:18" ht="12.75" customHeight="1" x14ac:dyDescent="0.2">
      <c r="A9" s="1" t="s">
        <v>75</v>
      </c>
    </row>
    <row r="10" spans="1:18" ht="12.75" customHeight="1" x14ac:dyDescent="0.2"/>
    <row r="11" spans="1:18" ht="12.75" customHeight="1" x14ac:dyDescent="0.2">
      <c r="A11" s="1" t="s">
        <v>34</v>
      </c>
    </row>
    <row r="12" spans="1:18" ht="12.75" customHeight="1" x14ac:dyDescent="0.2">
      <c r="A12" s="1" t="str">
        <f>"Claims with incurred loss over $100000 and loss AY between "&amp;TEXT(EOMONTH(B6,-48)+1,"yyyy")&amp;" and "&amp;TEXT(B6,"yyyy")</f>
        <v>Claims with incurred loss over $100000 and loss AY between 2020 and 2024</v>
      </c>
    </row>
    <row r="13" spans="1:18" ht="12.75" customHeight="1" x14ac:dyDescent="0.2"/>
    <row r="14" spans="1:18" ht="12.75" customHeight="1" x14ac:dyDescent="0.2">
      <c r="A14" s="13" t="s">
        <v>6327</v>
      </c>
      <c r="B14" s="13" t="s">
        <v>6326</v>
      </c>
      <c r="C14" s="1" t="s">
        <v>76</v>
      </c>
      <c r="D14" s="1" t="s">
        <v>9983</v>
      </c>
      <c r="E14" s="1" t="s">
        <v>77</v>
      </c>
      <c r="F14" s="13" t="s">
        <v>6325</v>
      </c>
      <c r="G14" s="1" t="s">
        <v>78</v>
      </c>
      <c r="H14" s="1" t="s">
        <v>79</v>
      </c>
      <c r="I14" s="1" t="s">
        <v>59</v>
      </c>
      <c r="J14" s="1" t="s">
        <v>80</v>
      </c>
      <c r="K14" s="1" t="s">
        <v>81</v>
      </c>
      <c r="L14" s="1" t="s">
        <v>82</v>
      </c>
      <c r="M14" s="1" t="s">
        <v>83</v>
      </c>
      <c r="N14" s="1" t="s">
        <v>84</v>
      </c>
      <c r="O14" s="1" t="s">
        <v>85</v>
      </c>
      <c r="P14" s="1" t="s">
        <v>86</v>
      </c>
      <c r="Q14" s="1" t="s">
        <v>87</v>
      </c>
      <c r="R14" s="1" t="s">
        <v>9982</v>
      </c>
    </row>
    <row r="15" spans="1:18" ht="12.75" customHeight="1" x14ac:dyDescent="0.2">
      <c r="A15" t="s">
        <v>9393</v>
      </c>
      <c r="B15" t="s">
        <v>7492</v>
      </c>
      <c r="C15" s="7">
        <v>43841</v>
      </c>
      <c r="D15" s="7">
        <v>43879</v>
      </c>
      <c r="E15">
        <v>2020</v>
      </c>
      <c r="F15" s="7" t="s">
        <v>9394</v>
      </c>
      <c r="G15" s="7">
        <v>43808</v>
      </c>
      <c r="H15">
        <v>2019</v>
      </c>
      <c r="I15" t="s">
        <v>104</v>
      </c>
      <c r="J15">
        <v>10000000</v>
      </c>
      <c r="K15">
        <v>1604534.99</v>
      </c>
      <c r="L15">
        <v>0</v>
      </c>
      <c r="M15">
        <v>1604534.99</v>
      </c>
      <c r="N15">
        <v>458717.24</v>
      </c>
      <c r="O15">
        <v>0</v>
      </c>
      <c r="P15">
        <v>458717.24</v>
      </c>
      <c r="Q15">
        <v>2063252.23</v>
      </c>
      <c r="R15" t="s">
        <v>9395</v>
      </c>
    </row>
    <row r="16" spans="1:18" ht="12.75" customHeight="1" x14ac:dyDescent="0.2">
      <c r="A16" t="s">
        <v>9396</v>
      </c>
      <c r="B16" t="s">
        <v>7607</v>
      </c>
      <c r="C16" s="7">
        <v>43855</v>
      </c>
      <c r="D16" s="7">
        <v>43880</v>
      </c>
      <c r="E16">
        <v>2020</v>
      </c>
      <c r="F16" s="7" t="s">
        <v>9397</v>
      </c>
      <c r="G16" s="7">
        <v>43814</v>
      </c>
      <c r="H16">
        <v>2019</v>
      </c>
      <c r="I16" t="s">
        <v>101</v>
      </c>
      <c r="J16">
        <v>1000000</v>
      </c>
      <c r="K16">
        <v>278848.52</v>
      </c>
      <c r="L16">
        <v>0</v>
      </c>
      <c r="M16">
        <v>278848.52</v>
      </c>
      <c r="N16">
        <v>74832.55</v>
      </c>
      <c r="O16">
        <v>0</v>
      </c>
      <c r="P16">
        <v>74832.55</v>
      </c>
      <c r="Q16">
        <v>353681.07</v>
      </c>
      <c r="R16" t="s">
        <v>9398</v>
      </c>
    </row>
    <row r="17" spans="1:18" ht="12.75" customHeight="1" x14ac:dyDescent="0.2">
      <c r="A17" t="s">
        <v>9399</v>
      </c>
      <c r="B17" t="s">
        <v>9400</v>
      </c>
      <c r="C17" s="7">
        <v>43840</v>
      </c>
      <c r="D17" s="7">
        <v>43905</v>
      </c>
      <c r="E17">
        <v>2020</v>
      </c>
      <c r="F17" s="7" t="s">
        <v>9401</v>
      </c>
      <c r="G17" s="7">
        <v>43517</v>
      </c>
      <c r="H17">
        <v>2019</v>
      </c>
      <c r="I17" t="s">
        <v>101</v>
      </c>
      <c r="J17">
        <v>5000000</v>
      </c>
      <c r="K17">
        <v>531858.17000000004</v>
      </c>
      <c r="L17">
        <v>0</v>
      </c>
      <c r="M17">
        <v>531858.17000000004</v>
      </c>
      <c r="N17">
        <v>150323.71</v>
      </c>
      <c r="O17">
        <v>0</v>
      </c>
      <c r="P17">
        <v>150323.71</v>
      </c>
      <c r="Q17">
        <v>682181.88</v>
      </c>
      <c r="R17" t="s">
        <v>9402</v>
      </c>
    </row>
    <row r="18" spans="1:18" ht="12.75" customHeight="1" x14ac:dyDescent="0.2">
      <c r="A18" t="s">
        <v>9403</v>
      </c>
      <c r="B18" t="s">
        <v>9404</v>
      </c>
      <c r="C18" s="7">
        <v>43866</v>
      </c>
      <c r="D18" s="7">
        <v>43909</v>
      </c>
      <c r="E18">
        <v>2020</v>
      </c>
      <c r="F18" s="7" t="s">
        <v>9405</v>
      </c>
      <c r="G18" s="7">
        <v>43513</v>
      </c>
      <c r="H18">
        <v>2019</v>
      </c>
      <c r="I18" t="s">
        <v>101</v>
      </c>
      <c r="J18">
        <v>5000000</v>
      </c>
      <c r="K18">
        <v>525556.67000000004</v>
      </c>
      <c r="L18">
        <v>0</v>
      </c>
      <c r="M18">
        <v>525556.67000000004</v>
      </c>
      <c r="N18">
        <v>125253.25</v>
      </c>
      <c r="O18">
        <v>0</v>
      </c>
      <c r="P18">
        <v>125253.25</v>
      </c>
      <c r="Q18">
        <v>650809.92000000004</v>
      </c>
      <c r="R18" t="s">
        <v>9406</v>
      </c>
    </row>
    <row r="19" spans="1:18" ht="12.75" customHeight="1" x14ac:dyDescent="0.2">
      <c r="A19" t="s">
        <v>9407</v>
      </c>
      <c r="B19" t="s">
        <v>6646</v>
      </c>
      <c r="C19" s="7">
        <v>43884</v>
      </c>
      <c r="D19" s="7">
        <v>43950</v>
      </c>
      <c r="E19">
        <v>2020</v>
      </c>
      <c r="F19" s="7" t="s">
        <v>9408</v>
      </c>
      <c r="G19" s="7">
        <v>43581</v>
      </c>
      <c r="H19">
        <v>2019</v>
      </c>
      <c r="I19" t="s">
        <v>104</v>
      </c>
      <c r="J19">
        <v>2000000</v>
      </c>
      <c r="K19">
        <v>141977.32</v>
      </c>
      <c r="L19">
        <v>0</v>
      </c>
      <c r="M19">
        <v>141977.32</v>
      </c>
      <c r="N19">
        <v>23722.49</v>
      </c>
      <c r="O19">
        <v>0</v>
      </c>
      <c r="P19">
        <v>23722.49</v>
      </c>
      <c r="Q19">
        <v>165699.81</v>
      </c>
      <c r="R19" t="s">
        <v>9409</v>
      </c>
    </row>
    <row r="20" spans="1:18" ht="12.75" customHeight="1" x14ac:dyDescent="0.2">
      <c r="A20" t="s">
        <v>9410</v>
      </c>
      <c r="B20" t="s">
        <v>9411</v>
      </c>
      <c r="C20" s="7">
        <v>43917</v>
      </c>
      <c r="D20" s="7">
        <v>43954</v>
      </c>
      <c r="E20">
        <v>2020</v>
      </c>
      <c r="F20" s="7" t="s">
        <v>9412</v>
      </c>
      <c r="G20" s="7">
        <v>43813</v>
      </c>
      <c r="H20">
        <v>2019</v>
      </c>
      <c r="I20" t="s">
        <v>101</v>
      </c>
      <c r="J20">
        <v>1500000</v>
      </c>
      <c r="K20">
        <v>151652.25</v>
      </c>
      <c r="L20">
        <v>0</v>
      </c>
      <c r="M20">
        <v>151652.25</v>
      </c>
      <c r="N20">
        <v>31197.83</v>
      </c>
      <c r="O20">
        <v>0</v>
      </c>
      <c r="P20">
        <v>31197.83</v>
      </c>
      <c r="Q20">
        <v>182850.08</v>
      </c>
      <c r="R20" t="s">
        <v>9413</v>
      </c>
    </row>
    <row r="21" spans="1:18" ht="12.75" customHeight="1" x14ac:dyDescent="0.2">
      <c r="A21" t="s">
        <v>9414</v>
      </c>
      <c r="B21" t="s">
        <v>8945</v>
      </c>
      <c r="C21" s="7">
        <v>43912</v>
      </c>
      <c r="D21" s="7">
        <v>43957</v>
      </c>
      <c r="E21">
        <v>2020</v>
      </c>
      <c r="F21" s="7" t="s">
        <v>9415</v>
      </c>
      <c r="G21" s="7">
        <v>43700</v>
      </c>
      <c r="H21">
        <v>2019</v>
      </c>
      <c r="I21" t="s">
        <v>104</v>
      </c>
      <c r="J21">
        <v>1500000</v>
      </c>
      <c r="K21">
        <v>154044.78</v>
      </c>
      <c r="L21">
        <v>0</v>
      </c>
      <c r="M21">
        <v>154044.78</v>
      </c>
      <c r="N21">
        <v>28787.22</v>
      </c>
      <c r="O21">
        <v>0</v>
      </c>
      <c r="P21">
        <v>28787.22</v>
      </c>
      <c r="Q21">
        <v>182832</v>
      </c>
      <c r="R21" t="s">
        <v>9413</v>
      </c>
    </row>
    <row r="22" spans="1:18" ht="12.75" customHeight="1" x14ac:dyDescent="0.2">
      <c r="A22" t="s">
        <v>9416</v>
      </c>
      <c r="B22" t="s">
        <v>9268</v>
      </c>
      <c r="C22" s="7">
        <v>43975</v>
      </c>
      <c r="D22" s="7">
        <v>44019</v>
      </c>
      <c r="E22">
        <v>2020</v>
      </c>
      <c r="F22" s="7" t="s">
        <v>9417</v>
      </c>
      <c r="G22" s="7">
        <v>43772</v>
      </c>
      <c r="H22">
        <v>2019</v>
      </c>
      <c r="I22" t="s">
        <v>104</v>
      </c>
      <c r="J22">
        <v>2000000</v>
      </c>
      <c r="K22">
        <v>186924.56</v>
      </c>
      <c r="L22">
        <v>0</v>
      </c>
      <c r="M22">
        <v>186924.56</v>
      </c>
      <c r="N22">
        <v>50145.8</v>
      </c>
      <c r="O22">
        <v>0</v>
      </c>
      <c r="P22">
        <v>50145.8</v>
      </c>
      <c r="Q22">
        <v>237070.36</v>
      </c>
      <c r="R22" t="s">
        <v>9418</v>
      </c>
    </row>
    <row r="23" spans="1:18" ht="12.75" customHeight="1" x14ac:dyDescent="0.2">
      <c r="A23" t="s">
        <v>9419</v>
      </c>
      <c r="B23" t="s">
        <v>9420</v>
      </c>
      <c r="C23" s="7">
        <v>43845</v>
      </c>
      <c r="D23" s="7">
        <v>44028</v>
      </c>
      <c r="E23">
        <v>2020</v>
      </c>
      <c r="F23" s="7" t="s">
        <v>9421</v>
      </c>
      <c r="G23" s="7">
        <v>43584</v>
      </c>
      <c r="H23">
        <v>2019</v>
      </c>
      <c r="I23" t="s">
        <v>104</v>
      </c>
      <c r="J23">
        <v>2000000</v>
      </c>
      <c r="K23">
        <v>448282.46</v>
      </c>
      <c r="L23">
        <v>0</v>
      </c>
      <c r="M23">
        <v>448282.46</v>
      </c>
      <c r="N23">
        <v>122367.35</v>
      </c>
      <c r="O23">
        <v>0</v>
      </c>
      <c r="P23">
        <v>122367.35</v>
      </c>
      <c r="Q23">
        <v>570649.81000000006</v>
      </c>
      <c r="R23" t="s">
        <v>9422</v>
      </c>
    </row>
    <row r="24" spans="1:18" ht="12.75" customHeight="1" x14ac:dyDescent="0.2">
      <c r="A24" t="s">
        <v>9423</v>
      </c>
      <c r="B24" t="s">
        <v>9424</v>
      </c>
      <c r="C24" s="7">
        <v>43849</v>
      </c>
      <c r="D24" s="7">
        <v>44033</v>
      </c>
      <c r="E24">
        <v>2020</v>
      </c>
      <c r="F24" s="7" t="s">
        <v>9425</v>
      </c>
      <c r="G24" s="7">
        <v>43647</v>
      </c>
      <c r="H24">
        <v>2019</v>
      </c>
      <c r="I24" t="s">
        <v>104</v>
      </c>
      <c r="J24">
        <v>1500000</v>
      </c>
      <c r="K24">
        <v>138120.71</v>
      </c>
      <c r="L24">
        <v>0</v>
      </c>
      <c r="M24">
        <v>138120.71</v>
      </c>
      <c r="N24">
        <v>22430.45</v>
      </c>
      <c r="O24">
        <v>0</v>
      </c>
      <c r="P24">
        <v>22430.45</v>
      </c>
      <c r="Q24">
        <v>160551.16</v>
      </c>
      <c r="R24" t="s">
        <v>9426</v>
      </c>
    </row>
    <row r="25" spans="1:18" ht="12.75" customHeight="1" x14ac:dyDescent="0.2">
      <c r="A25" t="s">
        <v>9427</v>
      </c>
      <c r="B25" t="s">
        <v>9201</v>
      </c>
      <c r="C25" s="7">
        <v>44002</v>
      </c>
      <c r="D25" s="7">
        <v>44044</v>
      </c>
      <c r="E25">
        <v>2020</v>
      </c>
      <c r="F25" s="7" t="s">
        <v>9428</v>
      </c>
      <c r="G25" s="7">
        <v>43756</v>
      </c>
      <c r="H25">
        <v>2019</v>
      </c>
      <c r="I25" t="s">
        <v>104</v>
      </c>
      <c r="J25">
        <v>1000000</v>
      </c>
      <c r="K25">
        <v>110806.32</v>
      </c>
      <c r="L25">
        <v>0</v>
      </c>
      <c r="M25">
        <v>110806.32</v>
      </c>
      <c r="N25">
        <v>25166.74</v>
      </c>
      <c r="O25">
        <v>0</v>
      </c>
      <c r="P25">
        <v>25166.74</v>
      </c>
      <c r="Q25">
        <v>135973.06</v>
      </c>
      <c r="R25" t="s">
        <v>9429</v>
      </c>
    </row>
    <row r="26" spans="1:18" ht="12.75" customHeight="1" x14ac:dyDescent="0.2">
      <c r="A26" t="s">
        <v>9430</v>
      </c>
      <c r="B26" t="s">
        <v>9431</v>
      </c>
      <c r="C26" s="7">
        <v>44002</v>
      </c>
      <c r="D26" s="7">
        <v>44045</v>
      </c>
      <c r="E26">
        <v>2020</v>
      </c>
      <c r="F26" s="7" t="s">
        <v>9432</v>
      </c>
      <c r="G26" s="7">
        <v>43956</v>
      </c>
      <c r="H26">
        <v>2020</v>
      </c>
      <c r="I26" t="s">
        <v>104</v>
      </c>
      <c r="J26">
        <v>1500000</v>
      </c>
      <c r="K26">
        <v>191750.72</v>
      </c>
      <c r="L26">
        <v>0</v>
      </c>
      <c r="M26">
        <v>191750.72</v>
      </c>
      <c r="N26">
        <v>42638.25</v>
      </c>
      <c r="O26">
        <v>0</v>
      </c>
      <c r="P26">
        <v>42638.25</v>
      </c>
      <c r="Q26">
        <v>234388.97</v>
      </c>
      <c r="R26" t="s">
        <v>9418</v>
      </c>
    </row>
    <row r="27" spans="1:18" ht="12.75" customHeight="1" x14ac:dyDescent="0.2">
      <c r="A27" t="s">
        <v>9433</v>
      </c>
      <c r="B27" t="s">
        <v>7203</v>
      </c>
      <c r="C27" s="7">
        <v>44068</v>
      </c>
      <c r="D27" s="7">
        <v>44107</v>
      </c>
      <c r="E27">
        <v>2020</v>
      </c>
      <c r="F27" s="7" t="s">
        <v>9434</v>
      </c>
      <c r="G27" s="7">
        <v>43786</v>
      </c>
      <c r="H27">
        <v>2019</v>
      </c>
      <c r="I27" t="s">
        <v>104</v>
      </c>
      <c r="J27">
        <v>1500000</v>
      </c>
      <c r="K27">
        <v>752595.05</v>
      </c>
      <c r="L27">
        <v>0</v>
      </c>
      <c r="M27">
        <v>752595.05</v>
      </c>
      <c r="N27">
        <v>164465.54</v>
      </c>
      <c r="O27">
        <v>0</v>
      </c>
      <c r="P27">
        <v>164465.54</v>
      </c>
      <c r="Q27">
        <v>917060.59</v>
      </c>
      <c r="R27" t="s">
        <v>9435</v>
      </c>
    </row>
    <row r="28" spans="1:18" ht="12.75" customHeight="1" x14ac:dyDescent="0.2">
      <c r="A28" t="s">
        <v>9436</v>
      </c>
      <c r="B28" t="s">
        <v>9437</v>
      </c>
      <c r="C28" s="7">
        <v>44023</v>
      </c>
      <c r="D28" s="7">
        <v>44115</v>
      </c>
      <c r="E28">
        <v>2020</v>
      </c>
      <c r="F28" s="7" t="s">
        <v>9438</v>
      </c>
      <c r="G28" s="7">
        <v>43992</v>
      </c>
      <c r="H28">
        <v>2020</v>
      </c>
      <c r="I28" t="s">
        <v>101</v>
      </c>
      <c r="J28">
        <v>1500000</v>
      </c>
      <c r="K28">
        <v>293299.51</v>
      </c>
      <c r="L28">
        <v>0</v>
      </c>
      <c r="M28">
        <v>293299.51</v>
      </c>
      <c r="N28">
        <v>36769.24</v>
      </c>
      <c r="O28">
        <v>0</v>
      </c>
      <c r="P28">
        <v>36769.24</v>
      </c>
      <c r="Q28">
        <v>330068.75</v>
      </c>
      <c r="R28" t="s">
        <v>9439</v>
      </c>
    </row>
    <row r="29" spans="1:18" ht="12.75" customHeight="1" x14ac:dyDescent="0.2">
      <c r="A29" t="s">
        <v>9440</v>
      </c>
      <c r="B29" t="s">
        <v>7305</v>
      </c>
      <c r="C29" s="7">
        <v>43960</v>
      </c>
      <c r="D29" s="7">
        <v>44116</v>
      </c>
      <c r="E29">
        <v>2020</v>
      </c>
      <c r="F29" s="7" t="s">
        <v>9441</v>
      </c>
      <c r="G29" s="7">
        <v>43764</v>
      </c>
      <c r="H29">
        <v>2019</v>
      </c>
      <c r="I29" t="s">
        <v>101</v>
      </c>
      <c r="J29">
        <v>10000000</v>
      </c>
      <c r="K29">
        <v>101808.61</v>
      </c>
      <c r="L29">
        <v>0</v>
      </c>
      <c r="M29">
        <v>101808.61</v>
      </c>
      <c r="N29">
        <v>10962.85</v>
      </c>
      <c r="O29">
        <v>0</v>
      </c>
      <c r="P29">
        <v>10962.85</v>
      </c>
      <c r="Q29">
        <v>112771.46</v>
      </c>
      <c r="R29" t="s">
        <v>9442</v>
      </c>
    </row>
    <row r="30" spans="1:18" ht="12.75" customHeight="1" x14ac:dyDescent="0.2">
      <c r="A30" t="s">
        <v>9443</v>
      </c>
      <c r="B30" t="s">
        <v>9146</v>
      </c>
      <c r="C30" s="7">
        <v>44097</v>
      </c>
      <c r="D30" s="7">
        <v>44120</v>
      </c>
      <c r="E30">
        <v>2020</v>
      </c>
      <c r="F30" s="7" t="s">
        <v>9444</v>
      </c>
      <c r="G30" s="7">
        <v>43744</v>
      </c>
      <c r="H30">
        <v>2019</v>
      </c>
      <c r="I30" t="s">
        <v>101</v>
      </c>
      <c r="J30">
        <v>1000000</v>
      </c>
      <c r="K30">
        <v>187895.08</v>
      </c>
      <c r="L30">
        <v>0</v>
      </c>
      <c r="M30">
        <v>187895.08</v>
      </c>
      <c r="N30">
        <v>19656.64</v>
      </c>
      <c r="O30">
        <v>0</v>
      </c>
      <c r="P30">
        <v>19656.64</v>
      </c>
      <c r="Q30">
        <v>207551.72</v>
      </c>
      <c r="R30" t="s">
        <v>9445</v>
      </c>
    </row>
    <row r="31" spans="1:18" ht="12.75" customHeight="1" x14ac:dyDescent="0.2">
      <c r="A31" t="s">
        <v>9446</v>
      </c>
      <c r="B31" t="s">
        <v>9447</v>
      </c>
      <c r="C31" s="7">
        <v>43997</v>
      </c>
      <c r="D31" s="7">
        <v>44127</v>
      </c>
      <c r="E31">
        <v>2020</v>
      </c>
      <c r="F31" s="7" t="s">
        <v>9448</v>
      </c>
      <c r="G31" s="7">
        <v>43662</v>
      </c>
      <c r="H31">
        <v>2019</v>
      </c>
      <c r="I31" t="s">
        <v>101</v>
      </c>
      <c r="J31">
        <v>1500000</v>
      </c>
      <c r="K31">
        <v>149001.19</v>
      </c>
      <c r="L31">
        <v>0</v>
      </c>
      <c r="M31">
        <v>149001.19</v>
      </c>
      <c r="N31">
        <v>43519.71</v>
      </c>
      <c r="O31">
        <v>0</v>
      </c>
      <c r="P31">
        <v>43519.71</v>
      </c>
      <c r="Q31">
        <v>192520.9</v>
      </c>
      <c r="R31" t="s">
        <v>9449</v>
      </c>
    </row>
    <row r="32" spans="1:18" ht="12.75" customHeight="1" x14ac:dyDescent="0.2">
      <c r="A32" t="s">
        <v>9450</v>
      </c>
      <c r="B32" t="s">
        <v>9451</v>
      </c>
      <c r="C32" s="7">
        <v>43874</v>
      </c>
      <c r="D32" s="7">
        <v>44139</v>
      </c>
      <c r="E32">
        <v>2020</v>
      </c>
      <c r="F32" s="7" t="s">
        <v>9452</v>
      </c>
      <c r="G32" s="7">
        <v>43654</v>
      </c>
      <c r="H32">
        <v>2019</v>
      </c>
      <c r="I32" t="s">
        <v>104</v>
      </c>
      <c r="J32">
        <v>2000000</v>
      </c>
      <c r="K32">
        <v>328576.98</v>
      </c>
      <c r="L32">
        <v>0</v>
      </c>
      <c r="M32">
        <v>328576.98</v>
      </c>
      <c r="N32">
        <v>35032.78</v>
      </c>
      <c r="O32">
        <v>0</v>
      </c>
      <c r="P32">
        <v>35032.78</v>
      </c>
      <c r="Q32">
        <v>363609.76</v>
      </c>
      <c r="R32" t="s">
        <v>9453</v>
      </c>
    </row>
    <row r="33" spans="1:18" ht="12.75" customHeight="1" x14ac:dyDescent="0.2">
      <c r="A33" t="s">
        <v>9454</v>
      </c>
      <c r="B33" t="s">
        <v>9455</v>
      </c>
      <c r="C33" s="7">
        <v>43888</v>
      </c>
      <c r="D33" s="7">
        <v>44187</v>
      </c>
      <c r="E33">
        <v>2020</v>
      </c>
      <c r="F33" s="7" t="s">
        <v>9456</v>
      </c>
      <c r="G33" s="7">
        <v>43645</v>
      </c>
      <c r="H33">
        <v>2019</v>
      </c>
      <c r="I33" t="s">
        <v>101</v>
      </c>
      <c r="J33">
        <v>1500000</v>
      </c>
      <c r="K33">
        <v>131604.81</v>
      </c>
      <c r="L33">
        <v>0</v>
      </c>
      <c r="M33">
        <v>131604.81</v>
      </c>
      <c r="N33">
        <v>19982.349999999999</v>
      </c>
      <c r="O33">
        <v>0</v>
      </c>
      <c r="P33">
        <v>19982.349999999999</v>
      </c>
      <c r="Q33">
        <v>151587.16</v>
      </c>
      <c r="R33" t="s">
        <v>9457</v>
      </c>
    </row>
    <row r="34" spans="1:18" ht="12.75" customHeight="1" x14ac:dyDescent="0.2">
      <c r="A34" t="s">
        <v>9458</v>
      </c>
      <c r="B34" t="s">
        <v>9459</v>
      </c>
      <c r="C34" s="7">
        <v>44032</v>
      </c>
      <c r="D34" s="7">
        <v>44188</v>
      </c>
      <c r="E34">
        <v>2020</v>
      </c>
      <c r="F34" s="7" t="s">
        <v>9460</v>
      </c>
      <c r="G34" s="7">
        <v>43800</v>
      </c>
      <c r="H34">
        <v>2019</v>
      </c>
      <c r="I34" t="s">
        <v>101</v>
      </c>
      <c r="J34">
        <v>10000000</v>
      </c>
      <c r="K34">
        <v>280975.76</v>
      </c>
      <c r="L34">
        <v>0</v>
      </c>
      <c r="M34">
        <v>280975.76</v>
      </c>
      <c r="N34">
        <v>59543.12</v>
      </c>
      <c r="O34">
        <v>0</v>
      </c>
      <c r="P34">
        <v>59543.12</v>
      </c>
      <c r="Q34">
        <v>340518.88</v>
      </c>
      <c r="R34" t="s">
        <v>9461</v>
      </c>
    </row>
    <row r="35" spans="1:18" ht="12.75" customHeight="1" x14ac:dyDescent="0.2">
      <c r="A35" t="s">
        <v>9462</v>
      </c>
      <c r="B35" t="s">
        <v>7539</v>
      </c>
      <c r="C35" s="7">
        <v>44137</v>
      </c>
      <c r="D35" s="7">
        <v>44191</v>
      </c>
      <c r="E35">
        <v>2020</v>
      </c>
      <c r="F35" s="7" t="s">
        <v>9463</v>
      </c>
      <c r="G35" s="7">
        <v>43810</v>
      </c>
      <c r="H35">
        <v>2019</v>
      </c>
      <c r="I35" t="s">
        <v>101</v>
      </c>
      <c r="J35">
        <v>2000000</v>
      </c>
      <c r="K35">
        <v>135441.64000000001</v>
      </c>
      <c r="L35">
        <v>0</v>
      </c>
      <c r="M35">
        <v>135441.64000000001</v>
      </c>
      <c r="N35">
        <v>21451.41</v>
      </c>
      <c r="O35">
        <v>0</v>
      </c>
      <c r="P35">
        <v>21451.41</v>
      </c>
      <c r="Q35">
        <v>156893.04999999999</v>
      </c>
      <c r="R35" t="s">
        <v>9464</v>
      </c>
    </row>
    <row r="36" spans="1:18" ht="12.75" customHeight="1" x14ac:dyDescent="0.2">
      <c r="A36" t="s">
        <v>9465</v>
      </c>
      <c r="B36" t="s">
        <v>8958</v>
      </c>
      <c r="C36" s="7">
        <v>44121</v>
      </c>
      <c r="D36" s="7">
        <v>44202</v>
      </c>
      <c r="E36">
        <v>2020</v>
      </c>
      <c r="F36" s="7" t="s">
        <v>9466</v>
      </c>
      <c r="G36" s="7">
        <v>44069</v>
      </c>
      <c r="H36">
        <v>2020</v>
      </c>
      <c r="I36" t="s">
        <v>101</v>
      </c>
      <c r="J36">
        <v>1500000</v>
      </c>
      <c r="K36">
        <v>169254.9</v>
      </c>
      <c r="L36">
        <v>0</v>
      </c>
      <c r="M36">
        <v>169254.9</v>
      </c>
      <c r="N36">
        <v>19290.13</v>
      </c>
      <c r="O36">
        <v>0</v>
      </c>
      <c r="P36">
        <v>19290.13</v>
      </c>
      <c r="Q36">
        <v>188545.03</v>
      </c>
      <c r="R36" t="s">
        <v>9467</v>
      </c>
    </row>
    <row r="37" spans="1:18" ht="12.75" customHeight="1" x14ac:dyDescent="0.2">
      <c r="A37" t="s">
        <v>9468</v>
      </c>
      <c r="B37" t="s">
        <v>6879</v>
      </c>
      <c r="C37" s="7">
        <v>44103</v>
      </c>
      <c r="D37" s="7">
        <v>44209</v>
      </c>
      <c r="E37">
        <v>2020</v>
      </c>
      <c r="F37" s="7" t="s">
        <v>9469</v>
      </c>
      <c r="G37" s="7">
        <v>44073</v>
      </c>
      <c r="H37">
        <v>2020</v>
      </c>
      <c r="I37" t="s">
        <v>101</v>
      </c>
      <c r="J37">
        <v>2000000</v>
      </c>
      <c r="K37">
        <v>329426.88</v>
      </c>
      <c r="L37">
        <v>0</v>
      </c>
      <c r="M37">
        <v>329426.88</v>
      </c>
      <c r="N37">
        <v>70423.320000000007</v>
      </c>
      <c r="O37">
        <v>0</v>
      </c>
      <c r="P37">
        <v>70423.320000000007</v>
      </c>
      <c r="Q37">
        <v>399850.2</v>
      </c>
      <c r="R37" t="s">
        <v>9470</v>
      </c>
    </row>
    <row r="38" spans="1:18" ht="12.75" customHeight="1" x14ac:dyDescent="0.2">
      <c r="A38" t="s">
        <v>9471</v>
      </c>
      <c r="B38" t="s">
        <v>9472</v>
      </c>
      <c r="C38" s="7">
        <v>43945</v>
      </c>
      <c r="D38" s="7">
        <v>44233</v>
      </c>
      <c r="E38">
        <v>2020</v>
      </c>
      <c r="F38" s="7" t="s">
        <v>9473</v>
      </c>
      <c r="G38" s="7">
        <v>43604</v>
      </c>
      <c r="H38">
        <v>2019</v>
      </c>
      <c r="I38" t="s">
        <v>104</v>
      </c>
      <c r="J38">
        <v>1500000</v>
      </c>
      <c r="K38">
        <v>1500000</v>
      </c>
      <c r="L38">
        <v>0</v>
      </c>
      <c r="M38">
        <v>1500000</v>
      </c>
      <c r="N38">
        <v>342996.24</v>
      </c>
      <c r="O38">
        <v>0</v>
      </c>
      <c r="P38">
        <v>342996.24</v>
      </c>
      <c r="Q38">
        <v>1842996.24</v>
      </c>
      <c r="R38" t="s">
        <v>9474</v>
      </c>
    </row>
    <row r="39" spans="1:18" ht="12.75" customHeight="1" x14ac:dyDescent="0.2">
      <c r="A39" t="s">
        <v>9475</v>
      </c>
      <c r="B39" t="s">
        <v>9476</v>
      </c>
      <c r="C39" s="7">
        <v>43985</v>
      </c>
      <c r="D39" s="7">
        <v>44234</v>
      </c>
      <c r="E39">
        <v>2020</v>
      </c>
      <c r="F39" s="7" t="s">
        <v>9477</v>
      </c>
      <c r="G39" s="7">
        <v>43673</v>
      </c>
      <c r="H39">
        <v>2019</v>
      </c>
      <c r="I39" t="s">
        <v>104</v>
      </c>
      <c r="J39">
        <v>1500000</v>
      </c>
      <c r="K39">
        <v>147176.73000000001</v>
      </c>
      <c r="L39">
        <v>0</v>
      </c>
      <c r="M39">
        <v>147176.73000000001</v>
      </c>
      <c r="N39">
        <v>30486.63</v>
      </c>
      <c r="O39">
        <v>0</v>
      </c>
      <c r="P39">
        <v>30486.63</v>
      </c>
      <c r="Q39">
        <v>177663.35999999999</v>
      </c>
      <c r="R39" t="s">
        <v>9478</v>
      </c>
    </row>
    <row r="40" spans="1:18" ht="12.75" customHeight="1" x14ac:dyDescent="0.2">
      <c r="A40" t="s">
        <v>9479</v>
      </c>
      <c r="B40" t="s">
        <v>6590</v>
      </c>
      <c r="C40" s="7">
        <v>44020</v>
      </c>
      <c r="D40" s="7">
        <v>44243</v>
      </c>
      <c r="E40">
        <v>2020</v>
      </c>
      <c r="F40" s="7" t="s">
        <v>9480</v>
      </c>
      <c r="G40" s="7">
        <v>43944</v>
      </c>
      <c r="H40">
        <v>2020</v>
      </c>
      <c r="I40" t="s">
        <v>101</v>
      </c>
      <c r="J40">
        <v>500000</v>
      </c>
      <c r="K40">
        <v>411489.13</v>
      </c>
      <c r="L40">
        <v>48521.14</v>
      </c>
      <c r="M40">
        <v>460010.27</v>
      </c>
      <c r="N40">
        <v>49997.49</v>
      </c>
      <c r="O40">
        <v>6602.48</v>
      </c>
      <c r="P40">
        <v>56599.97</v>
      </c>
      <c r="Q40">
        <v>516610.24</v>
      </c>
      <c r="R40" t="s">
        <v>9481</v>
      </c>
    </row>
    <row r="41" spans="1:18" ht="12.75" customHeight="1" x14ac:dyDescent="0.2">
      <c r="A41" t="s">
        <v>9482</v>
      </c>
      <c r="B41" t="s">
        <v>8540</v>
      </c>
      <c r="C41" s="7">
        <v>44022</v>
      </c>
      <c r="D41" s="7">
        <v>44255</v>
      </c>
      <c r="E41">
        <v>2020</v>
      </c>
      <c r="F41" s="7" t="s">
        <v>9483</v>
      </c>
      <c r="G41" s="7">
        <v>43984</v>
      </c>
      <c r="H41">
        <v>2020</v>
      </c>
      <c r="I41" t="s">
        <v>101</v>
      </c>
      <c r="J41">
        <v>1000000</v>
      </c>
      <c r="K41">
        <v>268914.59999999998</v>
      </c>
      <c r="L41">
        <v>0</v>
      </c>
      <c r="M41">
        <v>268914.59999999998</v>
      </c>
      <c r="N41">
        <v>29615.17</v>
      </c>
      <c r="O41">
        <v>0</v>
      </c>
      <c r="P41">
        <v>29615.17</v>
      </c>
      <c r="Q41">
        <v>298529.77</v>
      </c>
      <c r="R41" t="s">
        <v>9484</v>
      </c>
    </row>
    <row r="42" spans="1:18" ht="12.75" customHeight="1" x14ac:dyDescent="0.2">
      <c r="A42" t="s">
        <v>9485</v>
      </c>
      <c r="B42" t="s">
        <v>9486</v>
      </c>
      <c r="C42" s="7">
        <v>44130</v>
      </c>
      <c r="D42" s="7">
        <v>44256</v>
      </c>
      <c r="E42">
        <v>2020</v>
      </c>
      <c r="F42" s="7" t="s">
        <v>9487</v>
      </c>
      <c r="G42" s="7">
        <v>43827</v>
      </c>
      <c r="H42">
        <v>2019</v>
      </c>
      <c r="I42" t="s">
        <v>104</v>
      </c>
      <c r="J42">
        <v>1000000</v>
      </c>
      <c r="K42">
        <v>253517.18</v>
      </c>
      <c r="L42">
        <v>0</v>
      </c>
      <c r="M42">
        <v>253517.18</v>
      </c>
      <c r="N42">
        <v>62054.3</v>
      </c>
      <c r="O42">
        <v>0</v>
      </c>
      <c r="P42">
        <v>62054.3</v>
      </c>
      <c r="Q42">
        <v>315571.48</v>
      </c>
      <c r="R42" t="s">
        <v>9488</v>
      </c>
    </row>
    <row r="43" spans="1:18" ht="12.75" customHeight="1" x14ac:dyDescent="0.2">
      <c r="A43" t="s">
        <v>9489</v>
      </c>
      <c r="B43" t="s">
        <v>9032</v>
      </c>
      <c r="C43" s="7">
        <v>44082</v>
      </c>
      <c r="D43" s="7">
        <v>44271</v>
      </c>
      <c r="E43">
        <v>2020</v>
      </c>
      <c r="F43" s="7" t="s">
        <v>9490</v>
      </c>
      <c r="G43" s="7">
        <v>43717</v>
      </c>
      <c r="H43">
        <v>2019</v>
      </c>
      <c r="I43" t="s">
        <v>101</v>
      </c>
      <c r="J43">
        <v>1500000</v>
      </c>
      <c r="K43">
        <v>201121.7</v>
      </c>
      <c r="L43">
        <v>0</v>
      </c>
      <c r="M43">
        <v>201121.7</v>
      </c>
      <c r="N43">
        <v>53932.37</v>
      </c>
      <c r="O43">
        <v>0</v>
      </c>
      <c r="P43">
        <v>53932.37</v>
      </c>
      <c r="Q43">
        <v>255054.07</v>
      </c>
      <c r="R43" t="s">
        <v>9491</v>
      </c>
    </row>
    <row r="44" spans="1:18" ht="12.75" customHeight="1" x14ac:dyDescent="0.2">
      <c r="A44" t="s">
        <v>9492</v>
      </c>
      <c r="B44" t="s">
        <v>9493</v>
      </c>
      <c r="C44" s="7">
        <v>44040</v>
      </c>
      <c r="D44" s="7">
        <v>44273</v>
      </c>
      <c r="E44">
        <v>2020</v>
      </c>
      <c r="F44" s="7" t="s">
        <v>9494</v>
      </c>
      <c r="G44" s="7">
        <v>43680</v>
      </c>
      <c r="H44">
        <v>2019</v>
      </c>
      <c r="I44" t="s">
        <v>104</v>
      </c>
      <c r="J44">
        <v>1500000</v>
      </c>
      <c r="K44">
        <v>181551.46</v>
      </c>
      <c r="L44">
        <v>0</v>
      </c>
      <c r="M44">
        <v>181551.46</v>
      </c>
      <c r="N44">
        <v>47517.49</v>
      </c>
      <c r="O44">
        <v>0</v>
      </c>
      <c r="P44">
        <v>47517.49</v>
      </c>
      <c r="Q44">
        <v>229068.95</v>
      </c>
      <c r="R44" t="s">
        <v>9495</v>
      </c>
    </row>
    <row r="45" spans="1:18" ht="12.75" customHeight="1" x14ac:dyDescent="0.2">
      <c r="A45" t="s">
        <v>9496</v>
      </c>
      <c r="B45" t="s">
        <v>8478</v>
      </c>
      <c r="C45" s="7">
        <v>44213</v>
      </c>
      <c r="D45" s="7">
        <v>44274</v>
      </c>
      <c r="E45">
        <v>2021</v>
      </c>
      <c r="F45" s="7" t="s">
        <v>9497</v>
      </c>
      <c r="G45" s="7">
        <v>43969</v>
      </c>
      <c r="H45">
        <v>2020</v>
      </c>
      <c r="I45" t="s">
        <v>104</v>
      </c>
      <c r="J45">
        <v>1500000</v>
      </c>
      <c r="K45">
        <v>111158.35</v>
      </c>
      <c r="L45">
        <v>0</v>
      </c>
      <c r="M45">
        <v>111158.35</v>
      </c>
      <c r="N45">
        <v>30059.27</v>
      </c>
      <c r="O45">
        <v>0</v>
      </c>
      <c r="P45">
        <v>30059.27</v>
      </c>
      <c r="Q45">
        <v>141217.62</v>
      </c>
      <c r="R45" t="s">
        <v>9498</v>
      </c>
    </row>
    <row r="46" spans="1:18" ht="12.75" customHeight="1" x14ac:dyDescent="0.2">
      <c r="A46" t="s">
        <v>9499</v>
      </c>
      <c r="B46" t="s">
        <v>9324</v>
      </c>
      <c r="C46" s="7">
        <v>44000</v>
      </c>
      <c r="D46" s="7">
        <v>44278</v>
      </c>
      <c r="E46">
        <v>2020</v>
      </c>
      <c r="F46" s="7" t="s">
        <v>7258</v>
      </c>
      <c r="G46" s="7">
        <v>43783</v>
      </c>
      <c r="H46">
        <v>2019</v>
      </c>
      <c r="I46" t="s">
        <v>101</v>
      </c>
      <c r="J46">
        <v>500000</v>
      </c>
      <c r="K46">
        <v>133997.35</v>
      </c>
      <c r="L46">
        <v>0</v>
      </c>
      <c r="M46">
        <v>133997.35</v>
      </c>
      <c r="N46">
        <v>32706.52</v>
      </c>
      <c r="O46">
        <v>0</v>
      </c>
      <c r="P46">
        <v>32706.52</v>
      </c>
      <c r="Q46">
        <v>166703.87</v>
      </c>
      <c r="R46" t="s">
        <v>9409</v>
      </c>
    </row>
    <row r="47" spans="1:18" ht="12.75" customHeight="1" x14ac:dyDescent="0.2">
      <c r="A47" t="s">
        <v>9500</v>
      </c>
      <c r="B47" t="s">
        <v>260</v>
      </c>
      <c r="C47" s="7">
        <v>44250</v>
      </c>
      <c r="D47" s="7">
        <v>44289</v>
      </c>
      <c r="E47">
        <v>2021</v>
      </c>
      <c r="F47" s="7" t="s">
        <v>9501</v>
      </c>
      <c r="G47" s="7">
        <v>44240</v>
      </c>
      <c r="H47">
        <v>2021</v>
      </c>
      <c r="I47" t="s">
        <v>104</v>
      </c>
      <c r="J47">
        <v>5000000</v>
      </c>
      <c r="K47">
        <v>1214602.45</v>
      </c>
      <c r="L47">
        <v>0</v>
      </c>
      <c r="M47">
        <v>1214602.45</v>
      </c>
      <c r="N47">
        <v>191446.15</v>
      </c>
      <c r="O47">
        <v>0</v>
      </c>
      <c r="P47">
        <v>191446.15</v>
      </c>
      <c r="Q47">
        <v>1406048.6</v>
      </c>
      <c r="R47" t="s">
        <v>9502</v>
      </c>
    </row>
    <row r="48" spans="1:18" ht="12.75" customHeight="1" x14ac:dyDescent="0.2">
      <c r="A48" t="s">
        <v>9503</v>
      </c>
      <c r="B48" t="s">
        <v>132</v>
      </c>
      <c r="C48" s="7">
        <v>44121</v>
      </c>
      <c r="D48" s="7">
        <v>44298</v>
      </c>
      <c r="E48">
        <v>2020</v>
      </c>
      <c r="F48" s="7" t="s">
        <v>9504</v>
      </c>
      <c r="G48" s="7">
        <v>43764</v>
      </c>
      <c r="H48">
        <v>2019</v>
      </c>
      <c r="I48" t="s">
        <v>104</v>
      </c>
      <c r="J48">
        <v>1000000</v>
      </c>
      <c r="K48">
        <v>108645.29</v>
      </c>
      <c r="L48">
        <v>0</v>
      </c>
      <c r="M48">
        <v>108645.29</v>
      </c>
      <c r="N48">
        <v>12650.31</v>
      </c>
      <c r="O48">
        <v>0</v>
      </c>
      <c r="P48">
        <v>12650.31</v>
      </c>
      <c r="Q48">
        <v>121295.6</v>
      </c>
      <c r="R48" t="s">
        <v>9505</v>
      </c>
    </row>
    <row r="49" spans="1:18" ht="12.75" customHeight="1" x14ac:dyDescent="0.2">
      <c r="A49" t="s">
        <v>9506</v>
      </c>
      <c r="B49" t="s">
        <v>7277</v>
      </c>
      <c r="C49" s="7">
        <v>44260</v>
      </c>
      <c r="D49" s="7">
        <v>44313</v>
      </c>
      <c r="E49">
        <v>2021</v>
      </c>
      <c r="F49" s="7" t="s">
        <v>9507</v>
      </c>
      <c r="G49" s="7">
        <v>44161</v>
      </c>
      <c r="H49">
        <v>2020</v>
      </c>
      <c r="I49" t="s">
        <v>101</v>
      </c>
      <c r="J49">
        <v>1000000</v>
      </c>
      <c r="K49">
        <v>211443.31</v>
      </c>
      <c r="L49">
        <v>0</v>
      </c>
      <c r="M49">
        <v>211443.31</v>
      </c>
      <c r="N49">
        <v>41996.92</v>
      </c>
      <c r="O49">
        <v>0</v>
      </c>
      <c r="P49">
        <v>41996.92</v>
      </c>
      <c r="Q49">
        <v>253440.23</v>
      </c>
      <c r="R49" t="s">
        <v>9491</v>
      </c>
    </row>
    <row r="50" spans="1:18" ht="12.75" customHeight="1" x14ac:dyDescent="0.2">
      <c r="A50" t="s">
        <v>9508</v>
      </c>
      <c r="B50" t="s">
        <v>9509</v>
      </c>
      <c r="C50" s="7">
        <v>43949</v>
      </c>
      <c r="D50" s="7">
        <v>44315</v>
      </c>
      <c r="E50">
        <v>2020</v>
      </c>
      <c r="F50" s="7" t="s">
        <v>9510</v>
      </c>
      <c r="G50" s="7">
        <v>43668</v>
      </c>
      <c r="H50">
        <v>2019</v>
      </c>
      <c r="I50" t="s">
        <v>101</v>
      </c>
      <c r="J50">
        <v>5000000</v>
      </c>
      <c r="K50">
        <v>91033.96</v>
      </c>
      <c r="L50">
        <v>204434.63</v>
      </c>
      <c r="M50">
        <v>295468.59000000003</v>
      </c>
      <c r="N50">
        <v>5171.5200000000004</v>
      </c>
      <c r="O50">
        <v>40919.910000000003</v>
      </c>
      <c r="P50">
        <v>46091.43</v>
      </c>
      <c r="Q50">
        <v>341560.02</v>
      </c>
      <c r="R50" t="s">
        <v>9461</v>
      </c>
    </row>
    <row r="51" spans="1:18" ht="12.75" customHeight="1" x14ac:dyDescent="0.2">
      <c r="A51" t="s">
        <v>9511</v>
      </c>
      <c r="B51" t="s">
        <v>6758</v>
      </c>
      <c r="C51" s="7">
        <v>44155</v>
      </c>
      <c r="D51" s="7">
        <v>44317</v>
      </c>
      <c r="E51">
        <v>2020</v>
      </c>
      <c r="F51" s="7" t="s">
        <v>9512</v>
      </c>
      <c r="G51" s="7">
        <v>44003</v>
      </c>
      <c r="H51">
        <v>2020</v>
      </c>
      <c r="I51" t="s">
        <v>104</v>
      </c>
      <c r="J51">
        <v>10000000</v>
      </c>
      <c r="K51">
        <v>141589.76000000001</v>
      </c>
      <c r="L51">
        <v>0</v>
      </c>
      <c r="M51">
        <v>141589.76000000001</v>
      </c>
      <c r="N51">
        <v>29155.98</v>
      </c>
      <c r="O51">
        <v>0</v>
      </c>
      <c r="P51">
        <v>29155.98</v>
      </c>
      <c r="Q51">
        <v>170745.74</v>
      </c>
      <c r="R51" t="s">
        <v>9513</v>
      </c>
    </row>
    <row r="52" spans="1:18" ht="12.75" customHeight="1" x14ac:dyDescent="0.2">
      <c r="A52" t="s">
        <v>9514</v>
      </c>
      <c r="B52" t="s">
        <v>9117</v>
      </c>
      <c r="C52" s="7">
        <v>44271</v>
      </c>
      <c r="D52" s="7">
        <v>44319</v>
      </c>
      <c r="E52">
        <v>2021</v>
      </c>
      <c r="F52" s="7" t="s">
        <v>9515</v>
      </c>
      <c r="G52" s="7">
        <v>44104</v>
      </c>
      <c r="H52">
        <v>2020</v>
      </c>
      <c r="I52" t="s">
        <v>101</v>
      </c>
      <c r="J52">
        <v>2000000</v>
      </c>
      <c r="K52">
        <v>279266.14</v>
      </c>
      <c r="L52">
        <v>0</v>
      </c>
      <c r="M52">
        <v>279266.14</v>
      </c>
      <c r="N52">
        <v>73345.52</v>
      </c>
      <c r="O52">
        <v>0</v>
      </c>
      <c r="P52">
        <v>73345.52</v>
      </c>
      <c r="Q52">
        <v>352611.66</v>
      </c>
      <c r="R52" t="s">
        <v>9398</v>
      </c>
    </row>
    <row r="53" spans="1:18" ht="12.75" customHeight="1" x14ac:dyDescent="0.2">
      <c r="A53" t="s">
        <v>9516</v>
      </c>
      <c r="B53" t="s">
        <v>6459</v>
      </c>
      <c r="C53" s="7">
        <v>43884</v>
      </c>
      <c r="D53" s="7">
        <v>44343</v>
      </c>
      <c r="E53">
        <v>2020</v>
      </c>
      <c r="F53" s="7" t="s">
        <v>9517</v>
      </c>
      <c r="G53" s="7">
        <v>43881</v>
      </c>
      <c r="H53">
        <v>2020</v>
      </c>
      <c r="I53" t="s">
        <v>104</v>
      </c>
      <c r="J53">
        <v>500000</v>
      </c>
      <c r="K53">
        <v>131549.32</v>
      </c>
      <c r="L53">
        <v>0</v>
      </c>
      <c r="M53">
        <v>131549.32</v>
      </c>
      <c r="N53">
        <v>38679.53</v>
      </c>
      <c r="O53">
        <v>0</v>
      </c>
      <c r="P53">
        <v>38679.53</v>
      </c>
      <c r="Q53">
        <v>170228.85</v>
      </c>
      <c r="R53" t="s">
        <v>9513</v>
      </c>
    </row>
    <row r="54" spans="1:18" ht="12.75" customHeight="1" x14ac:dyDescent="0.2">
      <c r="A54" t="s">
        <v>9518</v>
      </c>
      <c r="B54" t="s">
        <v>8298</v>
      </c>
      <c r="C54" s="7">
        <v>43997</v>
      </c>
      <c r="D54" s="7">
        <v>44350</v>
      </c>
      <c r="E54">
        <v>2020</v>
      </c>
      <c r="F54" s="7" t="s">
        <v>9519</v>
      </c>
      <c r="G54" s="7">
        <v>43933</v>
      </c>
      <c r="H54">
        <v>2020</v>
      </c>
      <c r="I54" t="s">
        <v>101</v>
      </c>
      <c r="J54">
        <v>1500000</v>
      </c>
      <c r="K54">
        <v>211988.17</v>
      </c>
      <c r="L54">
        <v>0</v>
      </c>
      <c r="M54">
        <v>211988.17</v>
      </c>
      <c r="N54">
        <v>54233.74</v>
      </c>
      <c r="O54">
        <v>0</v>
      </c>
      <c r="P54">
        <v>54233.74</v>
      </c>
      <c r="Q54">
        <v>266221.90999999997</v>
      </c>
      <c r="R54" t="s">
        <v>9520</v>
      </c>
    </row>
    <row r="55" spans="1:18" ht="12.75" customHeight="1" x14ac:dyDescent="0.2">
      <c r="A55" t="s">
        <v>9521</v>
      </c>
      <c r="B55" t="s">
        <v>9522</v>
      </c>
      <c r="C55" s="7">
        <v>44248</v>
      </c>
      <c r="D55" s="7">
        <v>44359</v>
      </c>
      <c r="E55">
        <v>2021</v>
      </c>
      <c r="F55" s="7" t="s">
        <v>9523</v>
      </c>
      <c r="G55" s="7">
        <v>43927</v>
      </c>
      <c r="H55">
        <v>2020</v>
      </c>
      <c r="I55" t="s">
        <v>101</v>
      </c>
      <c r="J55">
        <v>5000000</v>
      </c>
      <c r="K55">
        <v>671616.64</v>
      </c>
      <c r="L55">
        <v>0</v>
      </c>
      <c r="M55">
        <v>671616.64</v>
      </c>
      <c r="N55">
        <v>71254.48</v>
      </c>
      <c r="O55">
        <v>0</v>
      </c>
      <c r="P55">
        <v>71254.48</v>
      </c>
      <c r="Q55">
        <v>742871.12</v>
      </c>
      <c r="R55" t="s">
        <v>9524</v>
      </c>
    </row>
    <row r="56" spans="1:18" ht="12.75" customHeight="1" x14ac:dyDescent="0.2">
      <c r="A56" t="s">
        <v>9525</v>
      </c>
      <c r="B56" t="s">
        <v>7218</v>
      </c>
      <c r="C56" s="7">
        <v>44150</v>
      </c>
      <c r="D56" s="7">
        <v>44367</v>
      </c>
      <c r="E56">
        <v>2020</v>
      </c>
      <c r="F56" s="7" t="s">
        <v>9526</v>
      </c>
      <c r="G56" s="7">
        <v>43797</v>
      </c>
      <c r="H56">
        <v>2019</v>
      </c>
      <c r="I56" t="s">
        <v>101</v>
      </c>
      <c r="J56">
        <v>5000000</v>
      </c>
      <c r="K56">
        <v>1100938.8999999999</v>
      </c>
      <c r="L56">
        <v>0</v>
      </c>
      <c r="M56">
        <v>1100938.8999999999</v>
      </c>
      <c r="N56">
        <v>128914.46</v>
      </c>
      <c r="O56">
        <v>0</v>
      </c>
      <c r="P56">
        <v>128914.46</v>
      </c>
      <c r="Q56">
        <v>1229853.3600000001</v>
      </c>
      <c r="R56" t="s">
        <v>9527</v>
      </c>
    </row>
    <row r="57" spans="1:18" ht="12.75" customHeight="1" x14ac:dyDescent="0.2">
      <c r="A57" t="s">
        <v>9528</v>
      </c>
      <c r="B57" t="s">
        <v>9529</v>
      </c>
      <c r="C57" s="7">
        <v>44330</v>
      </c>
      <c r="D57" s="7">
        <v>44368</v>
      </c>
      <c r="E57">
        <v>2021</v>
      </c>
      <c r="F57" s="7" t="s">
        <v>9530</v>
      </c>
      <c r="G57" s="7">
        <v>44257</v>
      </c>
      <c r="H57">
        <v>2021</v>
      </c>
      <c r="I57" t="s">
        <v>104</v>
      </c>
      <c r="J57">
        <v>5000000</v>
      </c>
      <c r="K57">
        <v>116870.01</v>
      </c>
      <c r="L57">
        <v>0</v>
      </c>
      <c r="M57">
        <v>116870.01</v>
      </c>
      <c r="N57">
        <v>30056.97</v>
      </c>
      <c r="O57">
        <v>0</v>
      </c>
      <c r="P57">
        <v>30056.97</v>
      </c>
      <c r="Q57">
        <v>146926.98000000001</v>
      </c>
      <c r="R57" t="s">
        <v>9531</v>
      </c>
    </row>
    <row r="58" spans="1:18" ht="12.75" customHeight="1" x14ac:dyDescent="0.2">
      <c r="A58" t="s">
        <v>9532</v>
      </c>
      <c r="B58" t="s">
        <v>157</v>
      </c>
      <c r="C58" s="7">
        <v>44326</v>
      </c>
      <c r="D58" s="7">
        <v>44380</v>
      </c>
      <c r="E58">
        <v>2021</v>
      </c>
      <c r="F58" s="7" t="s">
        <v>9533</v>
      </c>
      <c r="G58" s="7">
        <v>43974</v>
      </c>
      <c r="H58">
        <v>2020</v>
      </c>
      <c r="I58" t="s">
        <v>104</v>
      </c>
      <c r="J58">
        <v>2000000</v>
      </c>
      <c r="K58">
        <v>156098.98000000001</v>
      </c>
      <c r="L58">
        <v>0</v>
      </c>
      <c r="M58">
        <v>156098.98000000001</v>
      </c>
      <c r="N58">
        <v>44450.93</v>
      </c>
      <c r="O58">
        <v>0</v>
      </c>
      <c r="P58">
        <v>44450.93</v>
      </c>
      <c r="Q58">
        <v>200549.91</v>
      </c>
      <c r="R58" t="s">
        <v>9534</v>
      </c>
    </row>
    <row r="59" spans="1:18" ht="12.75" customHeight="1" x14ac:dyDescent="0.2">
      <c r="A59" t="s">
        <v>9535</v>
      </c>
      <c r="B59" t="s">
        <v>9536</v>
      </c>
      <c r="C59" s="7">
        <v>44088</v>
      </c>
      <c r="D59" s="7">
        <v>44400</v>
      </c>
      <c r="E59">
        <v>2020</v>
      </c>
      <c r="F59" s="7" t="s">
        <v>9537</v>
      </c>
      <c r="G59" s="7">
        <v>43892</v>
      </c>
      <c r="H59">
        <v>2020</v>
      </c>
      <c r="I59" t="s">
        <v>101</v>
      </c>
      <c r="J59">
        <v>2000000</v>
      </c>
      <c r="K59">
        <v>105257.26</v>
      </c>
      <c r="L59">
        <v>0</v>
      </c>
      <c r="M59">
        <v>105257.26</v>
      </c>
      <c r="N59">
        <v>10974.21</v>
      </c>
      <c r="O59">
        <v>0</v>
      </c>
      <c r="P59">
        <v>10974.21</v>
      </c>
      <c r="Q59">
        <v>116231.47</v>
      </c>
      <c r="R59" t="s">
        <v>9538</v>
      </c>
    </row>
    <row r="60" spans="1:18" ht="12.75" customHeight="1" x14ac:dyDescent="0.2">
      <c r="A60" t="s">
        <v>9539</v>
      </c>
      <c r="B60" t="s">
        <v>7224</v>
      </c>
      <c r="C60" s="7">
        <v>44378</v>
      </c>
      <c r="D60" s="7">
        <v>44402</v>
      </c>
      <c r="E60">
        <v>2021</v>
      </c>
      <c r="F60" s="7" t="s">
        <v>9540</v>
      </c>
      <c r="G60" s="7">
        <v>44148</v>
      </c>
      <c r="H60">
        <v>2020</v>
      </c>
      <c r="I60" t="s">
        <v>104</v>
      </c>
      <c r="J60">
        <v>10000000</v>
      </c>
      <c r="K60">
        <v>428697.67</v>
      </c>
      <c r="L60">
        <v>0</v>
      </c>
      <c r="M60">
        <v>428697.67</v>
      </c>
      <c r="N60">
        <v>76063.09</v>
      </c>
      <c r="O60">
        <v>0</v>
      </c>
      <c r="P60">
        <v>76063.09</v>
      </c>
      <c r="Q60">
        <v>504760.76</v>
      </c>
      <c r="R60" t="s">
        <v>9541</v>
      </c>
    </row>
    <row r="61" spans="1:18" ht="12.75" customHeight="1" x14ac:dyDescent="0.2">
      <c r="A61" t="s">
        <v>9542</v>
      </c>
      <c r="B61" t="s">
        <v>6583</v>
      </c>
      <c r="C61" s="7">
        <v>43914</v>
      </c>
      <c r="D61" s="7">
        <v>44420</v>
      </c>
      <c r="E61">
        <v>2020</v>
      </c>
      <c r="F61" s="7" t="s">
        <v>9543</v>
      </c>
      <c r="G61" s="7">
        <v>43578</v>
      </c>
      <c r="H61">
        <v>2019</v>
      </c>
      <c r="I61" t="s">
        <v>104</v>
      </c>
      <c r="J61">
        <v>5000000</v>
      </c>
      <c r="K61">
        <v>202548</v>
      </c>
      <c r="L61">
        <v>0</v>
      </c>
      <c r="M61">
        <v>202548</v>
      </c>
      <c r="N61">
        <v>37310.230000000003</v>
      </c>
      <c r="O61">
        <v>0</v>
      </c>
      <c r="P61">
        <v>37310.230000000003</v>
      </c>
      <c r="Q61">
        <v>239858.23</v>
      </c>
      <c r="R61" t="s">
        <v>9544</v>
      </c>
    </row>
    <row r="62" spans="1:18" ht="12.75" customHeight="1" x14ac:dyDescent="0.2">
      <c r="A62" t="s">
        <v>9545</v>
      </c>
      <c r="B62" t="s">
        <v>6724</v>
      </c>
      <c r="C62" s="7">
        <v>44147</v>
      </c>
      <c r="D62" s="7">
        <v>44433</v>
      </c>
      <c r="E62">
        <v>2020</v>
      </c>
      <c r="F62" s="7" t="s">
        <v>9546</v>
      </c>
      <c r="G62" s="7">
        <v>43985</v>
      </c>
      <c r="H62">
        <v>2020</v>
      </c>
      <c r="I62" t="s">
        <v>101</v>
      </c>
      <c r="J62">
        <v>10000000</v>
      </c>
      <c r="K62">
        <v>1132077.4099999999</v>
      </c>
      <c r="L62">
        <v>0</v>
      </c>
      <c r="M62">
        <v>1132077.4099999999</v>
      </c>
      <c r="N62">
        <v>231614.02</v>
      </c>
      <c r="O62">
        <v>0</v>
      </c>
      <c r="P62">
        <v>231614.02</v>
      </c>
      <c r="Q62">
        <v>1363691.43</v>
      </c>
      <c r="R62" t="s">
        <v>9547</v>
      </c>
    </row>
    <row r="63" spans="1:18" ht="12.75" customHeight="1" x14ac:dyDescent="0.2">
      <c r="A63" t="s">
        <v>9548</v>
      </c>
      <c r="B63" t="s">
        <v>8413</v>
      </c>
      <c r="C63" s="7">
        <v>44382</v>
      </c>
      <c r="D63" s="7">
        <v>44449</v>
      </c>
      <c r="E63">
        <v>2021</v>
      </c>
      <c r="F63" s="7" t="s">
        <v>9549</v>
      </c>
      <c r="G63" s="7">
        <v>44321</v>
      </c>
      <c r="H63">
        <v>2021</v>
      </c>
      <c r="I63" t="s">
        <v>101</v>
      </c>
      <c r="J63">
        <v>5000000</v>
      </c>
      <c r="K63">
        <v>102053.34</v>
      </c>
      <c r="L63">
        <v>0</v>
      </c>
      <c r="M63">
        <v>102053.34</v>
      </c>
      <c r="N63">
        <v>22631.4</v>
      </c>
      <c r="O63">
        <v>0</v>
      </c>
      <c r="P63">
        <v>22631.4</v>
      </c>
      <c r="Q63">
        <v>124684.74</v>
      </c>
      <c r="R63" t="s">
        <v>9550</v>
      </c>
    </row>
    <row r="64" spans="1:18" ht="12.75" customHeight="1" x14ac:dyDescent="0.2">
      <c r="A64" t="s">
        <v>9551</v>
      </c>
      <c r="B64" t="s">
        <v>9552</v>
      </c>
      <c r="C64" s="7">
        <v>44395</v>
      </c>
      <c r="D64" s="7">
        <v>44461</v>
      </c>
      <c r="E64">
        <v>2021</v>
      </c>
      <c r="F64" s="7" t="s">
        <v>9553</v>
      </c>
      <c r="G64" s="7">
        <v>44282</v>
      </c>
      <c r="H64">
        <v>2021</v>
      </c>
      <c r="I64" t="s">
        <v>104</v>
      </c>
      <c r="J64">
        <v>10000000</v>
      </c>
      <c r="K64">
        <v>190868.91</v>
      </c>
      <c r="L64">
        <v>263690.19</v>
      </c>
      <c r="M64">
        <v>454559.1</v>
      </c>
      <c r="N64">
        <v>24829.14</v>
      </c>
      <c r="O64">
        <v>38415.699999999997</v>
      </c>
      <c r="P64">
        <v>63244.84</v>
      </c>
      <c r="Q64">
        <v>517803.94</v>
      </c>
      <c r="R64" t="s">
        <v>9481</v>
      </c>
    </row>
    <row r="65" spans="1:18" ht="12.75" customHeight="1" x14ac:dyDescent="0.2">
      <c r="A65" t="s">
        <v>9554</v>
      </c>
      <c r="B65" t="s">
        <v>7857</v>
      </c>
      <c r="C65" s="7">
        <v>44311</v>
      </c>
      <c r="D65" s="7">
        <v>44466</v>
      </c>
      <c r="E65">
        <v>2021</v>
      </c>
      <c r="F65" s="7" t="s">
        <v>9555</v>
      </c>
      <c r="G65" s="7">
        <v>44197</v>
      </c>
      <c r="H65">
        <v>2021</v>
      </c>
      <c r="I65" t="s">
        <v>101</v>
      </c>
      <c r="J65">
        <v>1500000</v>
      </c>
      <c r="K65">
        <v>134499.4</v>
      </c>
      <c r="L65">
        <v>0</v>
      </c>
      <c r="M65">
        <v>134499.4</v>
      </c>
      <c r="N65">
        <v>38725.089999999997</v>
      </c>
      <c r="O65">
        <v>0</v>
      </c>
      <c r="P65">
        <v>38725.089999999997</v>
      </c>
      <c r="Q65">
        <v>173224.49</v>
      </c>
      <c r="R65" t="s">
        <v>9556</v>
      </c>
    </row>
    <row r="66" spans="1:18" ht="12.75" customHeight="1" x14ac:dyDescent="0.2">
      <c r="A66" t="s">
        <v>9557</v>
      </c>
      <c r="B66" t="s">
        <v>8398</v>
      </c>
      <c r="C66" s="7">
        <v>44435</v>
      </c>
      <c r="D66" s="7">
        <v>44467</v>
      </c>
      <c r="E66">
        <v>2021</v>
      </c>
      <c r="F66" s="7" t="s">
        <v>9558</v>
      </c>
      <c r="G66" s="7">
        <v>44320</v>
      </c>
      <c r="H66">
        <v>2021</v>
      </c>
      <c r="I66" t="s">
        <v>101</v>
      </c>
      <c r="J66">
        <v>2000000</v>
      </c>
      <c r="K66">
        <v>337028.5</v>
      </c>
      <c r="L66">
        <v>0</v>
      </c>
      <c r="M66">
        <v>337028.5</v>
      </c>
      <c r="N66">
        <v>46828.17</v>
      </c>
      <c r="O66">
        <v>0</v>
      </c>
      <c r="P66">
        <v>46828.17</v>
      </c>
      <c r="Q66">
        <v>383856.67</v>
      </c>
      <c r="R66" t="s">
        <v>9559</v>
      </c>
    </row>
    <row r="67" spans="1:18" ht="12.75" customHeight="1" x14ac:dyDescent="0.2">
      <c r="A67" t="s">
        <v>9560</v>
      </c>
      <c r="B67" t="s">
        <v>8786</v>
      </c>
      <c r="C67" s="7">
        <v>44135</v>
      </c>
      <c r="D67" s="7">
        <v>44491</v>
      </c>
      <c r="E67">
        <v>2020</v>
      </c>
      <c r="F67" s="7" t="s">
        <v>9561</v>
      </c>
      <c r="G67" s="7">
        <v>44032</v>
      </c>
      <c r="H67">
        <v>2020</v>
      </c>
      <c r="I67" t="s">
        <v>104</v>
      </c>
      <c r="J67">
        <v>10000000</v>
      </c>
      <c r="K67">
        <v>644761.79</v>
      </c>
      <c r="L67">
        <v>0</v>
      </c>
      <c r="M67">
        <v>644761.79</v>
      </c>
      <c r="N67">
        <v>108193.42</v>
      </c>
      <c r="O67">
        <v>0</v>
      </c>
      <c r="P67">
        <v>108193.42</v>
      </c>
      <c r="Q67">
        <v>752955.21</v>
      </c>
      <c r="R67" t="s">
        <v>9524</v>
      </c>
    </row>
    <row r="68" spans="1:18" ht="12.75" customHeight="1" x14ac:dyDescent="0.2">
      <c r="A68" t="s">
        <v>9562</v>
      </c>
      <c r="B68" t="s">
        <v>8067</v>
      </c>
      <c r="C68" s="7">
        <v>44392</v>
      </c>
      <c r="D68" s="7">
        <v>44521</v>
      </c>
      <c r="E68">
        <v>2021</v>
      </c>
      <c r="F68" s="7" t="s">
        <v>9563</v>
      </c>
      <c r="G68" s="7">
        <v>44239</v>
      </c>
      <c r="H68">
        <v>2021</v>
      </c>
      <c r="I68" t="s">
        <v>101</v>
      </c>
      <c r="J68">
        <v>1500000</v>
      </c>
      <c r="K68">
        <v>279016.14</v>
      </c>
      <c r="L68">
        <v>0</v>
      </c>
      <c r="M68">
        <v>279016.14</v>
      </c>
      <c r="N68">
        <v>83247.58</v>
      </c>
      <c r="O68">
        <v>0</v>
      </c>
      <c r="P68">
        <v>83247.58</v>
      </c>
      <c r="Q68">
        <v>362263.72</v>
      </c>
      <c r="R68" t="s">
        <v>9453</v>
      </c>
    </row>
    <row r="69" spans="1:18" ht="12.75" customHeight="1" x14ac:dyDescent="0.2">
      <c r="A69" t="s">
        <v>9564</v>
      </c>
      <c r="B69" t="s">
        <v>9565</v>
      </c>
      <c r="C69" s="7">
        <v>44381</v>
      </c>
      <c r="D69" s="7">
        <v>44531</v>
      </c>
      <c r="E69">
        <v>2021</v>
      </c>
      <c r="F69" s="7" t="s">
        <v>9566</v>
      </c>
      <c r="G69" s="7">
        <v>44356</v>
      </c>
      <c r="H69">
        <v>2021</v>
      </c>
      <c r="I69" t="s">
        <v>101</v>
      </c>
      <c r="J69">
        <v>1000000</v>
      </c>
      <c r="K69">
        <v>103427.74</v>
      </c>
      <c r="L69">
        <v>0</v>
      </c>
      <c r="M69">
        <v>103427.74</v>
      </c>
      <c r="N69">
        <v>15431.45</v>
      </c>
      <c r="O69">
        <v>0</v>
      </c>
      <c r="P69">
        <v>15431.45</v>
      </c>
      <c r="Q69">
        <v>118859.19</v>
      </c>
      <c r="R69" t="s">
        <v>9567</v>
      </c>
    </row>
    <row r="70" spans="1:18" ht="12.75" customHeight="1" x14ac:dyDescent="0.2">
      <c r="A70" t="s">
        <v>9568</v>
      </c>
      <c r="B70" t="s">
        <v>9569</v>
      </c>
      <c r="C70" s="7">
        <v>44500</v>
      </c>
      <c r="D70" s="7">
        <v>44533</v>
      </c>
      <c r="E70">
        <v>2021</v>
      </c>
      <c r="F70" s="7" t="s">
        <v>9570</v>
      </c>
      <c r="G70" s="7">
        <v>44483</v>
      </c>
      <c r="H70">
        <v>2021</v>
      </c>
      <c r="I70" t="s">
        <v>101</v>
      </c>
      <c r="J70">
        <v>1000000</v>
      </c>
      <c r="K70">
        <v>376859.4</v>
      </c>
      <c r="L70">
        <v>0</v>
      </c>
      <c r="M70">
        <v>376859.4</v>
      </c>
      <c r="N70">
        <v>67686.460000000006</v>
      </c>
      <c r="O70">
        <v>0</v>
      </c>
      <c r="P70">
        <v>67686.460000000006</v>
      </c>
      <c r="Q70">
        <v>444545.86</v>
      </c>
      <c r="R70" t="s">
        <v>9571</v>
      </c>
    </row>
    <row r="71" spans="1:18" ht="12.75" customHeight="1" x14ac:dyDescent="0.2">
      <c r="A71" t="s">
        <v>9572</v>
      </c>
      <c r="B71" t="s">
        <v>9267</v>
      </c>
      <c r="C71" s="7">
        <v>44017</v>
      </c>
      <c r="D71" s="7">
        <v>44539</v>
      </c>
      <c r="E71">
        <v>2020</v>
      </c>
      <c r="F71" s="7" t="s">
        <v>9573</v>
      </c>
      <c r="G71" s="7">
        <v>43771</v>
      </c>
      <c r="H71">
        <v>2019</v>
      </c>
      <c r="I71" t="s">
        <v>101</v>
      </c>
      <c r="J71">
        <v>10000000</v>
      </c>
      <c r="K71">
        <v>151130.85</v>
      </c>
      <c r="L71">
        <v>0</v>
      </c>
      <c r="M71">
        <v>151130.85</v>
      </c>
      <c r="N71">
        <v>42271.27</v>
      </c>
      <c r="O71">
        <v>0</v>
      </c>
      <c r="P71">
        <v>42271.27</v>
      </c>
      <c r="Q71">
        <v>193402.12</v>
      </c>
      <c r="R71" t="s">
        <v>9574</v>
      </c>
    </row>
    <row r="72" spans="1:18" ht="12.75" customHeight="1" x14ac:dyDescent="0.2">
      <c r="A72" t="s">
        <v>9575</v>
      </c>
      <c r="B72" t="s">
        <v>8349</v>
      </c>
      <c r="C72" s="7">
        <v>44343</v>
      </c>
      <c r="D72" s="7">
        <v>44555</v>
      </c>
      <c r="E72">
        <v>2021</v>
      </c>
      <c r="F72" s="7" t="s">
        <v>9576</v>
      </c>
      <c r="G72" s="7">
        <v>44308</v>
      </c>
      <c r="H72">
        <v>2021</v>
      </c>
      <c r="I72" t="s">
        <v>101</v>
      </c>
      <c r="J72">
        <v>1500000</v>
      </c>
      <c r="K72">
        <v>106261.24</v>
      </c>
      <c r="L72">
        <v>0</v>
      </c>
      <c r="M72">
        <v>106261.24</v>
      </c>
      <c r="N72">
        <v>30317.68</v>
      </c>
      <c r="O72">
        <v>0</v>
      </c>
      <c r="P72">
        <v>30317.68</v>
      </c>
      <c r="Q72">
        <v>136578.92000000001</v>
      </c>
      <c r="R72" t="s">
        <v>9429</v>
      </c>
    </row>
    <row r="73" spans="1:18" ht="12.75" customHeight="1" x14ac:dyDescent="0.2">
      <c r="A73" t="s">
        <v>9577</v>
      </c>
      <c r="B73" t="s">
        <v>9578</v>
      </c>
      <c r="C73" s="7">
        <v>44365</v>
      </c>
      <c r="D73" s="7">
        <v>44556</v>
      </c>
      <c r="E73">
        <v>2021</v>
      </c>
      <c r="F73" s="7" t="s">
        <v>9579</v>
      </c>
      <c r="G73" s="7">
        <v>44188</v>
      </c>
      <c r="H73">
        <v>2020</v>
      </c>
      <c r="I73" t="s">
        <v>104</v>
      </c>
      <c r="J73">
        <v>1000000</v>
      </c>
      <c r="K73">
        <v>122743.59</v>
      </c>
      <c r="L73">
        <v>0</v>
      </c>
      <c r="M73">
        <v>122743.59</v>
      </c>
      <c r="N73">
        <v>32682.62</v>
      </c>
      <c r="O73">
        <v>0</v>
      </c>
      <c r="P73">
        <v>32682.62</v>
      </c>
      <c r="Q73">
        <v>155426.21</v>
      </c>
      <c r="R73" t="s">
        <v>9580</v>
      </c>
    </row>
    <row r="74" spans="1:18" ht="12.75" customHeight="1" x14ac:dyDescent="0.2">
      <c r="A74" t="s">
        <v>9581</v>
      </c>
      <c r="B74" t="s">
        <v>6346</v>
      </c>
      <c r="C74" s="7">
        <v>44515</v>
      </c>
      <c r="D74" s="7">
        <v>44558</v>
      </c>
      <c r="E74">
        <v>2021</v>
      </c>
      <c r="F74" s="7" t="s">
        <v>9582</v>
      </c>
      <c r="G74" s="7">
        <v>44202</v>
      </c>
      <c r="H74">
        <v>2021</v>
      </c>
      <c r="I74" t="s">
        <v>104</v>
      </c>
      <c r="J74">
        <v>2000000</v>
      </c>
      <c r="K74">
        <v>613724.48</v>
      </c>
      <c r="L74">
        <v>0</v>
      </c>
      <c r="M74">
        <v>613724.48</v>
      </c>
      <c r="N74">
        <v>66084.740000000005</v>
      </c>
      <c r="O74">
        <v>0</v>
      </c>
      <c r="P74">
        <v>66084.740000000005</v>
      </c>
      <c r="Q74">
        <v>679809.22</v>
      </c>
      <c r="R74" t="s">
        <v>9402</v>
      </c>
    </row>
    <row r="75" spans="1:18" ht="12.75" customHeight="1" x14ac:dyDescent="0.2">
      <c r="A75" t="s">
        <v>9583</v>
      </c>
      <c r="B75" t="s">
        <v>9584</v>
      </c>
      <c r="C75" s="7">
        <v>44184</v>
      </c>
      <c r="D75" s="7">
        <v>44572</v>
      </c>
      <c r="E75">
        <v>2020</v>
      </c>
      <c r="F75" s="7" t="s">
        <v>9585</v>
      </c>
      <c r="G75" s="7">
        <v>43942</v>
      </c>
      <c r="H75">
        <v>2020</v>
      </c>
      <c r="I75" t="s">
        <v>101</v>
      </c>
      <c r="J75">
        <v>1000000</v>
      </c>
      <c r="K75">
        <v>1000000</v>
      </c>
      <c r="L75">
        <v>0</v>
      </c>
      <c r="M75">
        <v>1000000</v>
      </c>
      <c r="N75">
        <v>279303.8</v>
      </c>
      <c r="O75">
        <v>0</v>
      </c>
      <c r="P75">
        <v>279303.8</v>
      </c>
      <c r="Q75">
        <v>1279303.8</v>
      </c>
      <c r="R75" t="s">
        <v>9586</v>
      </c>
    </row>
    <row r="76" spans="1:18" ht="12.75" customHeight="1" x14ac:dyDescent="0.2">
      <c r="A76" t="s">
        <v>9587</v>
      </c>
      <c r="B76" t="s">
        <v>8241</v>
      </c>
      <c r="C76" s="7">
        <v>44535</v>
      </c>
      <c r="D76" s="7">
        <v>44577</v>
      </c>
      <c r="E76">
        <v>2021</v>
      </c>
      <c r="F76" s="7" t="s">
        <v>9588</v>
      </c>
      <c r="G76" s="7">
        <v>44285</v>
      </c>
      <c r="H76">
        <v>2021</v>
      </c>
      <c r="I76" t="s">
        <v>104</v>
      </c>
      <c r="J76">
        <v>10000000</v>
      </c>
      <c r="K76">
        <v>221977.5</v>
      </c>
      <c r="L76">
        <v>0</v>
      </c>
      <c r="M76">
        <v>221977.5</v>
      </c>
      <c r="N76">
        <v>41172.769999999997</v>
      </c>
      <c r="O76">
        <v>0</v>
      </c>
      <c r="P76">
        <v>41172.769999999997</v>
      </c>
      <c r="Q76">
        <v>263150.27</v>
      </c>
      <c r="R76" t="s">
        <v>9589</v>
      </c>
    </row>
    <row r="77" spans="1:18" ht="12.75" customHeight="1" x14ac:dyDescent="0.2">
      <c r="A77" t="s">
        <v>9590</v>
      </c>
      <c r="B77" t="s">
        <v>8070</v>
      </c>
      <c r="C77" s="7">
        <v>44485</v>
      </c>
      <c r="D77" s="7">
        <v>44579</v>
      </c>
      <c r="E77">
        <v>2021</v>
      </c>
      <c r="F77" s="7" t="s">
        <v>7273</v>
      </c>
      <c r="G77" s="7">
        <v>44239</v>
      </c>
      <c r="H77">
        <v>2021</v>
      </c>
      <c r="I77" t="s">
        <v>104</v>
      </c>
      <c r="J77">
        <v>5000000</v>
      </c>
      <c r="K77">
        <v>139828.99</v>
      </c>
      <c r="L77">
        <v>0</v>
      </c>
      <c r="M77">
        <v>139828.99</v>
      </c>
      <c r="N77">
        <v>16753.8</v>
      </c>
      <c r="O77">
        <v>0</v>
      </c>
      <c r="P77">
        <v>16753.8</v>
      </c>
      <c r="Q77">
        <v>156582.79</v>
      </c>
      <c r="R77" t="s">
        <v>9464</v>
      </c>
    </row>
    <row r="78" spans="1:18" ht="12.75" customHeight="1" x14ac:dyDescent="0.2">
      <c r="A78" t="s">
        <v>9591</v>
      </c>
      <c r="B78" t="s">
        <v>9592</v>
      </c>
      <c r="C78" s="7">
        <v>44408</v>
      </c>
      <c r="D78" s="7">
        <v>44581</v>
      </c>
      <c r="E78">
        <v>2021</v>
      </c>
      <c r="F78" s="7" t="s">
        <v>9593</v>
      </c>
      <c r="G78" s="7">
        <v>44298</v>
      </c>
      <c r="H78">
        <v>2021</v>
      </c>
      <c r="I78" t="s">
        <v>101</v>
      </c>
      <c r="J78">
        <v>10000000</v>
      </c>
      <c r="K78">
        <v>996124.8</v>
      </c>
      <c r="L78">
        <v>0</v>
      </c>
      <c r="M78">
        <v>996124.8</v>
      </c>
      <c r="N78">
        <v>169823.48</v>
      </c>
      <c r="O78">
        <v>0</v>
      </c>
      <c r="P78">
        <v>169823.48</v>
      </c>
      <c r="Q78">
        <v>1165948.28</v>
      </c>
      <c r="R78" t="s">
        <v>9594</v>
      </c>
    </row>
    <row r="79" spans="1:18" ht="12.75" customHeight="1" x14ac:dyDescent="0.2">
      <c r="A79" t="s">
        <v>9595</v>
      </c>
      <c r="B79" t="s">
        <v>9596</v>
      </c>
      <c r="C79" s="7">
        <v>44325</v>
      </c>
      <c r="D79" s="7">
        <v>44588</v>
      </c>
      <c r="E79">
        <v>2021</v>
      </c>
      <c r="F79" s="7" t="s">
        <v>9597</v>
      </c>
      <c r="G79" s="7">
        <v>43985</v>
      </c>
      <c r="H79">
        <v>2020</v>
      </c>
      <c r="I79" t="s">
        <v>101</v>
      </c>
      <c r="J79">
        <v>5000000</v>
      </c>
      <c r="K79">
        <v>785252.1</v>
      </c>
      <c r="L79">
        <v>0</v>
      </c>
      <c r="M79">
        <v>785252.1</v>
      </c>
      <c r="N79">
        <v>80047.38</v>
      </c>
      <c r="O79">
        <v>0</v>
      </c>
      <c r="P79">
        <v>80047.38</v>
      </c>
      <c r="Q79">
        <v>865299.48</v>
      </c>
      <c r="R79" t="s">
        <v>9598</v>
      </c>
    </row>
    <row r="80" spans="1:18" ht="12.75" customHeight="1" x14ac:dyDescent="0.2">
      <c r="A80" t="s">
        <v>9599</v>
      </c>
      <c r="B80" t="s">
        <v>9600</v>
      </c>
      <c r="C80" s="7">
        <v>44280</v>
      </c>
      <c r="D80" s="7">
        <v>44588</v>
      </c>
      <c r="E80">
        <v>2021</v>
      </c>
      <c r="F80" s="7" t="s">
        <v>9601</v>
      </c>
      <c r="G80" s="7">
        <v>43944</v>
      </c>
      <c r="H80">
        <v>2020</v>
      </c>
      <c r="I80" t="s">
        <v>104</v>
      </c>
      <c r="J80">
        <v>10000000</v>
      </c>
      <c r="K80">
        <v>615176.52</v>
      </c>
      <c r="L80">
        <v>0</v>
      </c>
      <c r="M80">
        <v>615176.52</v>
      </c>
      <c r="N80">
        <v>157358.47</v>
      </c>
      <c r="O80">
        <v>0</v>
      </c>
      <c r="P80">
        <v>157358.47</v>
      </c>
      <c r="Q80">
        <v>772534.99</v>
      </c>
      <c r="R80" t="s">
        <v>9602</v>
      </c>
    </row>
    <row r="81" spans="1:18" ht="12.75" customHeight="1" x14ac:dyDescent="0.2">
      <c r="A81" t="s">
        <v>9603</v>
      </c>
      <c r="B81" t="s">
        <v>7942</v>
      </c>
      <c r="C81" s="7">
        <v>44276</v>
      </c>
      <c r="D81" s="7">
        <v>44588</v>
      </c>
      <c r="E81">
        <v>2021</v>
      </c>
      <c r="F81" s="7" t="s">
        <v>9604</v>
      </c>
      <c r="G81" s="7">
        <v>44214</v>
      </c>
      <c r="H81">
        <v>2021</v>
      </c>
      <c r="I81" t="s">
        <v>101</v>
      </c>
      <c r="J81">
        <v>1500000</v>
      </c>
      <c r="K81">
        <v>154150.29999999999</v>
      </c>
      <c r="L81">
        <v>0</v>
      </c>
      <c r="M81">
        <v>154150.29999999999</v>
      </c>
      <c r="N81">
        <v>38962.949999999997</v>
      </c>
      <c r="O81">
        <v>0</v>
      </c>
      <c r="P81">
        <v>38962.949999999997</v>
      </c>
      <c r="Q81">
        <v>193113.25</v>
      </c>
      <c r="R81" t="s">
        <v>9449</v>
      </c>
    </row>
    <row r="82" spans="1:18" ht="12.75" customHeight="1" x14ac:dyDescent="0.2">
      <c r="A82" t="s">
        <v>9605</v>
      </c>
      <c r="B82" t="s">
        <v>6904</v>
      </c>
      <c r="C82" s="7">
        <v>44472</v>
      </c>
      <c r="D82" s="7">
        <v>44598</v>
      </c>
      <c r="E82">
        <v>2021</v>
      </c>
      <c r="F82" s="7" t="s">
        <v>9606</v>
      </c>
      <c r="G82" s="7">
        <v>44430</v>
      </c>
      <c r="H82">
        <v>2021</v>
      </c>
      <c r="I82" t="s">
        <v>104</v>
      </c>
      <c r="J82">
        <v>2000000</v>
      </c>
      <c r="K82">
        <v>108146.92</v>
      </c>
      <c r="L82">
        <v>0</v>
      </c>
      <c r="M82">
        <v>108146.92</v>
      </c>
      <c r="N82">
        <v>26442.01</v>
      </c>
      <c r="O82">
        <v>0</v>
      </c>
      <c r="P82">
        <v>26442.01</v>
      </c>
      <c r="Q82">
        <v>134588.93</v>
      </c>
      <c r="R82" t="s">
        <v>9607</v>
      </c>
    </row>
    <row r="83" spans="1:18" ht="12.75" customHeight="1" x14ac:dyDescent="0.2">
      <c r="A83" t="s">
        <v>9608</v>
      </c>
      <c r="B83" t="s">
        <v>9609</v>
      </c>
      <c r="C83" s="7">
        <v>44189</v>
      </c>
      <c r="D83" s="7">
        <v>44622</v>
      </c>
      <c r="E83">
        <v>2020</v>
      </c>
      <c r="F83" s="7" t="s">
        <v>9610</v>
      </c>
      <c r="G83" s="7">
        <v>43901</v>
      </c>
      <c r="H83">
        <v>2020</v>
      </c>
      <c r="I83" t="s">
        <v>104</v>
      </c>
      <c r="J83">
        <v>1000000</v>
      </c>
      <c r="K83">
        <v>198705.65</v>
      </c>
      <c r="L83">
        <v>0</v>
      </c>
      <c r="M83">
        <v>198705.65</v>
      </c>
      <c r="N83">
        <v>46655.59</v>
      </c>
      <c r="O83">
        <v>0</v>
      </c>
      <c r="P83">
        <v>46655.59</v>
      </c>
      <c r="Q83">
        <v>245361.24</v>
      </c>
      <c r="R83" t="s">
        <v>9544</v>
      </c>
    </row>
    <row r="84" spans="1:18" ht="12.75" customHeight="1" x14ac:dyDescent="0.2">
      <c r="A84" t="s">
        <v>9611</v>
      </c>
      <c r="B84" t="s">
        <v>165</v>
      </c>
      <c r="C84" s="7">
        <v>44578</v>
      </c>
      <c r="D84" s="7">
        <v>44624</v>
      </c>
      <c r="E84">
        <v>2022</v>
      </c>
      <c r="F84" s="7" t="s">
        <v>9612</v>
      </c>
      <c r="G84" s="7">
        <v>44415</v>
      </c>
      <c r="H84">
        <v>2021</v>
      </c>
      <c r="I84" t="s">
        <v>101</v>
      </c>
      <c r="J84">
        <v>2000000</v>
      </c>
      <c r="K84">
        <v>184704.25</v>
      </c>
      <c r="L84">
        <v>0</v>
      </c>
      <c r="M84">
        <v>184704.25</v>
      </c>
      <c r="N84">
        <v>19321.7</v>
      </c>
      <c r="O84">
        <v>0</v>
      </c>
      <c r="P84">
        <v>19321.7</v>
      </c>
      <c r="Q84">
        <v>204025.95</v>
      </c>
      <c r="R84" t="s">
        <v>9613</v>
      </c>
    </row>
    <row r="85" spans="1:18" ht="12.75" customHeight="1" x14ac:dyDescent="0.2">
      <c r="A85" t="s">
        <v>9614</v>
      </c>
      <c r="B85" t="s">
        <v>8767</v>
      </c>
      <c r="C85" s="7">
        <v>44349</v>
      </c>
      <c r="D85" s="7">
        <v>44647</v>
      </c>
      <c r="E85">
        <v>2021</v>
      </c>
      <c r="F85" s="7" t="s">
        <v>9615</v>
      </c>
      <c r="G85" s="7">
        <v>44029</v>
      </c>
      <c r="H85">
        <v>2020</v>
      </c>
      <c r="I85" t="s">
        <v>101</v>
      </c>
      <c r="J85">
        <v>1000000</v>
      </c>
      <c r="K85">
        <v>267133.3</v>
      </c>
      <c r="L85">
        <v>0</v>
      </c>
      <c r="M85">
        <v>267133.3</v>
      </c>
      <c r="N85">
        <v>61591.07</v>
      </c>
      <c r="O85">
        <v>0</v>
      </c>
      <c r="P85">
        <v>61591.07</v>
      </c>
      <c r="Q85">
        <v>328724.37</v>
      </c>
      <c r="R85" t="s">
        <v>9439</v>
      </c>
    </row>
    <row r="86" spans="1:18" ht="12.75" customHeight="1" x14ac:dyDescent="0.2">
      <c r="A86" t="s">
        <v>9616</v>
      </c>
      <c r="B86" t="s">
        <v>6848</v>
      </c>
      <c r="C86" s="7">
        <v>44453</v>
      </c>
      <c r="D86" s="7">
        <v>44650</v>
      </c>
      <c r="E86">
        <v>2021</v>
      </c>
      <c r="F86" s="7" t="s">
        <v>9617</v>
      </c>
      <c r="G86" s="7">
        <v>44354</v>
      </c>
      <c r="H86">
        <v>2021</v>
      </c>
      <c r="I86" t="s">
        <v>104</v>
      </c>
      <c r="J86">
        <v>2000000</v>
      </c>
      <c r="K86">
        <v>201074.13</v>
      </c>
      <c r="L86">
        <v>0</v>
      </c>
      <c r="M86">
        <v>201074.13</v>
      </c>
      <c r="N86">
        <v>45376.92</v>
      </c>
      <c r="O86">
        <v>0</v>
      </c>
      <c r="P86">
        <v>45376.92</v>
      </c>
      <c r="Q86">
        <v>246451.05</v>
      </c>
      <c r="R86" t="s">
        <v>9618</v>
      </c>
    </row>
    <row r="87" spans="1:18" ht="12.75" customHeight="1" x14ac:dyDescent="0.2">
      <c r="A87" t="s">
        <v>9619</v>
      </c>
      <c r="B87" t="s">
        <v>9036</v>
      </c>
      <c r="C87" s="7">
        <v>44629</v>
      </c>
      <c r="D87" s="7">
        <v>44660</v>
      </c>
      <c r="E87">
        <v>2022</v>
      </c>
      <c r="F87" s="7" t="s">
        <v>9620</v>
      </c>
      <c r="G87" s="7">
        <v>44448</v>
      </c>
      <c r="H87">
        <v>2021</v>
      </c>
      <c r="I87" t="s">
        <v>101</v>
      </c>
      <c r="J87">
        <v>1000000</v>
      </c>
      <c r="K87">
        <v>418225.79</v>
      </c>
      <c r="L87">
        <v>0</v>
      </c>
      <c r="M87">
        <v>418225.79</v>
      </c>
      <c r="N87">
        <v>60376.25</v>
      </c>
      <c r="O87">
        <v>0</v>
      </c>
      <c r="P87">
        <v>60376.25</v>
      </c>
      <c r="Q87">
        <v>478602.04</v>
      </c>
      <c r="R87" t="s">
        <v>9621</v>
      </c>
    </row>
    <row r="88" spans="1:18" ht="12.75" customHeight="1" x14ac:dyDescent="0.2">
      <c r="A88" t="s">
        <v>9622</v>
      </c>
      <c r="B88" t="s">
        <v>9623</v>
      </c>
      <c r="C88" s="7">
        <v>44612</v>
      </c>
      <c r="D88" s="7">
        <v>44661</v>
      </c>
      <c r="E88">
        <v>2022</v>
      </c>
      <c r="F88" s="7" t="s">
        <v>9624</v>
      </c>
      <c r="G88" s="7">
        <v>44383</v>
      </c>
      <c r="H88">
        <v>2021</v>
      </c>
      <c r="I88" t="s">
        <v>101</v>
      </c>
      <c r="J88">
        <v>1000000</v>
      </c>
      <c r="K88">
        <v>183013.06</v>
      </c>
      <c r="L88">
        <v>26631.84</v>
      </c>
      <c r="M88">
        <v>209644.9</v>
      </c>
      <c r="N88">
        <v>35367.94</v>
      </c>
      <c r="O88">
        <v>5451.06</v>
      </c>
      <c r="P88">
        <v>40819</v>
      </c>
      <c r="Q88">
        <v>250463.9</v>
      </c>
      <c r="R88" t="s">
        <v>9618</v>
      </c>
    </row>
    <row r="89" spans="1:18" ht="12.75" customHeight="1" x14ac:dyDescent="0.2">
      <c r="A89" t="s">
        <v>9625</v>
      </c>
      <c r="B89" t="s">
        <v>9626</v>
      </c>
      <c r="C89" s="7">
        <v>44592</v>
      </c>
      <c r="D89" s="7">
        <v>44676</v>
      </c>
      <c r="E89">
        <v>2022</v>
      </c>
      <c r="F89" s="7" t="s">
        <v>9627</v>
      </c>
      <c r="G89" s="7">
        <v>44441</v>
      </c>
      <c r="H89">
        <v>2021</v>
      </c>
      <c r="I89" t="s">
        <v>104</v>
      </c>
      <c r="J89">
        <v>2000000</v>
      </c>
      <c r="K89">
        <v>1130832.77</v>
      </c>
      <c r="L89">
        <v>0</v>
      </c>
      <c r="M89">
        <v>1130832.77</v>
      </c>
      <c r="N89">
        <v>254979.56</v>
      </c>
      <c r="O89">
        <v>0</v>
      </c>
      <c r="P89">
        <v>254979.56</v>
      </c>
      <c r="Q89">
        <v>1385812.33</v>
      </c>
      <c r="R89" t="s">
        <v>9502</v>
      </c>
    </row>
    <row r="90" spans="1:18" ht="12.75" customHeight="1" x14ac:dyDescent="0.2">
      <c r="A90" t="s">
        <v>9628</v>
      </c>
      <c r="B90" t="s">
        <v>7723</v>
      </c>
      <c r="C90" s="7">
        <v>44174</v>
      </c>
      <c r="D90" s="7">
        <v>44689</v>
      </c>
      <c r="E90">
        <v>2020</v>
      </c>
      <c r="F90" s="7" t="s">
        <v>9629</v>
      </c>
      <c r="G90" s="7">
        <v>43821</v>
      </c>
      <c r="H90">
        <v>2019</v>
      </c>
      <c r="I90" t="s">
        <v>101</v>
      </c>
      <c r="J90">
        <v>1000000</v>
      </c>
      <c r="K90">
        <v>109030.98</v>
      </c>
      <c r="L90">
        <v>93291.61</v>
      </c>
      <c r="M90">
        <v>202322.59</v>
      </c>
      <c r="N90">
        <v>17659.27</v>
      </c>
      <c r="O90">
        <v>11291.31</v>
      </c>
      <c r="P90">
        <v>28950.58</v>
      </c>
      <c r="Q90">
        <v>231273.17</v>
      </c>
      <c r="R90" t="s">
        <v>9495</v>
      </c>
    </row>
    <row r="91" spans="1:18" ht="12.75" customHeight="1" x14ac:dyDescent="0.2">
      <c r="A91" t="s">
        <v>9630</v>
      </c>
      <c r="B91" t="s">
        <v>8226</v>
      </c>
      <c r="C91" s="7">
        <v>44508</v>
      </c>
      <c r="D91" s="7">
        <v>44693</v>
      </c>
      <c r="E91">
        <v>2021</v>
      </c>
      <c r="F91" s="7" t="s">
        <v>9631</v>
      </c>
      <c r="G91" s="7">
        <v>44282</v>
      </c>
      <c r="H91">
        <v>2021</v>
      </c>
      <c r="I91" t="s">
        <v>101</v>
      </c>
      <c r="J91">
        <v>10000000</v>
      </c>
      <c r="K91">
        <v>1004533.55</v>
      </c>
      <c r="L91">
        <v>0</v>
      </c>
      <c r="M91">
        <v>1004533.55</v>
      </c>
      <c r="N91">
        <v>271566.95</v>
      </c>
      <c r="O91">
        <v>0</v>
      </c>
      <c r="P91">
        <v>271566.95</v>
      </c>
      <c r="Q91">
        <v>1276100.5</v>
      </c>
      <c r="R91" t="s">
        <v>9586</v>
      </c>
    </row>
    <row r="92" spans="1:18" ht="12.75" customHeight="1" x14ac:dyDescent="0.2">
      <c r="A92" t="s">
        <v>9632</v>
      </c>
      <c r="B92" t="s">
        <v>9633</v>
      </c>
      <c r="C92" s="7">
        <v>44391</v>
      </c>
      <c r="D92" s="7">
        <v>44717</v>
      </c>
      <c r="E92">
        <v>2021</v>
      </c>
      <c r="F92" s="7" t="s">
        <v>9634</v>
      </c>
      <c r="G92" s="7">
        <v>44084</v>
      </c>
      <c r="H92">
        <v>2020</v>
      </c>
      <c r="I92" t="s">
        <v>104</v>
      </c>
      <c r="J92">
        <v>5000000</v>
      </c>
      <c r="K92">
        <v>118560.48</v>
      </c>
      <c r="L92">
        <v>0</v>
      </c>
      <c r="M92">
        <v>118560.48</v>
      </c>
      <c r="N92">
        <v>26694.22</v>
      </c>
      <c r="O92">
        <v>0</v>
      </c>
      <c r="P92">
        <v>26694.22</v>
      </c>
      <c r="Q92">
        <v>145254.70000000001</v>
      </c>
      <c r="R92" t="s">
        <v>9531</v>
      </c>
    </row>
    <row r="93" spans="1:18" ht="12.75" customHeight="1" x14ac:dyDescent="0.2">
      <c r="A93" t="s">
        <v>9635</v>
      </c>
      <c r="B93" t="s">
        <v>6830</v>
      </c>
      <c r="C93" s="7">
        <v>44466</v>
      </c>
      <c r="D93" s="7">
        <v>44720</v>
      </c>
      <c r="E93">
        <v>2021</v>
      </c>
      <c r="F93" s="7" t="s">
        <v>7280</v>
      </c>
      <c r="G93" s="7">
        <v>44400</v>
      </c>
      <c r="H93">
        <v>2021</v>
      </c>
      <c r="I93" t="s">
        <v>104</v>
      </c>
      <c r="J93">
        <v>1000000</v>
      </c>
      <c r="K93">
        <v>292605.40999999997</v>
      </c>
      <c r="L93">
        <v>0</v>
      </c>
      <c r="M93">
        <v>292605.40999999997</v>
      </c>
      <c r="N93">
        <v>37769.56</v>
      </c>
      <c r="O93">
        <v>0</v>
      </c>
      <c r="P93">
        <v>37769.56</v>
      </c>
      <c r="Q93">
        <v>330374.96999999997</v>
      </c>
      <c r="R93" t="s">
        <v>9439</v>
      </c>
    </row>
    <row r="94" spans="1:18" ht="12.75" customHeight="1" x14ac:dyDescent="0.2">
      <c r="A94" t="s">
        <v>9636</v>
      </c>
      <c r="B94" t="s">
        <v>117</v>
      </c>
      <c r="C94" s="7">
        <v>44521</v>
      </c>
      <c r="D94" s="7">
        <v>44721</v>
      </c>
      <c r="E94">
        <v>2021</v>
      </c>
      <c r="F94" s="7" t="s">
        <v>9637</v>
      </c>
      <c r="G94" s="7">
        <v>44239</v>
      </c>
      <c r="H94">
        <v>2021</v>
      </c>
      <c r="I94" t="s">
        <v>104</v>
      </c>
      <c r="J94">
        <v>2000000</v>
      </c>
      <c r="K94">
        <v>247984.95</v>
      </c>
      <c r="L94">
        <v>0</v>
      </c>
      <c r="M94">
        <v>247984.95</v>
      </c>
      <c r="N94">
        <v>53532.67</v>
      </c>
      <c r="O94">
        <v>0</v>
      </c>
      <c r="P94">
        <v>53532.67</v>
      </c>
      <c r="Q94">
        <v>301517.62</v>
      </c>
      <c r="R94" t="s">
        <v>9484</v>
      </c>
    </row>
    <row r="95" spans="1:18" ht="12.75" customHeight="1" x14ac:dyDescent="0.2">
      <c r="A95" t="s">
        <v>9638</v>
      </c>
      <c r="B95" t="s">
        <v>6341</v>
      </c>
      <c r="C95" s="7">
        <v>44682</v>
      </c>
      <c r="D95" s="7">
        <v>44722</v>
      </c>
      <c r="E95">
        <v>2022</v>
      </c>
      <c r="F95" s="7" t="s">
        <v>9639</v>
      </c>
      <c r="G95" s="7">
        <v>44563</v>
      </c>
      <c r="H95">
        <v>2022</v>
      </c>
      <c r="I95" t="s">
        <v>101</v>
      </c>
      <c r="J95">
        <v>2000000</v>
      </c>
      <c r="K95">
        <v>220996.22</v>
      </c>
      <c r="L95">
        <v>0</v>
      </c>
      <c r="M95">
        <v>220996.22</v>
      </c>
      <c r="N95">
        <v>22801.11</v>
      </c>
      <c r="O95">
        <v>0</v>
      </c>
      <c r="P95">
        <v>22801.11</v>
      </c>
      <c r="Q95">
        <v>243797.33</v>
      </c>
      <c r="R95" t="s">
        <v>9544</v>
      </c>
    </row>
    <row r="96" spans="1:18" ht="12.75" customHeight="1" x14ac:dyDescent="0.2">
      <c r="A96" t="s">
        <v>9640</v>
      </c>
      <c r="B96" t="s">
        <v>9206</v>
      </c>
      <c r="C96" s="7">
        <v>43956</v>
      </c>
      <c r="D96" s="7">
        <v>44750</v>
      </c>
      <c r="E96">
        <v>2020</v>
      </c>
      <c r="F96" s="7" t="s">
        <v>9641</v>
      </c>
      <c r="G96" s="7">
        <v>43758</v>
      </c>
      <c r="H96">
        <v>2019</v>
      </c>
      <c r="I96" t="s">
        <v>104</v>
      </c>
      <c r="J96">
        <v>10000000</v>
      </c>
      <c r="K96">
        <v>772005.03</v>
      </c>
      <c r="L96">
        <v>0</v>
      </c>
      <c r="M96">
        <v>772005.03</v>
      </c>
      <c r="N96">
        <v>202873.87</v>
      </c>
      <c r="O96">
        <v>0</v>
      </c>
      <c r="P96">
        <v>202873.87</v>
      </c>
      <c r="Q96">
        <v>974878.9</v>
      </c>
      <c r="R96" t="s">
        <v>9642</v>
      </c>
    </row>
    <row r="97" spans="1:18" ht="12.75" customHeight="1" x14ac:dyDescent="0.2">
      <c r="A97" t="s">
        <v>9643</v>
      </c>
      <c r="B97" t="s">
        <v>7569</v>
      </c>
      <c r="C97" s="7">
        <v>44534</v>
      </c>
      <c r="D97" s="7">
        <v>44759</v>
      </c>
      <c r="E97">
        <v>2021</v>
      </c>
      <c r="F97" s="7" t="s">
        <v>9644</v>
      </c>
      <c r="G97" s="7">
        <v>44178</v>
      </c>
      <c r="H97">
        <v>2020</v>
      </c>
      <c r="I97" t="s">
        <v>104</v>
      </c>
      <c r="J97">
        <v>5000000</v>
      </c>
      <c r="K97">
        <v>160117.95000000001</v>
      </c>
      <c r="L97">
        <v>0</v>
      </c>
      <c r="M97">
        <v>160117.95000000001</v>
      </c>
      <c r="N97">
        <v>30311.63</v>
      </c>
      <c r="O97">
        <v>0</v>
      </c>
      <c r="P97">
        <v>30311.63</v>
      </c>
      <c r="Q97">
        <v>190429.58</v>
      </c>
      <c r="R97" t="s">
        <v>9449</v>
      </c>
    </row>
    <row r="98" spans="1:18" ht="12.75" customHeight="1" x14ac:dyDescent="0.2">
      <c r="A98" t="s">
        <v>9645</v>
      </c>
      <c r="B98" t="s">
        <v>6581</v>
      </c>
      <c r="C98" s="7">
        <v>44278</v>
      </c>
      <c r="D98" s="7">
        <v>44764</v>
      </c>
      <c r="E98">
        <v>2021</v>
      </c>
      <c r="F98" s="7" t="s">
        <v>9646</v>
      </c>
      <c r="G98" s="7">
        <v>43943</v>
      </c>
      <c r="H98">
        <v>2020</v>
      </c>
      <c r="I98" t="s">
        <v>104</v>
      </c>
      <c r="J98">
        <v>1500000</v>
      </c>
      <c r="K98">
        <v>1500000</v>
      </c>
      <c r="L98">
        <v>0</v>
      </c>
      <c r="M98">
        <v>1500000</v>
      </c>
      <c r="N98">
        <v>265545.31</v>
      </c>
      <c r="O98">
        <v>0</v>
      </c>
      <c r="P98">
        <v>265545.31</v>
      </c>
      <c r="Q98">
        <v>1765545.31</v>
      </c>
      <c r="R98" t="s">
        <v>9647</v>
      </c>
    </row>
    <row r="99" spans="1:18" ht="12.75" customHeight="1" x14ac:dyDescent="0.2">
      <c r="A99" t="s">
        <v>9648</v>
      </c>
      <c r="B99" t="s">
        <v>9649</v>
      </c>
      <c r="C99" s="7">
        <v>44641</v>
      </c>
      <c r="D99" s="7">
        <v>44773</v>
      </c>
      <c r="E99">
        <v>2022</v>
      </c>
      <c r="F99" s="7" t="s">
        <v>9650</v>
      </c>
      <c r="G99" s="7">
        <v>44440</v>
      </c>
      <c r="H99">
        <v>2021</v>
      </c>
      <c r="I99" t="s">
        <v>101</v>
      </c>
      <c r="J99">
        <v>1000000</v>
      </c>
      <c r="K99">
        <v>180997.58</v>
      </c>
      <c r="L99">
        <v>0</v>
      </c>
      <c r="M99">
        <v>180997.58</v>
      </c>
      <c r="N99">
        <v>46731.42</v>
      </c>
      <c r="O99">
        <v>0</v>
      </c>
      <c r="P99">
        <v>46731.42</v>
      </c>
      <c r="Q99">
        <v>227729</v>
      </c>
      <c r="R99" t="s">
        <v>9651</v>
      </c>
    </row>
    <row r="100" spans="1:18" ht="12.75" customHeight="1" x14ac:dyDescent="0.2">
      <c r="A100" t="s">
        <v>9652</v>
      </c>
      <c r="B100" t="s">
        <v>7930</v>
      </c>
      <c r="C100" s="7">
        <v>44753</v>
      </c>
      <c r="D100" s="7">
        <v>44794</v>
      </c>
      <c r="E100">
        <v>2022</v>
      </c>
      <c r="F100" s="7" t="s">
        <v>9653</v>
      </c>
      <c r="G100" s="7">
        <v>44576</v>
      </c>
      <c r="H100">
        <v>2022</v>
      </c>
      <c r="I100" t="s">
        <v>104</v>
      </c>
      <c r="J100">
        <v>2000000</v>
      </c>
      <c r="K100">
        <v>920870.37</v>
      </c>
      <c r="L100">
        <v>0</v>
      </c>
      <c r="M100">
        <v>920870.37</v>
      </c>
      <c r="N100">
        <v>99612.73</v>
      </c>
      <c r="O100">
        <v>0</v>
      </c>
      <c r="P100">
        <v>99612.73</v>
      </c>
      <c r="Q100">
        <v>1020483.1</v>
      </c>
      <c r="R100" t="s">
        <v>9654</v>
      </c>
    </row>
    <row r="101" spans="1:18" ht="12.75" customHeight="1" x14ac:dyDescent="0.2">
      <c r="A101" t="s">
        <v>9655</v>
      </c>
      <c r="B101" t="s">
        <v>7112</v>
      </c>
      <c r="C101" s="7">
        <v>44669</v>
      </c>
      <c r="D101" s="7">
        <v>44798</v>
      </c>
      <c r="E101">
        <v>2022</v>
      </c>
      <c r="F101" s="7" t="s">
        <v>9656</v>
      </c>
      <c r="G101" s="7">
        <v>44509</v>
      </c>
      <c r="H101">
        <v>2021</v>
      </c>
      <c r="I101" t="s">
        <v>104</v>
      </c>
      <c r="J101">
        <v>5000000</v>
      </c>
      <c r="K101">
        <v>165217.4</v>
      </c>
      <c r="L101">
        <v>0</v>
      </c>
      <c r="M101">
        <v>165217.4</v>
      </c>
      <c r="N101">
        <v>48792.84</v>
      </c>
      <c r="O101">
        <v>0</v>
      </c>
      <c r="P101">
        <v>48792.84</v>
      </c>
      <c r="Q101">
        <v>214010.23999999999</v>
      </c>
      <c r="R101" t="s">
        <v>9657</v>
      </c>
    </row>
    <row r="102" spans="1:18" ht="12.75" customHeight="1" x14ac:dyDescent="0.2">
      <c r="A102" t="s">
        <v>9658</v>
      </c>
      <c r="B102" t="s">
        <v>445</v>
      </c>
      <c r="C102" s="7">
        <v>44715</v>
      </c>
      <c r="D102" s="7">
        <v>44803</v>
      </c>
      <c r="E102">
        <v>2022</v>
      </c>
      <c r="F102" s="7" t="s">
        <v>9659</v>
      </c>
      <c r="G102" s="7">
        <v>44585</v>
      </c>
      <c r="H102">
        <v>2022</v>
      </c>
      <c r="I102" t="s">
        <v>104</v>
      </c>
      <c r="J102">
        <v>1500000</v>
      </c>
      <c r="K102">
        <v>133890.07999999999</v>
      </c>
      <c r="L102">
        <v>0</v>
      </c>
      <c r="M102">
        <v>133890.07999999999</v>
      </c>
      <c r="N102">
        <v>32698.34</v>
      </c>
      <c r="O102">
        <v>0</v>
      </c>
      <c r="P102">
        <v>32698.34</v>
      </c>
      <c r="Q102">
        <v>166588.42000000001</v>
      </c>
      <c r="R102" t="s">
        <v>9409</v>
      </c>
    </row>
    <row r="103" spans="1:18" ht="12.75" customHeight="1" x14ac:dyDescent="0.2">
      <c r="A103" t="s">
        <v>9660</v>
      </c>
      <c r="B103" t="s">
        <v>9661</v>
      </c>
      <c r="C103" s="7">
        <v>44518</v>
      </c>
      <c r="D103" s="7">
        <v>44804</v>
      </c>
      <c r="E103">
        <v>2021</v>
      </c>
      <c r="F103" s="7" t="s">
        <v>9662</v>
      </c>
      <c r="G103" s="7">
        <v>44439</v>
      </c>
      <c r="H103">
        <v>2021</v>
      </c>
      <c r="I103" t="s">
        <v>104</v>
      </c>
      <c r="J103">
        <v>5000000</v>
      </c>
      <c r="K103">
        <v>601965.69999999995</v>
      </c>
      <c r="L103">
        <v>0</v>
      </c>
      <c r="M103">
        <v>601965.69999999995</v>
      </c>
      <c r="N103">
        <v>92641.67</v>
      </c>
      <c r="O103">
        <v>0</v>
      </c>
      <c r="P103">
        <v>92641.67</v>
      </c>
      <c r="Q103">
        <v>694607.37</v>
      </c>
      <c r="R103" t="s">
        <v>9663</v>
      </c>
    </row>
    <row r="104" spans="1:18" ht="12.75" customHeight="1" x14ac:dyDescent="0.2">
      <c r="A104" t="s">
        <v>9664</v>
      </c>
      <c r="B104" t="s">
        <v>7274</v>
      </c>
      <c r="C104" s="7">
        <v>44481</v>
      </c>
      <c r="D104" s="7">
        <v>44806</v>
      </c>
      <c r="E104">
        <v>2021</v>
      </c>
      <c r="F104" s="7" t="s">
        <v>9665</v>
      </c>
      <c r="G104" s="7">
        <v>44312</v>
      </c>
      <c r="H104">
        <v>2021</v>
      </c>
      <c r="I104" t="s">
        <v>101</v>
      </c>
      <c r="J104">
        <v>2000000</v>
      </c>
      <c r="K104">
        <v>191047.25</v>
      </c>
      <c r="L104">
        <v>0</v>
      </c>
      <c r="M104">
        <v>191047.25</v>
      </c>
      <c r="N104">
        <v>28263.24</v>
      </c>
      <c r="O104">
        <v>0</v>
      </c>
      <c r="P104">
        <v>28263.24</v>
      </c>
      <c r="Q104">
        <v>219310.49</v>
      </c>
      <c r="R104" t="s">
        <v>9666</v>
      </c>
    </row>
    <row r="105" spans="1:18" ht="12.75" customHeight="1" x14ac:dyDescent="0.2">
      <c r="A105" t="s">
        <v>9667</v>
      </c>
      <c r="B105" t="s">
        <v>9668</v>
      </c>
      <c r="C105" s="7">
        <v>44736</v>
      </c>
      <c r="D105" s="7">
        <v>44808</v>
      </c>
      <c r="E105">
        <v>2022</v>
      </c>
      <c r="F105" s="7" t="s">
        <v>9669</v>
      </c>
      <c r="G105" s="7">
        <v>44671</v>
      </c>
      <c r="H105">
        <v>2022</v>
      </c>
      <c r="I105" t="s">
        <v>101</v>
      </c>
      <c r="J105">
        <v>1000000</v>
      </c>
      <c r="K105">
        <v>243400.59</v>
      </c>
      <c r="L105">
        <v>0</v>
      </c>
      <c r="M105">
        <v>243400.59</v>
      </c>
      <c r="N105">
        <v>64575.73</v>
      </c>
      <c r="O105">
        <v>0</v>
      </c>
      <c r="P105">
        <v>64575.73</v>
      </c>
      <c r="Q105">
        <v>307976.32000000001</v>
      </c>
      <c r="R105" t="s">
        <v>9670</v>
      </c>
    </row>
    <row r="106" spans="1:18" ht="12.75" customHeight="1" x14ac:dyDescent="0.2">
      <c r="A106" t="s">
        <v>9671</v>
      </c>
      <c r="B106" t="s">
        <v>6982</v>
      </c>
      <c r="C106" s="7">
        <v>44675</v>
      </c>
      <c r="D106" s="7">
        <v>44812</v>
      </c>
      <c r="E106">
        <v>2022</v>
      </c>
      <c r="F106" s="7" t="s">
        <v>9672</v>
      </c>
      <c r="G106" s="7">
        <v>44471</v>
      </c>
      <c r="H106">
        <v>2021</v>
      </c>
      <c r="I106" t="s">
        <v>101</v>
      </c>
      <c r="J106">
        <v>10000000</v>
      </c>
      <c r="K106">
        <v>4068917.38</v>
      </c>
      <c r="L106">
        <v>0</v>
      </c>
      <c r="M106">
        <v>4068917.38</v>
      </c>
      <c r="N106">
        <v>412847.68</v>
      </c>
      <c r="O106">
        <v>0</v>
      </c>
      <c r="P106">
        <v>412847.68</v>
      </c>
      <c r="Q106">
        <v>4481765.0599999996</v>
      </c>
      <c r="R106" t="s">
        <v>9673</v>
      </c>
    </row>
    <row r="107" spans="1:18" ht="12.75" customHeight="1" x14ac:dyDescent="0.2">
      <c r="A107" t="s">
        <v>9674</v>
      </c>
      <c r="B107" t="s">
        <v>6738</v>
      </c>
      <c r="C107" s="7">
        <v>44757</v>
      </c>
      <c r="D107" s="7">
        <v>44819</v>
      </c>
      <c r="E107">
        <v>2022</v>
      </c>
      <c r="F107" s="7" t="s">
        <v>9675</v>
      </c>
      <c r="G107" s="7">
        <v>44718</v>
      </c>
      <c r="H107">
        <v>2022</v>
      </c>
      <c r="I107" t="s">
        <v>101</v>
      </c>
      <c r="J107">
        <v>5000000</v>
      </c>
      <c r="K107">
        <v>479727.38</v>
      </c>
      <c r="L107">
        <v>182619.6</v>
      </c>
      <c r="M107">
        <v>662346.98</v>
      </c>
      <c r="N107">
        <v>90660.84</v>
      </c>
      <c r="O107">
        <v>64624.88</v>
      </c>
      <c r="P107">
        <v>155285.72</v>
      </c>
      <c r="Q107">
        <v>817632.7</v>
      </c>
      <c r="R107" t="s">
        <v>9676</v>
      </c>
    </row>
    <row r="108" spans="1:18" ht="12.75" customHeight="1" x14ac:dyDescent="0.2">
      <c r="A108" t="s">
        <v>9677</v>
      </c>
      <c r="B108" t="s">
        <v>7055</v>
      </c>
      <c r="C108" s="7">
        <v>44789</v>
      </c>
      <c r="D108" s="7">
        <v>44838</v>
      </c>
      <c r="E108">
        <v>2022</v>
      </c>
      <c r="F108" s="7" t="s">
        <v>9678</v>
      </c>
      <c r="G108" s="7">
        <v>44460</v>
      </c>
      <c r="H108">
        <v>2021</v>
      </c>
      <c r="I108" t="s">
        <v>104</v>
      </c>
      <c r="J108">
        <v>500000</v>
      </c>
      <c r="K108">
        <v>106894.84</v>
      </c>
      <c r="L108">
        <v>0</v>
      </c>
      <c r="M108">
        <v>106894.84</v>
      </c>
      <c r="N108">
        <v>31294.22</v>
      </c>
      <c r="O108">
        <v>0</v>
      </c>
      <c r="P108">
        <v>31294.22</v>
      </c>
      <c r="Q108">
        <v>138189.06</v>
      </c>
      <c r="R108" t="s">
        <v>9498</v>
      </c>
    </row>
    <row r="109" spans="1:18" ht="12.75" customHeight="1" x14ac:dyDescent="0.2">
      <c r="A109" t="s">
        <v>9679</v>
      </c>
      <c r="B109" t="s">
        <v>7934</v>
      </c>
      <c r="C109" s="7">
        <v>44357</v>
      </c>
      <c r="D109" s="7">
        <v>44843</v>
      </c>
      <c r="E109">
        <v>2021</v>
      </c>
      <c r="F109" s="7" t="s">
        <v>7276</v>
      </c>
      <c r="G109" s="7">
        <v>44212</v>
      </c>
      <c r="H109">
        <v>2021</v>
      </c>
      <c r="I109" t="s">
        <v>101</v>
      </c>
      <c r="J109">
        <v>2000000</v>
      </c>
      <c r="K109">
        <v>422897.57</v>
      </c>
      <c r="L109">
        <v>0</v>
      </c>
      <c r="M109">
        <v>422897.57</v>
      </c>
      <c r="N109">
        <v>99976.83</v>
      </c>
      <c r="O109">
        <v>0</v>
      </c>
      <c r="P109">
        <v>99976.83</v>
      </c>
      <c r="Q109">
        <v>522874.4</v>
      </c>
      <c r="R109" t="s">
        <v>9481</v>
      </c>
    </row>
    <row r="110" spans="1:18" ht="12.75" customHeight="1" x14ac:dyDescent="0.2">
      <c r="A110" t="s">
        <v>9680</v>
      </c>
      <c r="B110" t="s">
        <v>6881</v>
      </c>
      <c r="C110" s="7">
        <v>44790</v>
      </c>
      <c r="D110" s="7">
        <v>44848</v>
      </c>
      <c r="E110">
        <v>2022</v>
      </c>
      <c r="F110" s="7" t="s">
        <v>9681</v>
      </c>
      <c r="G110" s="7">
        <v>44781</v>
      </c>
      <c r="H110">
        <v>2022</v>
      </c>
      <c r="I110" t="s">
        <v>101</v>
      </c>
      <c r="J110">
        <v>2000000</v>
      </c>
      <c r="K110">
        <v>87822.84</v>
      </c>
      <c r="L110">
        <v>138437.75</v>
      </c>
      <c r="M110">
        <v>226260.59</v>
      </c>
      <c r="N110">
        <v>11993.56</v>
      </c>
      <c r="O110">
        <v>21805.439999999999</v>
      </c>
      <c r="P110">
        <v>33799</v>
      </c>
      <c r="Q110">
        <v>260059.59</v>
      </c>
      <c r="R110" t="s">
        <v>9589</v>
      </c>
    </row>
    <row r="111" spans="1:18" ht="12.75" customHeight="1" x14ac:dyDescent="0.2">
      <c r="A111" t="s">
        <v>9682</v>
      </c>
      <c r="B111" t="s">
        <v>7056</v>
      </c>
      <c r="C111" s="7">
        <v>44712</v>
      </c>
      <c r="D111" s="7">
        <v>44849</v>
      </c>
      <c r="E111">
        <v>2022</v>
      </c>
      <c r="F111" s="7" t="s">
        <v>9683</v>
      </c>
      <c r="G111" s="7">
        <v>44512</v>
      </c>
      <c r="H111">
        <v>2021</v>
      </c>
      <c r="I111" t="s">
        <v>101</v>
      </c>
      <c r="J111">
        <v>2000000</v>
      </c>
      <c r="K111">
        <v>103001.65</v>
      </c>
      <c r="L111">
        <v>0</v>
      </c>
      <c r="M111">
        <v>103001.65</v>
      </c>
      <c r="N111">
        <v>30114.33</v>
      </c>
      <c r="O111">
        <v>0</v>
      </c>
      <c r="P111">
        <v>30114.33</v>
      </c>
      <c r="Q111">
        <v>133115.98000000001</v>
      </c>
      <c r="R111" t="s">
        <v>9607</v>
      </c>
    </row>
    <row r="112" spans="1:18" ht="12.75" customHeight="1" x14ac:dyDescent="0.2">
      <c r="A112" t="s">
        <v>9684</v>
      </c>
      <c r="B112" t="s">
        <v>9685</v>
      </c>
      <c r="C112" s="7">
        <v>44819</v>
      </c>
      <c r="D112" s="7">
        <v>44855</v>
      </c>
      <c r="E112">
        <v>2022</v>
      </c>
      <c r="F112" s="7" t="s">
        <v>9686</v>
      </c>
      <c r="G112" s="7">
        <v>44738</v>
      </c>
      <c r="H112">
        <v>2022</v>
      </c>
      <c r="I112" t="s">
        <v>104</v>
      </c>
      <c r="J112">
        <v>10000000</v>
      </c>
      <c r="K112">
        <v>571301.94999999995</v>
      </c>
      <c r="L112">
        <v>0</v>
      </c>
      <c r="M112">
        <v>571301.94999999995</v>
      </c>
      <c r="N112">
        <v>146260.01</v>
      </c>
      <c r="O112">
        <v>0</v>
      </c>
      <c r="P112">
        <v>146260.01</v>
      </c>
      <c r="Q112">
        <v>717561.96</v>
      </c>
      <c r="R112" t="s">
        <v>9687</v>
      </c>
    </row>
    <row r="113" spans="1:18" ht="12.75" customHeight="1" x14ac:dyDescent="0.2">
      <c r="A113" t="s">
        <v>9688</v>
      </c>
      <c r="B113" t="s">
        <v>8341</v>
      </c>
      <c r="C113" s="7">
        <v>44753</v>
      </c>
      <c r="D113" s="7">
        <v>44872</v>
      </c>
      <c r="E113">
        <v>2022</v>
      </c>
      <c r="F113" s="7" t="s">
        <v>9689</v>
      </c>
      <c r="G113" s="7">
        <v>44672</v>
      </c>
      <c r="H113">
        <v>2022</v>
      </c>
      <c r="I113" t="s">
        <v>101</v>
      </c>
      <c r="J113">
        <v>10000000</v>
      </c>
      <c r="K113">
        <v>902868.35</v>
      </c>
      <c r="L113">
        <v>0</v>
      </c>
      <c r="M113">
        <v>902868.35</v>
      </c>
      <c r="N113">
        <v>116760.74</v>
      </c>
      <c r="O113">
        <v>0</v>
      </c>
      <c r="P113">
        <v>116760.74</v>
      </c>
      <c r="Q113">
        <v>1019629.09</v>
      </c>
      <c r="R113" t="s">
        <v>9654</v>
      </c>
    </row>
    <row r="114" spans="1:18" ht="12.75" customHeight="1" x14ac:dyDescent="0.2">
      <c r="A114" t="s">
        <v>9690</v>
      </c>
      <c r="B114" t="s">
        <v>6590</v>
      </c>
      <c r="C114" s="7">
        <v>44014</v>
      </c>
      <c r="D114" s="7">
        <v>44875</v>
      </c>
      <c r="E114">
        <v>2020</v>
      </c>
      <c r="F114" s="7" t="s">
        <v>9480</v>
      </c>
      <c r="G114" s="7">
        <v>43944</v>
      </c>
      <c r="H114">
        <v>2020</v>
      </c>
      <c r="I114" t="s">
        <v>101</v>
      </c>
      <c r="J114">
        <v>500000</v>
      </c>
      <c r="K114">
        <v>374493.84</v>
      </c>
      <c r="L114">
        <v>0</v>
      </c>
      <c r="M114">
        <v>374493.84</v>
      </c>
      <c r="N114">
        <v>40757.25</v>
      </c>
      <c r="O114">
        <v>0</v>
      </c>
      <c r="P114">
        <v>40757.25</v>
      </c>
      <c r="Q114">
        <v>415251.09</v>
      </c>
      <c r="R114" t="s">
        <v>9691</v>
      </c>
    </row>
    <row r="115" spans="1:18" ht="12.75" customHeight="1" x14ac:dyDescent="0.2">
      <c r="A115" t="s">
        <v>9692</v>
      </c>
      <c r="B115" t="s">
        <v>9693</v>
      </c>
      <c r="C115" s="7">
        <v>44489</v>
      </c>
      <c r="D115" s="7">
        <v>44878</v>
      </c>
      <c r="E115">
        <v>2021</v>
      </c>
      <c r="F115" s="7" t="s">
        <v>9694</v>
      </c>
      <c r="G115" s="7">
        <v>44125</v>
      </c>
      <c r="H115">
        <v>2020</v>
      </c>
      <c r="I115" t="s">
        <v>101</v>
      </c>
      <c r="J115">
        <v>1500000</v>
      </c>
      <c r="K115">
        <v>164481.09</v>
      </c>
      <c r="L115">
        <v>0</v>
      </c>
      <c r="M115">
        <v>164481.09</v>
      </c>
      <c r="N115">
        <v>25799.69</v>
      </c>
      <c r="O115">
        <v>0</v>
      </c>
      <c r="P115">
        <v>25799.69</v>
      </c>
      <c r="Q115">
        <v>190280.78</v>
      </c>
      <c r="R115" t="s">
        <v>9449</v>
      </c>
    </row>
    <row r="116" spans="1:18" ht="12.75" customHeight="1" x14ac:dyDescent="0.2">
      <c r="A116" t="s">
        <v>9695</v>
      </c>
      <c r="B116" t="s">
        <v>6938</v>
      </c>
      <c r="C116" s="7">
        <v>44632</v>
      </c>
      <c r="D116" s="7">
        <v>44892</v>
      </c>
      <c r="E116">
        <v>2022</v>
      </c>
      <c r="F116" s="7" t="s">
        <v>9696</v>
      </c>
      <c r="G116" s="7">
        <v>44402</v>
      </c>
      <c r="H116">
        <v>2021</v>
      </c>
      <c r="I116" t="s">
        <v>104</v>
      </c>
      <c r="J116">
        <v>5000000</v>
      </c>
      <c r="K116">
        <v>110380.14</v>
      </c>
      <c r="L116">
        <v>0</v>
      </c>
      <c r="M116">
        <v>110380.14</v>
      </c>
      <c r="N116">
        <v>21276.11</v>
      </c>
      <c r="O116">
        <v>0</v>
      </c>
      <c r="P116">
        <v>21276.11</v>
      </c>
      <c r="Q116">
        <v>131656.25</v>
      </c>
      <c r="R116" t="s">
        <v>9697</v>
      </c>
    </row>
    <row r="117" spans="1:18" ht="12.75" customHeight="1" x14ac:dyDescent="0.2">
      <c r="A117" t="s">
        <v>9698</v>
      </c>
      <c r="B117" t="s">
        <v>9699</v>
      </c>
      <c r="C117" s="7">
        <v>44633</v>
      </c>
      <c r="D117" s="7">
        <v>44898</v>
      </c>
      <c r="E117">
        <v>2022</v>
      </c>
      <c r="F117" s="7" t="s">
        <v>9700</v>
      </c>
      <c r="G117" s="7">
        <v>44420</v>
      </c>
      <c r="H117">
        <v>2021</v>
      </c>
      <c r="I117" t="s">
        <v>101</v>
      </c>
      <c r="J117">
        <v>5000000</v>
      </c>
      <c r="K117">
        <v>1092998.78</v>
      </c>
      <c r="L117">
        <v>0</v>
      </c>
      <c r="M117">
        <v>1092998.78</v>
      </c>
      <c r="N117">
        <v>177602.88</v>
      </c>
      <c r="O117">
        <v>0</v>
      </c>
      <c r="P117">
        <v>177602.88</v>
      </c>
      <c r="Q117">
        <v>1270601.6599999999</v>
      </c>
      <c r="R117" t="s">
        <v>9586</v>
      </c>
    </row>
    <row r="118" spans="1:18" ht="12.75" customHeight="1" x14ac:dyDescent="0.2">
      <c r="A118" t="s">
        <v>9701</v>
      </c>
      <c r="B118" t="s">
        <v>9024</v>
      </c>
      <c r="C118" s="7">
        <v>44723</v>
      </c>
      <c r="D118" s="7">
        <v>44905</v>
      </c>
      <c r="E118">
        <v>2022</v>
      </c>
      <c r="F118" s="7" t="s">
        <v>9702</v>
      </c>
      <c r="G118" s="7">
        <v>44447</v>
      </c>
      <c r="H118">
        <v>2021</v>
      </c>
      <c r="I118" t="s">
        <v>104</v>
      </c>
      <c r="J118">
        <v>10000000</v>
      </c>
      <c r="K118">
        <v>1197148.4099999999</v>
      </c>
      <c r="L118">
        <v>0</v>
      </c>
      <c r="M118">
        <v>1197148.4099999999</v>
      </c>
      <c r="N118">
        <v>331695.21999999997</v>
      </c>
      <c r="O118">
        <v>0</v>
      </c>
      <c r="P118">
        <v>331695.21999999997</v>
      </c>
      <c r="Q118">
        <v>1528843.63</v>
      </c>
      <c r="R118" t="s">
        <v>9703</v>
      </c>
    </row>
    <row r="119" spans="1:18" ht="12.75" customHeight="1" x14ac:dyDescent="0.2">
      <c r="A119" t="s">
        <v>9704</v>
      </c>
      <c r="B119" t="s">
        <v>6530</v>
      </c>
      <c r="C119" s="7">
        <v>44721</v>
      </c>
      <c r="D119" s="7">
        <v>44914</v>
      </c>
      <c r="E119">
        <v>2022</v>
      </c>
      <c r="F119" s="7" t="s">
        <v>9705</v>
      </c>
      <c r="G119" s="7">
        <v>44644</v>
      </c>
      <c r="H119">
        <v>2022</v>
      </c>
      <c r="I119" t="s">
        <v>101</v>
      </c>
      <c r="J119">
        <v>1500000</v>
      </c>
      <c r="K119">
        <v>275551.24</v>
      </c>
      <c r="L119">
        <v>0</v>
      </c>
      <c r="M119">
        <v>275551.24</v>
      </c>
      <c r="N119">
        <v>45123.41</v>
      </c>
      <c r="O119">
        <v>0</v>
      </c>
      <c r="P119">
        <v>45123.41</v>
      </c>
      <c r="Q119">
        <v>320674.65000000002</v>
      </c>
      <c r="R119" t="s">
        <v>9706</v>
      </c>
    </row>
    <row r="120" spans="1:18" ht="12.75" customHeight="1" x14ac:dyDescent="0.2">
      <c r="A120" t="s">
        <v>9707</v>
      </c>
      <c r="B120" t="s">
        <v>8410</v>
      </c>
      <c r="C120" s="7">
        <v>44865</v>
      </c>
      <c r="D120" s="7">
        <v>44915</v>
      </c>
      <c r="E120">
        <v>2022</v>
      </c>
      <c r="F120" s="7" t="s">
        <v>9708</v>
      </c>
      <c r="G120" s="7">
        <v>44686</v>
      </c>
      <c r="H120">
        <v>2022</v>
      </c>
      <c r="I120" t="s">
        <v>104</v>
      </c>
      <c r="J120">
        <v>10000000</v>
      </c>
      <c r="K120">
        <v>256479.96</v>
      </c>
      <c r="L120">
        <v>0</v>
      </c>
      <c r="M120">
        <v>256479.96</v>
      </c>
      <c r="N120">
        <v>42395.76</v>
      </c>
      <c r="O120">
        <v>0</v>
      </c>
      <c r="P120">
        <v>42395.76</v>
      </c>
      <c r="Q120">
        <v>298875.71999999997</v>
      </c>
      <c r="R120" t="s">
        <v>9484</v>
      </c>
    </row>
    <row r="121" spans="1:18" ht="12.75" customHeight="1" x14ac:dyDescent="0.2">
      <c r="A121" t="s">
        <v>9709</v>
      </c>
      <c r="B121" t="s">
        <v>8373</v>
      </c>
      <c r="C121" s="7">
        <v>44759</v>
      </c>
      <c r="D121" s="7">
        <v>44923</v>
      </c>
      <c r="E121">
        <v>2022</v>
      </c>
      <c r="F121" s="7" t="s">
        <v>7292</v>
      </c>
      <c r="G121" s="7">
        <v>44677</v>
      </c>
      <c r="H121">
        <v>2022</v>
      </c>
      <c r="I121" t="s">
        <v>101</v>
      </c>
      <c r="J121">
        <v>10000000</v>
      </c>
      <c r="K121">
        <v>916750.5</v>
      </c>
      <c r="L121">
        <v>0</v>
      </c>
      <c r="M121">
        <v>916750.5</v>
      </c>
      <c r="N121">
        <v>187280.37</v>
      </c>
      <c r="O121">
        <v>0</v>
      </c>
      <c r="P121">
        <v>187280.37</v>
      </c>
      <c r="Q121">
        <v>1104030.8700000001</v>
      </c>
      <c r="R121" t="s">
        <v>9710</v>
      </c>
    </row>
    <row r="122" spans="1:18" ht="12.75" customHeight="1" x14ac:dyDescent="0.2">
      <c r="A122" t="s">
        <v>9711</v>
      </c>
      <c r="B122" t="s">
        <v>8077</v>
      </c>
      <c r="C122" s="7">
        <v>44737</v>
      </c>
      <c r="D122" s="7">
        <v>44926</v>
      </c>
      <c r="E122">
        <v>2022</v>
      </c>
      <c r="F122" s="7" t="s">
        <v>9712</v>
      </c>
      <c r="G122" s="7">
        <v>44607</v>
      </c>
      <c r="H122">
        <v>2022</v>
      </c>
      <c r="I122" t="s">
        <v>104</v>
      </c>
      <c r="J122">
        <v>10000000</v>
      </c>
      <c r="K122">
        <v>1856817.03</v>
      </c>
      <c r="L122">
        <v>0</v>
      </c>
      <c r="M122">
        <v>1856817.03</v>
      </c>
      <c r="N122">
        <v>218493.84</v>
      </c>
      <c r="O122">
        <v>0</v>
      </c>
      <c r="P122">
        <v>218493.84</v>
      </c>
      <c r="Q122">
        <v>2075310.87</v>
      </c>
      <c r="R122" t="s">
        <v>9713</v>
      </c>
    </row>
    <row r="123" spans="1:18" ht="12.75" customHeight="1" x14ac:dyDescent="0.2">
      <c r="A123" t="s">
        <v>9714</v>
      </c>
      <c r="B123" t="s">
        <v>6614</v>
      </c>
      <c r="C123" s="7">
        <v>44316</v>
      </c>
      <c r="D123" s="7">
        <v>44944</v>
      </c>
      <c r="E123">
        <v>2021</v>
      </c>
      <c r="F123" s="7" t="s">
        <v>9715</v>
      </c>
      <c r="G123" s="7">
        <v>44311</v>
      </c>
      <c r="H123">
        <v>2021</v>
      </c>
      <c r="I123" t="s">
        <v>101</v>
      </c>
      <c r="J123">
        <v>2000000</v>
      </c>
      <c r="K123">
        <v>1014172.65</v>
      </c>
      <c r="L123">
        <v>0</v>
      </c>
      <c r="M123">
        <v>1014172.65</v>
      </c>
      <c r="N123">
        <v>108759.31</v>
      </c>
      <c r="O123">
        <v>0</v>
      </c>
      <c r="P123">
        <v>108759.31</v>
      </c>
      <c r="Q123">
        <v>1122931.96</v>
      </c>
      <c r="R123" t="s">
        <v>9716</v>
      </c>
    </row>
    <row r="124" spans="1:18" ht="12.75" customHeight="1" x14ac:dyDescent="0.2">
      <c r="A124" t="s">
        <v>9717</v>
      </c>
      <c r="B124" t="s">
        <v>9693</v>
      </c>
      <c r="C124" s="7">
        <v>44679</v>
      </c>
      <c r="D124" s="7">
        <v>44956</v>
      </c>
      <c r="E124">
        <v>2022</v>
      </c>
      <c r="F124" s="7" t="s">
        <v>9718</v>
      </c>
      <c r="G124" s="7">
        <v>44490</v>
      </c>
      <c r="H124">
        <v>2021</v>
      </c>
      <c r="I124" t="s">
        <v>101</v>
      </c>
      <c r="J124">
        <v>1500000</v>
      </c>
      <c r="K124">
        <v>31894.05</v>
      </c>
      <c r="L124">
        <v>75958.7</v>
      </c>
      <c r="M124">
        <v>107852.75</v>
      </c>
      <c r="N124">
        <v>5080.28</v>
      </c>
      <c r="O124">
        <v>21530.82</v>
      </c>
      <c r="P124">
        <v>26611.1</v>
      </c>
      <c r="Q124">
        <v>134463.85</v>
      </c>
      <c r="R124" t="s">
        <v>9607</v>
      </c>
    </row>
    <row r="125" spans="1:18" ht="12.75" customHeight="1" x14ac:dyDescent="0.2">
      <c r="A125" t="s">
        <v>9719</v>
      </c>
      <c r="B125" t="s">
        <v>8719</v>
      </c>
      <c r="C125" s="7">
        <v>44727</v>
      </c>
      <c r="D125" s="7">
        <v>44961</v>
      </c>
      <c r="E125">
        <v>2022</v>
      </c>
      <c r="F125" s="7" t="s">
        <v>9720</v>
      </c>
      <c r="G125" s="7">
        <v>44384</v>
      </c>
      <c r="H125">
        <v>2021</v>
      </c>
      <c r="I125" t="s">
        <v>104</v>
      </c>
      <c r="J125">
        <v>1000000</v>
      </c>
      <c r="K125">
        <v>126881.84</v>
      </c>
      <c r="L125">
        <v>0</v>
      </c>
      <c r="M125">
        <v>126881.84</v>
      </c>
      <c r="N125">
        <v>26126.97</v>
      </c>
      <c r="O125">
        <v>0</v>
      </c>
      <c r="P125">
        <v>26126.97</v>
      </c>
      <c r="Q125">
        <v>153008.81</v>
      </c>
      <c r="R125" t="s">
        <v>9580</v>
      </c>
    </row>
    <row r="126" spans="1:18" ht="12.75" customHeight="1" x14ac:dyDescent="0.2">
      <c r="A126" t="s">
        <v>9721</v>
      </c>
      <c r="B126" t="s">
        <v>6470</v>
      </c>
      <c r="C126" s="7">
        <v>44775</v>
      </c>
      <c r="D126" s="7">
        <v>44962</v>
      </c>
      <c r="E126">
        <v>2022</v>
      </c>
      <c r="F126" s="7" t="s">
        <v>9722</v>
      </c>
      <c r="G126" s="7">
        <v>44609</v>
      </c>
      <c r="H126">
        <v>2022</v>
      </c>
      <c r="I126" t="s">
        <v>104</v>
      </c>
      <c r="J126">
        <v>2000000</v>
      </c>
      <c r="K126">
        <v>398327.03999999998</v>
      </c>
      <c r="L126">
        <v>0</v>
      </c>
      <c r="M126">
        <v>398327.03999999998</v>
      </c>
      <c r="N126">
        <v>50276.22</v>
      </c>
      <c r="O126">
        <v>0</v>
      </c>
      <c r="P126">
        <v>50276.22</v>
      </c>
      <c r="Q126">
        <v>448603.26</v>
      </c>
      <c r="R126" t="s">
        <v>9723</v>
      </c>
    </row>
    <row r="127" spans="1:18" ht="12.75" customHeight="1" x14ac:dyDescent="0.2">
      <c r="A127" t="s">
        <v>9724</v>
      </c>
      <c r="B127" t="s">
        <v>263</v>
      </c>
      <c r="C127" s="7">
        <v>44904</v>
      </c>
      <c r="D127" s="7">
        <v>44962</v>
      </c>
      <c r="E127">
        <v>2022</v>
      </c>
      <c r="F127" s="7" t="s">
        <v>9725</v>
      </c>
      <c r="G127" s="7">
        <v>44612</v>
      </c>
      <c r="H127">
        <v>2022</v>
      </c>
      <c r="I127" t="s">
        <v>104</v>
      </c>
      <c r="J127">
        <v>2000000</v>
      </c>
      <c r="K127">
        <v>730810.96</v>
      </c>
      <c r="L127">
        <v>0</v>
      </c>
      <c r="M127">
        <v>730810.96</v>
      </c>
      <c r="N127">
        <v>150251.99</v>
      </c>
      <c r="O127">
        <v>0</v>
      </c>
      <c r="P127">
        <v>150251.99</v>
      </c>
      <c r="Q127">
        <v>881062.95</v>
      </c>
      <c r="R127" t="s">
        <v>9726</v>
      </c>
    </row>
    <row r="128" spans="1:18" ht="12.75" customHeight="1" x14ac:dyDescent="0.2">
      <c r="A128" t="s">
        <v>9727</v>
      </c>
      <c r="B128" t="s">
        <v>8064</v>
      </c>
      <c r="C128" s="7">
        <v>44061</v>
      </c>
      <c r="D128" s="7">
        <v>44983</v>
      </c>
      <c r="E128">
        <v>2020</v>
      </c>
      <c r="F128" s="7" t="s">
        <v>9728</v>
      </c>
      <c r="G128" s="7">
        <v>43872</v>
      </c>
      <c r="H128">
        <v>2020</v>
      </c>
      <c r="I128" t="s">
        <v>101</v>
      </c>
      <c r="J128">
        <v>1000000</v>
      </c>
      <c r="K128">
        <v>628302.19999999995</v>
      </c>
      <c r="L128">
        <v>0</v>
      </c>
      <c r="M128">
        <v>628302.19999999995</v>
      </c>
      <c r="N128">
        <v>181436</v>
      </c>
      <c r="O128">
        <v>0</v>
      </c>
      <c r="P128">
        <v>181436</v>
      </c>
      <c r="Q128">
        <v>809738.2</v>
      </c>
      <c r="R128" t="s">
        <v>9729</v>
      </c>
    </row>
    <row r="129" spans="1:18" ht="12.75" customHeight="1" x14ac:dyDescent="0.2">
      <c r="A129" t="s">
        <v>9730</v>
      </c>
      <c r="B129" t="s">
        <v>9731</v>
      </c>
      <c r="C129" s="7">
        <v>43899</v>
      </c>
      <c r="D129" s="7">
        <v>44986</v>
      </c>
      <c r="E129">
        <v>2020</v>
      </c>
      <c r="F129" s="7" t="s">
        <v>9732</v>
      </c>
      <c r="G129" s="7">
        <v>43882</v>
      </c>
      <c r="H129">
        <v>2020</v>
      </c>
      <c r="I129" t="s">
        <v>101</v>
      </c>
      <c r="J129">
        <v>1000000</v>
      </c>
      <c r="K129">
        <v>238669.96</v>
      </c>
      <c r="L129">
        <v>0</v>
      </c>
      <c r="M129">
        <v>238669.96</v>
      </c>
      <c r="N129">
        <v>59188.56</v>
      </c>
      <c r="O129">
        <v>0</v>
      </c>
      <c r="P129">
        <v>59188.56</v>
      </c>
      <c r="Q129">
        <v>297858.52</v>
      </c>
      <c r="R129" t="s">
        <v>9484</v>
      </c>
    </row>
    <row r="130" spans="1:18" ht="12.75" customHeight="1" x14ac:dyDescent="0.2">
      <c r="A130" t="s">
        <v>9733</v>
      </c>
      <c r="B130" t="s">
        <v>9734</v>
      </c>
      <c r="C130" s="7">
        <v>44478</v>
      </c>
      <c r="D130" s="7">
        <v>45003</v>
      </c>
      <c r="E130">
        <v>2021</v>
      </c>
      <c r="F130" s="7" t="s">
        <v>9735</v>
      </c>
      <c r="G130" s="7">
        <v>44176</v>
      </c>
      <c r="H130">
        <v>2020</v>
      </c>
      <c r="I130" t="s">
        <v>101</v>
      </c>
      <c r="J130">
        <v>1000000</v>
      </c>
      <c r="K130">
        <v>1000000</v>
      </c>
      <c r="L130">
        <v>0</v>
      </c>
      <c r="M130">
        <v>1000000</v>
      </c>
      <c r="N130">
        <v>139778.60999999999</v>
      </c>
      <c r="O130">
        <v>0</v>
      </c>
      <c r="P130">
        <v>139778.60999999999</v>
      </c>
      <c r="Q130">
        <v>1139778.6100000001</v>
      </c>
      <c r="R130" t="s">
        <v>9736</v>
      </c>
    </row>
    <row r="131" spans="1:18" ht="12.75" customHeight="1" x14ac:dyDescent="0.2">
      <c r="A131" t="s">
        <v>9737</v>
      </c>
      <c r="B131" t="s">
        <v>9348</v>
      </c>
      <c r="C131" s="7">
        <v>44275</v>
      </c>
      <c r="D131" s="7">
        <v>45007</v>
      </c>
      <c r="E131">
        <v>2021</v>
      </c>
      <c r="F131" s="7" t="s">
        <v>9738</v>
      </c>
      <c r="G131" s="7">
        <v>44155</v>
      </c>
      <c r="H131">
        <v>2020</v>
      </c>
      <c r="I131" t="s">
        <v>101</v>
      </c>
      <c r="J131">
        <v>10000000</v>
      </c>
      <c r="K131">
        <v>923031.36</v>
      </c>
      <c r="L131">
        <v>199727.3</v>
      </c>
      <c r="M131">
        <v>1122758.6599999999</v>
      </c>
      <c r="N131">
        <v>208783.54</v>
      </c>
      <c r="O131">
        <v>39650.46</v>
      </c>
      <c r="P131">
        <v>248434</v>
      </c>
      <c r="Q131">
        <v>1371192.66</v>
      </c>
      <c r="R131" t="s">
        <v>9547</v>
      </c>
    </row>
    <row r="132" spans="1:18" ht="12.75" customHeight="1" x14ac:dyDescent="0.2">
      <c r="A132" t="s">
        <v>9739</v>
      </c>
      <c r="B132" t="s">
        <v>523</v>
      </c>
      <c r="C132" s="7">
        <v>44781</v>
      </c>
      <c r="D132" s="7">
        <v>45012</v>
      </c>
      <c r="E132">
        <v>2022</v>
      </c>
      <c r="F132" s="7" t="s">
        <v>9740</v>
      </c>
      <c r="G132" s="7">
        <v>44685</v>
      </c>
      <c r="H132">
        <v>2022</v>
      </c>
      <c r="I132" t="s">
        <v>101</v>
      </c>
      <c r="J132">
        <v>5000000</v>
      </c>
      <c r="K132">
        <v>174163.64</v>
      </c>
      <c r="L132">
        <v>0</v>
      </c>
      <c r="M132">
        <v>174163.64</v>
      </c>
      <c r="N132">
        <v>50955.14</v>
      </c>
      <c r="O132">
        <v>0</v>
      </c>
      <c r="P132">
        <v>50955.14</v>
      </c>
      <c r="Q132">
        <v>225118.78</v>
      </c>
      <c r="R132" t="s">
        <v>9651</v>
      </c>
    </row>
    <row r="133" spans="1:18" ht="12.75" customHeight="1" x14ac:dyDescent="0.2">
      <c r="A133" t="s">
        <v>9741</v>
      </c>
      <c r="B133" t="s">
        <v>7240</v>
      </c>
      <c r="C133" s="7">
        <v>44881</v>
      </c>
      <c r="D133" s="7">
        <v>45020</v>
      </c>
      <c r="E133">
        <v>2022</v>
      </c>
      <c r="F133" s="7" t="s">
        <v>9742</v>
      </c>
      <c r="G133" s="7">
        <v>44558</v>
      </c>
      <c r="H133">
        <v>2021</v>
      </c>
      <c r="I133" t="s">
        <v>101</v>
      </c>
      <c r="J133">
        <v>10000000</v>
      </c>
      <c r="K133">
        <v>439808.86</v>
      </c>
      <c r="L133">
        <v>0</v>
      </c>
      <c r="M133">
        <v>439808.86</v>
      </c>
      <c r="N133">
        <v>131167.07</v>
      </c>
      <c r="O133">
        <v>0</v>
      </c>
      <c r="P133">
        <v>131167.07</v>
      </c>
      <c r="Q133">
        <v>570975.93000000005</v>
      </c>
      <c r="R133" t="s">
        <v>9422</v>
      </c>
    </row>
    <row r="134" spans="1:18" ht="12.75" customHeight="1" x14ac:dyDescent="0.2">
      <c r="A134" t="s">
        <v>9743</v>
      </c>
      <c r="B134" t="s">
        <v>9744</v>
      </c>
      <c r="C134" s="7">
        <v>44998</v>
      </c>
      <c r="D134" s="7">
        <v>45030</v>
      </c>
      <c r="E134">
        <v>2023</v>
      </c>
      <c r="F134" s="7" t="s">
        <v>9745</v>
      </c>
      <c r="G134" s="7">
        <v>44682</v>
      </c>
      <c r="H134">
        <v>2022</v>
      </c>
      <c r="I134" t="s">
        <v>101</v>
      </c>
      <c r="J134">
        <v>10000000</v>
      </c>
      <c r="K134">
        <v>2213769.58</v>
      </c>
      <c r="L134">
        <v>0</v>
      </c>
      <c r="M134">
        <v>2213769.58</v>
      </c>
      <c r="N134">
        <v>582737.68000000005</v>
      </c>
      <c r="O134">
        <v>0</v>
      </c>
      <c r="P134">
        <v>582737.68000000005</v>
      </c>
      <c r="Q134">
        <v>2796507.26</v>
      </c>
      <c r="R134" t="s">
        <v>9746</v>
      </c>
    </row>
    <row r="135" spans="1:18" ht="12.75" customHeight="1" x14ac:dyDescent="0.2">
      <c r="A135" t="s">
        <v>9747</v>
      </c>
      <c r="B135" t="s">
        <v>8931</v>
      </c>
      <c r="C135" s="7">
        <v>44944</v>
      </c>
      <c r="D135" s="7">
        <v>45032</v>
      </c>
      <c r="E135">
        <v>2023</v>
      </c>
      <c r="F135" s="7" t="s">
        <v>9748</v>
      </c>
      <c r="G135" s="7">
        <v>44793</v>
      </c>
      <c r="H135">
        <v>2022</v>
      </c>
      <c r="I135" t="s">
        <v>104</v>
      </c>
      <c r="J135">
        <v>1000000</v>
      </c>
      <c r="K135">
        <v>117442.23</v>
      </c>
      <c r="L135">
        <v>0</v>
      </c>
      <c r="M135">
        <v>117442.23</v>
      </c>
      <c r="N135">
        <v>14603.71</v>
      </c>
      <c r="O135">
        <v>0</v>
      </c>
      <c r="P135">
        <v>14603.71</v>
      </c>
      <c r="Q135">
        <v>132045.94</v>
      </c>
      <c r="R135" t="s">
        <v>9607</v>
      </c>
    </row>
    <row r="136" spans="1:18" ht="12.75" customHeight="1" x14ac:dyDescent="0.2">
      <c r="A136" t="s">
        <v>9749</v>
      </c>
      <c r="B136" t="s">
        <v>8726</v>
      </c>
      <c r="C136" s="7">
        <v>44580</v>
      </c>
      <c r="D136" s="7">
        <v>45035</v>
      </c>
      <c r="E136">
        <v>2022</v>
      </c>
      <c r="F136" s="7" t="s">
        <v>9750</v>
      </c>
      <c r="G136" s="7">
        <v>44385</v>
      </c>
      <c r="H136">
        <v>2021</v>
      </c>
      <c r="I136" t="s">
        <v>101</v>
      </c>
      <c r="J136">
        <v>2000000</v>
      </c>
      <c r="K136">
        <v>214148.53</v>
      </c>
      <c r="L136">
        <v>0</v>
      </c>
      <c r="M136">
        <v>214148.53</v>
      </c>
      <c r="N136">
        <v>37303.53</v>
      </c>
      <c r="O136">
        <v>0</v>
      </c>
      <c r="P136">
        <v>37303.53</v>
      </c>
      <c r="Q136">
        <v>251452.06</v>
      </c>
      <c r="R136" t="s">
        <v>9491</v>
      </c>
    </row>
    <row r="137" spans="1:18" ht="12.75" customHeight="1" x14ac:dyDescent="0.2">
      <c r="A137" t="s">
        <v>9751</v>
      </c>
      <c r="B137" t="s">
        <v>9752</v>
      </c>
      <c r="C137" s="7">
        <v>44844</v>
      </c>
      <c r="D137" s="7">
        <v>45044</v>
      </c>
      <c r="E137">
        <v>2022</v>
      </c>
      <c r="F137" s="7" t="s">
        <v>9753</v>
      </c>
      <c r="G137" s="7">
        <v>44486</v>
      </c>
      <c r="H137">
        <v>2021</v>
      </c>
      <c r="I137" t="s">
        <v>104</v>
      </c>
      <c r="J137">
        <v>1500000</v>
      </c>
      <c r="K137">
        <v>509344.53</v>
      </c>
      <c r="L137">
        <v>0</v>
      </c>
      <c r="M137">
        <v>509344.53</v>
      </c>
      <c r="N137">
        <v>95748.55</v>
      </c>
      <c r="O137">
        <v>0</v>
      </c>
      <c r="P137">
        <v>95748.55</v>
      </c>
      <c r="Q137">
        <v>605093.07999999996</v>
      </c>
      <c r="R137" t="s">
        <v>9754</v>
      </c>
    </row>
    <row r="138" spans="1:18" ht="12.75" customHeight="1" x14ac:dyDescent="0.2">
      <c r="A138" t="s">
        <v>9755</v>
      </c>
      <c r="B138" t="s">
        <v>7291</v>
      </c>
      <c r="C138" s="7">
        <v>44868</v>
      </c>
      <c r="D138" s="7">
        <v>45054</v>
      </c>
      <c r="E138">
        <v>2022</v>
      </c>
      <c r="F138" s="7" t="s">
        <v>9756</v>
      </c>
      <c r="G138" s="7">
        <v>44786</v>
      </c>
      <c r="H138">
        <v>2022</v>
      </c>
      <c r="I138" t="s">
        <v>101</v>
      </c>
      <c r="J138">
        <v>1500000</v>
      </c>
      <c r="K138">
        <v>363403.31</v>
      </c>
      <c r="L138">
        <v>0</v>
      </c>
      <c r="M138">
        <v>363403.31</v>
      </c>
      <c r="N138">
        <v>102283.37</v>
      </c>
      <c r="O138">
        <v>0</v>
      </c>
      <c r="P138">
        <v>102283.37</v>
      </c>
      <c r="Q138">
        <v>465686.68</v>
      </c>
      <c r="R138" t="s">
        <v>9757</v>
      </c>
    </row>
    <row r="139" spans="1:18" ht="12.75" customHeight="1" x14ac:dyDescent="0.2">
      <c r="A139" t="s">
        <v>9758</v>
      </c>
      <c r="B139" t="s">
        <v>8736</v>
      </c>
      <c r="C139" s="7">
        <v>44868</v>
      </c>
      <c r="D139" s="7">
        <v>45054</v>
      </c>
      <c r="E139">
        <v>2022</v>
      </c>
      <c r="F139" s="7" t="s">
        <v>7306</v>
      </c>
      <c r="G139" s="7">
        <v>44752</v>
      </c>
      <c r="H139">
        <v>2022</v>
      </c>
      <c r="I139" t="s">
        <v>104</v>
      </c>
      <c r="J139">
        <v>1000000</v>
      </c>
      <c r="K139">
        <v>137903.70000000001</v>
      </c>
      <c r="L139">
        <v>0</v>
      </c>
      <c r="M139">
        <v>137903.70000000001</v>
      </c>
      <c r="N139">
        <v>31024.5</v>
      </c>
      <c r="O139">
        <v>0</v>
      </c>
      <c r="P139">
        <v>31024.5</v>
      </c>
      <c r="Q139">
        <v>168928.2</v>
      </c>
      <c r="R139" t="s">
        <v>9513</v>
      </c>
    </row>
    <row r="140" spans="1:18" ht="12.75" customHeight="1" x14ac:dyDescent="0.2">
      <c r="A140" t="s">
        <v>9759</v>
      </c>
      <c r="B140" t="s">
        <v>7627</v>
      </c>
      <c r="C140" s="7">
        <v>45035</v>
      </c>
      <c r="D140" s="7">
        <v>45077</v>
      </c>
      <c r="E140">
        <v>2023</v>
      </c>
      <c r="F140" s="7" t="s">
        <v>9760</v>
      </c>
      <c r="G140" s="7">
        <v>44911</v>
      </c>
      <c r="H140">
        <v>2022</v>
      </c>
      <c r="I140" t="s">
        <v>101</v>
      </c>
      <c r="J140">
        <v>2000000</v>
      </c>
      <c r="K140">
        <v>336086.87</v>
      </c>
      <c r="L140">
        <v>0</v>
      </c>
      <c r="M140">
        <v>336086.87</v>
      </c>
      <c r="N140">
        <v>99444.03</v>
      </c>
      <c r="O140">
        <v>0</v>
      </c>
      <c r="P140">
        <v>99444.03</v>
      </c>
      <c r="Q140">
        <v>435530.9</v>
      </c>
      <c r="R140" t="s">
        <v>9761</v>
      </c>
    </row>
    <row r="141" spans="1:18" ht="12.75" customHeight="1" x14ac:dyDescent="0.2">
      <c r="A141" t="s">
        <v>9762</v>
      </c>
      <c r="B141" t="s">
        <v>149</v>
      </c>
      <c r="C141" s="7">
        <v>44846</v>
      </c>
      <c r="D141" s="7">
        <v>45078</v>
      </c>
      <c r="E141">
        <v>2022</v>
      </c>
      <c r="F141" s="7" t="s">
        <v>9763</v>
      </c>
      <c r="G141" s="7">
        <v>44669</v>
      </c>
      <c r="H141">
        <v>2022</v>
      </c>
      <c r="I141" t="s">
        <v>101</v>
      </c>
      <c r="J141">
        <v>1000000</v>
      </c>
      <c r="K141">
        <v>148223.47</v>
      </c>
      <c r="L141">
        <v>0</v>
      </c>
      <c r="M141">
        <v>148223.47</v>
      </c>
      <c r="N141">
        <v>30460.2</v>
      </c>
      <c r="O141">
        <v>0</v>
      </c>
      <c r="P141">
        <v>30460.2</v>
      </c>
      <c r="Q141">
        <v>178683.67</v>
      </c>
      <c r="R141" t="s">
        <v>9478</v>
      </c>
    </row>
    <row r="142" spans="1:18" ht="12.75" customHeight="1" x14ac:dyDescent="0.2">
      <c r="A142" t="s">
        <v>9764</v>
      </c>
      <c r="B142" t="s">
        <v>117</v>
      </c>
      <c r="C142" s="7">
        <v>44835</v>
      </c>
      <c r="D142" s="7">
        <v>45083</v>
      </c>
      <c r="E142">
        <v>2022</v>
      </c>
      <c r="F142" s="7" t="s">
        <v>9765</v>
      </c>
      <c r="G142" s="7">
        <v>44604</v>
      </c>
      <c r="H142">
        <v>2022</v>
      </c>
      <c r="I142" t="s">
        <v>104</v>
      </c>
      <c r="J142">
        <v>2000000</v>
      </c>
      <c r="K142">
        <v>139769.4</v>
      </c>
      <c r="L142">
        <v>11222.97</v>
      </c>
      <c r="M142">
        <v>150992.37</v>
      </c>
      <c r="N142">
        <v>14561.78</v>
      </c>
      <c r="O142">
        <v>1052.5</v>
      </c>
      <c r="P142">
        <v>15614.28</v>
      </c>
      <c r="Q142">
        <v>166606.65</v>
      </c>
      <c r="R142" t="s">
        <v>9409</v>
      </c>
    </row>
    <row r="143" spans="1:18" ht="12.75" customHeight="1" x14ac:dyDescent="0.2">
      <c r="A143" t="s">
        <v>9766</v>
      </c>
      <c r="B143" t="s">
        <v>6772</v>
      </c>
      <c r="C143" s="7">
        <v>44710</v>
      </c>
      <c r="D143" s="7">
        <v>45086</v>
      </c>
      <c r="E143">
        <v>2022</v>
      </c>
      <c r="F143" s="7" t="s">
        <v>9767</v>
      </c>
      <c r="G143" s="7">
        <v>44376</v>
      </c>
      <c r="H143">
        <v>2021</v>
      </c>
      <c r="I143" t="s">
        <v>101</v>
      </c>
      <c r="J143">
        <v>1500000</v>
      </c>
      <c r="K143">
        <v>55074.53</v>
      </c>
      <c r="L143">
        <v>72963.37</v>
      </c>
      <c r="M143">
        <v>128037.9</v>
      </c>
      <c r="N143">
        <v>34370.71</v>
      </c>
      <c r="O143">
        <v>31345.86</v>
      </c>
      <c r="P143">
        <v>65716.570000000007</v>
      </c>
      <c r="Q143">
        <v>193754.47</v>
      </c>
      <c r="R143" t="s">
        <v>9574</v>
      </c>
    </row>
    <row r="144" spans="1:18" ht="12.75" customHeight="1" x14ac:dyDescent="0.2">
      <c r="A144" t="s">
        <v>9768</v>
      </c>
      <c r="B144" t="s">
        <v>7753</v>
      </c>
      <c r="C144" s="7">
        <v>45065</v>
      </c>
      <c r="D144" s="7">
        <v>45088</v>
      </c>
      <c r="E144">
        <v>2023</v>
      </c>
      <c r="F144" s="7" t="s">
        <v>9769</v>
      </c>
      <c r="G144" s="7">
        <v>44919</v>
      </c>
      <c r="H144">
        <v>2022</v>
      </c>
      <c r="I144" t="s">
        <v>101</v>
      </c>
      <c r="J144">
        <v>2000000</v>
      </c>
      <c r="K144">
        <v>569463.43999999994</v>
      </c>
      <c r="L144">
        <v>0</v>
      </c>
      <c r="M144">
        <v>569463.43999999994</v>
      </c>
      <c r="N144">
        <v>66429.52</v>
      </c>
      <c r="O144">
        <v>0</v>
      </c>
      <c r="P144">
        <v>66429.52</v>
      </c>
      <c r="Q144">
        <v>635892.96</v>
      </c>
      <c r="R144" t="s">
        <v>9770</v>
      </c>
    </row>
    <row r="145" spans="1:18" ht="12.75" customHeight="1" x14ac:dyDescent="0.2">
      <c r="A145" t="s">
        <v>9771</v>
      </c>
      <c r="B145" t="s">
        <v>9021</v>
      </c>
      <c r="C145" s="7">
        <v>44913</v>
      </c>
      <c r="D145" s="7">
        <v>45094</v>
      </c>
      <c r="E145">
        <v>2022</v>
      </c>
      <c r="F145" s="7" t="s">
        <v>9772</v>
      </c>
      <c r="G145" s="7">
        <v>44812</v>
      </c>
      <c r="H145">
        <v>2022</v>
      </c>
      <c r="I145" t="s">
        <v>104</v>
      </c>
      <c r="J145">
        <v>1000000</v>
      </c>
      <c r="K145">
        <v>219399.87</v>
      </c>
      <c r="L145">
        <v>0</v>
      </c>
      <c r="M145">
        <v>219399.87</v>
      </c>
      <c r="N145">
        <v>30907.02</v>
      </c>
      <c r="O145">
        <v>0</v>
      </c>
      <c r="P145">
        <v>30907.02</v>
      </c>
      <c r="Q145">
        <v>250306.89</v>
      </c>
      <c r="R145" t="s">
        <v>9618</v>
      </c>
    </row>
    <row r="146" spans="1:18" ht="12.75" customHeight="1" x14ac:dyDescent="0.2">
      <c r="A146" t="s">
        <v>9773</v>
      </c>
      <c r="B146" t="s">
        <v>9529</v>
      </c>
      <c r="C146" s="7">
        <v>45034</v>
      </c>
      <c r="D146" s="7">
        <v>45106</v>
      </c>
      <c r="E146">
        <v>2023</v>
      </c>
      <c r="F146" s="7" t="s">
        <v>9774</v>
      </c>
      <c r="G146" s="7">
        <v>44987</v>
      </c>
      <c r="H146">
        <v>2023</v>
      </c>
      <c r="I146" t="s">
        <v>104</v>
      </c>
      <c r="J146">
        <v>5000000</v>
      </c>
      <c r="K146">
        <v>492598.56</v>
      </c>
      <c r="L146">
        <v>0</v>
      </c>
      <c r="M146">
        <v>492598.56</v>
      </c>
      <c r="N146">
        <v>140642.21</v>
      </c>
      <c r="O146">
        <v>0</v>
      </c>
      <c r="P146">
        <v>140642.21</v>
      </c>
      <c r="Q146">
        <v>633240.77</v>
      </c>
      <c r="R146" t="s">
        <v>9770</v>
      </c>
    </row>
    <row r="147" spans="1:18" ht="12.75" customHeight="1" x14ac:dyDescent="0.2">
      <c r="A147" t="s">
        <v>9775</v>
      </c>
      <c r="B147" t="s">
        <v>9776</v>
      </c>
      <c r="C147" s="7">
        <v>44042</v>
      </c>
      <c r="D147" s="7">
        <v>45107</v>
      </c>
      <c r="E147">
        <v>2020</v>
      </c>
      <c r="F147" s="7" t="s">
        <v>9777</v>
      </c>
      <c r="G147" s="7">
        <v>44030</v>
      </c>
      <c r="H147">
        <v>2020</v>
      </c>
      <c r="I147" t="s">
        <v>101</v>
      </c>
      <c r="J147">
        <v>5000000</v>
      </c>
      <c r="K147">
        <v>333184.34000000003</v>
      </c>
      <c r="L147">
        <v>0</v>
      </c>
      <c r="M147">
        <v>333184.34000000003</v>
      </c>
      <c r="N147">
        <v>47919.43</v>
      </c>
      <c r="O147">
        <v>0</v>
      </c>
      <c r="P147">
        <v>47919.43</v>
      </c>
      <c r="Q147">
        <v>381103.77</v>
      </c>
      <c r="R147" t="s">
        <v>9559</v>
      </c>
    </row>
    <row r="148" spans="1:18" ht="12.75" customHeight="1" x14ac:dyDescent="0.2">
      <c r="A148" t="s">
        <v>9778</v>
      </c>
      <c r="B148" t="s">
        <v>6863</v>
      </c>
      <c r="C148" s="7">
        <v>44615</v>
      </c>
      <c r="D148" s="7">
        <v>45115</v>
      </c>
      <c r="E148">
        <v>2022</v>
      </c>
      <c r="F148" s="7" t="s">
        <v>9779</v>
      </c>
      <c r="G148" s="7">
        <v>44387</v>
      </c>
      <c r="H148">
        <v>2021</v>
      </c>
      <c r="I148" t="s">
        <v>104</v>
      </c>
      <c r="J148">
        <v>5000000</v>
      </c>
      <c r="K148">
        <v>2333591.1</v>
      </c>
      <c r="L148">
        <v>0</v>
      </c>
      <c r="M148">
        <v>2333591.1</v>
      </c>
      <c r="N148">
        <v>623192.72</v>
      </c>
      <c r="O148">
        <v>0</v>
      </c>
      <c r="P148">
        <v>623192.72</v>
      </c>
      <c r="Q148">
        <v>2956783.82</v>
      </c>
      <c r="R148" t="s">
        <v>9780</v>
      </c>
    </row>
    <row r="149" spans="1:18" ht="12.75" customHeight="1" x14ac:dyDescent="0.2">
      <c r="A149" t="s">
        <v>9781</v>
      </c>
      <c r="B149" t="s">
        <v>543</v>
      </c>
      <c r="C149" s="7">
        <v>45064</v>
      </c>
      <c r="D149" s="7">
        <v>45116</v>
      </c>
      <c r="E149">
        <v>2023</v>
      </c>
      <c r="F149" s="7" t="s">
        <v>9782</v>
      </c>
      <c r="G149" s="7">
        <v>44715</v>
      </c>
      <c r="H149">
        <v>2022</v>
      </c>
      <c r="I149" t="s">
        <v>101</v>
      </c>
      <c r="J149">
        <v>10000000</v>
      </c>
      <c r="K149">
        <v>748671.02</v>
      </c>
      <c r="L149">
        <v>0</v>
      </c>
      <c r="M149">
        <v>748671.02</v>
      </c>
      <c r="N149">
        <v>154217.29</v>
      </c>
      <c r="O149">
        <v>0</v>
      </c>
      <c r="P149">
        <v>154217.29</v>
      </c>
      <c r="Q149">
        <v>902888.31</v>
      </c>
      <c r="R149" t="s">
        <v>9783</v>
      </c>
    </row>
    <row r="150" spans="1:18" ht="12.75" customHeight="1" x14ac:dyDescent="0.2">
      <c r="A150" t="s">
        <v>9784</v>
      </c>
      <c r="B150" t="s">
        <v>9785</v>
      </c>
      <c r="C150" s="7">
        <v>44704</v>
      </c>
      <c r="D150" s="7">
        <v>45123</v>
      </c>
      <c r="E150">
        <v>2022</v>
      </c>
      <c r="F150" s="7" t="s">
        <v>9786</v>
      </c>
      <c r="G150" s="7">
        <v>44344</v>
      </c>
      <c r="H150">
        <v>2021</v>
      </c>
      <c r="I150" t="s">
        <v>104</v>
      </c>
      <c r="J150">
        <v>2000000</v>
      </c>
      <c r="K150">
        <v>276695.08</v>
      </c>
      <c r="L150">
        <v>0</v>
      </c>
      <c r="M150">
        <v>276695.08</v>
      </c>
      <c r="N150">
        <v>54151.25</v>
      </c>
      <c r="O150">
        <v>0</v>
      </c>
      <c r="P150">
        <v>54151.25</v>
      </c>
      <c r="Q150">
        <v>330846.33</v>
      </c>
      <c r="R150" t="s">
        <v>9439</v>
      </c>
    </row>
    <row r="151" spans="1:18" ht="12.75" customHeight="1" x14ac:dyDescent="0.2">
      <c r="A151" t="s">
        <v>9787</v>
      </c>
      <c r="B151" t="s">
        <v>9788</v>
      </c>
      <c r="C151" s="7">
        <v>44866</v>
      </c>
      <c r="D151" s="7">
        <v>45130</v>
      </c>
      <c r="E151">
        <v>2022</v>
      </c>
      <c r="F151" s="7" t="s">
        <v>9789</v>
      </c>
      <c r="G151" s="7">
        <v>44646</v>
      </c>
      <c r="H151">
        <v>2022</v>
      </c>
      <c r="I151" t="s">
        <v>101</v>
      </c>
      <c r="J151">
        <v>5000000</v>
      </c>
      <c r="K151">
        <v>217662.9</v>
      </c>
      <c r="L151">
        <v>0</v>
      </c>
      <c r="M151">
        <v>217662.9</v>
      </c>
      <c r="N151">
        <v>60194.64</v>
      </c>
      <c r="O151">
        <v>0</v>
      </c>
      <c r="P151">
        <v>60194.64</v>
      </c>
      <c r="Q151">
        <v>277857.53999999998</v>
      </c>
      <c r="R151" t="s">
        <v>9790</v>
      </c>
    </row>
    <row r="152" spans="1:18" ht="12.75" customHeight="1" x14ac:dyDescent="0.2">
      <c r="A152" t="s">
        <v>9791</v>
      </c>
      <c r="B152" t="s">
        <v>7552</v>
      </c>
      <c r="C152" s="7">
        <v>45018</v>
      </c>
      <c r="D152" s="7">
        <v>45148</v>
      </c>
      <c r="E152">
        <v>2023</v>
      </c>
      <c r="F152" s="7" t="s">
        <v>9792</v>
      </c>
      <c r="G152" s="7">
        <v>44907</v>
      </c>
      <c r="H152">
        <v>2022</v>
      </c>
      <c r="I152" t="s">
        <v>101</v>
      </c>
      <c r="J152">
        <v>1000000</v>
      </c>
      <c r="K152">
        <v>0</v>
      </c>
      <c r="L152">
        <v>105670.55</v>
      </c>
      <c r="M152">
        <v>105670.55</v>
      </c>
      <c r="N152">
        <v>0</v>
      </c>
      <c r="O152">
        <v>21605.360000000001</v>
      </c>
      <c r="P152">
        <v>21605.360000000001</v>
      </c>
      <c r="Q152">
        <v>127275.91</v>
      </c>
      <c r="R152" t="s">
        <v>9793</v>
      </c>
    </row>
    <row r="153" spans="1:18" ht="12.75" customHeight="1" x14ac:dyDescent="0.2">
      <c r="A153" t="s">
        <v>9794</v>
      </c>
      <c r="B153" t="s">
        <v>7576</v>
      </c>
      <c r="C153" s="7">
        <v>45022</v>
      </c>
      <c r="D153" s="7">
        <v>45163</v>
      </c>
      <c r="E153">
        <v>2023</v>
      </c>
      <c r="F153" s="7" t="s">
        <v>9795</v>
      </c>
      <c r="G153" s="7">
        <v>44908</v>
      </c>
      <c r="H153">
        <v>2022</v>
      </c>
      <c r="I153" t="s">
        <v>101</v>
      </c>
      <c r="J153">
        <v>2000000</v>
      </c>
      <c r="K153">
        <v>1408546.24</v>
      </c>
      <c r="L153">
        <v>0</v>
      </c>
      <c r="M153">
        <v>1408546.24</v>
      </c>
      <c r="N153">
        <v>211255.91</v>
      </c>
      <c r="O153">
        <v>0</v>
      </c>
      <c r="P153">
        <v>211255.91</v>
      </c>
      <c r="Q153">
        <v>1619802.15</v>
      </c>
      <c r="R153" t="s">
        <v>9796</v>
      </c>
    </row>
    <row r="154" spans="1:18" ht="12.75" customHeight="1" x14ac:dyDescent="0.2">
      <c r="A154" t="s">
        <v>9797</v>
      </c>
      <c r="B154" t="s">
        <v>8457</v>
      </c>
      <c r="C154" s="7">
        <v>44330</v>
      </c>
      <c r="D154" s="7">
        <v>45164</v>
      </c>
      <c r="E154">
        <v>2021</v>
      </c>
      <c r="F154" s="7" t="s">
        <v>9798</v>
      </c>
      <c r="G154" s="7">
        <v>44329</v>
      </c>
      <c r="H154">
        <v>2021</v>
      </c>
      <c r="I154" t="s">
        <v>104</v>
      </c>
      <c r="J154">
        <v>1500000</v>
      </c>
      <c r="K154">
        <v>202384.44</v>
      </c>
      <c r="L154">
        <v>0</v>
      </c>
      <c r="M154">
        <v>202384.44</v>
      </c>
      <c r="N154">
        <v>40333.919999999998</v>
      </c>
      <c r="O154">
        <v>0</v>
      </c>
      <c r="P154">
        <v>40333.919999999998</v>
      </c>
      <c r="Q154">
        <v>242718.36</v>
      </c>
      <c r="R154" t="s">
        <v>9544</v>
      </c>
    </row>
    <row r="155" spans="1:18" ht="12.75" customHeight="1" x14ac:dyDescent="0.2">
      <c r="A155" t="s">
        <v>9799</v>
      </c>
      <c r="B155" t="s">
        <v>9800</v>
      </c>
      <c r="C155" s="7">
        <v>45076</v>
      </c>
      <c r="D155" s="7">
        <v>45167</v>
      </c>
      <c r="E155">
        <v>2023</v>
      </c>
      <c r="F155" s="7" t="s">
        <v>9801</v>
      </c>
      <c r="G155" s="7">
        <v>44812</v>
      </c>
      <c r="H155">
        <v>2022</v>
      </c>
      <c r="I155" t="s">
        <v>101</v>
      </c>
      <c r="J155">
        <v>1000000</v>
      </c>
      <c r="K155">
        <v>389785.52</v>
      </c>
      <c r="L155">
        <v>94540.21</v>
      </c>
      <c r="M155">
        <v>484325.73</v>
      </c>
      <c r="N155">
        <v>80589.070000000007</v>
      </c>
      <c r="O155">
        <v>24397.25</v>
      </c>
      <c r="P155">
        <v>104986.32</v>
      </c>
      <c r="Q155">
        <v>589312.05000000005</v>
      </c>
      <c r="R155" t="s">
        <v>9802</v>
      </c>
    </row>
    <row r="156" spans="1:18" ht="12.75" customHeight="1" x14ac:dyDescent="0.2">
      <c r="A156" t="s">
        <v>9803</v>
      </c>
      <c r="B156" t="s">
        <v>651</v>
      </c>
      <c r="C156" s="7">
        <v>45130</v>
      </c>
      <c r="D156" s="7">
        <v>45168</v>
      </c>
      <c r="E156">
        <v>2023</v>
      </c>
      <c r="F156" s="7" t="s">
        <v>9804</v>
      </c>
      <c r="G156" s="7">
        <v>44896</v>
      </c>
      <c r="H156">
        <v>2022</v>
      </c>
      <c r="I156" t="s">
        <v>101</v>
      </c>
      <c r="J156">
        <v>10000000</v>
      </c>
      <c r="K156">
        <v>1355707.84</v>
      </c>
      <c r="L156">
        <v>0</v>
      </c>
      <c r="M156">
        <v>1355707.84</v>
      </c>
      <c r="N156">
        <v>186085.49</v>
      </c>
      <c r="O156">
        <v>0</v>
      </c>
      <c r="P156">
        <v>186085.49</v>
      </c>
      <c r="Q156">
        <v>1541793.33</v>
      </c>
      <c r="R156" t="s">
        <v>9703</v>
      </c>
    </row>
    <row r="157" spans="1:18" ht="12.75" customHeight="1" x14ac:dyDescent="0.2">
      <c r="A157" t="s">
        <v>9805</v>
      </c>
      <c r="B157" t="s">
        <v>9806</v>
      </c>
      <c r="C157" s="7">
        <v>44958</v>
      </c>
      <c r="D157" s="7">
        <v>45173</v>
      </c>
      <c r="E157">
        <v>2023</v>
      </c>
      <c r="F157" s="7" t="s">
        <v>9807</v>
      </c>
      <c r="G157" s="7">
        <v>44718</v>
      </c>
      <c r="H157">
        <v>2022</v>
      </c>
      <c r="I157" t="s">
        <v>104</v>
      </c>
      <c r="J157">
        <v>2000000</v>
      </c>
      <c r="K157">
        <v>281027.06</v>
      </c>
      <c r="L157">
        <v>0</v>
      </c>
      <c r="M157">
        <v>281027.06</v>
      </c>
      <c r="N157">
        <v>36482.26</v>
      </c>
      <c r="O157">
        <v>0</v>
      </c>
      <c r="P157">
        <v>36482.26</v>
      </c>
      <c r="Q157">
        <v>317509.32</v>
      </c>
      <c r="R157" t="s">
        <v>9488</v>
      </c>
    </row>
    <row r="158" spans="1:18" ht="12.75" customHeight="1" x14ac:dyDescent="0.2">
      <c r="A158" t="s">
        <v>9808</v>
      </c>
      <c r="B158" t="s">
        <v>292</v>
      </c>
      <c r="C158" s="7">
        <v>45014</v>
      </c>
      <c r="D158" s="7">
        <v>45174</v>
      </c>
      <c r="E158">
        <v>2023</v>
      </c>
      <c r="F158" s="7" t="s">
        <v>9809</v>
      </c>
      <c r="G158" s="7">
        <v>44662</v>
      </c>
      <c r="H158">
        <v>2022</v>
      </c>
      <c r="I158" t="s">
        <v>104</v>
      </c>
      <c r="J158">
        <v>2000000</v>
      </c>
      <c r="K158">
        <v>1228043.49</v>
      </c>
      <c r="L158">
        <v>0</v>
      </c>
      <c r="M158">
        <v>1228043.49</v>
      </c>
      <c r="N158">
        <v>259271.86</v>
      </c>
      <c r="O158">
        <v>0</v>
      </c>
      <c r="P158">
        <v>259271.86</v>
      </c>
      <c r="Q158">
        <v>1487315.35</v>
      </c>
      <c r="R158" t="s">
        <v>9810</v>
      </c>
    </row>
    <row r="159" spans="1:18" ht="12.75" customHeight="1" x14ac:dyDescent="0.2">
      <c r="A159" t="s">
        <v>9811</v>
      </c>
      <c r="B159" t="s">
        <v>8086</v>
      </c>
      <c r="C159" s="7">
        <v>45124</v>
      </c>
      <c r="D159" s="7">
        <v>45174</v>
      </c>
      <c r="E159">
        <v>2023</v>
      </c>
      <c r="F159" s="7" t="s">
        <v>7302</v>
      </c>
      <c r="G159" s="7">
        <v>44973</v>
      </c>
      <c r="H159">
        <v>2023</v>
      </c>
      <c r="I159" t="s">
        <v>104</v>
      </c>
      <c r="J159">
        <v>10000000</v>
      </c>
      <c r="K159">
        <v>772810.22</v>
      </c>
      <c r="L159">
        <v>0</v>
      </c>
      <c r="M159">
        <v>772810.22</v>
      </c>
      <c r="N159">
        <v>112082.68</v>
      </c>
      <c r="O159">
        <v>0</v>
      </c>
      <c r="P159">
        <v>112082.68</v>
      </c>
      <c r="Q159">
        <v>884892.9</v>
      </c>
      <c r="R159" t="s">
        <v>9726</v>
      </c>
    </row>
    <row r="160" spans="1:18" ht="12.75" customHeight="1" x14ac:dyDescent="0.2">
      <c r="A160" t="s">
        <v>9812</v>
      </c>
      <c r="B160" t="s">
        <v>6937</v>
      </c>
      <c r="C160" s="7">
        <v>45143</v>
      </c>
      <c r="D160" s="7">
        <v>45176</v>
      </c>
      <c r="E160">
        <v>2023</v>
      </c>
      <c r="F160" s="7" t="s">
        <v>9813</v>
      </c>
      <c r="G160" s="7">
        <v>45141</v>
      </c>
      <c r="H160">
        <v>2023</v>
      </c>
      <c r="I160" t="s">
        <v>104</v>
      </c>
      <c r="J160">
        <v>5000000</v>
      </c>
      <c r="K160">
        <v>126196.74</v>
      </c>
      <c r="L160">
        <v>0</v>
      </c>
      <c r="M160">
        <v>126196.74</v>
      </c>
      <c r="N160">
        <v>19226.88</v>
      </c>
      <c r="O160">
        <v>0</v>
      </c>
      <c r="P160">
        <v>19226.88</v>
      </c>
      <c r="Q160">
        <v>145423.62</v>
      </c>
      <c r="R160" t="s">
        <v>9531</v>
      </c>
    </row>
    <row r="161" spans="1:18" ht="12.75" customHeight="1" x14ac:dyDescent="0.2">
      <c r="A161" t="s">
        <v>9814</v>
      </c>
      <c r="B161" t="s">
        <v>6922</v>
      </c>
      <c r="C161" s="7">
        <v>45059</v>
      </c>
      <c r="D161" s="7">
        <v>45185</v>
      </c>
      <c r="E161">
        <v>2023</v>
      </c>
      <c r="F161" s="7" t="s">
        <v>9815</v>
      </c>
      <c r="G161" s="7">
        <v>44830</v>
      </c>
      <c r="H161">
        <v>2022</v>
      </c>
      <c r="I161" t="s">
        <v>101</v>
      </c>
      <c r="J161">
        <v>1000000</v>
      </c>
      <c r="K161">
        <v>221544.71</v>
      </c>
      <c r="L161">
        <v>0</v>
      </c>
      <c r="M161">
        <v>221544.71</v>
      </c>
      <c r="N161">
        <v>43649.279999999999</v>
      </c>
      <c r="O161">
        <v>0</v>
      </c>
      <c r="P161">
        <v>43649.279999999999</v>
      </c>
      <c r="Q161">
        <v>265193.99</v>
      </c>
      <c r="R161" t="s">
        <v>9520</v>
      </c>
    </row>
    <row r="162" spans="1:18" ht="12.75" customHeight="1" x14ac:dyDescent="0.2">
      <c r="A162" t="s">
        <v>9816</v>
      </c>
      <c r="B162" t="s">
        <v>8743</v>
      </c>
      <c r="C162" s="7">
        <v>45052</v>
      </c>
      <c r="D162" s="7">
        <v>45195</v>
      </c>
      <c r="E162">
        <v>2023</v>
      </c>
      <c r="F162" s="7" t="s">
        <v>9817</v>
      </c>
      <c r="G162" s="7">
        <v>44754</v>
      </c>
      <c r="H162">
        <v>2022</v>
      </c>
      <c r="I162" t="s">
        <v>104</v>
      </c>
      <c r="J162">
        <v>1000000</v>
      </c>
      <c r="K162">
        <v>199814.5</v>
      </c>
      <c r="L162">
        <v>0</v>
      </c>
      <c r="M162">
        <v>199814.5</v>
      </c>
      <c r="N162">
        <v>51513.71</v>
      </c>
      <c r="O162">
        <v>0</v>
      </c>
      <c r="P162">
        <v>51513.71</v>
      </c>
      <c r="Q162">
        <v>251328.21</v>
      </c>
      <c r="R162" t="s">
        <v>9618</v>
      </c>
    </row>
    <row r="163" spans="1:18" ht="12.75" customHeight="1" x14ac:dyDescent="0.2">
      <c r="A163" t="s">
        <v>9818</v>
      </c>
      <c r="B163" t="s">
        <v>9819</v>
      </c>
      <c r="C163" s="7">
        <v>45006</v>
      </c>
      <c r="D163" s="7">
        <v>45205</v>
      </c>
      <c r="E163">
        <v>2023</v>
      </c>
      <c r="F163" s="7" t="s">
        <v>9820</v>
      </c>
      <c r="G163" s="7">
        <v>44733</v>
      </c>
      <c r="H163">
        <v>2022</v>
      </c>
      <c r="I163" t="s">
        <v>101</v>
      </c>
      <c r="J163">
        <v>5000000</v>
      </c>
      <c r="K163">
        <v>220120.25</v>
      </c>
      <c r="L163">
        <v>0</v>
      </c>
      <c r="M163">
        <v>220120.25</v>
      </c>
      <c r="N163">
        <v>46735.96</v>
      </c>
      <c r="O163">
        <v>0</v>
      </c>
      <c r="P163">
        <v>46735.96</v>
      </c>
      <c r="Q163">
        <v>266856.21000000002</v>
      </c>
      <c r="R163" t="s">
        <v>9520</v>
      </c>
    </row>
    <row r="164" spans="1:18" ht="12.75" customHeight="1" x14ac:dyDescent="0.2">
      <c r="A164" t="s">
        <v>9821</v>
      </c>
      <c r="B164" t="s">
        <v>9822</v>
      </c>
      <c r="C164" s="7">
        <v>45167</v>
      </c>
      <c r="D164" s="7">
        <v>45206</v>
      </c>
      <c r="E164">
        <v>2023</v>
      </c>
      <c r="F164" s="7" t="s">
        <v>9823</v>
      </c>
      <c r="G164" s="7">
        <v>44931</v>
      </c>
      <c r="H164">
        <v>2023</v>
      </c>
      <c r="I164" t="s">
        <v>101</v>
      </c>
      <c r="J164">
        <v>2000000</v>
      </c>
      <c r="K164">
        <v>250892.04</v>
      </c>
      <c r="L164">
        <v>0</v>
      </c>
      <c r="M164">
        <v>250892.04</v>
      </c>
      <c r="N164">
        <v>69243.149999999994</v>
      </c>
      <c r="O164">
        <v>0</v>
      </c>
      <c r="P164">
        <v>69243.149999999994</v>
      </c>
      <c r="Q164">
        <v>320135.19</v>
      </c>
      <c r="R164" t="s">
        <v>9706</v>
      </c>
    </row>
    <row r="165" spans="1:18" ht="12.75" customHeight="1" x14ac:dyDescent="0.2">
      <c r="A165" t="s">
        <v>9824</v>
      </c>
      <c r="B165" t="s">
        <v>6823</v>
      </c>
      <c r="C165" s="7">
        <v>45030</v>
      </c>
      <c r="D165" s="7">
        <v>45211</v>
      </c>
      <c r="E165">
        <v>2023</v>
      </c>
      <c r="F165" s="7" t="s">
        <v>9825</v>
      </c>
      <c r="G165" s="7">
        <v>44762</v>
      </c>
      <c r="H165">
        <v>2022</v>
      </c>
      <c r="I165" t="s">
        <v>101</v>
      </c>
      <c r="J165">
        <v>10000000</v>
      </c>
      <c r="K165">
        <v>7090142.21</v>
      </c>
      <c r="L165">
        <v>0</v>
      </c>
      <c r="M165">
        <v>7090142.21</v>
      </c>
      <c r="N165">
        <v>1044241.58</v>
      </c>
      <c r="O165">
        <v>0</v>
      </c>
      <c r="P165">
        <v>1044241.58</v>
      </c>
      <c r="Q165">
        <v>8134383.79</v>
      </c>
      <c r="R165" t="s">
        <v>9826</v>
      </c>
    </row>
    <row r="166" spans="1:18" ht="12.75" customHeight="1" x14ac:dyDescent="0.2">
      <c r="A166" t="s">
        <v>9827</v>
      </c>
      <c r="B166" t="s">
        <v>6548</v>
      </c>
      <c r="C166" s="7">
        <v>45170</v>
      </c>
      <c r="D166" s="7">
        <v>45211</v>
      </c>
      <c r="E166">
        <v>2023</v>
      </c>
      <c r="F166" s="7" t="s">
        <v>9828</v>
      </c>
      <c r="G166" s="7">
        <v>45010</v>
      </c>
      <c r="H166">
        <v>2023</v>
      </c>
      <c r="I166" t="s">
        <v>104</v>
      </c>
      <c r="J166">
        <v>10000000</v>
      </c>
      <c r="K166">
        <v>261434.93</v>
      </c>
      <c r="L166">
        <v>0</v>
      </c>
      <c r="M166">
        <v>261434.93</v>
      </c>
      <c r="N166">
        <v>32699.45</v>
      </c>
      <c r="O166">
        <v>0</v>
      </c>
      <c r="P166">
        <v>32699.45</v>
      </c>
      <c r="Q166">
        <v>294134.38</v>
      </c>
      <c r="R166" t="s">
        <v>9829</v>
      </c>
    </row>
    <row r="167" spans="1:18" ht="12.75" customHeight="1" x14ac:dyDescent="0.2">
      <c r="A167" t="s">
        <v>9830</v>
      </c>
      <c r="B167" t="s">
        <v>6354</v>
      </c>
      <c r="C167" s="7">
        <v>45172</v>
      </c>
      <c r="D167" s="7">
        <v>45215</v>
      </c>
      <c r="E167">
        <v>2023</v>
      </c>
      <c r="F167" s="7" t="s">
        <v>9831</v>
      </c>
      <c r="G167" s="7">
        <v>44933</v>
      </c>
      <c r="H167">
        <v>2023</v>
      </c>
      <c r="I167" t="s">
        <v>104</v>
      </c>
      <c r="J167">
        <v>1000000</v>
      </c>
      <c r="K167">
        <v>556285.38</v>
      </c>
      <c r="L167">
        <v>0</v>
      </c>
      <c r="M167">
        <v>556285.38</v>
      </c>
      <c r="N167">
        <v>82902.94</v>
      </c>
      <c r="O167">
        <v>0</v>
      </c>
      <c r="P167">
        <v>82902.94</v>
      </c>
      <c r="Q167">
        <v>639188.31999999995</v>
      </c>
      <c r="R167" t="s">
        <v>9770</v>
      </c>
    </row>
    <row r="168" spans="1:18" ht="12.75" customHeight="1" x14ac:dyDescent="0.2">
      <c r="A168" t="s">
        <v>9833</v>
      </c>
      <c r="B168" t="s">
        <v>259</v>
      </c>
      <c r="C168" s="7">
        <v>45173</v>
      </c>
      <c r="D168" s="7">
        <v>45226</v>
      </c>
      <c r="E168">
        <v>2023</v>
      </c>
      <c r="F168" s="7" t="s">
        <v>9834</v>
      </c>
      <c r="G168" s="7">
        <v>44970</v>
      </c>
      <c r="H168">
        <v>2023</v>
      </c>
      <c r="I168" t="s">
        <v>104</v>
      </c>
      <c r="J168">
        <v>5000000</v>
      </c>
      <c r="K168">
        <v>210001.59</v>
      </c>
      <c r="L168">
        <v>108730.19</v>
      </c>
      <c r="M168">
        <v>318731.78000000003</v>
      </c>
      <c r="N168">
        <v>35058.36</v>
      </c>
      <c r="O168">
        <v>18709.28</v>
      </c>
      <c r="P168">
        <v>53767.64</v>
      </c>
      <c r="Q168">
        <v>372499.42</v>
      </c>
      <c r="R168" t="s">
        <v>9835</v>
      </c>
    </row>
    <row r="169" spans="1:18" ht="12.75" customHeight="1" x14ac:dyDescent="0.2">
      <c r="A169" t="s">
        <v>9836</v>
      </c>
      <c r="B169" t="s">
        <v>7868</v>
      </c>
      <c r="C169" s="7">
        <v>45092</v>
      </c>
      <c r="D169" s="7">
        <v>45230</v>
      </c>
      <c r="E169">
        <v>2023</v>
      </c>
      <c r="F169" s="7" t="s">
        <v>9837</v>
      </c>
      <c r="G169" s="7">
        <v>44928</v>
      </c>
      <c r="H169">
        <v>2023</v>
      </c>
      <c r="I169" t="s">
        <v>104</v>
      </c>
      <c r="J169">
        <v>1000000</v>
      </c>
      <c r="K169">
        <v>434738.71</v>
      </c>
      <c r="L169">
        <v>0</v>
      </c>
      <c r="M169">
        <v>434738.71</v>
      </c>
      <c r="N169">
        <v>115159.3</v>
      </c>
      <c r="O169">
        <v>0</v>
      </c>
      <c r="P169">
        <v>115159.3</v>
      </c>
      <c r="Q169">
        <v>549898.01</v>
      </c>
      <c r="R169" t="s">
        <v>9838</v>
      </c>
    </row>
    <row r="170" spans="1:18" ht="12.75" customHeight="1" x14ac:dyDescent="0.2">
      <c r="A170" t="s">
        <v>9839</v>
      </c>
      <c r="B170" t="s">
        <v>414</v>
      </c>
      <c r="C170" s="7">
        <v>44772</v>
      </c>
      <c r="D170" s="7">
        <v>45270</v>
      </c>
      <c r="E170">
        <v>2022</v>
      </c>
      <c r="F170" s="7" t="s">
        <v>9840</v>
      </c>
      <c r="G170" s="7">
        <v>44544</v>
      </c>
      <c r="H170">
        <v>2021</v>
      </c>
      <c r="I170" t="s">
        <v>101</v>
      </c>
      <c r="J170">
        <v>5000000</v>
      </c>
      <c r="K170">
        <v>101107.89</v>
      </c>
      <c r="L170">
        <v>22568.92</v>
      </c>
      <c r="M170">
        <v>123676.81</v>
      </c>
      <c r="N170">
        <v>21106.71</v>
      </c>
      <c r="O170">
        <v>5749.48</v>
      </c>
      <c r="P170">
        <v>26856.19</v>
      </c>
      <c r="Q170">
        <v>150533</v>
      </c>
      <c r="R170" t="s">
        <v>9457</v>
      </c>
    </row>
    <row r="171" spans="1:18" ht="12.75" customHeight="1" x14ac:dyDescent="0.2">
      <c r="A171" t="s">
        <v>9841</v>
      </c>
      <c r="B171" t="s">
        <v>9249</v>
      </c>
      <c r="C171" s="7">
        <v>45238</v>
      </c>
      <c r="D171" s="7">
        <v>45277</v>
      </c>
      <c r="E171">
        <v>2023</v>
      </c>
      <c r="F171" s="7" t="s">
        <v>7318</v>
      </c>
      <c r="G171" s="7">
        <v>45229</v>
      </c>
      <c r="H171">
        <v>2023</v>
      </c>
      <c r="I171" t="s">
        <v>101</v>
      </c>
      <c r="J171">
        <v>1000000</v>
      </c>
      <c r="K171">
        <v>127768.88</v>
      </c>
      <c r="L171">
        <v>0</v>
      </c>
      <c r="M171">
        <v>127768.88</v>
      </c>
      <c r="N171">
        <v>31864.31</v>
      </c>
      <c r="O171">
        <v>0</v>
      </c>
      <c r="P171">
        <v>31864.31</v>
      </c>
      <c r="Q171">
        <v>159633.19</v>
      </c>
      <c r="R171" t="s">
        <v>9426</v>
      </c>
    </row>
    <row r="172" spans="1:18" ht="12.75" customHeight="1" x14ac:dyDescent="0.2">
      <c r="A172" t="s">
        <v>9842</v>
      </c>
      <c r="B172" t="s">
        <v>514</v>
      </c>
      <c r="C172" s="7">
        <v>44776</v>
      </c>
      <c r="D172" s="7">
        <v>45281</v>
      </c>
      <c r="E172">
        <v>2022</v>
      </c>
      <c r="F172" s="7" t="s">
        <v>9843</v>
      </c>
      <c r="G172" s="7">
        <v>44676</v>
      </c>
      <c r="H172">
        <v>2022</v>
      </c>
      <c r="I172" t="s">
        <v>101</v>
      </c>
      <c r="J172">
        <v>2000000</v>
      </c>
      <c r="K172">
        <v>167345.44</v>
      </c>
      <c r="L172">
        <v>65113.1</v>
      </c>
      <c r="M172">
        <v>232458.54</v>
      </c>
      <c r="N172">
        <v>35340.230000000003</v>
      </c>
      <c r="O172">
        <v>11423.1</v>
      </c>
      <c r="P172">
        <v>46763.33</v>
      </c>
      <c r="Q172">
        <v>279221.87</v>
      </c>
      <c r="R172" t="s">
        <v>9790</v>
      </c>
    </row>
    <row r="173" spans="1:18" ht="12.75" customHeight="1" x14ac:dyDescent="0.2">
      <c r="A173" t="s">
        <v>9844</v>
      </c>
      <c r="B173" t="s">
        <v>152</v>
      </c>
      <c r="C173" s="7">
        <v>44336</v>
      </c>
      <c r="D173" s="7">
        <v>45283</v>
      </c>
      <c r="E173">
        <v>2021</v>
      </c>
      <c r="F173" s="7" t="s">
        <v>9845</v>
      </c>
      <c r="G173" s="7">
        <v>44315</v>
      </c>
      <c r="H173">
        <v>2021</v>
      </c>
      <c r="I173" t="s">
        <v>101</v>
      </c>
      <c r="J173">
        <v>2000000</v>
      </c>
      <c r="K173">
        <v>1552297.44</v>
      </c>
      <c r="L173">
        <v>0</v>
      </c>
      <c r="M173">
        <v>1552297.44</v>
      </c>
      <c r="N173">
        <v>465301.85</v>
      </c>
      <c r="O173">
        <v>0</v>
      </c>
      <c r="P173">
        <v>465301.85</v>
      </c>
      <c r="Q173">
        <v>2017599.29</v>
      </c>
      <c r="R173" t="s">
        <v>9395</v>
      </c>
    </row>
    <row r="174" spans="1:18" ht="12.75" customHeight="1" x14ac:dyDescent="0.2">
      <c r="A174" t="s">
        <v>9846</v>
      </c>
      <c r="B174" t="s">
        <v>9362</v>
      </c>
      <c r="C174" s="7">
        <v>45166</v>
      </c>
      <c r="D174" s="7">
        <v>45286</v>
      </c>
      <c r="E174">
        <v>2023</v>
      </c>
      <c r="F174" s="7" t="s">
        <v>9847</v>
      </c>
      <c r="G174" s="7">
        <v>44889</v>
      </c>
      <c r="H174">
        <v>2022</v>
      </c>
      <c r="I174" t="s">
        <v>104</v>
      </c>
      <c r="J174">
        <v>5000000</v>
      </c>
      <c r="K174">
        <v>122944.01</v>
      </c>
      <c r="L174">
        <v>0</v>
      </c>
      <c r="M174">
        <v>122944.01</v>
      </c>
      <c r="N174">
        <v>22665.96</v>
      </c>
      <c r="O174">
        <v>0</v>
      </c>
      <c r="P174">
        <v>22665.96</v>
      </c>
      <c r="Q174">
        <v>145609.97</v>
      </c>
      <c r="R174" t="s">
        <v>9531</v>
      </c>
    </row>
    <row r="175" spans="1:18" ht="12.75" customHeight="1" x14ac:dyDescent="0.2">
      <c r="A175" t="s">
        <v>9848</v>
      </c>
      <c r="B175" t="s">
        <v>302</v>
      </c>
      <c r="C175" s="7">
        <v>45121</v>
      </c>
      <c r="D175" s="7">
        <v>45291</v>
      </c>
      <c r="E175">
        <v>2023</v>
      </c>
      <c r="F175" s="7" t="s">
        <v>7314</v>
      </c>
      <c r="G175" s="7">
        <v>45042</v>
      </c>
      <c r="H175">
        <v>2023</v>
      </c>
      <c r="I175" t="s">
        <v>101</v>
      </c>
      <c r="J175">
        <v>10000000</v>
      </c>
      <c r="K175">
        <v>1252323.81</v>
      </c>
      <c r="L175">
        <v>224023.38</v>
      </c>
      <c r="M175">
        <v>1476347.19</v>
      </c>
      <c r="N175">
        <v>321698.52</v>
      </c>
      <c r="O175">
        <v>50941.62</v>
      </c>
      <c r="P175">
        <v>372640.14</v>
      </c>
      <c r="Q175">
        <v>1848987.33</v>
      </c>
      <c r="R175" t="s">
        <v>9474</v>
      </c>
    </row>
    <row r="176" spans="1:18" ht="12.75" customHeight="1" x14ac:dyDescent="0.2">
      <c r="A176" t="s">
        <v>9849</v>
      </c>
      <c r="B176" t="s">
        <v>7836</v>
      </c>
      <c r="C176" s="7">
        <v>44856</v>
      </c>
      <c r="D176" s="7">
        <v>45292</v>
      </c>
      <c r="E176">
        <v>2022</v>
      </c>
      <c r="F176" s="7" t="s">
        <v>9850</v>
      </c>
      <c r="G176" s="7">
        <v>44560</v>
      </c>
      <c r="H176">
        <v>2021</v>
      </c>
      <c r="I176" t="s">
        <v>101</v>
      </c>
      <c r="J176">
        <v>1000000</v>
      </c>
      <c r="K176">
        <v>894015.47</v>
      </c>
      <c r="L176">
        <v>0</v>
      </c>
      <c r="M176">
        <v>894015.47</v>
      </c>
      <c r="N176">
        <v>256443.86</v>
      </c>
      <c r="O176">
        <v>0</v>
      </c>
      <c r="P176">
        <v>256443.86</v>
      </c>
      <c r="Q176">
        <v>1150459.33</v>
      </c>
      <c r="R176" t="s">
        <v>9736</v>
      </c>
    </row>
    <row r="177" spans="1:18" ht="12.75" customHeight="1" x14ac:dyDescent="0.2">
      <c r="A177" t="s">
        <v>9851</v>
      </c>
      <c r="B177" t="s">
        <v>9852</v>
      </c>
      <c r="C177" s="7">
        <v>44281</v>
      </c>
      <c r="D177" s="7">
        <v>45296</v>
      </c>
      <c r="E177">
        <v>2021</v>
      </c>
      <c r="F177" s="7" t="s">
        <v>9853</v>
      </c>
      <c r="G177" s="7">
        <v>44223</v>
      </c>
      <c r="H177">
        <v>2021</v>
      </c>
      <c r="I177" t="s">
        <v>101</v>
      </c>
      <c r="J177">
        <v>1500000</v>
      </c>
      <c r="K177">
        <v>1500000</v>
      </c>
      <c r="L177">
        <v>0</v>
      </c>
      <c r="M177">
        <v>1500000</v>
      </c>
      <c r="N177">
        <v>406117.3</v>
      </c>
      <c r="O177">
        <v>0</v>
      </c>
      <c r="P177">
        <v>406117.3</v>
      </c>
      <c r="Q177">
        <v>1906117.3</v>
      </c>
      <c r="R177" t="s">
        <v>9854</v>
      </c>
    </row>
    <row r="178" spans="1:18" ht="12.75" customHeight="1" x14ac:dyDescent="0.2">
      <c r="A178" t="s">
        <v>9855</v>
      </c>
      <c r="B178" t="s">
        <v>513</v>
      </c>
      <c r="C178" s="7">
        <v>45170</v>
      </c>
      <c r="D178" s="7">
        <v>45306</v>
      </c>
      <c r="E178">
        <v>2023</v>
      </c>
      <c r="F178" s="7" t="s">
        <v>9856</v>
      </c>
      <c r="G178" s="7">
        <v>45038</v>
      </c>
      <c r="H178">
        <v>2023</v>
      </c>
      <c r="I178" t="s">
        <v>101</v>
      </c>
      <c r="J178">
        <v>10000000</v>
      </c>
      <c r="K178">
        <v>1644198.77</v>
      </c>
      <c r="L178">
        <v>440357.15</v>
      </c>
      <c r="M178">
        <v>2084555.92</v>
      </c>
      <c r="N178">
        <v>331428.55</v>
      </c>
      <c r="O178">
        <v>116103.96</v>
      </c>
      <c r="P178">
        <v>447532.51</v>
      </c>
      <c r="Q178">
        <v>2532088.4300000002</v>
      </c>
      <c r="R178" t="s">
        <v>9832</v>
      </c>
    </row>
    <row r="179" spans="1:18" ht="12.75" customHeight="1" x14ac:dyDescent="0.2">
      <c r="A179" t="s">
        <v>9857</v>
      </c>
      <c r="B179" t="s">
        <v>6555</v>
      </c>
      <c r="C179" s="7">
        <v>45124</v>
      </c>
      <c r="D179" s="7">
        <v>45316</v>
      </c>
      <c r="E179">
        <v>2023</v>
      </c>
      <c r="F179" s="7" t="s">
        <v>9858</v>
      </c>
      <c r="G179" s="7">
        <v>45018</v>
      </c>
      <c r="H179">
        <v>2023</v>
      </c>
      <c r="I179" t="s">
        <v>104</v>
      </c>
      <c r="J179">
        <v>2000000</v>
      </c>
      <c r="K179">
        <v>184792.47</v>
      </c>
      <c r="L179">
        <v>0</v>
      </c>
      <c r="M179">
        <v>184792.47</v>
      </c>
      <c r="N179">
        <v>52413.63</v>
      </c>
      <c r="O179">
        <v>0</v>
      </c>
      <c r="P179">
        <v>52413.63</v>
      </c>
      <c r="Q179">
        <v>237206.1</v>
      </c>
      <c r="R179" t="s">
        <v>9418</v>
      </c>
    </row>
    <row r="180" spans="1:18" ht="12.75" customHeight="1" x14ac:dyDescent="0.2">
      <c r="A180" t="s">
        <v>9859</v>
      </c>
      <c r="B180" t="s">
        <v>6474</v>
      </c>
      <c r="C180" s="7">
        <v>45297</v>
      </c>
      <c r="D180" s="7">
        <v>45317</v>
      </c>
      <c r="E180">
        <v>2024</v>
      </c>
      <c r="F180" s="7" t="s">
        <v>9860</v>
      </c>
      <c r="G180" s="7">
        <v>44976</v>
      </c>
      <c r="H180">
        <v>2023</v>
      </c>
      <c r="I180" t="s">
        <v>104</v>
      </c>
      <c r="J180">
        <v>5000000</v>
      </c>
      <c r="K180">
        <v>205750.49</v>
      </c>
      <c r="L180">
        <v>0</v>
      </c>
      <c r="M180">
        <v>205750.49</v>
      </c>
      <c r="N180">
        <v>21340.98</v>
      </c>
      <c r="O180">
        <v>0</v>
      </c>
      <c r="P180">
        <v>21340.98</v>
      </c>
      <c r="Q180">
        <v>289025.38</v>
      </c>
      <c r="R180" t="s">
        <v>9651</v>
      </c>
    </row>
    <row r="181" spans="1:18" ht="12.75" customHeight="1" x14ac:dyDescent="0.2">
      <c r="A181" t="s">
        <v>9861</v>
      </c>
      <c r="B181" t="s">
        <v>239</v>
      </c>
      <c r="C181" s="7">
        <v>44515</v>
      </c>
      <c r="D181" s="7">
        <v>45325</v>
      </c>
      <c r="E181">
        <v>2021</v>
      </c>
      <c r="F181" s="7" t="s">
        <v>9862</v>
      </c>
      <c r="G181" s="7">
        <v>44210</v>
      </c>
      <c r="H181">
        <v>2021</v>
      </c>
      <c r="I181" t="s">
        <v>101</v>
      </c>
      <c r="J181">
        <v>5000000</v>
      </c>
      <c r="K181">
        <v>124358.7</v>
      </c>
      <c r="L181">
        <v>98425.41</v>
      </c>
      <c r="M181">
        <v>222784.11</v>
      </c>
      <c r="N181">
        <v>35776.839999999997</v>
      </c>
      <c r="O181">
        <v>14226.99</v>
      </c>
      <c r="P181">
        <v>50003.83</v>
      </c>
      <c r="Q181">
        <v>272787.94</v>
      </c>
      <c r="R181" t="s">
        <v>9863</v>
      </c>
    </row>
    <row r="182" spans="1:18" ht="12.75" customHeight="1" x14ac:dyDescent="0.2">
      <c r="A182" t="s">
        <v>9864</v>
      </c>
      <c r="B182" t="s">
        <v>8293</v>
      </c>
      <c r="C182" s="7">
        <v>45117</v>
      </c>
      <c r="D182" s="7">
        <v>45339</v>
      </c>
      <c r="E182">
        <v>2023</v>
      </c>
      <c r="F182" s="7" t="s">
        <v>9865</v>
      </c>
      <c r="G182" s="7">
        <v>45026</v>
      </c>
      <c r="H182">
        <v>2023</v>
      </c>
      <c r="I182" t="s">
        <v>104</v>
      </c>
      <c r="J182">
        <v>1000000</v>
      </c>
      <c r="K182">
        <v>199877.83</v>
      </c>
      <c r="L182">
        <v>57513.95</v>
      </c>
      <c r="M182">
        <v>257391.78</v>
      </c>
      <c r="N182">
        <v>26909.14</v>
      </c>
      <c r="O182">
        <v>8442.48</v>
      </c>
      <c r="P182">
        <v>35351.620000000003</v>
      </c>
      <c r="Q182">
        <v>292743.40000000002</v>
      </c>
      <c r="R182" t="s">
        <v>9829</v>
      </c>
    </row>
    <row r="183" spans="1:18" ht="12.75" customHeight="1" x14ac:dyDescent="0.2">
      <c r="A183" t="s">
        <v>9866</v>
      </c>
      <c r="B183" t="s">
        <v>623</v>
      </c>
      <c r="C183" s="7">
        <v>45272</v>
      </c>
      <c r="D183" s="7">
        <v>45342</v>
      </c>
      <c r="E183">
        <v>2023</v>
      </c>
      <c r="F183" s="7" t="s">
        <v>9867</v>
      </c>
      <c r="G183" s="7">
        <v>45206</v>
      </c>
      <c r="H183">
        <v>2023</v>
      </c>
      <c r="I183" t="s">
        <v>104</v>
      </c>
      <c r="J183">
        <v>1500000</v>
      </c>
      <c r="K183">
        <v>1500000</v>
      </c>
      <c r="L183">
        <v>0</v>
      </c>
      <c r="M183">
        <v>1500000</v>
      </c>
      <c r="N183">
        <v>320303.46000000002</v>
      </c>
      <c r="O183">
        <v>0</v>
      </c>
      <c r="P183">
        <v>320303.46000000002</v>
      </c>
      <c r="Q183">
        <v>1820303.46</v>
      </c>
      <c r="R183" t="s">
        <v>9868</v>
      </c>
    </row>
    <row r="184" spans="1:18" ht="12.75" customHeight="1" x14ac:dyDescent="0.2">
      <c r="A184" t="s">
        <v>9869</v>
      </c>
      <c r="B184" t="s">
        <v>8181</v>
      </c>
      <c r="C184" s="7">
        <v>45055</v>
      </c>
      <c r="D184" s="7">
        <v>45346</v>
      </c>
      <c r="E184">
        <v>2023</v>
      </c>
      <c r="F184" s="7" t="s">
        <v>9870</v>
      </c>
      <c r="G184" s="7">
        <v>44999</v>
      </c>
      <c r="H184">
        <v>2023</v>
      </c>
      <c r="I184" t="s">
        <v>104</v>
      </c>
      <c r="J184">
        <v>10000000</v>
      </c>
      <c r="K184">
        <v>206858.09</v>
      </c>
      <c r="L184">
        <v>27993.55</v>
      </c>
      <c r="M184">
        <v>234851.64</v>
      </c>
      <c r="N184">
        <v>42970.64</v>
      </c>
      <c r="O184">
        <v>4567.9799999999996</v>
      </c>
      <c r="P184">
        <v>47538.62</v>
      </c>
      <c r="Q184">
        <v>282390.26</v>
      </c>
      <c r="R184" t="s">
        <v>9790</v>
      </c>
    </row>
    <row r="185" spans="1:18" ht="12.75" customHeight="1" x14ac:dyDescent="0.2">
      <c r="A185" t="s">
        <v>9871</v>
      </c>
      <c r="B185" t="s">
        <v>725</v>
      </c>
      <c r="C185" s="7">
        <v>45317</v>
      </c>
      <c r="D185" s="7">
        <v>45350</v>
      </c>
      <c r="E185">
        <v>2024</v>
      </c>
      <c r="F185" s="7" t="s">
        <v>9872</v>
      </c>
      <c r="G185" s="7">
        <v>44960</v>
      </c>
      <c r="H185">
        <v>2023</v>
      </c>
      <c r="I185" t="s">
        <v>104</v>
      </c>
      <c r="J185">
        <v>2000000</v>
      </c>
      <c r="K185">
        <v>548501.37</v>
      </c>
      <c r="L185">
        <v>118753.13</v>
      </c>
      <c r="M185">
        <v>692238.4</v>
      </c>
      <c r="N185">
        <v>153073.31</v>
      </c>
      <c r="O185">
        <v>33562.699999999997</v>
      </c>
      <c r="P185">
        <v>193622.08</v>
      </c>
      <c r="Q185">
        <v>1013523.01</v>
      </c>
      <c r="R185" t="s">
        <v>9598</v>
      </c>
    </row>
    <row r="186" spans="1:18" ht="12.75" customHeight="1" x14ac:dyDescent="0.2">
      <c r="A186" t="s">
        <v>9873</v>
      </c>
      <c r="B186" t="s">
        <v>9874</v>
      </c>
      <c r="C186" s="7">
        <v>44571</v>
      </c>
      <c r="D186" s="7">
        <v>45352</v>
      </c>
      <c r="E186">
        <v>2022</v>
      </c>
      <c r="F186" s="7" t="s">
        <v>9875</v>
      </c>
      <c r="G186" s="7">
        <v>44563</v>
      </c>
      <c r="H186">
        <v>2022</v>
      </c>
      <c r="I186" t="s">
        <v>104</v>
      </c>
      <c r="J186">
        <v>500000</v>
      </c>
      <c r="K186">
        <v>384643.65</v>
      </c>
      <c r="L186">
        <v>0</v>
      </c>
      <c r="M186">
        <v>384643.65</v>
      </c>
      <c r="N186">
        <v>69682.8</v>
      </c>
      <c r="O186">
        <v>0</v>
      </c>
      <c r="P186">
        <v>69682.8</v>
      </c>
      <c r="Q186">
        <v>454326.45</v>
      </c>
      <c r="R186" t="s">
        <v>9723</v>
      </c>
    </row>
    <row r="187" spans="1:18" ht="12.75" customHeight="1" x14ac:dyDescent="0.2">
      <c r="A187" t="s">
        <v>9876</v>
      </c>
      <c r="B187" t="s">
        <v>9377</v>
      </c>
      <c r="C187" s="7">
        <v>44864</v>
      </c>
      <c r="D187" s="7">
        <v>45371</v>
      </c>
      <c r="E187">
        <v>2022</v>
      </c>
      <c r="F187" s="7" t="s">
        <v>9877</v>
      </c>
      <c r="G187" s="7">
        <v>44527</v>
      </c>
      <c r="H187">
        <v>2021</v>
      </c>
      <c r="I187" t="s">
        <v>101</v>
      </c>
      <c r="J187">
        <v>10000000</v>
      </c>
      <c r="K187">
        <v>763448.03</v>
      </c>
      <c r="L187">
        <v>156044.01999999999</v>
      </c>
      <c r="M187">
        <v>919492.05</v>
      </c>
      <c r="N187">
        <v>164887.69</v>
      </c>
      <c r="O187">
        <v>45047.82</v>
      </c>
      <c r="P187">
        <v>209935.51</v>
      </c>
      <c r="Q187">
        <v>1129427.56</v>
      </c>
      <c r="R187" t="s">
        <v>9716</v>
      </c>
    </row>
    <row r="188" spans="1:18" ht="12.75" customHeight="1" x14ac:dyDescent="0.2">
      <c r="A188" t="s">
        <v>9878</v>
      </c>
      <c r="B188" t="s">
        <v>7096</v>
      </c>
      <c r="C188" s="7">
        <v>44894</v>
      </c>
      <c r="D188" s="7">
        <v>45371</v>
      </c>
      <c r="E188">
        <v>2022</v>
      </c>
      <c r="F188" s="7" t="s">
        <v>9879</v>
      </c>
      <c r="G188" s="7">
        <v>44853</v>
      </c>
      <c r="H188">
        <v>2022</v>
      </c>
      <c r="I188" t="s">
        <v>104</v>
      </c>
      <c r="J188">
        <v>1500000</v>
      </c>
      <c r="K188">
        <v>189265.48</v>
      </c>
      <c r="L188">
        <v>65014.69</v>
      </c>
      <c r="M188">
        <v>254280.17</v>
      </c>
      <c r="N188">
        <v>21673.96</v>
      </c>
      <c r="O188">
        <v>5263.27</v>
      </c>
      <c r="P188">
        <v>26937.23</v>
      </c>
      <c r="Q188">
        <v>281217.40000000002</v>
      </c>
      <c r="R188" t="s">
        <v>9790</v>
      </c>
    </row>
    <row r="189" spans="1:18" ht="12.75" customHeight="1" x14ac:dyDescent="0.2">
      <c r="A189" t="s">
        <v>9880</v>
      </c>
      <c r="B189" t="s">
        <v>8396</v>
      </c>
      <c r="C189" s="7">
        <v>45138</v>
      </c>
      <c r="D189" s="7">
        <v>45371</v>
      </c>
      <c r="E189">
        <v>2023</v>
      </c>
      <c r="F189" s="7" t="s">
        <v>9881</v>
      </c>
      <c r="G189" s="7">
        <v>45049</v>
      </c>
      <c r="H189">
        <v>2023</v>
      </c>
      <c r="I189" t="s">
        <v>104</v>
      </c>
      <c r="J189">
        <v>2000000</v>
      </c>
      <c r="K189">
        <v>595181.72</v>
      </c>
      <c r="L189">
        <v>0</v>
      </c>
      <c r="M189">
        <v>595181.72</v>
      </c>
      <c r="N189">
        <v>98460.160000000003</v>
      </c>
      <c r="O189">
        <v>0</v>
      </c>
      <c r="P189">
        <v>98460.160000000003</v>
      </c>
      <c r="Q189">
        <v>693641.88</v>
      </c>
      <c r="R189" t="s">
        <v>9663</v>
      </c>
    </row>
    <row r="190" spans="1:18" ht="12.75" customHeight="1" x14ac:dyDescent="0.2">
      <c r="A190" t="s">
        <v>9882</v>
      </c>
      <c r="B190" t="s">
        <v>8534</v>
      </c>
      <c r="C190" s="7">
        <v>45174</v>
      </c>
      <c r="D190" s="7">
        <v>45371</v>
      </c>
      <c r="E190">
        <v>2023</v>
      </c>
      <c r="F190" s="7" t="s">
        <v>9883</v>
      </c>
      <c r="G190" s="7">
        <v>45077</v>
      </c>
      <c r="H190">
        <v>2023</v>
      </c>
      <c r="I190" t="s">
        <v>101</v>
      </c>
      <c r="J190">
        <v>2000000</v>
      </c>
      <c r="K190">
        <v>93264.06</v>
      </c>
      <c r="L190">
        <v>23392.78</v>
      </c>
      <c r="M190">
        <v>116656.84</v>
      </c>
      <c r="N190">
        <v>26740.99</v>
      </c>
      <c r="O190">
        <v>4934.3500000000004</v>
      </c>
      <c r="P190">
        <v>31675.34</v>
      </c>
      <c r="Q190">
        <v>148332.18</v>
      </c>
      <c r="R190" t="s">
        <v>9531</v>
      </c>
    </row>
    <row r="191" spans="1:18" ht="12.75" customHeight="1" x14ac:dyDescent="0.2">
      <c r="A191" t="s">
        <v>9884</v>
      </c>
      <c r="B191" t="s">
        <v>9885</v>
      </c>
      <c r="C191" s="7">
        <v>44403</v>
      </c>
      <c r="D191" s="7">
        <v>45379</v>
      </c>
      <c r="E191">
        <v>2021</v>
      </c>
      <c r="F191" s="7" t="s">
        <v>9886</v>
      </c>
      <c r="G191" s="7">
        <v>44389</v>
      </c>
      <c r="H191">
        <v>2021</v>
      </c>
      <c r="I191" t="s">
        <v>101</v>
      </c>
      <c r="J191">
        <v>1500000</v>
      </c>
      <c r="K191">
        <v>396419.18</v>
      </c>
      <c r="L191">
        <v>61794.13</v>
      </c>
      <c r="M191">
        <v>458213.31</v>
      </c>
      <c r="N191">
        <v>58750.42</v>
      </c>
      <c r="O191">
        <v>13582.93</v>
      </c>
      <c r="P191">
        <v>72333.350000000006</v>
      </c>
      <c r="Q191">
        <v>530546.66</v>
      </c>
      <c r="R191" t="s">
        <v>9887</v>
      </c>
    </row>
    <row r="192" spans="1:18" ht="12.75" customHeight="1" x14ac:dyDescent="0.2">
      <c r="A192" t="s">
        <v>9888</v>
      </c>
      <c r="B192" t="s">
        <v>6634</v>
      </c>
      <c r="C192" s="7">
        <v>45280</v>
      </c>
      <c r="D192" s="7">
        <v>45381</v>
      </c>
      <c r="E192">
        <v>2023</v>
      </c>
      <c r="F192" s="7" t="s">
        <v>9889</v>
      </c>
      <c r="G192" s="7">
        <v>45058</v>
      </c>
      <c r="H192">
        <v>2023</v>
      </c>
      <c r="I192" t="s">
        <v>104</v>
      </c>
      <c r="J192">
        <v>1500000</v>
      </c>
      <c r="K192">
        <v>197994.62</v>
      </c>
      <c r="L192">
        <v>31960.69</v>
      </c>
      <c r="M192">
        <v>229955.31</v>
      </c>
      <c r="N192">
        <v>36018.629999999997</v>
      </c>
      <c r="O192">
        <v>11259.41</v>
      </c>
      <c r="P192">
        <v>47278.04</v>
      </c>
      <c r="Q192">
        <v>277233.34999999998</v>
      </c>
      <c r="R192" t="s">
        <v>9790</v>
      </c>
    </row>
    <row r="193" spans="1:18" ht="12.75" customHeight="1" x14ac:dyDescent="0.2">
      <c r="A193" t="s">
        <v>9890</v>
      </c>
      <c r="B193" t="s">
        <v>929</v>
      </c>
      <c r="C193" s="7">
        <v>45337</v>
      </c>
      <c r="D193" s="7">
        <v>45386</v>
      </c>
      <c r="E193">
        <v>2024</v>
      </c>
      <c r="F193" s="7" t="s">
        <v>9891</v>
      </c>
      <c r="G193" s="7">
        <v>45111</v>
      </c>
      <c r="H193">
        <v>2023</v>
      </c>
      <c r="I193" t="s">
        <v>101</v>
      </c>
      <c r="J193">
        <v>1500000</v>
      </c>
      <c r="K193">
        <v>145728.14000000001</v>
      </c>
      <c r="L193">
        <v>0</v>
      </c>
      <c r="M193">
        <v>145728.14000000001</v>
      </c>
      <c r="N193">
        <v>15162.17</v>
      </c>
      <c r="O193">
        <v>0</v>
      </c>
      <c r="P193">
        <v>15162.17</v>
      </c>
      <c r="Q193">
        <v>235210.08</v>
      </c>
      <c r="R193" t="s">
        <v>9426</v>
      </c>
    </row>
    <row r="194" spans="1:18" ht="12.75" customHeight="1" x14ac:dyDescent="0.2">
      <c r="A194" t="s">
        <v>9892</v>
      </c>
      <c r="B194" t="s">
        <v>6751</v>
      </c>
      <c r="C194" s="7">
        <v>44292</v>
      </c>
      <c r="D194" s="7">
        <v>45387</v>
      </c>
      <c r="E194">
        <v>2021</v>
      </c>
      <c r="F194" s="7" t="s">
        <v>9893</v>
      </c>
      <c r="G194" s="7">
        <v>44001</v>
      </c>
      <c r="H194">
        <v>2020</v>
      </c>
      <c r="I194" t="s">
        <v>101</v>
      </c>
      <c r="J194">
        <v>1500000</v>
      </c>
      <c r="K194">
        <v>112647.82</v>
      </c>
      <c r="L194">
        <v>22228.07</v>
      </c>
      <c r="M194">
        <v>134875.89000000001</v>
      </c>
      <c r="N194">
        <v>19761.68</v>
      </c>
      <c r="O194">
        <v>4307.58</v>
      </c>
      <c r="P194">
        <v>24069.26</v>
      </c>
      <c r="Q194">
        <v>158945.15</v>
      </c>
      <c r="R194" t="s">
        <v>9464</v>
      </c>
    </row>
    <row r="195" spans="1:18" ht="12.75" customHeight="1" x14ac:dyDescent="0.2">
      <c r="A195" t="s">
        <v>9894</v>
      </c>
      <c r="B195" t="s">
        <v>516</v>
      </c>
      <c r="C195" s="7">
        <v>45229</v>
      </c>
      <c r="D195" s="7">
        <v>45388</v>
      </c>
      <c r="E195">
        <v>2023</v>
      </c>
      <c r="F195" s="7" t="s">
        <v>9895</v>
      </c>
      <c r="G195" s="7">
        <v>45041</v>
      </c>
      <c r="H195">
        <v>2023</v>
      </c>
      <c r="I195" t="s">
        <v>101</v>
      </c>
      <c r="J195">
        <v>5000000</v>
      </c>
      <c r="K195">
        <v>2554511.02</v>
      </c>
      <c r="L195">
        <v>0</v>
      </c>
      <c r="M195">
        <v>2554511.02</v>
      </c>
      <c r="N195">
        <v>679516.69</v>
      </c>
      <c r="O195">
        <v>0</v>
      </c>
      <c r="P195">
        <v>679516.69</v>
      </c>
      <c r="Q195">
        <v>3234027.71</v>
      </c>
      <c r="R195" t="s">
        <v>9896</v>
      </c>
    </row>
    <row r="196" spans="1:18" ht="12.75" customHeight="1" x14ac:dyDescent="0.2">
      <c r="A196" t="s">
        <v>9897</v>
      </c>
      <c r="B196" t="s">
        <v>261</v>
      </c>
      <c r="C196" s="7">
        <v>45035</v>
      </c>
      <c r="D196" s="7">
        <v>45392</v>
      </c>
      <c r="E196">
        <v>2023</v>
      </c>
      <c r="F196" s="7" t="s">
        <v>9898</v>
      </c>
      <c r="G196" s="7">
        <v>44971</v>
      </c>
      <c r="H196">
        <v>2023</v>
      </c>
      <c r="I196" t="s">
        <v>104</v>
      </c>
      <c r="J196">
        <v>10000000</v>
      </c>
      <c r="K196">
        <v>244903.34</v>
      </c>
      <c r="L196">
        <v>133565.42000000001</v>
      </c>
      <c r="M196">
        <v>378468.76</v>
      </c>
      <c r="N196">
        <v>59730.66</v>
      </c>
      <c r="O196">
        <v>42574.46</v>
      </c>
      <c r="P196">
        <v>102305.12</v>
      </c>
      <c r="Q196">
        <v>480773.88</v>
      </c>
      <c r="R196" t="s">
        <v>9899</v>
      </c>
    </row>
    <row r="197" spans="1:18" ht="12.75" customHeight="1" x14ac:dyDescent="0.2">
      <c r="A197" t="s">
        <v>9900</v>
      </c>
      <c r="B197" t="s">
        <v>146</v>
      </c>
      <c r="C197" s="7">
        <v>45223</v>
      </c>
      <c r="D197" s="7">
        <v>45394</v>
      </c>
      <c r="E197">
        <v>2023</v>
      </c>
      <c r="F197" s="7" t="s">
        <v>9901</v>
      </c>
      <c r="G197" s="7">
        <v>44997</v>
      </c>
      <c r="H197">
        <v>2023</v>
      </c>
      <c r="I197" t="s">
        <v>101</v>
      </c>
      <c r="J197">
        <v>1500000</v>
      </c>
      <c r="K197">
        <v>255937.04</v>
      </c>
      <c r="L197">
        <v>27410.13</v>
      </c>
      <c r="M197">
        <v>283347.17</v>
      </c>
      <c r="N197">
        <v>37125.68</v>
      </c>
      <c r="O197">
        <v>3344.18</v>
      </c>
      <c r="P197">
        <v>40469.86</v>
      </c>
      <c r="Q197">
        <v>323817.03000000003</v>
      </c>
      <c r="R197" t="s">
        <v>9706</v>
      </c>
    </row>
    <row r="198" spans="1:18" ht="12.75" customHeight="1" x14ac:dyDescent="0.2">
      <c r="A198" t="s">
        <v>9902</v>
      </c>
      <c r="B198" t="s">
        <v>889</v>
      </c>
      <c r="C198" s="7">
        <v>45379</v>
      </c>
      <c r="D198" s="7">
        <v>45398</v>
      </c>
      <c r="E198">
        <v>2024</v>
      </c>
      <c r="F198" s="7" t="s">
        <v>9903</v>
      </c>
      <c r="G198" s="7">
        <v>45086</v>
      </c>
      <c r="H198">
        <v>2023</v>
      </c>
      <c r="I198" t="s">
        <v>101</v>
      </c>
      <c r="J198">
        <v>10000000</v>
      </c>
      <c r="K198">
        <v>289005.34000000003</v>
      </c>
      <c r="L198">
        <v>0</v>
      </c>
      <c r="M198">
        <v>289005.34000000003</v>
      </c>
      <c r="N198">
        <v>58787.32</v>
      </c>
      <c r="O198">
        <v>0</v>
      </c>
      <c r="P198">
        <v>58787.32</v>
      </c>
      <c r="Q198">
        <v>253101.57</v>
      </c>
      <c r="R198" t="s">
        <v>9904</v>
      </c>
    </row>
    <row r="199" spans="1:18" ht="12.75" customHeight="1" x14ac:dyDescent="0.2">
      <c r="A199" t="s">
        <v>9905</v>
      </c>
      <c r="B199" t="s">
        <v>7120</v>
      </c>
      <c r="C199" s="7">
        <v>44521</v>
      </c>
      <c r="D199" s="7">
        <v>45399</v>
      </c>
      <c r="E199">
        <v>2021</v>
      </c>
      <c r="F199" s="7" t="s">
        <v>9906</v>
      </c>
      <c r="G199" s="7">
        <v>44174</v>
      </c>
      <c r="H199">
        <v>2020</v>
      </c>
      <c r="I199" t="s">
        <v>101</v>
      </c>
      <c r="J199">
        <v>1500000</v>
      </c>
      <c r="K199">
        <v>149244.79</v>
      </c>
      <c r="L199">
        <v>0</v>
      </c>
      <c r="M199">
        <v>149244.79</v>
      </c>
      <c r="N199">
        <v>43348.83</v>
      </c>
      <c r="O199">
        <v>0</v>
      </c>
      <c r="P199">
        <v>43348.83</v>
      </c>
      <c r="Q199">
        <v>192593.62</v>
      </c>
      <c r="R199" t="s">
        <v>9449</v>
      </c>
    </row>
    <row r="200" spans="1:18" ht="12.75" customHeight="1" x14ac:dyDescent="0.2">
      <c r="A200" t="s">
        <v>9907</v>
      </c>
      <c r="B200" t="s">
        <v>6372</v>
      </c>
      <c r="C200" s="7">
        <v>45157</v>
      </c>
      <c r="D200" s="7">
        <v>45404</v>
      </c>
      <c r="E200">
        <v>2023</v>
      </c>
      <c r="F200" s="7" t="s">
        <v>9908</v>
      </c>
      <c r="G200" s="7">
        <v>44943</v>
      </c>
      <c r="H200">
        <v>2023</v>
      </c>
      <c r="I200" t="s">
        <v>104</v>
      </c>
      <c r="J200">
        <v>1500000</v>
      </c>
      <c r="K200">
        <v>112698.36</v>
      </c>
      <c r="L200">
        <v>0</v>
      </c>
      <c r="M200">
        <v>112698.36</v>
      </c>
      <c r="N200">
        <v>26779.35</v>
      </c>
      <c r="O200">
        <v>0</v>
      </c>
      <c r="P200">
        <v>26779.35</v>
      </c>
      <c r="Q200">
        <v>139477.71</v>
      </c>
      <c r="R200" t="s">
        <v>9498</v>
      </c>
    </row>
    <row r="201" spans="1:18" ht="12.75" customHeight="1" x14ac:dyDescent="0.2">
      <c r="A201" t="s">
        <v>9909</v>
      </c>
      <c r="B201" t="s">
        <v>8560</v>
      </c>
      <c r="C201" s="7">
        <v>44743</v>
      </c>
      <c r="D201" s="7">
        <v>45406</v>
      </c>
      <c r="E201">
        <v>2022</v>
      </c>
      <c r="F201" s="7" t="s">
        <v>9910</v>
      </c>
      <c r="G201" s="7">
        <v>44720</v>
      </c>
      <c r="H201">
        <v>2022</v>
      </c>
      <c r="I201" t="s">
        <v>101</v>
      </c>
      <c r="J201">
        <v>1500000</v>
      </c>
      <c r="K201">
        <v>446395.99</v>
      </c>
      <c r="L201">
        <v>11015.76</v>
      </c>
      <c r="M201">
        <v>457411.75</v>
      </c>
      <c r="N201">
        <v>97253.55</v>
      </c>
      <c r="O201">
        <v>2732.11</v>
      </c>
      <c r="P201">
        <v>99985.66</v>
      </c>
      <c r="Q201">
        <v>557397.41</v>
      </c>
      <c r="R201" t="s">
        <v>9911</v>
      </c>
    </row>
    <row r="202" spans="1:18" ht="12.75" customHeight="1" x14ac:dyDescent="0.2">
      <c r="A202" t="s">
        <v>9912</v>
      </c>
      <c r="B202" t="s">
        <v>6979</v>
      </c>
      <c r="C202" s="7">
        <v>45213</v>
      </c>
      <c r="D202" s="7">
        <v>45412</v>
      </c>
      <c r="E202">
        <v>2023</v>
      </c>
      <c r="F202" s="7" t="s">
        <v>9913</v>
      </c>
      <c r="G202" s="7">
        <v>45190</v>
      </c>
      <c r="H202">
        <v>2023</v>
      </c>
      <c r="I202" t="s">
        <v>101</v>
      </c>
      <c r="J202">
        <v>1500000</v>
      </c>
      <c r="K202">
        <v>184481.82</v>
      </c>
      <c r="L202">
        <v>24971.18</v>
      </c>
      <c r="M202">
        <v>209453</v>
      </c>
      <c r="N202">
        <v>40205.29</v>
      </c>
      <c r="O202">
        <v>8274.3700000000008</v>
      </c>
      <c r="P202">
        <v>48479.66</v>
      </c>
      <c r="Q202">
        <v>257932.66</v>
      </c>
      <c r="R202" t="s">
        <v>9589</v>
      </c>
    </row>
    <row r="203" spans="1:18" ht="12.75" customHeight="1" x14ac:dyDescent="0.2">
      <c r="A203" t="s">
        <v>9914</v>
      </c>
      <c r="B203" t="s">
        <v>9915</v>
      </c>
      <c r="C203" s="7">
        <v>45291</v>
      </c>
      <c r="D203" s="7">
        <v>45426</v>
      </c>
      <c r="E203">
        <v>2023</v>
      </c>
      <c r="F203" s="7" t="s">
        <v>9916</v>
      </c>
      <c r="G203" s="7">
        <v>45128</v>
      </c>
      <c r="H203">
        <v>2023</v>
      </c>
      <c r="I203" t="s">
        <v>101</v>
      </c>
      <c r="J203">
        <v>1500000</v>
      </c>
      <c r="K203">
        <v>525081.97</v>
      </c>
      <c r="L203">
        <v>55629.090000000098</v>
      </c>
      <c r="M203">
        <v>580711.06000000006</v>
      </c>
      <c r="N203">
        <v>59482.73</v>
      </c>
      <c r="O203">
        <v>8226.98</v>
      </c>
      <c r="P203">
        <v>67709.710000000006</v>
      </c>
      <c r="Q203">
        <v>648420.77</v>
      </c>
      <c r="R203" t="s">
        <v>9406</v>
      </c>
    </row>
    <row r="204" spans="1:18" ht="12.75" customHeight="1" x14ac:dyDescent="0.2">
      <c r="A204" t="s">
        <v>9917</v>
      </c>
      <c r="B204" t="s">
        <v>129</v>
      </c>
      <c r="C204" s="7">
        <v>45397</v>
      </c>
      <c r="D204" s="7">
        <v>45440</v>
      </c>
      <c r="E204">
        <v>2024</v>
      </c>
      <c r="F204" s="7" t="s">
        <v>9918</v>
      </c>
      <c r="G204" s="7">
        <v>45183</v>
      </c>
      <c r="H204">
        <v>2023</v>
      </c>
      <c r="I204" t="s">
        <v>101</v>
      </c>
      <c r="J204">
        <v>10000000</v>
      </c>
      <c r="K204">
        <v>166845.66</v>
      </c>
      <c r="L204">
        <v>47596.28</v>
      </c>
      <c r="M204">
        <v>214441.94</v>
      </c>
      <c r="N204">
        <v>45315.91</v>
      </c>
      <c r="O204">
        <v>12890.33</v>
      </c>
      <c r="P204">
        <v>58206.239999999998</v>
      </c>
      <c r="Q204">
        <v>272648.18</v>
      </c>
      <c r="R204" t="s">
        <v>9863</v>
      </c>
    </row>
    <row r="205" spans="1:18" ht="12.75" customHeight="1" x14ac:dyDescent="0.2">
      <c r="A205" t="s">
        <v>9919</v>
      </c>
      <c r="B205" t="s">
        <v>363</v>
      </c>
      <c r="C205" s="7">
        <v>44770</v>
      </c>
      <c r="D205" s="7">
        <v>45446</v>
      </c>
      <c r="E205">
        <v>2022</v>
      </c>
      <c r="F205" s="7" t="s">
        <v>9920</v>
      </c>
      <c r="G205" s="7">
        <v>44419</v>
      </c>
      <c r="H205">
        <v>2021</v>
      </c>
      <c r="I205" t="s">
        <v>104</v>
      </c>
      <c r="J205">
        <v>5000000</v>
      </c>
      <c r="K205">
        <v>345946.59</v>
      </c>
      <c r="L205">
        <v>0</v>
      </c>
      <c r="M205">
        <v>345946.59</v>
      </c>
      <c r="N205">
        <v>85838.44</v>
      </c>
      <c r="O205">
        <v>0</v>
      </c>
      <c r="P205">
        <v>85838.44</v>
      </c>
      <c r="Q205">
        <v>431785.03</v>
      </c>
      <c r="R205" t="s">
        <v>9761</v>
      </c>
    </row>
    <row r="206" spans="1:18" ht="12.75" customHeight="1" x14ac:dyDescent="0.2">
      <c r="A206" t="s">
        <v>9921</v>
      </c>
      <c r="B206" t="s">
        <v>192</v>
      </c>
      <c r="C206" s="7">
        <v>44241</v>
      </c>
      <c r="D206" s="7">
        <v>45453</v>
      </c>
      <c r="E206">
        <v>2021</v>
      </c>
      <c r="F206" s="7" t="s">
        <v>9922</v>
      </c>
      <c r="G206" s="7">
        <v>43906</v>
      </c>
      <c r="H206">
        <v>2020</v>
      </c>
      <c r="I206" t="s">
        <v>101</v>
      </c>
      <c r="J206">
        <v>5000000</v>
      </c>
      <c r="K206">
        <v>164594.01</v>
      </c>
      <c r="L206">
        <v>123558.72</v>
      </c>
      <c r="M206">
        <v>288152.73</v>
      </c>
      <c r="N206">
        <v>23309.32</v>
      </c>
      <c r="O206">
        <v>20768.38</v>
      </c>
      <c r="P206">
        <v>44077.7</v>
      </c>
      <c r="Q206">
        <v>332230.43</v>
      </c>
      <c r="R206" t="s">
        <v>9439</v>
      </c>
    </row>
    <row r="207" spans="1:18" ht="12.75" customHeight="1" x14ac:dyDescent="0.2">
      <c r="A207" t="s">
        <v>9923</v>
      </c>
      <c r="B207" t="s">
        <v>9354</v>
      </c>
      <c r="C207" s="7">
        <v>45123</v>
      </c>
      <c r="D207" s="7">
        <v>45454</v>
      </c>
      <c r="E207">
        <v>2023</v>
      </c>
      <c r="F207" s="7" t="s">
        <v>9924</v>
      </c>
      <c r="G207" s="7">
        <v>44886</v>
      </c>
      <c r="H207">
        <v>2022</v>
      </c>
      <c r="I207" t="s">
        <v>101</v>
      </c>
      <c r="J207">
        <v>10000000</v>
      </c>
      <c r="K207">
        <v>612636.68999999994</v>
      </c>
      <c r="L207">
        <v>712459.48</v>
      </c>
      <c r="M207">
        <v>1325096.17</v>
      </c>
      <c r="N207">
        <v>77481.78</v>
      </c>
      <c r="O207">
        <v>68760.53</v>
      </c>
      <c r="P207">
        <v>146242.31</v>
      </c>
      <c r="Q207">
        <v>1471338.48</v>
      </c>
      <c r="R207" t="s">
        <v>9925</v>
      </c>
    </row>
    <row r="208" spans="1:18" ht="12.75" customHeight="1" x14ac:dyDescent="0.2">
      <c r="A208" t="s">
        <v>9926</v>
      </c>
      <c r="B208" t="s">
        <v>329</v>
      </c>
      <c r="C208" s="7">
        <v>44599</v>
      </c>
      <c r="D208" s="7">
        <v>45460</v>
      </c>
      <c r="E208">
        <v>2022</v>
      </c>
      <c r="F208" s="7" t="s">
        <v>9927</v>
      </c>
      <c r="G208" s="7">
        <v>44354</v>
      </c>
      <c r="H208">
        <v>2021</v>
      </c>
      <c r="I208" t="s">
        <v>104</v>
      </c>
      <c r="J208">
        <v>1000000</v>
      </c>
      <c r="K208">
        <v>35779.46</v>
      </c>
      <c r="L208">
        <v>71330.45</v>
      </c>
      <c r="M208">
        <v>107109.91</v>
      </c>
      <c r="N208">
        <v>13539.44</v>
      </c>
      <c r="O208">
        <v>22634.75</v>
      </c>
      <c r="P208">
        <v>36174.19</v>
      </c>
      <c r="Q208">
        <v>143284.1</v>
      </c>
      <c r="R208" t="s">
        <v>9928</v>
      </c>
    </row>
    <row r="209" spans="1:18" ht="12.75" customHeight="1" x14ac:dyDescent="0.2">
      <c r="A209" t="s">
        <v>9929</v>
      </c>
      <c r="B209" t="s">
        <v>7024</v>
      </c>
      <c r="C209" s="7">
        <v>45388</v>
      </c>
      <c r="D209" s="7">
        <v>45461</v>
      </c>
      <c r="E209">
        <v>2024</v>
      </c>
      <c r="F209" s="7" t="s">
        <v>9930</v>
      </c>
      <c r="G209" s="7">
        <v>45199</v>
      </c>
      <c r="H209">
        <v>2023</v>
      </c>
      <c r="I209" t="s">
        <v>101</v>
      </c>
      <c r="J209">
        <v>500000</v>
      </c>
      <c r="K209">
        <v>110748.03</v>
      </c>
      <c r="L209">
        <v>0</v>
      </c>
      <c r="M209">
        <v>110748.03</v>
      </c>
      <c r="N209">
        <v>12605.53</v>
      </c>
      <c r="O209">
        <v>0</v>
      </c>
      <c r="P209">
        <v>12605.53</v>
      </c>
      <c r="Q209">
        <v>123353.56</v>
      </c>
      <c r="R209" t="s">
        <v>9550</v>
      </c>
    </row>
    <row r="210" spans="1:18" ht="12.75" customHeight="1" x14ac:dyDescent="0.2">
      <c r="A210" t="s">
        <v>9931</v>
      </c>
      <c r="B210" t="s">
        <v>9298</v>
      </c>
      <c r="C210" s="7">
        <v>45431</v>
      </c>
      <c r="D210" s="7">
        <v>45462</v>
      </c>
      <c r="E210">
        <v>2024</v>
      </c>
      <c r="F210" s="7" t="s">
        <v>9932</v>
      </c>
      <c r="G210" s="7">
        <v>45240</v>
      </c>
      <c r="H210">
        <v>2023</v>
      </c>
      <c r="I210" t="s">
        <v>101</v>
      </c>
      <c r="J210">
        <v>5000000</v>
      </c>
      <c r="K210">
        <v>78497.259999999995</v>
      </c>
      <c r="L210">
        <v>39808.68</v>
      </c>
      <c r="M210">
        <v>118305.94</v>
      </c>
      <c r="N210">
        <v>22885.35</v>
      </c>
      <c r="O210">
        <v>10315.83</v>
      </c>
      <c r="P210">
        <v>33201.18</v>
      </c>
      <c r="Q210">
        <v>151507.12</v>
      </c>
      <c r="R210" t="s">
        <v>9457</v>
      </c>
    </row>
    <row r="211" spans="1:18" ht="12.75" customHeight="1" x14ac:dyDescent="0.2">
      <c r="A211" t="s">
        <v>9933</v>
      </c>
      <c r="B211" t="s">
        <v>8514</v>
      </c>
      <c r="C211" s="7">
        <v>45323</v>
      </c>
      <c r="D211" s="7">
        <v>45465</v>
      </c>
      <c r="E211">
        <v>2024</v>
      </c>
      <c r="F211" s="7" t="s">
        <v>9934</v>
      </c>
      <c r="G211" s="7">
        <v>45072</v>
      </c>
      <c r="H211">
        <v>2023</v>
      </c>
      <c r="I211" t="s">
        <v>101</v>
      </c>
      <c r="J211">
        <v>5000000</v>
      </c>
      <c r="K211">
        <v>73028.759999999995</v>
      </c>
      <c r="L211">
        <v>107019.23</v>
      </c>
      <c r="M211">
        <v>180047.99</v>
      </c>
      <c r="N211">
        <v>21932.94</v>
      </c>
      <c r="O211">
        <v>19096.04</v>
      </c>
      <c r="P211">
        <v>41028.980000000003</v>
      </c>
      <c r="Q211">
        <v>221076.97</v>
      </c>
      <c r="R211" t="s">
        <v>9666</v>
      </c>
    </row>
    <row r="212" spans="1:18" ht="12.75" customHeight="1" x14ac:dyDescent="0.2">
      <c r="A212" t="s">
        <v>9935</v>
      </c>
      <c r="B212" t="s">
        <v>8142</v>
      </c>
      <c r="C212" s="7">
        <v>45419</v>
      </c>
      <c r="D212" s="7">
        <v>45472</v>
      </c>
      <c r="E212">
        <v>2024</v>
      </c>
      <c r="F212" s="7" t="s">
        <v>2240</v>
      </c>
      <c r="G212" s="7">
        <v>45352</v>
      </c>
      <c r="H212">
        <v>2024</v>
      </c>
      <c r="I212" t="s">
        <v>104</v>
      </c>
      <c r="J212">
        <v>2000000</v>
      </c>
      <c r="K212">
        <v>432568.05</v>
      </c>
      <c r="L212">
        <v>156375.41</v>
      </c>
      <c r="M212">
        <v>588943.46</v>
      </c>
      <c r="N212">
        <v>42391.43</v>
      </c>
      <c r="O212">
        <v>14194.04</v>
      </c>
      <c r="P212">
        <v>56585.47</v>
      </c>
      <c r="Q212">
        <v>645528.93000000005</v>
      </c>
      <c r="R212" t="s">
        <v>9406</v>
      </c>
    </row>
    <row r="213" spans="1:18" ht="12.75" customHeight="1" x14ac:dyDescent="0.2">
      <c r="A213" t="s">
        <v>9936</v>
      </c>
      <c r="B213" t="s">
        <v>180</v>
      </c>
      <c r="C213" s="7">
        <v>45422</v>
      </c>
      <c r="D213" s="7">
        <v>45477</v>
      </c>
      <c r="E213">
        <v>2024</v>
      </c>
      <c r="F213" s="7" t="s">
        <v>9937</v>
      </c>
      <c r="G213" s="7">
        <v>45251</v>
      </c>
      <c r="H213">
        <v>2023</v>
      </c>
      <c r="I213" t="s">
        <v>104</v>
      </c>
      <c r="J213">
        <v>1500000</v>
      </c>
      <c r="K213">
        <v>202981.63</v>
      </c>
      <c r="L213">
        <v>190146.78</v>
      </c>
      <c r="M213">
        <v>393128.41</v>
      </c>
      <c r="N213">
        <v>25569.15</v>
      </c>
      <c r="O213">
        <v>23868.19</v>
      </c>
      <c r="P213">
        <v>49437.34</v>
      </c>
      <c r="Q213">
        <v>442565.75</v>
      </c>
      <c r="R213" t="s">
        <v>9571</v>
      </c>
    </row>
    <row r="214" spans="1:18" ht="12.75" customHeight="1" x14ac:dyDescent="0.2">
      <c r="A214" t="s">
        <v>9938</v>
      </c>
      <c r="B214" t="s">
        <v>8223</v>
      </c>
      <c r="C214" s="7">
        <v>45275</v>
      </c>
      <c r="D214" s="7">
        <v>45487</v>
      </c>
      <c r="E214">
        <v>2023</v>
      </c>
      <c r="F214" s="7" t="s">
        <v>9939</v>
      </c>
      <c r="G214" s="7">
        <v>45012</v>
      </c>
      <c r="H214">
        <v>2023</v>
      </c>
      <c r="I214" t="s">
        <v>101</v>
      </c>
      <c r="J214">
        <v>2000000</v>
      </c>
      <c r="K214">
        <v>165591.5</v>
      </c>
      <c r="L214">
        <v>0</v>
      </c>
      <c r="M214">
        <v>165591.5</v>
      </c>
      <c r="N214">
        <v>38066.589999999997</v>
      </c>
      <c r="O214">
        <v>0</v>
      </c>
      <c r="P214">
        <v>38066.589999999997</v>
      </c>
      <c r="Q214">
        <v>203658.09</v>
      </c>
      <c r="R214" t="s">
        <v>9613</v>
      </c>
    </row>
    <row r="215" spans="1:18" ht="12.75" customHeight="1" x14ac:dyDescent="0.2">
      <c r="A215" t="s">
        <v>9940</v>
      </c>
      <c r="B215" t="s">
        <v>183</v>
      </c>
      <c r="C215" s="7">
        <v>45451</v>
      </c>
      <c r="D215" s="7">
        <v>45490</v>
      </c>
      <c r="E215">
        <v>2024</v>
      </c>
      <c r="F215" s="7" t="s">
        <v>1507</v>
      </c>
      <c r="G215" s="7">
        <v>45309</v>
      </c>
      <c r="H215">
        <v>2024</v>
      </c>
      <c r="I215" t="s">
        <v>101</v>
      </c>
      <c r="J215">
        <v>1500000</v>
      </c>
      <c r="K215">
        <v>627607.41</v>
      </c>
      <c r="L215">
        <v>553953.47</v>
      </c>
      <c r="M215">
        <v>1181560.8799999999</v>
      </c>
      <c r="N215">
        <v>157623.28</v>
      </c>
      <c r="O215">
        <v>147832.26</v>
      </c>
      <c r="P215">
        <v>305455.53999999998</v>
      </c>
      <c r="Q215">
        <v>1487016.42</v>
      </c>
      <c r="R215" t="s">
        <v>9810</v>
      </c>
    </row>
    <row r="216" spans="1:18" ht="12.75" customHeight="1" x14ac:dyDescent="0.2">
      <c r="A216" t="s">
        <v>9941</v>
      </c>
      <c r="B216" t="s">
        <v>6641</v>
      </c>
      <c r="C216" s="7">
        <v>45122</v>
      </c>
      <c r="D216" s="7">
        <v>45494</v>
      </c>
      <c r="E216">
        <v>2023</v>
      </c>
      <c r="F216" s="7" t="s">
        <v>9942</v>
      </c>
      <c r="G216" s="7">
        <v>45061</v>
      </c>
      <c r="H216">
        <v>2023</v>
      </c>
      <c r="I216" t="s">
        <v>101</v>
      </c>
      <c r="J216">
        <v>1000000</v>
      </c>
      <c r="K216">
        <v>429839.26</v>
      </c>
      <c r="L216">
        <v>71731.97</v>
      </c>
      <c r="M216">
        <v>501571.23</v>
      </c>
      <c r="N216">
        <v>83032.990000000005</v>
      </c>
      <c r="O216">
        <v>14709.76</v>
      </c>
      <c r="P216">
        <v>97742.75</v>
      </c>
      <c r="Q216">
        <v>599313.98</v>
      </c>
      <c r="R216" t="s">
        <v>9754</v>
      </c>
    </row>
    <row r="217" spans="1:18" ht="12.75" customHeight="1" x14ac:dyDescent="0.2">
      <c r="A217" t="s">
        <v>9943</v>
      </c>
      <c r="B217" t="s">
        <v>9235</v>
      </c>
      <c r="C217" s="7">
        <v>45424</v>
      </c>
      <c r="D217" s="7">
        <v>45494</v>
      </c>
      <c r="E217">
        <v>2024</v>
      </c>
      <c r="F217" s="7" t="s">
        <v>9944</v>
      </c>
      <c r="G217" s="7">
        <v>45225</v>
      </c>
      <c r="H217">
        <v>2023</v>
      </c>
      <c r="I217" t="s">
        <v>101</v>
      </c>
      <c r="J217">
        <v>5000000</v>
      </c>
      <c r="K217">
        <v>2917532.36</v>
      </c>
      <c r="L217">
        <v>337791.94</v>
      </c>
      <c r="M217">
        <v>3255324.3</v>
      </c>
      <c r="N217">
        <v>737950.36</v>
      </c>
      <c r="O217">
        <v>79557.48</v>
      </c>
      <c r="P217">
        <v>817507.83999999997</v>
      </c>
      <c r="Q217">
        <v>4072832.14</v>
      </c>
      <c r="R217" t="s">
        <v>9984</v>
      </c>
    </row>
    <row r="218" spans="1:18" ht="12.75" customHeight="1" x14ac:dyDescent="0.2">
      <c r="A218" t="s">
        <v>9945</v>
      </c>
      <c r="B218" t="s">
        <v>6924</v>
      </c>
      <c r="C218" s="7">
        <v>45290</v>
      </c>
      <c r="D218" s="7">
        <v>45500</v>
      </c>
      <c r="E218">
        <v>2023</v>
      </c>
      <c r="F218" s="7" t="s">
        <v>7315</v>
      </c>
      <c r="G218" s="7">
        <v>45173</v>
      </c>
      <c r="H218">
        <v>2023</v>
      </c>
      <c r="I218" t="s">
        <v>101</v>
      </c>
      <c r="J218">
        <v>1500000</v>
      </c>
      <c r="K218">
        <v>56803.19</v>
      </c>
      <c r="L218">
        <v>182974.8</v>
      </c>
      <c r="M218">
        <v>239777.99</v>
      </c>
      <c r="N218">
        <v>23438.97</v>
      </c>
      <c r="O218">
        <v>37937.019999999997</v>
      </c>
      <c r="P218">
        <v>61375.99</v>
      </c>
      <c r="Q218">
        <v>301153.98</v>
      </c>
      <c r="R218" t="s">
        <v>9484</v>
      </c>
    </row>
    <row r="219" spans="1:18" ht="12.75" customHeight="1" x14ac:dyDescent="0.2">
      <c r="A219" t="s">
        <v>9946</v>
      </c>
      <c r="B219" t="s">
        <v>8572</v>
      </c>
      <c r="C219" s="7">
        <v>45214</v>
      </c>
      <c r="D219" s="7">
        <v>45501</v>
      </c>
      <c r="E219">
        <v>2023</v>
      </c>
      <c r="F219" s="7" t="s">
        <v>9947</v>
      </c>
      <c r="G219" s="7">
        <v>45088</v>
      </c>
      <c r="H219">
        <v>2023</v>
      </c>
      <c r="I219" t="s">
        <v>104</v>
      </c>
      <c r="J219">
        <v>5000000</v>
      </c>
      <c r="K219">
        <v>0</v>
      </c>
      <c r="L219">
        <v>856839.47</v>
      </c>
      <c r="M219">
        <v>856839.47</v>
      </c>
      <c r="N219">
        <v>0</v>
      </c>
      <c r="O219">
        <v>162868.81</v>
      </c>
      <c r="P219">
        <v>162868.81</v>
      </c>
      <c r="Q219">
        <v>1019708.28</v>
      </c>
      <c r="R219" t="s">
        <v>9654</v>
      </c>
    </row>
    <row r="220" spans="1:18" ht="12.75" customHeight="1" x14ac:dyDescent="0.2">
      <c r="A220" t="s">
        <v>9948</v>
      </c>
      <c r="B220" t="s">
        <v>2418</v>
      </c>
      <c r="C220" s="7">
        <v>45459</v>
      </c>
      <c r="D220" s="7">
        <v>45502</v>
      </c>
      <c r="E220">
        <v>2024</v>
      </c>
      <c r="F220" s="7" t="s">
        <v>2910</v>
      </c>
      <c r="G220" s="7">
        <v>45396</v>
      </c>
      <c r="H220">
        <v>2024</v>
      </c>
      <c r="I220" t="s">
        <v>101</v>
      </c>
      <c r="J220">
        <v>1000000</v>
      </c>
      <c r="K220">
        <v>81160.78</v>
      </c>
      <c r="L220">
        <v>26566.61</v>
      </c>
      <c r="M220">
        <v>107727.39</v>
      </c>
      <c r="N220">
        <v>19474.189999999999</v>
      </c>
      <c r="O220">
        <v>5186.03</v>
      </c>
      <c r="P220">
        <v>24660.22</v>
      </c>
      <c r="Q220">
        <v>132387.60999999999</v>
      </c>
      <c r="R220" t="s">
        <v>9985</v>
      </c>
    </row>
    <row r="221" spans="1:18" ht="12.75" customHeight="1" x14ac:dyDescent="0.2">
      <c r="A221" t="s">
        <v>9949</v>
      </c>
      <c r="B221" t="s">
        <v>6478</v>
      </c>
      <c r="C221" s="7">
        <v>44868</v>
      </c>
      <c r="D221" s="7">
        <v>45519</v>
      </c>
      <c r="E221">
        <v>2022</v>
      </c>
      <c r="F221" s="7" t="s">
        <v>9950</v>
      </c>
      <c r="G221" s="7">
        <v>44615</v>
      </c>
      <c r="H221">
        <v>2022</v>
      </c>
      <c r="I221" t="s">
        <v>104</v>
      </c>
      <c r="J221">
        <v>1500000</v>
      </c>
      <c r="K221">
        <v>325706.61</v>
      </c>
      <c r="L221">
        <v>308810.33</v>
      </c>
      <c r="M221">
        <v>634516.93999999994</v>
      </c>
      <c r="N221">
        <v>40146.21</v>
      </c>
      <c r="O221">
        <v>37101.949999999997</v>
      </c>
      <c r="P221">
        <v>77248.160000000003</v>
      </c>
      <c r="Q221">
        <v>711765.1</v>
      </c>
      <c r="R221" t="s">
        <v>9687</v>
      </c>
    </row>
    <row r="222" spans="1:18" ht="12.75" customHeight="1" x14ac:dyDescent="0.2">
      <c r="A222" t="s">
        <v>9951</v>
      </c>
      <c r="B222" t="s">
        <v>8977</v>
      </c>
      <c r="C222" s="7">
        <v>44903</v>
      </c>
      <c r="D222" s="7">
        <v>45541</v>
      </c>
      <c r="E222">
        <v>2022</v>
      </c>
      <c r="F222" s="7" t="s">
        <v>9952</v>
      </c>
      <c r="G222" s="7">
        <v>44803</v>
      </c>
      <c r="H222">
        <v>2022</v>
      </c>
      <c r="I222" t="s">
        <v>104</v>
      </c>
      <c r="J222">
        <v>5000000</v>
      </c>
      <c r="K222">
        <v>86790.87</v>
      </c>
      <c r="L222">
        <v>63989.49</v>
      </c>
      <c r="M222">
        <v>150780.35999999999</v>
      </c>
      <c r="N222">
        <v>15407.84</v>
      </c>
      <c r="O222">
        <v>9368.74</v>
      </c>
      <c r="P222">
        <v>24776.58</v>
      </c>
      <c r="Q222">
        <v>175556.94</v>
      </c>
      <c r="R222" t="s">
        <v>9478</v>
      </c>
    </row>
    <row r="223" spans="1:18" ht="12.75" customHeight="1" x14ac:dyDescent="0.2">
      <c r="A223" t="s">
        <v>9953</v>
      </c>
      <c r="B223" t="s">
        <v>9954</v>
      </c>
      <c r="C223" s="7">
        <v>45124</v>
      </c>
      <c r="D223" s="7">
        <v>45541</v>
      </c>
      <c r="E223">
        <v>2023</v>
      </c>
      <c r="F223" s="7" t="s">
        <v>9955</v>
      </c>
      <c r="G223" s="7">
        <v>44783</v>
      </c>
      <c r="H223">
        <v>2022</v>
      </c>
      <c r="I223" t="s">
        <v>104</v>
      </c>
      <c r="J223">
        <v>1000000</v>
      </c>
      <c r="K223">
        <v>440303.29</v>
      </c>
      <c r="L223">
        <v>94511.500000000102</v>
      </c>
      <c r="M223">
        <v>534814.79</v>
      </c>
      <c r="N223">
        <v>66440.800000000003</v>
      </c>
      <c r="O223">
        <v>12454.95</v>
      </c>
      <c r="P223">
        <v>78895.75</v>
      </c>
      <c r="Q223">
        <v>613710.54</v>
      </c>
      <c r="R223" t="s">
        <v>9956</v>
      </c>
    </row>
    <row r="224" spans="1:18" ht="12.75" customHeight="1" x14ac:dyDescent="0.2">
      <c r="A224" t="s">
        <v>9957</v>
      </c>
      <c r="B224" t="s">
        <v>9137</v>
      </c>
      <c r="C224" s="7">
        <v>45319</v>
      </c>
      <c r="D224" s="7">
        <v>45542</v>
      </c>
      <c r="E224">
        <v>2024</v>
      </c>
      <c r="F224" s="7" t="s">
        <v>9958</v>
      </c>
      <c r="G224" s="7">
        <v>45204</v>
      </c>
      <c r="H224">
        <v>2023</v>
      </c>
      <c r="I224" t="s">
        <v>101</v>
      </c>
      <c r="J224">
        <v>5000000</v>
      </c>
      <c r="K224">
        <v>92761.48</v>
      </c>
      <c r="L224">
        <v>85566.73</v>
      </c>
      <c r="M224">
        <v>178328.21</v>
      </c>
      <c r="N224">
        <v>27982.5</v>
      </c>
      <c r="O224">
        <v>31217.66</v>
      </c>
      <c r="P224">
        <v>59200.160000000003</v>
      </c>
      <c r="Q224">
        <v>237528.37</v>
      </c>
      <c r="R224" t="s">
        <v>9418</v>
      </c>
    </row>
    <row r="225" spans="1:18" ht="12.75" customHeight="1" x14ac:dyDescent="0.2">
      <c r="A225" t="s">
        <v>9959</v>
      </c>
      <c r="B225" t="s">
        <v>8554</v>
      </c>
      <c r="C225" s="7">
        <v>45487</v>
      </c>
      <c r="D225" s="7">
        <v>45452</v>
      </c>
      <c r="E225">
        <v>2024</v>
      </c>
      <c r="F225" s="7" t="s">
        <v>3825</v>
      </c>
      <c r="G225" s="7">
        <v>45654</v>
      </c>
      <c r="H225">
        <v>2024</v>
      </c>
      <c r="I225" t="s">
        <v>101</v>
      </c>
      <c r="J225">
        <v>2000000</v>
      </c>
      <c r="K225">
        <v>41091.97</v>
      </c>
      <c r="L225">
        <v>79425.13</v>
      </c>
      <c r="M225">
        <v>120517.1</v>
      </c>
      <c r="N225">
        <v>17317.45</v>
      </c>
      <c r="O225">
        <v>34155.03</v>
      </c>
      <c r="P225">
        <v>51472.480000000003</v>
      </c>
      <c r="Q225">
        <v>171989.58</v>
      </c>
      <c r="R225" t="s">
        <v>9556</v>
      </c>
    </row>
    <row r="226" spans="1:18" ht="12.75" customHeight="1" x14ac:dyDescent="0.2">
      <c r="A226" t="s">
        <v>9960</v>
      </c>
      <c r="B226" t="s">
        <v>8105</v>
      </c>
      <c r="C226" s="7">
        <v>44951</v>
      </c>
      <c r="D226" s="7">
        <v>45555</v>
      </c>
      <c r="E226">
        <v>2023</v>
      </c>
      <c r="F226" s="7" t="s">
        <v>9961</v>
      </c>
      <c r="G226" s="7">
        <v>44613</v>
      </c>
      <c r="H226">
        <v>2022</v>
      </c>
      <c r="I226" t="s">
        <v>101</v>
      </c>
      <c r="J226">
        <v>1000000</v>
      </c>
      <c r="K226">
        <v>0</v>
      </c>
      <c r="L226">
        <v>124615.78</v>
      </c>
      <c r="M226">
        <v>124615.78</v>
      </c>
      <c r="N226">
        <v>0</v>
      </c>
      <c r="O226">
        <v>20018.439999999999</v>
      </c>
      <c r="P226">
        <v>20018.439999999999</v>
      </c>
      <c r="Q226">
        <v>144634.22</v>
      </c>
      <c r="R226" t="s">
        <v>9928</v>
      </c>
    </row>
    <row r="227" spans="1:18" ht="12.75" customHeight="1" x14ac:dyDescent="0.2">
      <c r="A227" t="s">
        <v>9962</v>
      </c>
      <c r="B227" t="s">
        <v>7832</v>
      </c>
      <c r="C227" s="7">
        <v>45253</v>
      </c>
      <c r="D227" s="7">
        <v>45555</v>
      </c>
      <c r="E227">
        <v>2023</v>
      </c>
      <c r="F227" s="7" t="s">
        <v>9963</v>
      </c>
      <c r="G227" s="7">
        <v>44924</v>
      </c>
      <c r="H227">
        <v>2022</v>
      </c>
      <c r="I227" t="s">
        <v>101</v>
      </c>
      <c r="J227">
        <v>1000000</v>
      </c>
      <c r="K227">
        <v>604061.49</v>
      </c>
      <c r="L227">
        <v>539720.28</v>
      </c>
      <c r="M227">
        <v>1143781.77</v>
      </c>
      <c r="N227">
        <v>59564.36</v>
      </c>
      <c r="O227">
        <v>130157.57</v>
      </c>
      <c r="P227">
        <v>189721.93</v>
      </c>
      <c r="Q227">
        <v>1333503.7</v>
      </c>
      <c r="R227" t="s">
        <v>9964</v>
      </c>
    </row>
    <row r="228" spans="1:18" ht="12.75" customHeight="1" x14ac:dyDescent="0.2">
      <c r="A228" t="s">
        <v>9965</v>
      </c>
      <c r="B228" t="s">
        <v>1826</v>
      </c>
      <c r="C228" s="7">
        <v>45382</v>
      </c>
      <c r="D228" s="7">
        <v>45566</v>
      </c>
      <c r="E228">
        <v>2024</v>
      </c>
      <c r="F228" s="7" t="s">
        <v>2231</v>
      </c>
      <c r="G228" s="7">
        <v>45352</v>
      </c>
      <c r="H228">
        <v>2024</v>
      </c>
      <c r="I228" t="s">
        <v>104</v>
      </c>
      <c r="J228">
        <v>1000000</v>
      </c>
      <c r="K228">
        <v>0</v>
      </c>
      <c r="L228">
        <v>143863.98000000001</v>
      </c>
      <c r="M228">
        <v>143863.98000000001</v>
      </c>
      <c r="N228">
        <v>0</v>
      </c>
      <c r="O228">
        <v>13737.38</v>
      </c>
      <c r="P228">
        <v>13737.38</v>
      </c>
      <c r="Q228">
        <v>157601.35999999999</v>
      </c>
      <c r="R228" t="s">
        <v>9464</v>
      </c>
    </row>
    <row r="229" spans="1:18" ht="12.75" customHeight="1" x14ac:dyDescent="0.2">
      <c r="A229" t="s">
        <v>9966</v>
      </c>
      <c r="B229" t="s">
        <v>6761</v>
      </c>
      <c r="C229" s="7">
        <v>45497</v>
      </c>
      <c r="D229" s="7">
        <v>45571</v>
      </c>
      <c r="E229">
        <v>2024</v>
      </c>
      <c r="F229" s="7" t="s">
        <v>3850</v>
      </c>
      <c r="G229" s="7">
        <v>45451</v>
      </c>
      <c r="H229">
        <v>2024</v>
      </c>
      <c r="I229" t="s">
        <v>104</v>
      </c>
      <c r="J229">
        <v>10000000</v>
      </c>
      <c r="K229">
        <v>185461.58</v>
      </c>
      <c r="L229">
        <v>85120.4</v>
      </c>
      <c r="M229">
        <v>270581.98</v>
      </c>
      <c r="N229">
        <v>35040</v>
      </c>
      <c r="O229">
        <v>31948.55</v>
      </c>
      <c r="P229">
        <v>66988.55</v>
      </c>
      <c r="Q229">
        <v>337570.53</v>
      </c>
      <c r="R229" t="s">
        <v>9461</v>
      </c>
    </row>
    <row r="230" spans="1:18" ht="12.75" customHeight="1" x14ac:dyDescent="0.2">
      <c r="A230" t="s">
        <v>9967</v>
      </c>
      <c r="B230" t="s">
        <v>837</v>
      </c>
      <c r="C230" s="7">
        <v>45494</v>
      </c>
      <c r="D230" s="7">
        <v>45579</v>
      </c>
      <c r="E230">
        <v>2024</v>
      </c>
      <c r="F230" s="7" t="s">
        <v>3169</v>
      </c>
      <c r="G230" s="7">
        <v>45410</v>
      </c>
      <c r="H230">
        <v>2024</v>
      </c>
      <c r="I230" t="s">
        <v>101</v>
      </c>
      <c r="J230">
        <v>2000000</v>
      </c>
      <c r="K230">
        <v>0</v>
      </c>
      <c r="L230">
        <v>319211.74</v>
      </c>
      <c r="M230">
        <v>319211.74</v>
      </c>
      <c r="N230">
        <v>0</v>
      </c>
      <c r="O230">
        <v>25906.54</v>
      </c>
      <c r="P230">
        <v>25906.54</v>
      </c>
      <c r="Q230">
        <v>345118.28</v>
      </c>
      <c r="R230" t="s">
        <v>9904</v>
      </c>
    </row>
    <row r="231" spans="1:18" ht="12.75" customHeight="1" x14ac:dyDescent="0.2">
      <c r="A231" t="s">
        <v>9968</v>
      </c>
      <c r="B231" t="s">
        <v>8103</v>
      </c>
      <c r="C231" s="7">
        <v>45346</v>
      </c>
      <c r="D231" s="7">
        <v>45580</v>
      </c>
      <c r="E231">
        <v>2024</v>
      </c>
      <c r="F231" s="7" t="s">
        <v>2084</v>
      </c>
      <c r="G231" s="7">
        <v>45342</v>
      </c>
      <c r="H231">
        <v>2024</v>
      </c>
      <c r="I231" t="s">
        <v>104</v>
      </c>
      <c r="J231">
        <v>1000000</v>
      </c>
      <c r="K231">
        <v>0</v>
      </c>
      <c r="L231">
        <v>367737.17</v>
      </c>
      <c r="M231">
        <v>367737.17</v>
      </c>
      <c r="N231">
        <v>0</v>
      </c>
      <c r="O231">
        <v>116897.94</v>
      </c>
      <c r="P231">
        <v>116897.94</v>
      </c>
      <c r="Q231">
        <v>484635.11</v>
      </c>
      <c r="R231" t="s">
        <v>9899</v>
      </c>
    </row>
    <row r="232" spans="1:18" ht="12.75" customHeight="1" x14ac:dyDescent="0.2">
      <c r="A232" t="s">
        <v>9969</v>
      </c>
      <c r="B232" t="s">
        <v>231</v>
      </c>
      <c r="C232" s="7">
        <v>45332</v>
      </c>
      <c r="D232" s="7">
        <v>45581</v>
      </c>
      <c r="E232">
        <v>2024</v>
      </c>
      <c r="F232" s="7" t="s">
        <v>7449</v>
      </c>
      <c r="G232" s="7">
        <v>45267</v>
      </c>
      <c r="H232">
        <v>2023</v>
      </c>
      <c r="I232" t="s">
        <v>101</v>
      </c>
      <c r="J232">
        <v>10000000</v>
      </c>
      <c r="K232">
        <v>0</v>
      </c>
      <c r="L232">
        <v>206492.37</v>
      </c>
      <c r="M232">
        <v>206492.37</v>
      </c>
      <c r="N232">
        <v>0</v>
      </c>
      <c r="O232">
        <v>75213.06</v>
      </c>
      <c r="P232">
        <v>75213.06</v>
      </c>
      <c r="Q232">
        <v>281705.43</v>
      </c>
      <c r="R232" t="s">
        <v>9790</v>
      </c>
    </row>
    <row r="233" spans="1:18" ht="12.75" customHeight="1" x14ac:dyDescent="0.2">
      <c r="A233" t="s">
        <v>9970</v>
      </c>
      <c r="B233" t="s">
        <v>460</v>
      </c>
      <c r="C233" s="7">
        <v>45484</v>
      </c>
      <c r="D233" s="7">
        <v>44851</v>
      </c>
      <c r="E233">
        <v>2024</v>
      </c>
      <c r="F233" s="7" t="s">
        <v>1972</v>
      </c>
      <c r="G233" s="7">
        <v>45335</v>
      </c>
      <c r="H233">
        <v>2024</v>
      </c>
      <c r="I233" t="s">
        <v>101</v>
      </c>
      <c r="J233">
        <v>2000000</v>
      </c>
      <c r="K233">
        <v>87278.06</v>
      </c>
      <c r="L233">
        <v>349325.52</v>
      </c>
      <c r="M233">
        <v>436603.58</v>
      </c>
      <c r="N233">
        <v>15878.97</v>
      </c>
      <c r="O233">
        <v>70041.87</v>
      </c>
      <c r="P233">
        <v>85920.84</v>
      </c>
      <c r="Q233">
        <v>522524.42</v>
      </c>
      <c r="R233" t="s">
        <v>9481</v>
      </c>
    </row>
    <row r="234" spans="1:18" ht="12.75" customHeight="1" x14ac:dyDescent="0.2">
      <c r="A234" t="s">
        <v>9971</v>
      </c>
      <c r="B234" t="s">
        <v>9070</v>
      </c>
      <c r="C234" s="7">
        <v>45407</v>
      </c>
      <c r="D234" s="7">
        <v>45596</v>
      </c>
      <c r="E234">
        <v>2024</v>
      </c>
      <c r="F234" s="7" t="s">
        <v>9972</v>
      </c>
      <c r="G234" s="7">
        <v>45187</v>
      </c>
      <c r="H234">
        <v>2023</v>
      </c>
      <c r="I234" t="s">
        <v>104</v>
      </c>
      <c r="J234">
        <v>2000000</v>
      </c>
      <c r="K234">
        <v>178757.74</v>
      </c>
      <c r="L234">
        <v>358181.33</v>
      </c>
      <c r="M234">
        <v>536939.06999999995</v>
      </c>
      <c r="N234">
        <v>30462.46</v>
      </c>
      <c r="O234">
        <v>48415.89</v>
      </c>
      <c r="P234">
        <v>78878.350000000006</v>
      </c>
      <c r="Q234">
        <v>615817.42000000004</v>
      </c>
      <c r="R234" t="s">
        <v>9956</v>
      </c>
    </row>
    <row r="235" spans="1:18" ht="12.75" customHeight="1" x14ac:dyDescent="0.2">
      <c r="A235" t="s">
        <v>9973</v>
      </c>
      <c r="B235" t="s">
        <v>9974</v>
      </c>
      <c r="C235" s="7">
        <v>44533</v>
      </c>
      <c r="D235" s="7">
        <v>45597</v>
      </c>
      <c r="E235">
        <v>2021</v>
      </c>
      <c r="F235" s="7" t="s">
        <v>9975</v>
      </c>
      <c r="G235" s="7">
        <v>44327</v>
      </c>
      <c r="H235">
        <v>2021</v>
      </c>
      <c r="I235" t="s">
        <v>104</v>
      </c>
      <c r="J235">
        <v>500000</v>
      </c>
      <c r="K235">
        <v>52181.27</v>
      </c>
      <c r="L235">
        <v>157379.04</v>
      </c>
      <c r="M235">
        <v>209560.31</v>
      </c>
      <c r="N235">
        <v>23313</v>
      </c>
      <c r="O235">
        <v>60232.38</v>
      </c>
      <c r="P235">
        <v>83545.38</v>
      </c>
      <c r="Q235">
        <v>293105.69</v>
      </c>
      <c r="R235" t="s">
        <v>9829</v>
      </c>
    </row>
    <row r="236" spans="1:18" ht="12.75" customHeight="1" x14ac:dyDescent="0.2">
      <c r="A236" t="s">
        <v>9976</v>
      </c>
      <c r="B236" t="s">
        <v>567</v>
      </c>
      <c r="C236" s="7">
        <v>45395</v>
      </c>
      <c r="D236" s="7">
        <v>45602</v>
      </c>
      <c r="E236">
        <v>2024</v>
      </c>
      <c r="F236" s="7" t="s">
        <v>9977</v>
      </c>
      <c r="G236" s="7">
        <v>45122</v>
      </c>
      <c r="H236">
        <v>2023</v>
      </c>
      <c r="I236" t="s">
        <v>104</v>
      </c>
      <c r="J236">
        <v>1500000</v>
      </c>
      <c r="K236">
        <v>0</v>
      </c>
      <c r="L236">
        <v>123974.03</v>
      </c>
      <c r="M236">
        <v>123974.03</v>
      </c>
      <c r="N236">
        <v>0</v>
      </c>
      <c r="O236">
        <v>37085.5</v>
      </c>
      <c r="P236">
        <v>37085.5</v>
      </c>
      <c r="Q236">
        <v>161059.53</v>
      </c>
      <c r="R236" t="s">
        <v>9426</v>
      </c>
    </row>
    <row r="237" spans="1:18" ht="12.75" customHeight="1" x14ac:dyDescent="0.2">
      <c r="A237" t="s">
        <v>9978</v>
      </c>
      <c r="B237" t="s">
        <v>8474</v>
      </c>
      <c r="C237" s="7">
        <v>43893</v>
      </c>
      <c r="D237" s="7">
        <v>45614</v>
      </c>
      <c r="E237">
        <v>2020</v>
      </c>
      <c r="F237" s="7" t="s">
        <v>9979</v>
      </c>
      <c r="G237" s="7">
        <v>43602</v>
      </c>
      <c r="H237">
        <v>2019</v>
      </c>
      <c r="I237" t="s">
        <v>104</v>
      </c>
      <c r="J237">
        <v>1000000</v>
      </c>
      <c r="K237">
        <v>0</v>
      </c>
      <c r="L237">
        <v>110872.99</v>
      </c>
      <c r="M237">
        <v>110872.99</v>
      </c>
      <c r="N237">
        <v>0</v>
      </c>
      <c r="O237">
        <v>37960.32</v>
      </c>
      <c r="P237">
        <v>37960.32</v>
      </c>
      <c r="Q237">
        <v>148833.31</v>
      </c>
      <c r="R237" t="s">
        <v>9457</v>
      </c>
    </row>
    <row r="238" spans="1:18" ht="12.75" customHeight="1" x14ac:dyDescent="0.2">
      <c r="A238" t="s">
        <v>7239</v>
      </c>
      <c r="B238" t="s">
        <v>7436</v>
      </c>
      <c r="C238" s="7">
        <v>44976</v>
      </c>
      <c r="D238" s="7">
        <v>45617</v>
      </c>
      <c r="E238">
        <v>2023</v>
      </c>
      <c r="F238" s="7" t="s">
        <v>9980</v>
      </c>
      <c r="G238" s="7">
        <v>44901</v>
      </c>
      <c r="H238">
        <v>2022</v>
      </c>
      <c r="I238" t="s">
        <v>104</v>
      </c>
      <c r="J238">
        <v>2000000</v>
      </c>
      <c r="K238">
        <v>0</v>
      </c>
      <c r="L238">
        <v>273178.62</v>
      </c>
      <c r="M238">
        <v>273178.62</v>
      </c>
      <c r="N238">
        <v>0</v>
      </c>
      <c r="O238">
        <v>68326.05</v>
      </c>
      <c r="P238">
        <v>68326.05</v>
      </c>
      <c r="Q238">
        <v>341504.67</v>
      </c>
      <c r="R238" t="s">
        <v>9461</v>
      </c>
    </row>
    <row r="239" spans="1:18" ht="12.75" customHeight="1" x14ac:dyDescent="0.2">
      <c r="A239" t="s">
        <v>6328</v>
      </c>
      <c r="B239" t="s">
        <v>9213</v>
      </c>
      <c r="C239" s="7">
        <v>45020</v>
      </c>
      <c r="D239" s="7">
        <v>45622</v>
      </c>
      <c r="E239">
        <v>2023</v>
      </c>
      <c r="F239" s="7" t="s">
        <v>9981</v>
      </c>
      <c r="G239" s="7">
        <v>44856</v>
      </c>
      <c r="H239">
        <v>2022</v>
      </c>
      <c r="I239" t="s">
        <v>101</v>
      </c>
      <c r="J239">
        <v>5000000</v>
      </c>
      <c r="K239">
        <v>0</v>
      </c>
      <c r="L239">
        <v>234013.48</v>
      </c>
      <c r="M239">
        <v>234013.48</v>
      </c>
      <c r="N239">
        <v>0</v>
      </c>
      <c r="O239">
        <v>77631.5</v>
      </c>
      <c r="P239">
        <v>77631.5</v>
      </c>
      <c r="Q239">
        <v>311644.98</v>
      </c>
      <c r="R239" t="s">
        <v>9670</v>
      </c>
    </row>
    <row r="240" spans="1:18" ht="12.75" customHeight="1" x14ac:dyDescent="0.2">
      <c r="C240" s="7"/>
      <c r="F240" s="7"/>
    </row>
    <row r="241" spans="3:6" ht="12.75" customHeight="1" x14ac:dyDescent="0.2">
      <c r="C241" s="7"/>
      <c r="F241" s="7"/>
    </row>
    <row r="242" spans="3:6" ht="12.75" customHeight="1" x14ac:dyDescent="0.2">
      <c r="C242" s="7"/>
      <c r="F242" s="7"/>
    </row>
    <row r="243" spans="3:6" ht="12.75" customHeight="1" x14ac:dyDescent="0.2">
      <c r="C243" s="7"/>
      <c r="F243" s="7"/>
    </row>
    <row r="244" spans="3:6" ht="12.75" customHeight="1" x14ac:dyDescent="0.2">
      <c r="C244" s="7"/>
      <c r="F244" s="7"/>
    </row>
    <row r="245" spans="3:6" ht="12.75" customHeight="1" x14ac:dyDescent="0.2">
      <c r="C245" s="7"/>
      <c r="F245" s="7"/>
    </row>
    <row r="246" spans="3:6" ht="12.75" customHeight="1" x14ac:dyDescent="0.2">
      <c r="C246" s="7"/>
      <c r="F246" s="7"/>
    </row>
    <row r="247" spans="3:6" ht="12.75" customHeight="1" x14ac:dyDescent="0.2">
      <c r="C247" s="7"/>
      <c r="F247" s="7"/>
    </row>
    <row r="248" spans="3:6" ht="12.75" customHeight="1" x14ac:dyDescent="0.2">
      <c r="C248" s="7"/>
      <c r="F248" s="7"/>
    </row>
    <row r="249" spans="3:6" ht="12.75" customHeight="1" x14ac:dyDescent="0.2">
      <c r="C249" s="7"/>
      <c r="F249" s="7"/>
    </row>
    <row r="250" spans="3:6" ht="12.75" customHeight="1" x14ac:dyDescent="0.2">
      <c r="C250" s="7"/>
      <c r="F250" s="7"/>
    </row>
    <row r="251" spans="3:6" ht="12.75" customHeight="1" x14ac:dyDescent="0.2">
      <c r="C251" s="7"/>
      <c r="F251" s="7"/>
    </row>
    <row r="252" spans="3:6" ht="12.75" customHeight="1" x14ac:dyDescent="0.2">
      <c r="C252" s="7"/>
      <c r="F252" s="7"/>
    </row>
    <row r="253" spans="3:6" ht="12.75" customHeight="1" x14ac:dyDescent="0.2">
      <c r="C253" s="7"/>
      <c r="F253" s="7"/>
    </row>
    <row r="254" spans="3:6" ht="12.75" customHeight="1" x14ac:dyDescent="0.2">
      <c r="C254" s="7"/>
      <c r="F254" s="7"/>
    </row>
    <row r="255" spans="3:6" ht="12.75" customHeight="1" x14ac:dyDescent="0.2">
      <c r="C255" s="7"/>
      <c r="F255" s="7"/>
    </row>
    <row r="256" spans="3:6" ht="12.75" customHeight="1" x14ac:dyDescent="0.2">
      <c r="C256" s="7"/>
      <c r="F256" s="7"/>
    </row>
    <row r="257" spans="3:12" ht="12.75" customHeight="1" x14ac:dyDescent="0.2">
      <c r="C257" s="7"/>
      <c r="F257" s="7"/>
    </row>
    <row r="258" spans="3:12" ht="12.75" customHeight="1" x14ac:dyDescent="0.2">
      <c r="C258" s="7"/>
      <c r="F258" s="7"/>
    </row>
    <row r="259" spans="3:12" ht="12.75" customHeight="1" x14ac:dyDescent="0.2">
      <c r="C259" s="7"/>
      <c r="F259" s="7"/>
    </row>
    <row r="260" spans="3:12" ht="12.75" customHeight="1" x14ac:dyDescent="0.2">
      <c r="C260" s="7"/>
      <c r="F260" s="7"/>
    </row>
    <row r="261" spans="3:12" ht="12.75" customHeight="1" x14ac:dyDescent="0.2">
      <c r="C261" s="7"/>
      <c r="F261" s="7"/>
    </row>
    <row r="262" spans="3:12" ht="12.75" customHeight="1" x14ac:dyDescent="0.2">
      <c r="C262" s="7"/>
      <c r="F262" s="7"/>
    </row>
    <row r="263" spans="3:12" ht="12.75" customHeight="1" x14ac:dyDescent="0.2">
      <c r="C263" s="7"/>
      <c r="F263" s="7"/>
    </row>
    <row r="264" spans="3:12" ht="12.75" customHeight="1" x14ac:dyDescent="0.2">
      <c r="C264" s="7"/>
      <c r="F264" s="7"/>
    </row>
    <row r="265" spans="3:12" ht="12.75" customHeight="1" x14ac:dyDescent="0.2">
      <c r="C265" s="7"/>
      <c r="F265" s="7"/>
    </row>
    <row r="266" spans="3:12" ht="12.75" customHeight="1" x14ac:dyDescent="0.2">
      <c r="C266" s="7"/>
      <c r="F266" s="7"/>
    </row>
    <row r="267" spans="3:12" ht="12.75" customHeight="1" x14ac:dyDescent="0.2">
      <c r="C267" s="7"/>
      <c r="F267" s="7"/>
    </row>
    <row r="268" spans="3:12" ht="12.75" customHeight="1" x14ac:dyDescent="0.2">
      <c r="C268" s="7"/>
      <c r="F268" s="7"/>
      <c r="J268" s="8"/>
      <c r="L268" s="8"/>
    </row>
    <row r="269" spans="3:12" ht="12.75" customHeight="1" x14ac:dyDescent="0.2">
      <c r="C269" s="7"/>
      <c r="F269" s="7"/>
    </row>
    <row r="270" spans="3:12" ht="12.75" customHeight="1" x14ac:dyDescent="0.2">
      <c r="C270" s="7"/>
      <c r="F270" s="7"/>
    </row>
    <row r="271" spans="3:12" ht="12.75" customHeight="1" x14ac:dyDescent="0.2">
      <c r="C271" s="7"/>
      <c r="F271" s="7"/>
    </row>
    <row r="272" spans="3:12" ht="12.75" customHeight="1" x14ac:dyDescent="0.2">
      <c r="C272" s="7"/>
      <c r="F272" s="7"/>
    </row>
    <row r="273" spans="3:6" ht="12.75" customHeight="1" x14ac:dyDescent="0.2">
      <c r="C273" s="7"/>
      <c r="F273" s="7"/>
    </row>
    <row r="274" spans="3:6" ht="12.75" customHeight="1" x14ac:dyDescent="0.2">
      <c r="C274" s="7"/>
      <c r="F274" s="7"/>
    </row>
    <row r="275" spans="3:6" ht="12.75" customHeight="1" x14ac:dyDescent="0.2">
      <c r="C275" s="7"/>
      <c r="F275" s="7"/>
    </row>
    <row r="276" spans="3:6" ht="12.75" customHeight="1" x14ac:dyDescent="0.2">
      <c r="C276" s="7"/>
      <c r="F276" s="7"/>
    </row>
    <row r="277" spans="3:6" ht="12.75" customHeight="1" x14ac:dyDescent="0.2">
      <c r="C277" s="7"/>
      <c r="F277" s="7"/>
    </row>
    <row r="278" spans="3:6" ht="12.75" customHeight="1" x14ac:dyDescent="0.2">
      <c r="C278" s="7"/>
      <c r="F278" s="7"/>
    </row>
    <row r="279" spans="3:6" ht="12.75" customHeight="1" x14ac:dyDescent="0.2">
      <c r="C279" s="7"/>
      <c r="F279" s="7"/>
    </row>
    <row r="280" spans="3:6" ht="12.75" customHeight="1" x14ac:dyDescent="0.2">
      <c r="C280" s="7"/>
      <c r="F280" s="7"/>
    </row>
    <row r="281" spans="3:6" ht="12.75" customHeight="1" x14ac:dyDescent="0.2">
      <c r="C281" s="7"/>
      <c r="F281" s="7"/>
    </row>
    <row r="282" spans="3:6" ht="12.75" customHeight="1" x14ac:dyDescent="0.2">
      <c r="C282" s="7"/>
      <c r="F282" s="7"/>
    </row>
    <row r="283" spans="3:6" ht="12.75" customHeight="1" x14ac:dyDescent="0.2">
      <c r="C283" s="7"/>
      <c r="F283" s="7"/>
    </row>
    <row r="284" spans="3:6" ht="12.75" customHeight="1" x14ac:dyDescent="0.2">
      <c r="C284" s="7"/>
      <c r="F284" s="7"/>
    </row>
    <row r="285" spans="3:6" ht="12.75" customHeight="1" x14ac:dyDescent="0.2">
      <c r="C285" s="7"/>
      <c r="F285" s="7"/>
    </row>
    <row r="286" spans="3:6" ht="12.75" customHeight="1" x14ac:dyDescent="0.2">
      <c r="C286" s="7"/>
      <c r="F286" s="7"/>
    </row>
    <row r="287" spans="3:6" ht="12.75" customHeight="1" x14ac:dyDescent="0.2">
      <c r="C287" s="7"/>
      <c r="F287" s="7"/>
    </row>
    <row r="288" spans="3:6" ht="12.75" customHeight="1" x14ac:dyDescent="0.2">
      <c r="C288" s="7"/>
      <c r="F288" s="7"/>
    </row>
    <row r="289" spans="3:6" ht="12.75" customHeight="1" x14ac:dyDescent="0.2">
      <c r="C289" s="7"/>
      <c r="F289" s="7"/>
    </row>
    <row r="290" spans="3:6" ht="12.75" customHeight="1" x14ac:dyDescent="0.2">
      <c r="C290" s="7"/>
      <c r="F290" s="7"/>
    </row>
    <row r="291" spans="3:6" ht="12.75" customHeight="1" x14ac:dyDescent="0.2">
      <c r="C291" s="7"/>
      <c r="F291" s="7"/>
    </row>
    <row r="292" spans="3:6" ht="12.75" customHeight="1" x14ac:dyDescent="0.2">
      <c r="C292" s="7"/>
      <c r="F292" s="7"/>
    </row>
    <row r="293" spans="3:6" ht="12.75" customHeight="1" x14ac:dyDescent="0.2">
      <c r="C293" s="7"/>
      <c r="F293" s="7"/>
    </row>
    <row r="294" spans="3:6" ht="12.75" customHeight="1" x14ac:dyDescent="0.2">
      <c r="C294" s="7"/>
      <c r="F294" s="7"/>
    </row>
    <row r="295" spans="3:6" ht="12.75" customHeight="1" x14ac:dyDescent="0.2">
      <c r="C295" s="7"/>
      <c r="F295" s="7"/>
    </row>
    <row r="296" spans="3:6" ht="12.75" customHeight="1" x14ac:dyDescent="0.2">
      <c r="C296" s="7"/>
      <c r="F296" s="7"/>
    </row>
    <row r="297" spans="3:6" ht="12.75" customHeight="1" x14ac:dyDescent="0.2">
      <c r="C297" s="7"/>
      <c r="F297" s="7"/>
    </row>
    <row r="298" spans="3:6" ht="12.75" customHeight="1" x14ac:dyDescent="0.2">
      <c r="C298" s="7"/>
      <c r="F298" s="7"/>
    </row>
    <row r="299" spans="3:6" ht="12.75" customHeight="1" x14ac:dyDescent="0.2">
      <c r="C299" s="7"/>
      <c r="F299" s="7"/>
    </row>
    <row r="300" spans="3:6" ht="12.75" customHeight="1" x14ac:dyDescent="0.2">
      <c r="C300" s="7"/>
      <c r="F300" s="7"/>
    </row>
    <row r="301" spans="3:6" ht="12.75" customHeight="1" x14ac:dyDescent="0.2">
      <c r="C301" s="7"/>
      <c r="F301" s="7"/>
    </row>
    <row r="302" spans="3:6" ht="12.75" customHeight="1" x14ac:dyDescent="0.2">
      <c r="C302" s="7"/>
      <c r="F302" s="7"/>
    </row>
    <row r="303" spans="3:6" ht="12.75" customHeight="1" x14ac:dyDescent="0.2">
      <c r="C303" s="7"/>
      <c r="F303" s="7"/>
    </row>
    <row r="304" spans="3:6" ht="12.75" customHeight="1" x14ac:dyDescent="0.2">
      <c r="C304" s="7"/>
      <c r="F304" s="7"/>
    </row>
    <row r="305" spans="3:6" ht="12.75" customHeight="1" x14ac:dyDescent="0.2">
      <c r="C305" s="7"/>
      <c r="F305" s="7"/>
    </row>
    <row r="306" spans="3:6" ht="12.75" customHeight="1" x14ac:dyDescent="0.2">
      <c r="C306" s="7"/>
      <c r="F306" s="7"/>
    </row>
    <row r="307" spans="3:6" ht="12.75" customHeight="1" x14ac:dyDescent="0.2">
      <c r="C307" s="7"/>
      <c r="F307" s="7"/>
    </row>
    <row r="308" spans="3:6" ht="12.75" customHeight="1" x14ac:dyDescent="0.2">
      <c r="C308" s="7"/>
      <c r="F308" s="7"/>
    </row>
    <row r="309" spans="3:6" ht="12.75" customHeight="1" x14ac:dyDescent="0.2">
      <c r="C309" s="7"/>
      <c r="F309" s="7"/>
    </row>
    <row r="310" spans="3:6" ht="12.75" customHeight="1" x14ac:dyDescent="0.2">
      <c r="C310" s="7"/>
      <c r="F310" s="7"/>
    </row>
    <row r="311" spans="3:6" ht="12.75" customHeight="1" x14ac:dyDescent="0.2">
      <c r="C311" s="7"/>
      <c r="F311" s="7"/>
    </row>
    <row r="312" spans="3:6" ht="12.75" customHeight="1" x14ac:dyDescent="0.2">
      <c r="C312" s="7"/>
      <c r="F312" s="7"/>
    </row>
    <row r="313" spans="3:6" ht="12.75" customHeight="1" x14ac:dyDescent="0.2">
      <c r="C313" s="7"/>
      <c r="F313" s="7"/>
    </row>
    <row r="314" spans="3:6" ht="12.75" customHeight="1" x14ac:dyDescent="0.2">
      <c r="C314" s="7"/>
      <c r="F314" s="7"/>
    </row>
    <row r="315" spans="3:6" ht="12.75" customHeight="1" x14ac:dyDescent="0.2">
      <c r="C315" s="7"/>
      <c r="F315" s="7"/>
    </row>
    <row r="316" spans="3:6" ht="12.75" customHeight="1" x14ac:dyDescent="0.2">
      <c r="C316" s="7"/>
      <c r="F316" s="7"/>
    </row>
    <row r="317" spans="3:6" ht="12.75" customHeight="1" x14ac:dyDescent="0.2">
      <c r="C317" s="7"/>
      <c r="F317" s="7"/>
    </row>
    <row r="318" spans="3:6" ht="12.75" customHeight="1" x14ac:dyDescent="0.2">
      <c r="C318" s="7"/>
      <c r="F318" s="7"/>
    </row>
    <row r="319" spans="3:6" ht="12.75" customHeight="1" x14ac:dyDescent="0.2">
      <c r="C319" s="7"/>
      <c r="F319" s="7"/>
    </row>
    <row r="320" spans="3:6" ht="12.75" customHeight="1" x14ac:dyDescent="0.2">
      <c r="C320" s="7"/>
      <c r="F320" s="7"/>
    </row>
    <row r="321" spans="3:6" ht="12.75" customHeight="1" x14ac:dyDescent="0.2">
      <c r="C321" s="7"/>
      <c r="F321" s="7"/>
    </row>
    <row r="322" spans="3:6" ht="12.75" customHeight="1" x14ac:dyDescent="0.2">
      <c r="C322" s="7"/>
      <c r="F322" s="7"/>
    </row>
    <row r="323" spans="3:6" ht="12.75" customHeight="1" x14ac:dyDescent="0.2">
      <c r="C323" s="7"/>
      <c r="F323" s="7"/>
    </row>
    <row r="324" spans="3:6" ht="12.75" customHeight="1" x14ac:dyDescent="0.2">
      <c r="C324" s="7"/>
      <c r="F324" s="7"/>
    </row>
    <row r="325" spans="3:6" ht="12.75" customHeight="1" x14ac:dyDescent="0.2">
      <c r="C325" s="7"/>
      <c r="F325" s="7"/>
    </row>
    <row r="326" spans="3:6" ht="12.75" customHeight="1" x14ac:dyDescent="0.2">
      <c r="C326" s="7"/>
      <c r="F326" s="7"/>
    </row>
    <row r="327" spans="3:6" ht="12.75" customHeight="1" x14ac:dyDescent="0.2">
      <c r="C327" s="7"/>
      <c r="F327" s="7"/>
    </row>
    <row r="328" spans="3:6" ht="12.75" customHeight="1" x14ac:dyDescent="0.2">
      <c r="C328" s="7"/>
      <c r="F328" s="7"/>
    </row>
    <row r="329" spans="3:6" ht="12.75" customHeight="1" x14ac:dyDescent="0.2">
      <c r="C329" s="7"/>
      <c r="F329" s="7"/>
    </row>
    <row r="330" spans="3:6" ht="12.75" customHeight="1" x14ac:dyDescent="0.2">
      <c r="C330" s="7"/>
      <c r="F330" s="7"/>
    </row>
    <row r="331" spans="3:6" ht="12.75" customHeight="1" x14ac:dyDescent="0.2">
      <c r="C331" s="7"/>
      <c r="F331" s="7"/>
    </row>
    <row r="332" spans="3:6" ht="12.75" customHeight="1" x14ac:dyDescent="0.2">
      <c r="C332" s="7"/>
      <c r="F332" s="7"/>
    </row>
    <row r="333" spans="3:6" ht="12.75" customHeight="1" x14ac:dyDescent="0.2">
      <c r="C333" s="7"/>
      <c r="F333" s="7"/>
    </row>
    <row r="334" spans="3:6" ht="12.75" customHeight="1" x14ac:dyDescent="0.2">
      <c r="C334" s="7"/>
      <c r="F334" s="7"/>
    </row>
    <row r="335" spans="3:6" ht="12.75" customHeight="1" x14ac:dyDescent="0.2">
      <c r="C335" s="7"/>
      <c r="F335" s="7"/>
    </row>
    <row r="336" spans="3:6" ht="12.75" customHeight="1" x14ac:dyDescent="0.2">
      <c r="C336" s="7"/>
      <c r="F336" s="7"/>
    </row>
    <row r="337" spans="3:6" ht="12.75" customHeight="1" x14ac:dyDescent="0.2">
      <c r="C337" s="7"/>
      <c r="F337" s="7"/>
    </row>
    <row r="338" spans="3:6" ht="12.75" customHeight="1" x14ac:dyDescent="0.2">
      <c r="C338" s="7"/>
      <c r="F338" s="7"/>
    </row>
    <row r="339" spans="3:6" ht="12.75" customHeight="1" x14ac:dyDescent="0.2">
      <c r="C339" s="7"/>
      <c r="F339" s="7"/>
    </row>
    <row r="340" spans="3:6" ht="12.75" customHeight="1" x14ac:dyDescent="0.2">
      <c r="C340" s="7"/>
      <c r="F340" s="7"/>
    </row>
    <row r="341" spans="3:6" ht="12.75" customHeight="1" x14ac:dyDescent="0.2">
      <c r="C341" s="7"/>
      <c r="F341" s="7"/>
    </row>
    <row r="342" spans="3:6" ht="12.75" customHeight="1" x14ac:dyDescent="0.2">
      <c r="C342" s="7"/>
      <c r="F342" s="7"/>
    </row>
    <row r="343" spans="3:6" ht="12.75" customHeight="1" x14ac:dyDescent="0.2">
      <c r="C343" s="7"/>
      <c r="F343" s="7"/>
    </row>
    <row r="344" spans="3:6" ht="12.75" customHeight="1" x14ac:dyDescent="0.2">
      <c r="C344" s="7"/>
      <c r="F344" s="7"/>
    </row>
    <row r="345" spans="3:6" ht="12.75" customHeight="1" x14ac:dyDescent="0.2">
      <c r="C345" s="7"/>
      <c r="F345" s="7"/>
    </row>
    <row r="346" spans="3:6" ht="12.75" customHeight="1" x14ac:dyDescent="0.2">
      <c r="C346" s="7"/>
      <c r="F346" s="7"/>
    </row>
    <row r="347" spans="3:6" ht="12.75" customHeight="1" x14ac:dyDescent="0.2">
      <c r="C347" s="7"/>
      <c r="F347" s="7"/>
    </row>
    <row r="348" spans="3:6" ht="12.75" customHeight="1" x14ac:dyDescent="0.2">
      <c r="C348" s="7"/>
      <c r="F348" s="7"/>
    </row>
    <row r="349" spans="3:6" ht="12.75" customHeight="1" x14ac:dyDescent="0.2">
      <c r="C349" s="7"/>
      <c r="F349" s="7"/>
    </row>
    <row r="350" spans="3:6" ht="12.75" customHeight="1" x14ac:dyDescent="0.2">
      <c r="C350" s="7"/>
      <c r="F350" s="7"/>
    </row>
    <row r="351" spans="3:6" ht="12.75" customHeight="1" x14ac:dyDescent="0.2">
      <c r="C351" s="7"/>
      <c r="F351" s="7"/>
    </row>
    <row r="352" spans="3:6" ht="12.75" customHeight="1" x14ac:dyDescent="0.2">
      <c r="C352" s="7"/>
      <c r="F352" s="7"/>
    </row>
    <row r="353" spans="3:6" ht="12.75" customHeight="1" x14ac:dyDescent="0.2">
      <c r="C353" s="7"/>
      <c r="F353" s="7"/>
    </row>
    <row r="354" spans="3:6" ht="12.75" customHeight="1" x14ac:dyDescent="0.2">
      <c r="C354" s="7"/>
      <c r="F354" s="7"/>
    </row>
    <row r="355" spans="3:6" ht="12.75" customHeight="1" x14ac:dyDescent="0.2">
      <c r="C355" s="7"/>
      <c r="F355" s="7"/>
    </row>
    <row r="356" spans="3:6" ht="12.75" customHeight="1" x14ac:dyDescent="0.2">
      <c r="C356" s="7"/>
      <c r="F356" s="7"/>
    </row>
    <row r="357" spans="3:6" ht="12.75" customHeight="1" x14ac:dyDescent="0.2">
      <c r="C357" s="7"/>
      <c r="F357" s="7"/>
    </row>
    <row r="358" spans="3:6" ht="12.75" customHeight="1" x14ac:dyDescent="0.2">
      <c r="C358" s="7"/>
      <c r="F358" s="7"/>
    </row>
    <row r="359" spans="3:6" ht="12.75" customHeight="1" x14ac:dyDescent="0.2">
      <c r="C359" s="7"/>
      <c r="F359" s="7"/>
    </row>
    <row r="360" spans="3:6" ht="12.75" customHeight="1" x14ac:dyDescent="0.2">
      <c r="C360" s="7"/>
      <c r="F360" s="7"/>
    </row>
    <row r="361" spans="3:6" ht="12.75" customHeight="1" x14ac:dyDescent="0.2">
      <c r="C361" s="7"/>
      <c r="F361" s="7"/>
    </row>
    <row r="362" spans="3:6" ht="12.75" customHeight="1" x14ac:dyDescent="0.2">
      <c r="C362" s="7"/>
      <c r="F362" s="7"/>
    </row>
    <row r="363" spans="3:6" ht="12.75" customHeight="1" x14ac:dyDescent="0.2">
      <c r="C363" s="7"/>
      <c r="F363" s="7"/>
    </row>
    <row r="364" spans="3:6" ht="12.75" customHeight="1" x14ac:dyDescent="0.2">
      <c r="C364" s="7"/>
      <c r="F364" s="7"/>
    </row>
    <row r="365" spans="3:6" ht="12.75" customHeight="1" x14ac:dyDescent="0.2">
      <c r="C365" s="7"/>
      <c r="F365" s="7"/>
    </row>
    <row r="366" spans="3:6" ht="12.75" customHeight="1" x14ac:dyDescent="0.2">
      <c r="C366" s="7"/>
      <c r="F366" s="7"/>
    </row>
    <row r="367" spans="3:6" ht="12.75" customHeight="1" x14ac:dyDescent="0.2">
      <c r="C367" s="7"/>
      <c r="F367" s="7"/>
    </row>
    <row r="368" spans="3:6" ht="12.75" customHeight="1" x14ac:dyDescent="0.2">
      <c r="C368" s="7"/>
      <c r="F368" s="7"/>
    </row>
    <row r="369" spans="3:6" ht="12.75" customHeight="1" x14ac:dyDescent="0.2">
      <c r="C369" s="7"/>
      <c r="F369" s="7"/>
    </row>
    <row r="370" spans="3:6" ht="12.75" customHeight="1" x14ac:dyDescent="0.2">
      <c r="C370" s="7"/>
      <c r="F370" s="7"/>
    </row>
    <row r="371" spans="3:6" ht="12.75" customHeight="1" x14ac:dyDescent="0.2">
      <c r="C371" s="7"/>
      <c r="F371" s="7"/>
    </row>
    <row r="372" spans="3:6" ht="12.75" customHeight="1" x14ac:dyDescent="0.2">
      <c r="C372" s="7"/>
      <c r="F372" s="7"/>
    </row>
    <row r="373" spans="3:6" ht="12.75" customHeight="1" x14ac:dyDescent="0.2">
      <c r="C373" s="7"/>
      <c r="F373" s="7"/>
    </row>
    <row r="374" spans="3:6" ht="12.75" customHeight="1" x14ac:dyDescent="0.2">
      <c r="C374" s="7"/>
      <c r="F374" s="7"/>
    </row>
    <row r="375" spans="3:6" ht="12.75" customHeight="1" x14ac:dyDescent="0.2">
      <c r="C375" s="7"/>
      <c r="F375" s="7"/>
    </row>
    <row r="376" spans="3:6" ht="12.75" customHeight="1" x14ac:dyDescent="0.2">
      <c r="C376" s="7"/>
      <c r="F376" s="7"/>
    </row>
    <row r="377" spans="3:6" ht="12.75" customHeight="1" x14ac:dyDescent="0.2">
      <c r="C377" s="7"/>
      <c r="F377" s="7"/>
    </row>
    <row r="378" spans="3:6" ht="12.75" customHeight="1" x14ac:dyDescent="0.2">
      <c r="C378" s="7"/>
      <c r="F378" s="7"/>
    </row>
    <row r="379" spans="3:6" ht="12.75" customHeight="1" x14ac:dyDescent="0.2">
      <c r="C379" s="7"/>
      <c r="F379" s="7"/>
    </row>
    <row r="380" spans="3:6" ht="12.75" customHeight="1" x14ac:dyDescent="0.2">
      <c r="C380" s="7"/>
      <c r="F380" s="7"/>
    </row>
    <row r="381" spans="3:6" ht="12.75" customHeight="1" x14ac:dyDescent="0.2">
      <c r="C381" s="7"/>
      <c r="F381" s="7"/>
    </row>
    <row r="382" spans="3:6" ht="12.75" customHeight="1" x14ac:dyDescent="0.2">
      <c r="C382" s="7"/>
      <c r="F382" s="7"/>
    </row>
    <row r="383" spans="3:6" ht="12.75" customHeight="1" x14ac:dyDescent="0.2">
      <c r="C383" s="7"/>
      <c r="F383" s="7"/>
    </row>
    <row r="384" spans="3:6" ht="12.75" customHeight="1" x14ac:dyDescent="0.2">
      <c r="C384" s="7"/>
      <c r="F384" s="7"/>
    </row>
    <row r="385" spans="3:6" ht="12.75" customHeight="1" x14ac:dyDescent="0.2">
      <c r="C385" s="7"/>
      <c r="F385" s="7"/>
    </row>
    <row r="386" spans="3:6" ht="12.75" customHeight="1" x14ac:dyDescent="0.2">
      <c r="C386" s="7"/>
      <c r="F386" s="7"/>
    </row>
    <row r="387" spans="3:6" ht="12.75" customHeight="1" x14ac:dyDescent="0.2">
      <c r="C387" s="7"/>
      <c r="F387" s="7"/>
    </row>
    <row r="388" spans="3:6" ht="12.75" customHeight="1" x14ac:dyDescent="0.2">
      <c r="C388" s="7"/>
      <c r="F388" s="7"/>
    </row>
    <row r="389" spans="3:6" ht="12.75" customHeight="1" x14ac:dyDescent="0.2">
      <c r="C389" s="7"/>
      <c r="F389" s="7"/>
    </row>
    <row r="390" spans="3:6" ht="12.75" customHeight="1" x14ac:dyDescent="0.2">
      <c r="C390" s="7"/>
      <c r="F390" s="7"/>
    </row>
    <row r="391" spans="3:6" ht="12.75" customHeight="1" x14ac:dyDescent="0.2">
      <c r="C391" s="7"/>
      <c r="F391" s="7"/>
    </row>
    <row r="392" spans="3:6" ht="12.75" customHeight="1" x14ac:dyDescent="0.2">
      <c r="C392" s="7"/>
      <c r="F392" s="7"/>
    </row>
    <row r="393" spans="3:6" ht="12.75" customHeight="1" x14ac:dyDescent="0.2">
      <c r="C393" s="7"/>
      <c r="F393" s="7"/>
    </row>
    <row r="394" spans="3:6" ht="12.75" customHeight="1" x14ac:dyDescent="0.2">
      <c r="C394" s="7"/>
      <c r="F394" s="7"/>
    </row>
    <row r="395" spans="3:6" ht="12.75" customHeight="1" x14ac:dyDescent="0.2">
      <c r="C395" s="7"/>
      <c r="F395" s="7"/>
    </row>
    <row r="396" spans="3:6" ht="12.75" customHeight="1" x14ac:dyDescent="0.2">
      <c r="C396" s="7"/>
      <c r="F396" s="7"/>
    </row>
    <row r="397" spans="3:6" ht="12.75" customHeight="1" x14ac:dyDescent="0.2">
      <c r="C397" s="7"/>
      <c r="F397" s="7"/>
    </row>
    <row r="398" spans="3:6" ht="12.75" customHeight="1" x14ac:dyDescent="0.2">
      <c r="C398" s="7"/>
      <c r="F398" s="7"/>
    </row>
    <row r="399" spans="3:6" ht="12.75" customHeight="1" x14ac:dyDescent="0.2">
      <c r="C399" s="7"/>
      <c r="F399" s="7"/>
    </row>
    <row r="400" spans="3:6" ht="12.75" customHeight="1" x14ac:dyDescent="0.2">
      <c r="C400" s="7"/>
      <c r="F400" s="7"/>
    </row>
    <row r="401" spans="3:6" ht="12.75" customHeight="1" x14ac:dyDescent="0.2">
      <c r="C401" s="7"/>
      <c r="F401" s="7"/>
    </row>
    <row r="402" spans="3:6" ht="12.75" customHeight="1" x14ac:dyDescent="0.2">
      <c r="C402" s="7"/>
      <c r="F402" s="7"/>
    </row>
    <row r="403" spans="3:6" ht="12.75" customHeight="1" x14ac:dyDescent="0.2">
      <c r="C403" s="7"/>
      <c r="F403" s="7"/>
    </row>
    <row r="404" spans="3:6" ht="12.75" customHeight="1" x14ac:dyDescent="0.2">
      <c r="C404" s="7"/>
      <c r="F404" s="7"/>
    </row>
    <row r="405" spans="3:6" ht="12.75" customHeight="1" x14ac:dyDescent="0.2">
      <c r="C405" s="7"/>
      <c r="F405" s="7"/>
    </row>
    <row r="406" spans="3:6" ht="12.75" customHeight="1" x14ac:dyDescent="0.2">
      <c r="C406" s="7"/>
      <c r="F406" s="7"/>
    </row>
    <row r="407" spans="3:6" ht="12.75" customHeight="1" x14ac:dyDescent="0.2">
      <c r="C407" s="7"/>
      <c r="F407" s="7"/>
    </row>
    <row r="408" spans="3:6" ht="12.75" customHeight="1" x14ac:dyDescent="0.2">
      <c r="C408" s="7"/>
      <c r="F408" s="7"/>
    </row>
    <row r="409" spans="3:6" ht="12.75" customHeight="1" x14ac:dyDescent="0.2">
      <c r="C409" s="7"/>
      <c r="F409" s="7"/>
    </row>
    <row r="410" spans="3:6" ht="12.75" customHeight="1" x14ac:dyDescent="0.2">
      <c r="C410" s="7"/>
      <c r="F410" s="7"/>
    </row>
    <row r="411" spans="3:6" ht="12.75" customHeight="1" x14ac:dyDescent="0.2">
      <c r="C411" s="7"/>
      <c r="F411" s="7"/>
    </row>
    <row r="412" spans="3:6" ht="12.75" customHeight="1" x14ac:dyDescent="0.2">
      <c r="C412" s="7"/>
      <c r="F412" s="7"/>
    </row>
    <row r="413" spans="3:6" ht="12.75" customHeight="1" x14ac:dyDescent="0.2">
      <c r="C413" s="7"/>
      <c r="F413" s="7"/>
    </row>
    <row r="414" spans="3:6" ht="12.75" customHeight="1" x14ac:dyDescent="0.2">
      <c r="C414" s="7"/>
      <c r="F414" s="7"/>
    </row>
    <row r="415" spans="3:6" ht="12.75" customHeight="1" x14ac:dyDescent="0.2">
      <c r="C415" s="7"/>
      <c r="F415" s="7"/>
    </row>
    <row r="416" spans="3:6" ht="12.75" customHeight="1" x14ac:dyDescent="0.2">
      <c r="C416" s="7"/>
      <c r="F416" s="7"/>
    </row>
    <row r="417" spans="3:6" ht="12.75" customHeight="1" x14ac:dyDescent="0.2">
      <c r="C417" s="7"/>
      <c r="F417" s="7"/>
    </row>
    <row r="418" spans="3:6" ht="12.75" customHeight="1" x14ac:dyDescent="0.2">
      <c r="C418" s="7"/>
      <c r="F418" s="7"/>
    </row>
    <row r="419" spans="3:6" ht="12.75" customHeight="1" x14ac:dyDescent="0.2">
      <c r="C419" s="7"/>
      <c r="F419" s="7"/>
    </row>
    <row r="420" spans="3:6" ht="12.75" customHeight="1" x14ac:dyDescent="0.2">
      <c r="C420" s="7"/>
      <c r="F420" s="7"/>
    </row>
    <row r="421" spans="3:6" ht="12.75" customHeight="1" x14ac:dyDescent="0.2">
      <c r="C421" s="7"/>
      <c r="F421" s="7"/>
    </row>
    <row r="422" spans="3:6" ht="12.75" customHeight="1" x14ac:dyDescent="0.2">
      <c r="C422" s="7"/>
      <c r="F422" s="7"/>
    </row>
    <row r="423" spans="3:6" ht="12.75" customHeight="1" x14ac:dyDescent="0.2">
      <c r="C423" s="7"/>
      <c r="F423" s="7"/>
    </row>
    <row r="424" spans="3:6" ht="12.75" customHeight="1" x14ac:dyDescent="0.2">
      <c r="C424" s="7"/>
      <c r="F424" s="7"/>
    </row>
    <row r="425" spans="3:6" ht="12.75" customHeight="1" x14ac:dyDescent="0.2">
      <c r="C425" s="7"/>
      <c r="F425" s="7"/>
    </row>
    <row r="426" spans="3:6" ht="12.75" customHeight="1" x14ac:dyDescent="0.2">
      <c r="C426" s="7"/>
      <c r="F426" s="7"/>
    </row>
    <row r="427" spans="3:6" ht="12.75" customHeight="1" x14ac:dyDescent="0.2">
      <c r="C427" s="7"/>
      <c r="F427" s="7"/>
    </row>
    <row r="428" spans="3:6" ht="12.75" customHeight="1" x14ac:dyDescent="0.2">
      <c r="C428" s="7"/>
      <c r="F428" s="7"/>
    </row>
    <row r="429" spans="3:6" ht="12.75" customHeight="1" x14ac:dyDescent="0.2">
      <c r="C429" s="7"/>
      <c r="F429" s="7"/>
    </row>
    <row r="430" spans="3:6" ht="12.75" customHeight="1" x14ac:dyDescent="0.2">
      <c r="C430" s="7"/>
      <c r="F430" s="7"/>
    </row>
    <row r="431" spans="3:6" ht="12.75" customHeight="1" x14ac:dyDescent="0.2">
      <c r="C431" s="7"/>
      <c r="F431" s="7"/>
    </row>
    <row r="432" spans="3:6" ht="12.75" customHeight="1" x14ac:dyDescent="0.2">
      <c r="C432" s="7"/>
      <c r="F432" s="7"/>
    </row>
    <row r="433" spans="3:6" ht="12.75" customHeight="1" x14ac:dyDescent="0.2">
      <c r="C433" s="7"/>
      <c r="F433" s="7"/>
    </row>
    <row r="434" spans="3:6" ht="12.75" customHeight="1" x14ac:dyDescent="0.2">
      <c r="C434" s="7"/>
      <c r="F434" s="7"/>
    </row>
    <row r="435" spans="3:6" ht="12.75" customHeight="1" x14ac:dyDescent="0.2">
      <c r="C435" s="7"/>
      <c r="F435" s="7"/>
    </row>
    <row r="436" spans="3:6" ht="12.75" customHeight="1" x14ac:dyDescent="0.2">
      <c r="C436" s="7"/>
      <c r="F436" s="7"/>
    </row>
    <row r="437" spans="3:6" ht="12.75" customHeight="1" x14ac:dyDescent="0.2">
      <c r="C437" s="7"/>
      <c r="F437" s="7"/>
    </row>
    <row r="438" spans="3:6" ht="12.75" customHeight="1" x14ac:dyDescent="0.2">
      <c r="C438" s="7"/>
      <c r="F438" s="7"/>
    </row>
    <row r="439" spans="3:6" ht="12.75" customHeight="1" x14ac:dyDescent="0.2">
      <c r="C439" s="7"/>
      <c r="F439" s="7"/>
    </row>
    <row r="440" spans="3:6" ht="12.75" customHeight="1" x14ac:dyDescent="0.2">
      <c r="C440" s="7"/>
      <c r="F440" s="7"/>
    </row>
    <row r="441" spans="3:6" ht="12.75" customHeight="1" x14ac:dyDescent="0.2">
      <c r="C441" s="7"/>
      <c r="F441" s="7"/>
    </row>
    <row r="442" spans="3:6" ht="12.75" customHeight="1" x14ac:dyDescent="0.2">
      <c r="C442" s="7"/>
      <c r="F442" s="7"/>
    </row>
    <row r="443" spans="3:6" ht="12.75" customHeight="1" x14ac:dyDescent="0.2">
      <c r="C443" s="7"/>
      <c r="F443" s="7"/>
    </row>
    <row r="444" spans="3:6" ht="12.75" customHeight="1" x14ac:dyDescent="0.2">
      <c r="C444" s="7"/>
      <c r="F444" s="7"/>
    </row>
    <row r="445" spans="3:6" ht="12.75" customHeight="1" x14ac:dyDescent="0.2">
      <c r="C445" s="7"/>
      <c r="F445" s="7"/>
    </row>
    <row r="446" spans="3:6" ht="12.75" customHeight="1" x14ac:dyDescent="0.2">
      <c r="C446" s="7"/>
      <c r="F446" s="7"/>
    </row>
    <row r="447" spans="3:6" ht="12.75" customHeight="1" x14ac:dyDescent="0.2">
      <c r="C447" s="7"/>
      <c r="F447" s="7"/>
    </row>
    <row r="448" spans="3:6" ht="12.75" customHeight="1" x14ac:dyDescent="0.2">
      <c r="C448" s="7"/>
      <c r="F448" s="7"/>
    </row>
    <row r="449" spans="3:6" ht="12.75" customHeight="1" x14ac:dyDescent="0.2">
      <c r="C449" s="7"/>
      <c r="F449" s="7"/>
    </row>
    <row r="450" spans="3:6" ht="12.75" customHeight="1" x14ac:dyDescent="0.2">
      <c r="C450" s="7"/>
      <c r="F450" s="7"/>
    </row>
    <row r="451" spans="3:6" ht="12.75" customHeight="1" x14ac:dyDescent="0.2">
      <c r="C451" s="7"/>
      <c r="F451" s="7"/>
    </row>
    <row r="452" spans="3:6" ht="12.75" customHeight="1" x14ac:dyDescent="0.2">
      <c r="C452" s="7"/>
      <c r="F452" s="7"/>
    </row>
    <row r="453" spans="3:6" ht="12.75" customHeight="1" x14ac:dyDescent="0.2">
      <c r="C453" s="7"/>
      <c r="F453" s="7"/>
    </row>
    <row r="454" spans="3:6" ht="12.75" customHeight="1" x14ac:dyDescent="0.2">
      <c r="C454" s="7"/>
      <c r="F454" s="7"/>
    </row>
    <row r="455" spans="3:6" ht="12.75" customHeight="1" x14ac:dyDescent="0.2">
      <c r="C455" s="7"/>
      <c r="F455" s="7"/>
    </row>
    <row r="456" spans="3:6" ht="12.75" customHeight="1" x14ac:dyDescent="0.2">
      <c r="C456" s="7"/>
      <c r="F456" s="7"/>
    </row>
    <row r="457" spans="3:6" ht="12.75" customHeight="1" x14ac:dyDescent="0.2">
      <c r="C457" s="7"/>
      <c r="F457" s="7"/>
    </row>
    <row r="458" spans="3:6" ht="12.75" customHeight="1" x14ac:dyDescent="0.2">
      <c r="C458" s="7"/>
      <c r="F458" s="7"/>
    </row>
    <row r="459" spans="3:6" ht="12.75" customHeight="1" x14ac:dyDescent="0.2">
      <c r="C459" s="7"/>
      <c r="F459" s="7"/>
    </row>
    <row r="460" spans="3:6" ht="12.75" customHeight="1" x14ac:dyDescent="0.2">
      <c r="C460" s="7"/>
      <c r="F460" s="7"/>
    </row>
    <row r="461" spans="3:6" ht="12.75" customHeight="1" x14ac:dyDescent="0.2">
      <c r="C461" s="7"/>
      <c r="F461" s="7"/>
    </row>
    <row r="462" spans="3:6" ht="12.75" customHeight="1" x14ac:dyDescent="0.2">
      <c r="C462" s="7"/>
      <c r="F462" s="7"/>
    </row>
    <row r="463" spans="3:6" ht="12.75" customHeight="1" x14ac:dyDescent="0.2">
      <c r="C463" s="7"/>
      <c r="F463" s="7"/>
    </row>
    <row r="464" spans="3:6" ht="12.75" customHeight="1" x14ac:dyDescent="0.2">
      <c r="C464" s="7"/>
      <c r="F464" s="7"/>
    </row>
    <row r="465" spans="3:6" ht="12.75" customHeight="1" x14ac:dyDescent="0.2">
      <c r="C465" s="7"/>
      <c r="F465" s="7"/>
    </row>
    <row r="466" spans="3:6" ht="12.75" customHeight="1" x14ac:dyDescent="0.2">
      <c r="C466" s="7"/>
      <c r="F466" s="7"/>
    </row>
    <row r="467" spans="3:6" ht="12.75" customHeight="1" x14ac:dyDescent="0.2">
      <c r="C467" s="7"/>
      <c r="F467" s="7"/>
    </row>
    <row r="468" spans="3:6" ht="12.75" customHeight="1" x14ac:dyDescent="0.2">
      <c r="C468" s="7"/>
      <c r="F468" s="7"/>
    </row>
    <row r="469" spans="3:6" ht="12.75" customHeight="1" x14ac:dyDescent="0.2">
      <c r="C469" s="7"/>
      <c r="F469" s="7"/>
    </row>
    <row r="470" spans="3:6" ht="12.75" customHeight="1" x14ac:dyDescent="0.2">
      <c r="C470" s="7"/>
      <c r="F470" s="7"/>
    </row>
    <row r="471" spans="3:6" ht="12.75" customHeight="1" x14ac:dyDescent="0.2">
      <c r="C471" s="7"/>
      <c r="F471" s="7"/>
    </row>
    <row r="472" spans="3:6" ht="12.75" customHeight="1" x14ac:dyDescent="0.2">
      <c r="C472" s="7"/>
      <c r="F472" s="7"/>
    </row>
    <row r="473" spans="3:6" ht="12.75" customHeight="1" x14ac:dyDescent="0.2">
      <c r="C473" s="7"/>
      <c r="F473" s="7"/>
    </row>
    <row r="474" spans="3:6" ht="12.75" customHeight="1" x14ac:dyDescent="0.2">
      <c r="C474" s="7"/>
      <c r="F474" s="7"/>
    </row>
    <row r="475" spans="3:6" ht="12.75" customHeight="1" x14ac:dyDescent="0.2">
      <c r="C475" s="7"/>
      <c r="F475" s="7"/>
    </row>
    <row r="476" spans="3:6" ht="12.75" customHeight="1" x14ac:dyDescent="0.2">
      <c r="C476" s="7"/>
      <c r="F476" s="7"/>
    </row>
    <row r="477" spans="3:6" ht="12.75" customHeight="1" x14ac:dyDescent="0.2">
      <c r="C477" s="7"/>
      <c r="F477" s="7"/>
    </row>
    <row r="478" spans="3:6" ht="12.75" customHeight="1" x14ac:dyDescent="0.2">
      <c r="C478" s="7"/>
      <c r="F478" s="7"/>
    </row>
    <row r="479" spans="3:6" ht="12.75" customHeight="1" x14ac:dyDescent="0.2">
      <c r="C479" s="7"/>
      <c r="F479" s="7"/>
    </row>
    <row r="480" spans="3:6" ht="12.75" customHeight="1" x14ac:dyDescent="0.2">
      <c r="C480" s="7"/>
      <c r="F480" s="7"/>
    </row>
    <row r="481" spans="3:6" ht="12.75" customHeight="1" x14ac:dyDescent="0.2">
      <c r="C481" s="7"/>
      <c r="F481" s="7"/>
    </row>
    <row r="482" spans="3:6" ht="12.75" customHeight="1" x14ac:dyDescent="0.2">
      <c r="C482" s="7"/>
      <c r="F482" s="7"/>
    </row>
    <row r="483" spans="3:6" ht="12.75" customHeight="1" x14ac:dyDescent="0.2">
      <c r="C483" s="7"/>
      <c r="F483" s="7"/>
    </row>
    <row r="484" spans="3:6" ht="12.75" customHeight="1" x14ac:dyDescent="0.2">
      <c r="C484" s="7"/>
      <c r="F484" s="7"/>
    </row>
    <row r="485" spans="3:6" ht="12.75" customHeight="1" x14ac:dyDescent="0.2">
      <c r="C485" s="7"/>
      <c r="F485" s="7"/>
    </row>
    <row r="486" spans="3:6" ht="12.75" customHeight="1" x14ac:dyDescent="0.2">
      <c r="C486" s="7"/>
      <c r="F486" s="7"/>
    </row>
    <row r="487" spans="3:6" ht="12.75" customHeight="1" x14ac:dyDescent="0.2">
      <c r="C487" s="7"/>
      <c r="F487" s="7"/>
    </row>
    <row r="488" spans="3:6" ht="12.75" customHeight="1" x14ac:dyDescent="0.2">
      <c r="C488" s="7"/>
      <c r="F488" s="7"/>
    </row>
    <row r="489" spans="3:6" ht="12.75" customHeight="1" x14ac:dyDescent="0.2">
      <c r="C489" s="7"/>
      <c r="F489" s="7"/>
    </row>
    <row r="490" spans="3:6" ht="12.75" customHeight="1" x14ac:dyDescent="0.2">
      <c r="C490" s="7"/>
      <c r="F490" s="7"/>
    </row>
    <row r="491" spans="3:6" ht="12.75" customHeight="1" x14ac:dyDescent="0.2">
      <c r="C491" s="7"/>
      <c r="F491" s="7"/>
    </row>
    <row r="492" spans="3:6" ht="12.75" customHeight="1" x14ac:dyDescent="0.2">
      <c r="C492" s="7"/>
      <c r="F492" s="7"/>
    </row>
    <row r="493" spans="3:6" ht="12.75" customHeight="1" x14ac:dyDescent="0.2">
      <c r="C493" s="7"/>
      <c r="F493" s="7"/>
    </row>
    <row r="494" spans="3:6" ht="12.75" customHeight="1" x14ac:dyDescent="0.2">
      <c r="C494" s="7"/>
      <c r="F494" s="7"/>
    </row>
    <row r="495" spans="3:6" ht="12.75" customHeight="1" x14ac:dyDescent="0.2">
      <c r="C495" s="7"/>
      <c r="F495" s="7"/>
    </row>
    <row r="496" spans="3:6" ht="12.75" customHeight="1" x14ac:dyDescent="0.2">
      <c r="C496" s="7"/>
      <c r="F496" s="7"/>
    </row>
    <row r="497" spans="3:6" ht="12.75" customHeight="1" x14ac:dyDescent="0.2">
      <c r="C497" s="7"/>
      <c r="F497" s="7"/>
    </row>
    <row r="498" spans="3:6" ht="12.75" customHeight="1" x14ac:dyDescent="0.2">
      <c r="C498" s="7"/>
      <c r="F498" s="7"/>
    </row>
    <row r="499" spans="3:6" ht="12.75" customHeight="1" x14ac:dyDescent="0.2">
      <c r="C499" s="7"/>
      <c r="F499" s="7"/>
    </row>
    <row r="500" spans="3:6" ht="12.75" customHeight="1" x14ac:dyDescent="0.2">
      <c r="C500" s="7"/>
      <c r="F500" s="7"/>
    </row>
    <row r="501" spans="3:6" ht="12.75" customHeight="1" x14ac:dyDescent="0.2">
      <c r="C501" s="7"/>
      <c r="F501" s="7"/>
    </row>
    <row r="502" spans="3:6" ht="12.75" customHeight="1" x14ac:dyDescent="0.2">
      <c r="C502" s="7"/>
      <c r="F502" s="7"/>
    </row>
    <row r="503" spans="3:6" ht="12.75" customHeight="1" x14ac:dyDescent="0.2">
      <c r="C503" s="7"/>
      <c r="F503" s="7"/>
    </row>
    <row r="504" spans="3:6" ht="12.75" customHeight="1" x14ac:dyDescent="0.2">
      <c r="C504" s="7"/>
      <c r="F504" s="7"/>
    </row>
    <row r="505" spans="3:6" ht="12.75" customHeight="1" x14ac:dyDescent="0.2">
      <c r="C505" s="7"/>
      <c r="F505" s="7"/>
    </row>
    <row r="506" spans="3:6" ht="12.75" customHeight="1" x14ac:dyDescent="0.2">
      <c r="C506" s="7"/>
      <c r="F506" s="7"/>
    </row>
    <row r="507" spans="3:6" ht="12.75" customHeight="1" x14ac:dyDescent="0.2">
      <c r="C507" s="7"/>
      <c r="F507" s="7"/>
    </row>
    <row r="508" spans="3:6" ht="12.75" customHeight="1" x14ac:dyDescent="0.2">
      <c r="C508" s="7"/>
      <c r="F508" s="7"/>
    </row>
    <row r="509" spans="3:6" ht="12.75" customHeight="1" x14ac:dyDescent="0.2">
      <c r="C509" s="7"/>
      <c r="F509" s="7"/>
    </row>
    <row r="510" spans="3:6" ht="12.75" customHeight="1" x14ac:dyDescent="0.2">
      <c r="C510" s="7"/>
      <c r="F510" s="7"/>
    </row>
    <row r="511" spans="3:6" ht="12.75" customHeight="1" x14ac:dyDescent="0.2">
      <c r="C511" s="7"/>
      <c r="F511" s="7"/>
    </row>
    <row r="512" spans="3:6" ht="12.75" customHeight="1" x14ac:dyDescent="0.2">
      <c r="C512" s="7"/>
      <c r="F512" s="7"/>
    </row>
    <row r="513" spans="3:6" ht="12.75" customHeight="1" x14ac:dyDescent="0.2">
      <c r="C513" s="7"/>
      <c r="F513" s="7"/>
    </row>
    <row r="514" spans="3:6" ht="12.75" customHeight="1" x14ac:dyDescent="0.2">
      <c r="C514" s="7"/>
      <c r="F514" s="7"/>
    </row>
    <row r="515" spans="3:6" ht="12.75" customHeight="1" x14ac:dyDescent="0.2">
      <c r="C515" s="7"/>
      <c r="F515" s="7"/>
    </row>
    <row r="516" spans="3:6" ht="12.75" customHeight="1" x14ac:dyDescent="0.2">
      <c r="C516" s="7"/>
      <c r="F516" s="7"/>
    </row>
    <row r="517" spans="3:6" ht="12.75" customHeight="1" x14ac:dyDescent="0.2">
      <c r="C517" s="7"/>
      <c r="F517" s="7"/>
    </row>
    <row r="518" spans="3:6" ht="12.75" customHeight="1" x14ac:dyDescent="0.2">
      <c r="C518" s="7"/>
      <c r="F518" s="7"/>
    </row>
    <row r="519" spans="3:6" ht="12.75" customHeight="1" x14ac:dyDescent="0.2">
      <c r="C519" s="7"/>
      <c r="F519" s="7"/>
    </row>
    <row r="520" spans="3:6" ht="12.75" customHeight="1" x14ac:dyDescent="0.2">
      <c r="C520" s="7"/>
      <c r="F520" s="7"/>
    </row>
    <row r="521" spans="3:6" ht="12.75" customHeight="1" x14ac:dyDescent="0.2">
      <c r="C521" s="7"/>
      <c r="F521" s="7"/>
    </row>
    <row r="522" spans="3:6" ht="12.75" customHeight="1" x14ac:dyDescent="0.2">
      <c r="C522" s="7"/>
      <c r="F522" s="7"/>
    </row>
    <row r="523" spans="3:6" ht="12.75" customHeight="1" x14ac:dyDescent="0.2">
      <c r="C523" s="7"/>
      <c r="F523" s="7"/>
    </row>
    <row r="524" spans="3:6" ht="12.75" customHeight="1" x14ac:dyDescent="0.2">
      <c r="C524" s="7"/>
      <c r="F524" s="7"/>
    </row>
    <row r="525" spans="3:6" ht="12.75" customHeight="1" x14ac:dyDescent="0.2">
      <c r="C525" s="7"/>
      <c r="F525" s="7"/>
    </row>
    <row r="526" spans="3:6" ht="12.75" customHeight="1" x14ac:dyDescent="0.2">
      <c r="C526" s="7"/>
      <c r="F526" s="7"/>
    </row>
    <row r="527" spans="3:6" ht="12.75" customHeight="1" x14ac:dyDescent="0.2">
      <c r="C527" s="7"/>
      <c r="F527" s="7"/>
    </row>
    <row r="528" spans="3:6" ht="12.75" customHeight="1" x14ac:dyDescent="0.2">
      <c r="C528" s="7"/>
      <c r="F528" s="7"/>
    </row>
    <row r="529" spans="3:6" ht="12.75" customHeight="1" x14ac:dyDescent="0.2">
      <c r="C529" s="7"/>
      <c r="F529" s="7"/>
    </row>
    <row r="530" spans="3:6" ht="12.75" customHeight="1" x14ac:dyDescent="0.2">
      <c r="C530" s="7"/>
      <c r="F530" s="7"/>
    </row>
    <row r="531" spans="3:6" ht="12.75" customHeight="1" x14ac:dyDescent="0.2">
      <c r="C531" s="7"/>
      <c r="F531" s="7"/>
    </row>
    <row r="532" spans="3:6" ht="12.75" customHeight="1" x14ac:dyDescent="0.2">
      <c r="C532" s="7"/>
      <c r="F532" s="7"/>
    </row>
    <row r="533" spans="3:6" ht="12.75" customHeight="1" x14ac:dyDescent="0.2">
      <c r="C533" s="7"/>
      <c r="F533" s="7"/>
    </row>
    <row r="534" spans="3:6" ht="12.75" customHeight="1" x14ac:dyDescent="0.2">
      <c r="C534" s="7"/>
      <c r="F534" s="7"/>
    </row>
    <row r="535" spans="3:6" ht="12.75" customHeight="1" x14ac:dyDescent="0.2">
      <c r="C535" s="7"/>
      <c r="F535" s="7"/>
    </row>
    <row r="536" spans="3:6" ht="12.75" customHeight="1" x14ac:dyDescent="0.2">
      <c r="C536" s="7"/>
      <c r="F536" s="7"/>
    </row>
    <row r="537" spans="3:6" ht="12.75" customHeight="1" x14ac:dyDescent="0.2">
      <c r="C537" s="7"/>
      <c r="F537" s="7"/>
    </row>
    <row r="538" spans="3:6" ht="12.75" customHeight="1" x14ac:dyDescent="0.2">
      <c r="C538" s="7"/>
      <c r="F538" s="7"/>
    </row>
    <row r="539" spans="3:6" ht="12.75" customHeight="1" x14ac:dyDescent="0.2">
      <c r="C539" s="7"/>
      <c r="F539" s="7"/>
    </row>
    <row r="540" spans="3:6" ht="12.75" customHeight="1" x14ac:dyDescent="0.2">
      <c r="C540" s="7"/>
      <c r="F540" s="7"/>
    </row>
    <row r="541" spans="3:6" ht="12.75" customHeight="1" x14ac:dyDescent="0.2">
      <c r="C541" s="7"/>
      <c r="F541" s="7"/>
    </row>
    <row r="542" spans="3:6" ht="12.75" customHeight="1" x14ac:dyDescent="0.2">
      <c r="C542" s="7"/>
      <c r="F542" s="7"/>
    </row>
    <row r="543" spans="3:6" ht="12.75" customHeight="1" x14ac:dyDescent="0.2">
      <c r="C543" s="7"/>
      <c r="F543" s="7"/>
    </row>
    <row r="544" spans="3:6" ht="12.75" customHeight="1" x14ac:dyDescent="0.2">
      <c r="C544" s="7"/>
      <c r="F544" s="7"/>
    </row>
    <row r="545" spans="3:6" ht="12.75" customHeight="1" x14ac:dyDescent="0.2">
      <c r="C545" s="7"/>
      <c r="F545" s="7"/>
    </row>
    <row r="546" spans="3:6" ht="12.75" customHeight="1" x14ac:dyDescent="0.2">
      <c r="C546" s="7"/>
      <c r="F546" s="7"/>
    </row>
    <row r="547" spans="3:6" ht="12.75" customHeight="1" x14ac:dyDescent="0.2">
      <c r="C547" s="7"/>
      <c r="F547" s="7"/>
    </row>
    <row r="548" spans="3:6" ht="12.75" customHeight="1" x14ac:dyDescent="0.2">
      <c r="C548" s="7"/>
      <c r="F548" s="7"/>
    </row>
    <row r="549" spans="3:6" ht="12.75" customHeight="1" x14ac:dyDescent="0.2">
      <c r="C549" s="7"/>
      <c r="F549" s="7"/>
    </row>
    <row r="550" spans="3:6" ht="12.75" customHeight="1" x14ac:dyDescent="0.2">
      <c r="C550" s="7"/>
      <c r="F550" s="7"/>
    </row>
    <row r="551" spans="3:6" ht="12.75" customHeight="1" x14ac:dyDescent="0.2">
      <c r="C551" s="7"/>
      <c r="F551" s="7"/>
    </row>
    <row r="552" spans="3:6" ht="12.75" customHeight="1" x14ac:dyDescent="0.2">
      <c r="C552" s="7"/>
      <c r="F552" s="7"/>
    </row>
    <row r="553" spans="3:6" ht="12.75" customHeight="1" x14ac:dyDescent="0.2">
      <c r="C553" s="7"/>
      <c r="F553" s="7"/>
    </row>
    <row r="554" spans="3:6" ht="12.75" customHeight="1" x14ac:dyDescent="0.2">
      <c r="C554" s="7"/>
      <c r="F554" s="7"/>
    </row>
    <row r="555" spans="3:6" ht="12.75" customHeight="1" x14ac:dyDescent="0.2">
      <c r="C555" s="7"/>
      <c r="F555" s="7"/>
    </row>
    <row r="556" spans="3:6" ht="12.75" customHeight="1" x14ac:dyDescent="0.2">
      <c r="C556" s="7"/>
      <c r="F556" s="7"/>
    </row>
    <row r="557" spans="3:6" ht="12.75" customHeight="1" x14ac:dyDescent="0.2">
      <c r="C557" s="7"/>
      <c r="F557" s="7"/>
    </row>
    <row r="558" spans="3:6" ht="12.75" customHeight="1" x14ac:dyDescent="0.2">
      <c r="C558" s="7"/>
      <c r="F558" s="7"/>
    </row>
    <row r="559" spans="3:6" ht="12.75" customHeight="1" x14ac:dyDescent="0.2">
      <c r="C559" s="7"/>
      <c r="F559" s="7"/>
    </row>
    <row r="560" spans="3:6" ht="12.75" customHeight="1" x14ac:dyDescent="0.2">
      <c r="C560" s="7"/>
      <c r="F560" s="7"/>
    </row>
    <row r="561" spans="3:6" ht="12.75" customHeight="1" x14ac:dyDescent="0.2">
      <c r="C561" s="7"/>
      <c r="F561" s="7"/>
    </row>
    <row r="562" spans="3:6" ht="12.75" customHeight="1" x14ac:dyDescent="0.2">
      <c r="C562" s="7"/>
      <c r="F562" s="7"/>
    </row>
    <row r="563" spans="3:6" ht="12.75" customHeight="1" x14ac:dyDescent="0.2">
      <c r="C563" s="7"/>
      <c r="F563" s="7"/>
    </row>
    <row r="564" spans="3:6" ht="12.75" customHeight="1" x14ac:dyDescent="0.2">
      <c r="C564" s="7"/>
      <c r="F564" s="7"/>
    </row>
    <row r="565" spans="3:6" ht="12.75" customHeight="1" x14ac:dyDescent="0.2">
      <c r="C565" s="7"/>
      <c r="F565" s="7"/>
    </row>
    <row r="566" spans="3:6" ht="12.75" customHeight="1" x14ac:dyDescent="0.2">
      <c r="C566" s="7"/>
      <c r="F566" s="7"/>
    </row>
    <row r="567" spans="3:6" ht="12.75" customHeight="1" x14ac:dyDescent="0.2">
      <c r="C567" s="7"/>
      <c r="F567" s="7"/>
    </row>
    <row r="568" spans="3:6" ht="12.75" customHeight="1" x14ac:dyDescent="0.2">
      <c r="C568" s="7"/>
      <c r="F568" s="7"/>
    </row>
    <row r="569" spans="3:6" ht="12.75" customHeight="1" x14ac:dyDescent="0.2">
      <c r="C569" s="7"/>
      <c r="F569" s="7"/>
    </row>
    <row r="570" spans="3:6" ht="12.75" customHeight="1" x14ac:dyDescent="0.2">
      <c r="C570" s="7"/>
      <c r="F570" s="7"/>
    </row>
    <row r="571" spans="3:6" ht="12.75" customHeight="1" x14ac:dyDescent="0.2">
      <c r="C571" s="7"/>
      <c r="F571" s="7"/>
    </row>
    <row r="572" spans="3:6" ht="12.75" customHeight="1" x14ac:dyDescent="0.2">
      <c r="C572" s="7"/>
      <c r="F572" s="7"/>
    </row>
    <row r="573" spans="3:6" ht="12.75" customHeight="1" x14ac:dyDescent="0.2">
      <c r="C573" s="7"/>
      <c r="F573" s="7"/>
    </row>
    <row r="574" spans="3:6" ht="12.75" customHeight="1" x14ac:dyDescent="0.2">
      <c r="C574" s="7"/>
      <c r="F574" s="7"/>
    </row>
    <row r="575" spans="3:6" ht="12.75" customHeight="1" x14ac:dyDescent="0.2">
      <c r="C575" s="7"/>
      <c r="F575" s="7"/>
    </row>
    <row r="576" spans="3:6" ht="12.75" customHeight="1" x14ac:dyDescent="0.2">
      <c r="C576" s="7"/>
      <c r="F576" s="7"/>
    </row>
    <row r="577" spans="3:6" ht="12.75" customHeight="1" x14ac:dyDescent="0.2">
      <c r="C577" s="7"/>
      <c r="F577" s="7"/>
    </row>
    <row r="578" spans="3:6" ht="12.75" customHeight="1" x14ac:dyDescent="0.2">
      <c r="C578" s="7"/>
      <c r="F578" s="7"/>
    </row>
    <row r="579" spans="3:6" ht="12.75" customHeight="1" x14ac:dyDescent="0.2">
      <c r="C579" s="7"/>
      <c r="F579" s="7"/>
    </row>
    <row r="580" spans="3:6" ht="12.75" customHeight="1" x14ac:dyDescent="0.2">
      <c r="C580" s="7"/>
      <c r="F580" s="7"/>
    </row>
    <row r="581" spans="3:6" ht="12.75" customHeight="1" x14ac:dyDescent="0.2">
      <c r="C581" s="7"/>
      <c r="F581" s="7"/>
    </row>
    <row r="582" spans="3:6" ht="12.75" customHeight="1" x14ac:dyDescent="0.2">
      <c r="C582" s="7"/>
      <c r="F582" s="7"/>
    </row>
    <row r="583" spans="3:6" ht="12.75" customHeight="1" x14ac:dyDescent="0.2">
      <c r="C583" s="7"/>
      <c r="F583" s="7"/>
    </row>
    <row r="584" spans="3:6" ht="12.75" customHeight="1" x14ac:dyDescent="0.2">
      <c r="C584" s="7"/>
      <c r="F584" s="7"/>
    </row>
    <row r="585" spans="3:6" ht="12.75" customHeight="1" x14ac:dyDescent="0.2">
      <c r="C585" s="7"/>
      <c r="F585" s="7"/>
    </row>
    <row r="586" spans="3:6" ht="12.75" customHeight="1" x14ac:dyDescent="0.2">
      <c r="C586" s="7"/>
      <c r="F586" s="7"/>
    </row>
    <row r="587" spans="3:6" ht="12.75" customHeight="1" x14ac:dyDescent="0.2">
      <c r="C587" s="7"/>
      <c r="F587" s="7"/>
    </row>
    <row r="588" spans="3:6" ht="12.75" customHeight="1" x14ac:dyDescent="0.2">
      <c r="C588" s="7"/>
      <c r="F588" s="7"/>
    </row>
    <row r="589" spans="3:6" ht="12.75" customHeight="1" x14ac:dyDescent="0.2">
      <c r="C589" s="7"/>
      <c r="F589" s="7"/>
    </row>
    <row r="590" spans="3:6" ht="12.75" customHeight="1" x14ac:dyDescent="0.2">
      <c r="C590" s="7"/>
      <c r="F590" s="7"/>
    </row>
    <row r="591" spans="3:6" ht="12.75" customHeight="1" x14ac:dyDescent="0.2">
      <c r="C591" s="7"/>
      <c r="F591" s="7"/>
    </row>
    <row r="592" spans="3:6" ht="12.75" customHeight="1" x14ac:dyDescent="0.2">
      <c r="C592" s="7"/>
      <c r="F592" s="7"/>
    </row>
    <row r="593" spans="3:6" ht="12.75" customHeight="1" x14ac:dyDescent="0.2">
      <c r="C593" s="7"/>
      <c r="F593" s="7"/>
    </row>
    <row r="594" spans="3:6" ht="12.75" customHeight="1" x14ac:dyDescent="0.2">
      <c r="C594" s="7"/>
      <c r="F594" s="7"/>
    </row>
    <row r="595" spans="3:6" ht="12.75" customHeight="1" x14ac:dyDescent="0.2">
      <c r="C595" s="7"/>
      <c r="F595" s="7"/>
    </row>
    <row r="596" spans="3:6" ht="12.75" customHeight="1" x14ac:dyDescent="0.2">
      <c r="C596" s="7"/>
      <c r="F596" s="7"/>
    </row>
    <row r="597" spans="3:6" ht="12.75" customHeight="1" x14ac:dyDescent="0.2">
      <c r="C597" s="7"/>
      <c r="F597" s="7"/>
    </row>
    <row r="598" spans="3:6" ht="12.75" customHeight="1" x14ac:dyDescent="0.2">
      <c r="C598" s="7"/>
      <c r="F598" s="7"/>
    </row>
    <row r="599" spans="3:6" ht="12.75" customHeight="1" x14ac:dyDescent="0.2">
      <c r="C599" s="7"/>
      <c r="F599" s="7"/>
    </row>
    <row r="600" spans="3:6" ht="12.75" customHeight="1" x14ac:dyDescent="0.2">
      <c r="C600" s="7"/>
      <c r="F600" s="7"/>
    </row>
    <row r="601" spans="3:6" ht="12.75" customHeight="1" x14ac:dyDescent="0.2">
      <c r="C601" s="7"/>
      <c r="F601" s="7"/>
    </row>
    <row r="602" spans="3:6" ht="12.75" customHeight="1" x14ac:dyDescent="0.2">
      <c r="C602" s="7"/>
      <c r="F602" s="7"/>
    </row>
    <row r="603" spans="3:6" ht="12.75" customHeight="1" x14ac:dyDescent="0.2">
      <c r="C603" s="7"/>
      <c r="F603" s="7"/>
    </row>
    <row r="604" spans="3:6" ht="12.75" customHeight="1" x14ac:dyDescent="0.2">
      <c r="C604" s="7"/>
      <c r="F604" s="7"/>
    </row>
    <row r="605" spans="3:6" ht="12.75" customHeight="1" x14ac:dyDescent="0.2">
      <c r="C605" s="7"/>
      <c r="F605" s="7"/>
    </row>
    <row r="606" spans="3:6" ht="12.75" customHeight="1" x14ac:dyDescent="0.2">
      <c r="C606" s="7"/>
      <c r="F606" s="7"/>
    </row>
    <row r="607" spans="3:6" ht="12.75" customHeight="1" x14ac:dyDescent="0.2">
      <c r="C607" s="7"/>
      <c r="F607" s="7"/>
    </row>
    <row r="608" spans="3:6" ht="12.75" customHeight="1" x14ac:dyDescent="0.2">
      <c r="C608" s="7"/>
      <c r="F608" s="7"/>
    </row>
    <row r="609" spans="3:6" ht="12.75" customHeight="1" x14ac:dyDescent="0.2">
      <c r="C609" s="7"/>
      <c r="F609" s="7"/>
    </row>
    <row r="610" spans="3:6" ht="12.75" customHeight="1" x14ac:dyDescent="0.2">
      <c r="C610" s="7"/>
      <c r="F610" s="7"/>
    </row>
    <row r="611" spans="3:6" ht="12.75" customHeight="1" x14ac:dyDescent="0.2">
      <c r="C611" s="7"/>
      <c r="F611" s="7"/>
    </row>
    <row r="612" spans="3:6" ht="12.75" customHeight="1" x14ac:dyDescent="0.2">
      <c r="C612" s="7"/>
      <c r="F612" s="7"/>
    </row>
    <row r="613" spans="3:6" ht="12.75" customHeight="1" x14ac:dyDescent="0.2">
      <c r="C613" s="7"/>
      <c r="F613" s="7"/>
    </row>
    <row r="614" spans="3:6" ht="12.75" customHeight="1" x14ac:dyDescent="0.2">
      <c r="C614" s="7"/>
      <c r="F614" s="7"/>
    </row>
    <row r="615" spans="3:6" ht="12.75" customHeight="1" x14ac:dyDescent="0.2">
      <c r="C615" s="7"/>
      <c r="F615" s="7"/>
    </row>
    <row r="616" spans="3:6" ht="12.75" customHeight="1" x14ac:dyDescent="0.2">
      <c r="C616" s="7"/>
      <c r="F616" s="7"/>
    </row>
    <row r="617" spans="3:6" ht="12.75" customHeight="1" x14ac:dyDescent="0.2">
      <c r="C617" s="7"/>
      <c r="F617" s="7"/>
    </row>
    <row r="618" spans="3:6" ht="12.75" customHeight="1" x14ac:dyDescent="0.2">
      <c r="C618" s="7"/>
      <c r="F618" s="7"/>
    </row>
    <row r="619" spans="3:6" ht="12.75" customHeight="1" x14ac:dyDescent="0.2">
      <c r="C619" s="7"/>
      <c r="F619" s="7"/>
    </row>
    <row r="620" spans="3:6" ht="12.75" customHeight="1" x14ac:dyDescent="0.2">
      <c r="C620" s="7"/>
      <c r="F620" s="7"/>
    </row>
    <row r="621" spans="3:6" ht="12.75" customHeight="1" x14ac:dyDescent="0.2">
      <c r="C621" s="7"/>
      <c r="F621" s="7"/>
    </row>
    <row r="622" spans="3:6" ht="12.75" customHeight="1" x14ac:dyDescent="0.2">
      <c r="C622" s="7"/>
      <c r="F622" s="7"/>
    </row>
    <row r="623" spans="3:6" ht="12.75" customHeight="1" x14ac:dyDescent="0.2">
      <c r="C623" s="7"/>
      <c r="F623" s="7"/>
    </row>
    <row r="624" spans="3:6" ht="12.75" customHeight="1" x14ac:dyDescent="0.2">
      <c r="C624" s="7"/>
      <c r="F624" s="7"/>
    </row>
    <row r="625" spans="3:6" ht="12.75" customHeight="1" x14ac:dyDescent="0.2">
      <c r="C625" s="7"/>
      <c r="F625" s="7"/>
    </row>
    <row r="626" spans="3:6" ht="12.75" customHeight="1" x14ac:dyDescent="0.2">
      <c r="C626" s="7"/>
      <c r="F626" s="7"/>
    </row>
    <row r="627" spans="3:6" ht="12.75" customHeight="1" x14ac:dyDescent="0.2">
      <c r="C627" s="7"/>
      <c r="F627" s="7"/>
    </row>
    <row r="628" spans="3:6" ht="12.75" customHeight="1" x14ac:dyDescent="0.2">
      <c r="C628" s="7"/>
      <c r="F628" s="7"/>
    </row>
    <row r="629" spans="3:6" ht="12.75" customHeight="1" x14ac:dyDescent="0.2">
      <c r="C629" s="7"/>
      <c r="F629" s="7"/>
    </row>
    <row r="630" spans="3:6" ht="12.75" customHeight="1" x14ac:dyDescent="0.2">
      <c r="C630" s="7"/>
      <c r="F630" s="7"/>
    </row>
    <row r="631" spans="3:6" ht="12.75" customHeight="1" x14ac:dyDescent="0.2">
      <c r="C631" s="7"/>
      <c r="F631" s="7"/>
    </row>
    <row r="632" spans="3:6" ht="12.75" customHeight="1" x14ac:dyDescent="0.2">
      <c r="C632" s="7"/>
      <c r="F632" s="7"/>
    </row>
    <row r="633" spans="3:6" ht="12.75" customHeight="1" x14ac:dyDescent="0.2">
      <c r="C633" s="7"/>
      <c r="F633" s="7"/>
    </row>
    <row r="634" spans="3:6" ht="12.75" customHeight="1" x14ac:dyDescent="0.2">
      <c r="C634" s="7"/>
      <c r="F634" s="7"/>
    </row>
    <row r="635" spans="3:6" ht="12.75" customHeight="1" x14ac:dyDescent="0.2">
      <c r="C635" s="7"/>
      <c r="F635" s="7"/>
    </row>
    <row r="636" spans="3:6" ht="12.75" customHeight="1" x14ac:dyDescent="0.2">
      <c r="C636" s="7"/>
      <c r="F636" s="7"/>
    </row>
    <row r="637" spans="3:6" ht="12.75" customHeight="1" x14ac:dyDescent="0.2">
      <c r="C637" s="7"/>
      <c r="F637" s="7"/>
    </row>
    <row r="638" spans="3:6" ht="12.75" customHeight="1" x14ac:dyDescent="0.2">
      <c r="C638" s="7"/>
      <c r="F638" s="7"/>
    </row>
    <row r="639" spans="3:6" ht="12.75" customHeight="1" x14ac:dyDescent="0.2">
      <c r="C639" s="7"/>
      <c r="F639" s="7"/>
    </row>
    <row r="640" spans="3:6" ht="12.75" customHeight="1" x14ac:dyDescent="0.2">
      <c r="C640" s="7"/>
      <c r="F640" s="7"/>
    </row>
    <row r="641" spans="3:6" ht="12.75" customHeight="1" x14ac:dyDescent="0.2">
      <c r="C641" s="7"/>
      <c r="F641" s="7"/>
    </row>
    <row r="642" spans="3:6" ht="12.75" customHeight="1" x14ac:dyDescent="0.2">
      <c r="C642" s="7"/>
      <c r="F642" s="7"/>
    </row>
    <row r="643" spans="3:6" ht="12.75" customHeight="1" x14ac:dyDescent="0.2">
      <c r="C643" s="7"/>
      <c r="F643" s="7"/>
    </row>
    <row r="644" spans="3:6" ht="12.75" customHeight="1" x14ac:dyDescent="0.2">
      <c r="C644" s="7"/>
      <c r="F644" s="7"/>
    </row>
    <row r="645" spans="3:6" ht="12.75" customHeight="1" x14ac:dyDescent="0.2">
      <c r="C645" s="7"/>
      <c r="F645" s="7"/>
    </row>
    <row r="646" spans="3:6" ht="12.75" customHeight="1" x14ac:dyDescent="0.2">
      <c r="C646" s="7"/>
      <c r="F646" s="7"/>
    </row>
    <row r="647" spans="3:6" ht="12.75" customHeight="1" x14ac:dyDescent="0.2">
      <c r="C647" s="7"/>
      <c r="F647" s="7"/>
    </row>
    <row r="648" spans="3:6" ht="12.75" customHeight="1" x14ac:dyDescent="0.2">
      <c r="C648" s="7"/>
      <c r="F648" s="7"/>
    </row>
    <row r="649" spans="3:6" ht="12.75" customHeight="1" x14ac:dyDescent="0.2">
      <c r="C649" s="7"/>
      <c r="F649" s="7"/>
    </row>
    <row r="650" spans="3:6" ht="12.75" customHeight="1" x14ac:dyDescent="0.2">
      <c r="C650" s="7"/>
      <c r="F650" s="7"/>
    </row>
    <row r="651" spans="3:6" ht="12.75" customHeight="1" x14ac:dyDescent="0.2">
      <c r="C651" s="7"/>
      <c r="F651" s="7"/>
    </row>
    <row r="652" spans="3:6" ht="12.75" customHeight="1" x14ac:dyDescent="0.2">
      <c r="C652" s="7"/>
      <c r="F652" s="7"/>
    </row>
    <row r="653" spans="3:6" ht="12.75" customHeight="1" x14ac:dyDescent="0.2">
      <c r="C653" s="7"/>
      <c r="F653" s="7"/>
    </row>
    <row r="654" spans="3:6" ht="12.75" customHeight="1" x14ac:dyDescent="0.2">
      <c r="C654" s="7"/>
      <c r="F654" s="7"/>
    </row>
    <row r="655" spans="3:6" ht="12.75" customHeight="1" x14ac:dyDescent="0.2">
      <c r="C655" s="7"/>
      <c r="F655" s="7"/>
    </row>
    <row r="656" spans="3:6" ht="12.75" customHeight="1" x14ac:dyDescent="0.2">
      <c r="C656" s="7"/>
      <c r="F656" s="7"/>
    </row>
    <row r="657" spans="3:6" ht="12.75" customHeight="1" x14ac:dyDescent="0.2">
      <c r="C657" s="7"/>
      <c r="F657" s="7"/>
    </row>
    <row r="658" spans="3:6" ht="12.75" customHeight="1" x14ac:dyDescent="0.2">
      <c r="C658" s="7"/>
      <c r="F658" s="7"/>
    </row>
    <row r="659" spans="3:6" ht="12.75" customHeight="1" x14ac:dyDescent="0.2">
      <c r="C659" s="7"/>
      <c r="F659" s="7"/>
    </row>
    <row r="660" spans="3:6" ht="12.75" customHeight="1" x14ac:dyDescent="0.2">
      <c r="C660" s="7"/>
      <c r="F660" s="7"/>
    </row>
    <row r="661" spans="3:6" ht="12.75" customHeight="1" x14ac:dyDescent="0.2">
      <c r="C661" s="7"/>
      <c r="F661" s="7"/>
    </row>
    <row r="662" spans="3:6" ht="12.75" customHeight="1" x14ac:dyDescent="0.2">
      <c r="C662" s="7"/>
      <c r="F662" s="7"/>
    </row>
    <row r="663" spans="3:6" ht="12.75" customHeight="1" x14ac:dyDescent="0.2">
      <c r="C663" s="7"/>
      <c r="F663" s="7"/>
    </row>
    <row r="664" spans="3:6" ht="12.75" customHeight="1" x14ac:dyDescent="0.2">
      <c r="C664" s="7"/>
      <c r="F664" s="7"/>
    </row>
    <row r="665" spans="3:6" ht="12.75" customHeight="1" x14ac:dyDescent="0.2">
      <c r="C665" s="7"/>
      <c r="F665" s="7"/>
    </row>
    <row r="666" spans="3:6" ht="12.75" customHeight="1" x14ac:dyDescent="0.2">
      <c r="C666" s="7"/>
      <c r="F666" s="7"/>
    </row>
    <row r="667" spans="3:6" ht="12.75" customHeight="1" x14ac:dyDescent="0.2">
      <c r="C667" s="7"/>
      <c r="F667" s="7"/>
    </row>
    <row r="668" spans="3:6" ht="12.75" customHeight="1" x14ac:dyDescent="0.2">
      <c r="C668" s="7"/>
      <c r="F668" s="7"/>
    </row>
    <row r="669" spans="3:6" ht="12.75" customHeight="1" x14ac:dyDescent="0.2">
      <c r="C669" s="7"/>
      <c r="F669" s="7"/>
    </row>
    <row r="670" spans="3:6" ht="12.75" customHeight="1" x14ac:dyDescent="0.2">
      <c r="C670" s="7"/>
      <c r="F670" s="7"/>
    </row>
    <row r="671" spans="3:6" ht="12.75" customHeight="1" x14ac:dyDescent="0.2">
      <c r="C671" s="7"/>
      <c r="F671" s="7"/>
    </row>
    <row r="672" spans="3:6" ht="12.75" customHeight="1" x14ac:dyDescent="0.2">
      <c r="C672" s="7"/>
      <c r="F672" s="7"/>
    </row>
    <row r="673" spans="3:6" ht="12.75" customHeight="1" x14ac:dyDescent="0.2">
      <c r="C673" s="7"/>
      <c r="F673" s="7"/>
    </row>
    <row r="674" spans="3:6" ht="12.75" customHeight="1" x14ac:dyDescent="0.2">
      <c r="C674" s="7"/>
      <c r="F674" s="7"/>
    </row>
    <row r="675" spans="3:6" ht="12.75" customHeight="1" x14ac:dyDescent="0.2">
      <c r="C675" s="7"/>
      <c r="F675" s="7"/>
    </row>
    <row r="676" spans="3:6" ht="12.75" customHeight="1" x14ac:dyDescent="0.2">
      <c r="C676" s="7"/>
      <c r="F676" s="7"/>
    </row>
    <row r="677" spans="3:6" ht="12.75" customHeight="1" x14ac:dyDescent="0.2">
      <c r="C677" s="7"/>
      <c r="F677" s="7"/>
    </row>
    <row r="678" spans="3:6" ht="12.75" customHeight="1" x14ac:dyDescent="0.2">
      <c r="C678" s="7"/>
      <c r="F678" s="7"/>
    </row>
    <row r="679" spans="3:6" ht="12.75" customHeight="1" x14ac:dyDescent="0.2">
      <c r="C679" s="7"/>
      <c r="F679" s="7"/>
    </row>
    <row r="680" spans="3:6" ht="12.75" customHeight="1" x14ac:dyDescent="0.2">
      <c r="C680" s="7"/>
      <c r="F680" s="7"/>
    </row>
    <row r="681" spans="3:6" ht="12.75" customHeight="1" x14ac:dyDescent="0.2">
      <c r="C681" s="7"/>
      <c r="F681" s="7"/>
    </row>
    <row r="682" spans="3:6" ht="12.75" customHeight="1" x14ac:dyDescent="0.2">
      <c r="C682" s="7"/>
      <c r="F682" s="7"/>
    </row>
    <row r="683" spans="3:6" ht="12.75" customHeight="1" x14ac:dyDescent="0.2">
      <c r="C683" s="7"/>
      <c r="F683" s="7"/>
    </row>
    <row r="684" spans="3:6" ht="12.75" customHeight="1" x14ac:dyDescent="0.2">
      <c r="C684" s="7"/>
      <c r="F684" s="7"/>
    </row>
    <row r="685" spans="3:6" ht="12.75" customHeight="1" x14ac:dyDescent="0.2">
      <c r="C685" s="7"/>
      <c r="F685" s="7"/>
    </row>
    <row r="686" spans="3:6" ht="12.75" customHeight="1" x14ac:dyDescent="0.2">
      <c r="C686" s="7"/>
      <c r="F686" s="7"/>
    </row>
    <row r="687" spans="3:6" ht="12.75" customHeight="1" x14ac:dyDescent="0.2">
      <c r="C687" s="7"/>
      <c r="F687" s="7"/>
    </row>
    <row r="688" spans="3:6" ht="12.75" customHeight="1" x14ac:dyDescent="0.2">
      <c r="C688" s="7"/>
      <c r="F688" s="7"/>
    </row>
    <row r="689" spans="3:6" ht="12.75" customHeight="1" x14ac:dyDescent="0.2">
      <c r="C689" s="7"/>
      <c r="F689" s="7"/>
    </row>
    <row r="690" spans="3:6" ht="12.75" customHeight="1" x14ac:dyDescent="0.2">
      <c r="C690" s="7"/>
      <c r="F690" s="7"/>
    </row>
    <row r="691" spans="3:6" ht="12.75" customHeight="1" x14ac:dyDescent="0.2">
      <c r="C691" s="7"/>
      <c r="F691" s="7"/>
    </row>
    <row r="692" spans="3:6" ht="12.75" customHeight="1" x14ac:dyDescent="0.2">
      <c r="C692" s="7"/>
      <c r="F692" s="7"/>
    </row>
    <row r="693" spans="3:6" ht="12.75" customHeight="1" x14ac:dyDescent="0.2">
      <c r="C693" s="7"/>
      <c r="F693" s="7"/>
    </row>
    <row r="694" spans="3:6" ht="12.75" customHeight="1" x14ac:dyDescent="0.2">
      <c r="C694" s="7"/>
      <c r="F694" s="7"/>
    </row>
    <row r="695" spans="3:6" ht="12.75" customHeight="1" x14ac:dyDescent="0.2">
      <c r="C695" s="7"/>
      <c r="F695" s="7"/>
    </row>
    <row r="696" spans="3:6" ht="12.75" customHeight="1" x14ac:dyDescent="0.2">
      <c r="C696" s="7"/>
      <c r="F696" s="7"/>
    </row>
    <row r="697" spans="3:6" ht="12.75" customHeight="1" x14ac:dyDescent="0.2">
      <c r="C697" s="7"/>
      <c r="F697" s="7"/>
    </row>
    <row r="698" spans="3:6" ht="12.75" customHeight="1" x14ac:dyDescent="0.2">
      <c r="C698" s="7"/>
      <c r="F698" s="7"/>
    </row>
    <row r="699" spans="3:6" ht="12.75" customHeight="1" x14ac:dyDescent="0.2">
      <c r="C699" s="7"/>
      <c r="F699" s="7"/>
    </row>
    <row r="700" spans="3:6" ht="12.75" customHeight="1" x14ac:dyDescent="0.2">
      <c r="C700" s="7"/>
      <c r="F700" s="7"/>
    </row>
    <row r="701" spans="3:6" ht="12.75" customHeight="1" x14ac:dyDescent="0.2">
      <c r="C701" s="7"/>
      <c r="F701" s="7"/>
    </row>
    <row r="702" spans="3:6" ht="12.75" customHeight="1" x14ac:dyDescent="0.2">
      <c r="C702" s="7"/>
      <c r="F702" s="7"/>
    </row>
    <row r="703" spans="3:6" ht="12.75" customHeight="1" x14ac:dyDescent="0.2">
      <c r="C703" s="7"/>
      <c r="F703" s="7"/>
    </row>
    <row r="704" spans="3:6" ht="12.75" customHeight="1" x14ac:dyDescent="0.2">
      <c r="C704" s="7"/>
      <c r="F704" s="7"/>
    </row>
    <row r="705" spans="3:6" ht="12.75" customHeight="1" x14ac:dyDescent="0.2">
      <c r="C705" s="7"/>
      <c r="F705" s="7"/>
    </row>
    <row r="706" spans="3:6" ht="12.75" customHeight="1" x14ac:dyDescent="0.2">
      <c r="C706" s="7"/>
      <c r="F706" s="7"/>
    </row>
    <row r="707" spans="3:6" ht="12.75" customHeight="1" x14ac:dyDescent="0.2">
      <c r="C707" s="7"/>
      <c r="F707" s="7"/>
    </row>
    <row r="708" spans="3:6" ht="12.75" customHeight="1" x14ac:dyDescent="0.2">
      <c r="C708" s="7"/>
      <c r="F708" s="7"/>
    </row>
    <row r="709" spans="3:6" ht="12.75" customHeight="1" x14ac:dyDescent="0.2">
      <c r="C709" s="7"/>
      <c r="F709" s="7"/>
    </row>
    <row r="710" spans="3:6" ht="12.75" customHeight="1" x14ac:dyDescent="0.2">
      <c r="C710" s="7"/>
      <c r="F710" s="7"/>
    </row>
    <row r="711" spans="3:6" ht="12.75" customHeight="1" x14ac:dyDescent="0.2">
      <c r="C711" s="7"/>
      <c r="F711" s="7"/>
    </row>
    <row r="712" spans="3:6" ht="12.75" customHeight="1" x14ac:dyDescent="0.2">
      <c r="C712" s="7"/>
      <c r="F712" s="7"/>
    </row>
    <row r="713" spans="3:6" ht="12.75" customHeight="1" x14ac:dyDescent="0.2">
      <c r="C713" s="7"/>
      <c r="F713" s="7"/>
    </row>
    <row r="714" spans="3:6" ht="12.75" customHeight="1" x14ac:dyDescent="0.2">
      <c r="C714" s="7"/>
      <c r="F714" s="7"/>
    </row>
    <row r="715" spans="3:6" ht="12.75" customHeight="1" x14ac:dyDescent="0.2">
      <c r="C715" s="7"/>
      <c r="F715" s="7"/>
    </row>
    <row r="716" spans="3:6" ht="12.75" customHeight="1" x14ac:dyDescent="0.2">
      <c r="C716" s="7"/>
      <c r="F716" s="7"/>
    </row>
    <row r="717" spans="3:6" ht="12.75" customHeight="1" x14ac:dyDescent="0.2">
      <c r="C717" s="7"/>
      <c r="F717" s="7"/>
    </row>
    <row r="718" spans="3:6" ht="12.75" customHeight="1" x14ac:dyDescent="0.2">
      <c r="C718" s="7"/>
      <c r="F718" s="7"/>
    </row>
    <row r="719" spans="3:6" ht="12.75" customHeight="1" x14ac:dyDescent="0.2">
      <c r="C719" s="7"/>
      <c r="F719" s="7"/>
    </row>
    <row r="720" spans="3:6" ht="12.75" customHeight="1" x14ac:dyDescent="0.2">
      <c r="C720" s="7"/>
      <c r="F720" s="7"/>
    </row>
    <row r="721" spans="3:6" ht="12.75" customHeight="1" x14ac:dyDescent="0.2">
      <c r="C721" s="7"/>
      <c r="F721" s="7"/>
    </row>
    <row r="722" spans="3:6" ht="12.75" customHeight="1" x14ac:dyDescent="0.2">
      <c r="C722" s="7"/>
      <c r="F722" s="7"/>
    </row>
    <row r="723" spans="3:6" ht="12.75" customHeight="1" x14ac:dyDescent="0.2">
      <c r="C723" s="7"/>
      <c r="F723" s="7"/>
    </row>
    <row r="724" spans="3:6" ht="12.75" customHeight="1" x14ac:dyDescent="0.2">
      <c r="C724" s="7"/>
      <c r="F724" s="7"/>
    </row>
    <row r="725" spans="3:6" ht="12.75" customHeight="1" x14ac:dyDescent="0.2">
      <c r="C725" s="7"/>
      <c r="F725" s="7"/>
    </row>
    <row r="726" spans="3:6" ht="12.75" customHeight="1" x14ac:dyDescent="0.2">
      <c r="C726" s="7"/>
      <c r="F726" s="7"/>
    </row>
    <row r="727" spans="3:6" ht="12.75" customHeight="1" x14ac:dyDescent="0.2">
      <c r="C727" s="7"/>
      <c r="F727" s="7"/>
    </row>
    <row r="728" spans="3:6" ht="12.75" customHeight="1" x14ac:dyDescent="0.2">
      <c r="C728" s="7"/>
      <c r="F728" s="7"/>
    </row>
    <row r="729" spans="3:6" ht="12.75" customHeight="1" x14ac:dyDescent="0.2">
      <c r="C729" s="7"/>
      <c r="F729" s="7"/>
    </row>
    <row r="730" spans="3:6" ht="12.75" customHeight="1" x14ac:dyDescent="0.2">
      <c r="C730" s="7"/>
      <c r="F730" s="7"/>
    </row>
    <row r="731" spans="3:6" ht="12.75" customHeight="1" x14ac:dyDescent="0.2">
      <c r="C731" s="7"/>
      <c r="F731" s="7"/>
    </row>
    <row r="732" spans="3:6" ht="12.75" customHeight="1" x14ac:dyDescent="0.2">
      <c r="C732" s="7"/>
      <c r="F732" s="7"/>
    </row>
    <row r="733" spans="3:6" ht="12.75" customHeight="1" x14ac:dyDescent="0.2">
      <c r="C733" s="7"/>
      <c r="F733" s="7"/>
    </row>
    <row r="734" spans="3:6" ht="12.75" customHeight="1" x14ac:dyDescent="0.2">
      <c r="C734" s="7"/>
      <c r="F734" s="7"/>
    </row>
    <row r="735" spans="3:6" ht="12.75" customHeight="1" x14ac:dyDescent="0.2">
      <c r="C735" s="7"/>
      <c r="F735" s="7"/>
    </row>
    <row r="736" spans="3:6" ht="12.75" customHeight="1" x14ac:dyDescent="0.2">
      <c r="C736" s="7"/>
      <c r="F736" s="7"/>
    </row>
    <row r="737" spans="3:6" ht="12.75" customHeight="1" x14ac:dyDescent="0.2">
      <c r="C737" s="7"/>
      <c r="F737" s="7"/>
    </row>
    <row r="738" spans="3:6" ht="12.75" customHeight="1" x14ac:dyDescent="0.2">
      <c r="C738" s="7"/>
      <c r="F738" s="7"/>
    </row>
    <row r="739" spans="3:6" ht="12.75" customHeight="1" x14ac:dyDescent="0.2">
      <c r="C739" s="7"/>
      <c r="F739" s="7"/>
    </row>
    <row r="740" spans="3:6" ht="12.75" customHeight="1" x14ac:dyDescent="0.2">
      <c r="C740" s="7"/>
      <c r="F740" s="7"/>
    </row>
    <row r="741" spans="3:6" ht="12.75" customHeight="1" x14ac:dyDescent="0.2">
      <c r="C741" s="7"/>
      <c r="F741" s="7"/>
    </row>
    <row r="742" spans="3:6" ht="12.75" customHeight="1" x14ac:dyDescent="0.2">
      <c r="C742" s="7"/>
      <c r="F742" s="7"/>
    </row>
    <row r="743" spans="3:6" ht="12.75" customHeight="1" x14ac:dyDescent="0.2">
      <c r="C743" s="7"/>
      <c r="F743" s="7"/>
    </row>
    <row r="744" spans="3:6" ht="12.75" customHeight="1" x14ac:dyDescent="0.2">
      <c r="C744" s="7"/>
      <c r="F744" s="7"/>
    </row>
    <row r="745" spans="3:6" ht="12.75" customHeight="1" x14ac:dyDescent="0.2">
      <c r="C745" s="7"/>
      <c r="F745" s="7"/>
    </row>
    <row r="746" spans="3:6" ht="12.75" customHeight="1" x14ac:dyDescent="0.2">
      <c r="C746" s="7"/>
      <c r="F746" s="7"/>
    </row>
    <row r="747" spans="3:6" ht="12.75" customHeight="1" x14ac:dyDescent="0.2">
      <c r="C747" s="7"/>
      <c r="F747" s="7"/>
    </row>
    <row r="748" spans="3:6" ht="12.75" customHeight="1" x14ac:dyDescent="0.2">
      <c r="C748" s="7"/>
      <c r="F748" s="7"/>
    </row>
    <row r="749" spans="3:6" ht="12.75" customHeight="1" x14ac:dyDescent="0.2">
      <c r="C749" s="7"/>
      <c r="F749" s="7"/>
    </row>
    <row r="750" spans="3:6" ht="12.75" customHeight="1" x14ac:dyDescent="0.2">
      <c r="C750" s="7"/>
      <c r="F750" s="7"/>
    </row>
    <row r="751" spans="3:6" ht="12.75" customHeight="1" x14ac:dyDescent="0.2">
      <c r="C751" s="7"/>
      <c r="F751" s="7"/>
    </row>
    <row r="752" spans="3:6" ht="12.75" customHeight="1" x14ac:dyDescent="0.2">
      <c r="C752" s="7"/>
      <c r="F752" s="7"/>
    </row>
    <row r="753" spans="3:6" ht="12.75" customHeight="1" x14ac:dyDescent="0.2">
      <c r="C753" s="7"/>
      <c r="F753" s="7"/>
    </row>
    <row r="754" spans="3:6" ht="12.75" customHeight="1" x14ac:dyDescent="0.2">
      <c r="C754" s="7"/>
      <c r="F754" s="7"/>
    </row>
    <row r="755" spans="3:6" ht="12.75" customHeight="1" x14ac:dyDescent="0.2">
      <c r="C755" s="7"/>
      <c r="F755" s="7"/>
    </row>
    <row r="756" spans="3:6" ht="12.75" customHeight="1" x14ac:dyDescent="0.2">
      <c r="C756" s="7"/>
      <c r="F756" s="7"/>
    </row>
    <row r="757" spans="3:6" ht="12.75" customHeight="1" x14ac:dyDescent="0.2">
      <c r="C757" s="7"/>
      <c r="F757" s="7"/>
    </row>
    <row r="758" spans="3:6" ht="12.75" customHeight="1" x14ac:dyDescent="0.2">
      <c r="C758" s="7"/>
      <c r="F758" s="7"/>
    </row>
    <row r="759" spans="3:6" ht="12.75" customHeight="1" x14ac:dyDescent="0.2">
      <c r="C759" s="7"/>
      <c r="F759" s="7"/>
    </row>
    <row r="760" spans="3:6" ht="12.75" customHeight="1" x14ac:dyDescent="0.2">
      <c r="C760" s="7"/>
      <c r="F760" s="7"/>
    </row>
    <row r="761" spans="3:6" ht="12.75" customHeight="1" x14ac:dyDescent="0.2">
      <c r="C761" s="7"/>
      <c r="F761" s="7"/>
    </row>
    <row r="762" spans="3:6" ht="12.75" customHeight="1" x14ac:dyDescent="0.2">
      <c r="C762" s="7"/>
      <c r="F762" s="7"/>
    </row>
    <row r="763" spans="3:6" ht="12.75" customHeight="1" x14ac:dyDescent="0.2">
      <c r="C763" s="7"/>
      <c r="F763" s="7"/>
    </row>
    <row r="764" spans="3:6" ht="12.75" customHeight="1" x14ac:dyDescent="0.2">
      <c r="C764" s="7"/>
      <c r="F764" s="7"/>
    </row>
    <row r="765" spans="3:6" ht="12.75" customHeight="1" x14ac:dyDescent="0.2">
      <c r="C765" s="7"/>
      <c r="F765" s="7"/>
    </row>
    <row r="766" spans="3:6" ht="12.75" customHeight="1" x14ac:dyDescent="0.2">
      <c r="C766" s="7"/>
      <c r="F766" s="7"/>
    </row>
    <row r="767" spans="3:6" ht="12.75" customHeight="1" x14ac:dyDescent="0.2">
      <c r="C767" s="7"/>
      <c r="F767" s="7"/>
    </row>
    <row r="768" spans="3:6" ht="12.75" customHeight="1" x14ac:dyDescent="0.2">
      <c r="C768" s="7"/>
      <c r="F768" s="7"/>
    </row>
    <row r="769" spans="3:6" ht="12.75" customHeight="1" x14ac:dyDescent="0.2">
      <c r="C769" s="7"/>
      <c r="F769" s="7"/>
    </row>
    <row r="770" spans="3:6" ht="12.75" customHeight="1" x14ac:dyDescent="0.2">
      <c r="C770" s="7"/>
      <c r="F770" s="7"/>
    </row>
    <row r="771" spans="3:6" ht="12.75" customHeight="1" x14ac:dyDescent="0.2">
      <c r="C771" s="7"/>
      <c r="F771" s="7"/>
    </row>
    <row r="772" spans="3:6" ht="12.75" customHeight="1" x14ac:dyDescent="0.2">
      <c r="C772" s="7"/>
      <c r="F772" s="7"/>
    </row>
    <row r="773" spans="3:6" ht="12.75" customHeight="1" x14ac:dyDescent="0.2">
      <c r="C773" s="7"/>
      <c r="F773" s="7"/>
    </row>
    <row r="774" spans="3:6" ht="12.75" customHeight="1" x14ac:dyDescent="0.2">
      <c r="C774" s="7"/>
      <c r="F774" s="7"/>
    </row>
    <row r="775" spans="3:6" ht="12.75" customHeight="1" x14ac:dyDescent="0.2">
      <c r="C775" s="7"/>
      <c r="F775" s="7"/>
    </row>
    <row r="776" spans="3:6" ht="12.75" customHeight="1" x14ac:dyDescent="0.2">
      <c r="C776" s="7"/>
      <c r="F776" s="7"/>
    </row>
    <row r="777" spans="3:6" ht="12.75" customHeight="1" x14ac:dyDescent="0.2">
      <c r="C777" s="7"/>
      <c r="F777" s="7"/>
    </row>
    <row r="778" spans="3:6" ht="12.75" customHeight="1" x14ac:dyDescent="0.2">
      <c r="C778" s="7"/>
      <c r="F778" s="7"/>
    </row>
    <row r="779" spans="3:6" ht="12.75" customHeight="1" x14ac:dyDescent="0.2">
      <c r="C779" s="7"/>
      <c r="F779" s="7"/>
    </row>
    <row r="780" spans="3:6" ht="12.75" customHeight="1" x14ac:dyDescent="0.2">
      <c r="C780" s="7"/>
      <c r="F780" s="7"/>
    </row>
    <row r="781" spans="3:6" ht="12.75" customHeight="1" x14ac:dyDescent="0.2">
      <c r="C781" s="7"/>
      <c r="F781" s="7"/>
    </row>
    <row r="782" spans="3:6" ht="12.75" customHeight="1" x14ac:dyDescent="0.2">
      <c r="C782" s="7"/>
      <c r="F782" s="7"/>
    </row>
    <row r="783" spans="3:6" ht="12.75" customHeight="1" x14ac:dyDescent="0.2">
      <c r="C783" s="7"/>
      <c r="F783" s="7"/>
    </row>
    <row r="784" spans="3:6" ht="12.75" customHeight="1" x14ac:dyDescent="0.2">
      <c r="C784" s="7"/>
      <c r="F784" s="7"/>
    </row>
    <row r="785" spans="3:6" ht="12.75" customHeight="1" x14ac:dyDescent="0.2">
      <c r="C785" s="7"/>
      <c r="F785" s="7"/>
    </row>
    <row r="786" spans="3:6" ht="12.75" customHeight="1" x14ac:dyDescent="0.2">
      <c r="C786" s="7"/>
      <c r="F786" s="7"/>
    </row>
    <row r="787" spans="3:6" ht="12.75" customHeight="1" x14ac:dyDescent="0.2">
      <c r="C787" s="7"/>
      <c r="F787" s="7"/>
    </row>
    <row r="788" spans="3:6" ht="12.75" customHeight="1" x14ac:dyDescent="0.2">
      <c r="C788" s="7"/>
      <c r="F788" s="7"/>
    </row>
    <row r="789" spans="3:6" ht="12.75" customHeight="1" x14ac:dyDescent="0.2">
      <c r="C789" s="7"/>
      <c r="F789" s="7"/>
    </row>
    <row r="790" spans="3:6" ht="12.75" customHeight="1" x14ac:dyDescent="0.2">
      <c r="C790" s="7"/>
      <c r="F790" s="7"/>
    </row>
    <row r="791" spans="3:6" ht="12.75" customHeight="1" x14ac:dyDescent="0.2">
      <c r="C791" s="7"/>
      <c r="F791" s="7"/>
    </row>
    <row r="792" spans="3:6" ht="12.75" customHeight="1" x14ac:dyDescent="0.2">
      <c r="C792" s="7"/>
      <c r="F792" s="7"/>
    </row>
    <row r="793" spans="3:6" ht="12.75" customHeight="1" x14ac:dyDescent="0.2">
      <c r="C793" s="7"/>
      <c r="F793" s="7"/>
    </row>
    <row r="794" spans="3:6" ht="12.75" customHeight="1" x14ac:dyDescent="0.2">
      <c r="C794" s="7"/>
      <c r="F794" s="7"/>
    </row>
    <row r="795" spans="3:6" ht="12.75" customHeight="1" x14ac:dyDescent="0.2">
      <c r="C795" s="7"/>
      <c r="F795" s="7"/>
    </row>
    <row r="796" spans="3:6" ht="12.75" customHeight="1" x14ac:dyDescent="0.2">
      <c r="C796" s="7"/>
      <c r="F796" s="7"/>
    </row>
    <row r="797" spans="3:6" ht="12.75" customHeight="1" x14ac:dyDescent="0.2">
      <c r="C797" s="7"/>
      <c r="F797" s="7"/>
    </row>
    <row r="798" spans="3:6" ht="12.75" customHeight="1" x14ac:dyDescent="0.2">
      <c r="C798" s="7"/>
      <c r="F798" s="7"/>
    </row>
    <row r="799" spans="3:6" ht="12.75" customHeight="1" x14ac:dyDescent="0.2">
      <c r="C799" s="7"/>
      <c r="F799" s="7"/>
    </row>
    <row r="800" spans="3:6" ht="12.75" customHeight="1" x14ac:dyDescent="0.2">
      <c r="C800" s="7"/>
      <c r="F800" s="7"/>
    </row>
    <row r="801" spans="3:6" ht="12.75" customHeight="1" x14ac:dyDescent="0.2">
      <c r="C801" s="7"/>
      <c r="F801" s="7"/>
    </row>
    <row r="802" spans="3:6" ht="12.75" customHeight="1" x14ac:dyDescent="0.2">
      <c r="C802" s="7"/>
      <c r="F802" s="7"/>
    </row>
    <row r="803" spans="3:6" ht="12.75" customHeight="1" x14ac:dyDescent="0.2">
      <c r="C803" s="7"/>
      <c r="F803" s="7"/>
    </row>
    <row r="804" spans="3:6" ht="12.75" customHeight="1" x14ac:dyDescent="0.2">
      <c r="C804" s="7"/>
      <c r="F804" s="7"/>
    </row>
    <row r="805" spans="3:6" ht="12.75" customHeight="1" x14ac:dyDescent="0.2">
      <c r="C805" s="7"/>
      <c r="F805" s="7"/>
    </row>
    <row r="806" spans="3:6" ht="12.75" customHeight="1" x14ac:dyDescent="0.2">
      <c r="C806" s="7"/>
      <c r="F806" s="7"/>
    </row>
    <row r="807" spans="3:6" ht="12.75" customHeight="1" x14ac:dyDescent="0.2">
      <c r="C807" s="7"/>
      <c r="F807" s="7"/>
    </row>
    <row r="808" spans="3:6" ht="12.75" customHeight="1" x14ac:dyDescent="0.2">
      <c r="C808" s="7"/>
      <c r="F808" s="7"/>
    </row>
    <row r="809" spans="3:6" ht="12.75" customHeight="1" x14ac:dyDescent="0.2">
      <c r="C809" s="7"/>
      <c r="F809" s="7"/>
    </row>
    <row r="810" spans="3:6" ht="12.75" customHeight="1" x14ac:dyDescent="0.2">
      <c r="C810" s="7"/>
      <c r="F810" s="7"/>
    </row>
    <row r="811" spans="3:6" ht="12.75" customHeight="1" x14ac:dyDescent="0.2">
      <c r="C811" s="7"/>
      <c r="F811" s="7"/>
    </row>
    <row r="812" spans="3:6" ht="12.75" customHeight="1" x14ac:dyDescent="0.2">
      <c r="C812" s="7"/>
      <c r="F812" s="7"/>
    </row>
    <row r="813" spans="3:6" ht="12.75" customHeight="1" x14ac:dyDescent="0.2">
      <c r="C813" s="7"/>
      <c r="F813" s="7"/>
    </row>
    <row r="814" spans="3:6" ht="12.75" customHeight="1" x14ac:dyDescent="0.2">
      <c r="C814" s="7"/>
      <c r="F814" s="7"/>
    </row>
    <row r="815" spans="3:6" ht="12.75" customHeight="1" x14ac:dyDescent="0.2">
      <c r="C815" s="7"/>
      <c r="F815" s="7"/>
    </row>
    <row r="816" spans="3:6" ht="12.75" customHeight="1" x14ac:dyDescent="0.2">
      <c r="C816" s="7"/>
      <c r="F816" s="7"/>
    </row>
    <row r="817" spans="3:6" ht="12.75" customHeight="1" x14ac:dyDescent="0.2">
      <c r="C817" s="7"/>
      <c r="F817" s="7"/>
    </row>
    <row r="818" spans="3:6" ht="12.75" customHeight="1" x14ac:dyDescent="0.2">
      <c r="C818" s="7"/>
      <c r="F818" s="7"/>
    </row>
    <row r="819" spans="3:6" ht="12.75" customHeight="1" x14ac:dyDescent="0.2">
      <c r="C819" s="7"/>
      <c r="F819" s="7"/>
    </row>
    <row r="820" spans="3:6" ht="12.75" customHeight="1" x14ac:dyDescent="0.2">
      <c r="C820" s="7"/>
      <c r="F820" s="7"/>
    </row>
    <row r="821" spans="3:6" ht="12.75" customHeight="1" x14ac:dyDescent="0.2">
      <c r="C821" s="7"/>
      <c r="F821" s="7"/>
    </row>
    <row r="822" spans="3:6" ht="12.75" customHeight="1" x14ac:dyDescent="0.2">
      <c r="C822" s="7"/>
      <c r="F822" s="7"/>
    </row>
    <row r="823" spans="3:6" ht="12.75" customHeight="1" x14ac:dyDescent="0.2">
      <c r="C823" s="7"/>
      <c r="F823" s="7"/>
    </row>
    <row r="824" spans="3:6" ht="12.75" customHeight="1" x14ac:dyDescent="0.2">
      <c r="C824" s="7"/>
      <c r="F824" s="7"/>
    </row>
    <row r="825" spans="3:6" ht="12.75" customHeight="1" x14ac:dyDescent="0.2">
      <c r="C825" s="7"/>
      <c r="F825" s="7"/>
    </row>
    <row r="826" spans="3:6" ht="12.75" customHeight="1" x14ac:dyDescent="0.2">
      <c r="C826" s="7"/>
      <c r="F826" s="7"/>
    </row>
    <row r="827" spans="3:6" ht="12.75" customHeight="1" x14ac:dyDescent="0.2">
      <c r="C827" s="7"/>
      <c r="F827" s="7"/>
    </row>
    <row r="828" spans="3:6" ht="12.75" customHeight="1" x14ac:dyDescent="0.2">
      <c r="C828" s="7"/>
      <c r="F828" s="7"/>
    </row>
    <row r="829" spans="3:6" ht="12.75" customHeight="1" x14ac:dyDescent="0.2">
      <c r="C829" s="7"/>
      <c r="F829" s="7"/>
    </row>
    <row r="830" spans="3:6" ht="12.75" customHeight="1" x14ac:dyDescent="0.2">
      <c r="C830" s="7"/>
      <c r="F830" s="7"/>
    </row>
    <row r="831" spans="3:6" ht="12.75" customHeight="1" x14ac:dyDescent="0.2">
      <c r="C831" s="7"/>
      <c r="F831" s="7"/>
    </row>
    <row r="832" spans="3:6" ht="12.75" customHeight="1" x14ac:dyDescent="0.2">
      <c r="C832" s="7"/>
      <c r="F832" s="7"/>
    </row>
    <row r="833" spans="3:6" ht="12.75" customHeight="1" x14ac:dyDescent="0.2">
      <c r="C833" s="7"/>
      <c r="F833" s="7"/>
    </row>
    <row r="834" spans="3:6" ht="12.75" customHeight="1" x14ac:dyDescent="0.2">
      <c r="C834" s="7"/>
      <c r="F834" s="7"/>
    </row>
    <row r="835" spans="3:6" ht="12.75" customHeight="1" x14ac:dyDescent="0.2">
      <c r="C835" s="7"/>
      <c r="F835" s="7"/>
    </row>
    <row r="836" spans="3:6" ht="12.75" customHeight="1" x14ac:dyDescent="0.2">
      <c r="C836" s="7"/>
      <c r="F836" s="7"/>
    </row>
    <row r="837" spans="3:6" ht="12.75" customHeight="1" x14ac:dyDescent="0.2">
      <c r="C837" s="7"/>
      <c r="F837" s="7"/>
    </row>
    <row r="838" spans="3:6" ht="12.75" customHeight="1" x14ac:dyDescent="0.2">
      <c r="C838" s="7"/>
      <c r="F838" s="7"/>
    </row>
    <row r="839" spans="3:6" ht="12.75" customHeight="1" x14ac:dyDescent="0.2">
      <c r="C839" s="7"/>
      <c r="F839" s="7"/>
    </row>
    <row r="840" spans="3:6" ht="12.75" customHeight="1" x14ac:dyDescent="0.2">
      <c r="C840" s="7"/>
      <c r="F840" s="7"/>
    </row>
    <row r="841" spans="3:6" ht="12.75" customHeight="1" x14ac:dyDescent="0.2">
      <c r="C841" s="7"/>
      <c r="F841" s="7"/>
    </row>
    <row r="842" spans="3:6" ht="12.75" customHeight="1" x14ac:dyDescent="0.2">
      <c r="C842" s="7"/>
      <c r="F842" s="7"/>
    </row>
    <row r="843" spans="3:6" ht="12.75" customHeight="1" x14ac:dyDescent="0.2">
      <c r="C843" s="7"/>
      <c r="F843" s="7"/>
    </row>
    <row r="844" spans="3:6" ht="12.75" customHeight="1" x14ac:dyDescent="0.2">
      <c r="C844" s="7"/>
      <c r="F844" s="7"/>
    </row>
    <row r="845" spans="3:6" ht="12.75" customHeight="1" x14ac:dyDescent="0.2">
      <c r="C845" s="7"/>
      <c r="F845" s="7"/>
    </row>
    <row r="846" spans="3:6" ht="12.75" customHeight="1" x14ac:dyDescent="0.2">
      <c r="C846" s="7"/>
      <c r="F846" s="7"/>
    </row>
    <row r="847" spans="3:6" ht="12.75" customHeight="1" x14ac:dyDescent="0.2">
      <c r="C847" s="7"/>
      <c r="F847" s="7"/>
    </row>
    <row r="848" spans="3:6" ht="12.75" customHeight="1" x14ac:dyDescent="0.2">
      <c r="C848" s="7"/>
      <c r="F848" s="7"/>
    </row>
    <row r="849" spans="3:6" ht="12.75" customHeight="1" x14ac:dyDescent="0.2">
      <c r="C849" s="7"/>
      <c r="F849" s="7"/>
    </row>
    <row r="850" spans="3:6" ht="12.75" customHeight="1" x14ac:dyDescent="0.2">
      <c r="C850" s="7"/>
      <c r="F850" s="7"/>
    </row>
    <row r="851" spans="3:6" ht="12.75" customHeight="1" x14ac:dyDescent="0.2">
      <c r="C851" s="7"/>
      <c r="F851" s="7"/>
    </row>
    <row r="852" spans="3:6" ht="12.75" customHeight="1" x14ac:dyDescent="0.2">
      <c r="C852" s="7"/>
      <c r="F852" s="7"/>
    </row>
    <row r="853" spans="3:6" ht="12.75" customHeight="1" x14ac:dyDescent="0.2">
      <c r="C853" s="7"/>
      <c r="F853" s="7"/>
    </row>
    <row r="854" spans="3:6" ht="12.75" customHeight="1" x14ac:dyDescent="0.2">
      <c r="C854" s="7"/>
      <c r="F854" s="7"/>
    </row>
    <row r="855" spans="3:6" ht="12.75" customHeight="1" x14ac:dyDescent="0.2">
      <c r="C855" s="7"/>
      <c r="F855" s="7"/>
    </row>
    <row r="856" spans="3:6" ht="12.75" customHeight="1" x14ac:dyDescent="0.2">
      <c r="C856" s="7"/>
      <c r="F856" s="7"/>
    </row>
    <row r="857" spans="3:6" ht="12.75" customHeight="1" x14ac:dyDescent="0.2">
      <c r="C857" s="7"/>
      <c r="F857" s="7"/>
    </row>
    <row r="858" spans="3:6" ht="12.75" customHeight="1" x14ac:dyDescent="0.2">
      <c r="C858" s="7"/>
      <c r="F858" s="7"/>
    </row>
    <row r="859" spans="3:6" ht="12.75" customHeight="1" x14ac:dyDescent="0.2">
      <c r="C859" s="7"/>
      <c r="F859" s="7"/>
    </row>
    <row r="860" spans="3:6" ht="12.75" customHeight="1" x14ac:dyDescent="0.2">
      <c r="C860" s="7"/>
      <c r="F860" s="7"/>
    </row>
    <row r="861" spans="3:6" ht="12.75" customHeight="1" x14ac:dyDescent="0.2">
      <c r="C861" s="7"/>
      <c r="F861" s="7"/>
    </row>
    <row r="862" spans="3:6" ht="12.75" customHeight="1" x14ac:dyDescent="0.2">
      <c r="C862" s="7"/>
      <c r="F862" s="7"/>
    </row>
    <row r="863" spans="3:6" ht="12.75" customHeight="1" x14ac:dyDescent="0.2">
      <c r="C863" s="7"/>
      <c r="F863" s="7"/>
    </row>
    <row r="864" spans="3:6" ht="12.75" customHeight="1" x14ac:dyDescent="0.2">
      <c r="C864" s="7"/>
      <c r="F864" s="7"/>
    </row>
    <row r="865" spans="3:6" ht="12.75" customHeight="1" x14ac:dyDescent="0.2">
      <c r="C865" s="7"/>
      <c r="F865" s="7"/>
    </row>
    <row r="866" spans="3:6" ht="12.75" customHeight="1" x14ac:dyDescent="0.2">
      <c r="C866" s="7"/>
      <c r="F866" s="7"/>
    </row>
    <row r="867" spans="3:6" ht="12.75" customHeight="1" x14ac:dyDescent="0.2">
      <c r="C867" s="7"/>
      <c r="F867" s="7"/>
    </row>
    <row r="868" spans="3:6" ht="12.75" customHeight="1" x14ac:dyDescent="0.2">
      <c r="C868" s="7"/>
      <c r="F868" s="7"/>
    </row>
    <row r="869" spans="3:6" ht="12.75" customHeight="1" x14ac:dyDescent="0.2">
      <c r="C869" s="7"/>
      <c r="F869" s="7"/>
    </row>
    <row r="870" spans="3:6" ht="12.75" customHeight="1" x14ac:dyDescent="0.2">
      <c r="C870" s="7"/>
      <c r="F870" s="7"/>
    </row>
    <row r="871" spans="3:6" ht="12.75" customHeight="1" x14ac:dyDescent="0.2">
      <c r="C871" s="7"/>
      <c r="F871" s="7"/>
    </row>
    <row r="872" spans="3:6" ht="12.75" customHeight="1" x14ac:dyDescent="0.2">
      <c r="C872" s="7"/>
      <c r="F872" s="7"/>
    </row>
    <row r="873" spans="3:6" ht="12.75" customHeight="1" x14ac:dyDescent="0.2">
      <c r="C873" s="7"/>
      <c r="F873" s="7"/>
    </row>
    <row r="874" spans="3:6" ht="12.75" customHeight="1" x14ac:dyDescent="0.2">
      <c r="C874" s="7"/>
      <c r="F874" s="7"/>
    </row>
    <row r="875" spans="3:6" ht="12.75" customHeight="1" x14ac:dyDescent="0.2">
      <c r="C875" s="7"/>
      <c r="F875" s="7"/>
    </row>
    <row r="876" spans="3:6" ht="12.75" customHeight="1" x14ac:dyDescent="0.2">
      <c r="C876" s="7"/>
      <c r="F876" s="7"/>
    </row>
    <row r="877" spans="3:6" ht="12.75" customHeight="1" x14ac:dyDescent="0.2">
      <c r="C877" s="7"/>
      <c r="F877" s="7"/>
    </row>
    <row r="878" spans="3:6" ht="12.75" customHeight="1" x14ac:dyDescent="0.2">
      <c r="C878" s="7"/>
      <c r="F878" s="7"/>
    </row>
    <row r="879" spans="3:6" ht="12.75" customHeight="1" x14ac:dyDescent="0.2">
      <c r="C879" s="7"/>
      <c r="F879" s="7"/>
    </row>
    <row r="880" spans="3:6" ht="12.75" customHeight="1" x14ac:dyDescent="0.2">
      <c r="C880" s="7"/>
      <c r="F880" s="7"/>
    </row>
    <row r="881" spans="3:6" ht="12.75" customHeight="1" x14ac:dyDescent="0.2">
      <c r="C881" s="7"/>
      <c r="F881" s="7"/>
    </row>
    <row r="882" spans="3:6" ht="12.75" customHeight="1" x14ac:dyDescent="0.2">
      <c r="C882" s="7"/>
      <c r="F882" s="7"/>
    </row>
    <row r="883" spans="3:6" ht="12.75" customHeight="1" x14ac:dyDescent="0.2">
      <c r="C883" s="7"/>
      <c r="F883" s="7"/>
    </row>
    <row r="884" spans="3:6" ht="12.75" customHeight="1" x14ac:dyDescent="0.2">
      <c r="C884" s="7"/>
      <c r="F884" s="7"/>
    </row>
    <row r="885" spans="3:6" ht="12.75" customHeight="1" x14ac:dyDescent="0.2">
      <c r="C885" s="7"/>
      <c r="F885" s="7"/>
    </row>
    <row r="886" spans="3:6" ht="12.75" customHeight="1" x14ac:dyDescent="0.2">
      <c r="C886" s="7"/>
      <c r="F886" s="7"/>
    </row>
    <row r="887" spans="3:6" ht="12.75" customHeight="1" x14ac:dyDescent="0.2">
      <c r="C887" s="7"/>
      <c r="F887" s="7"/>
    </row>
    <row r="888" spans="3:6" ht="12.75" customHeight="1" x14ac:dyDescent="0.2">
      <c r="C888" s="7"/>
      <c r="F888" s="7"/>
    </row>
    <row r="889" spans="3:6" ht="12.75" customHeight="1" x14ac:dyDescent="0.2">
      <c r="C889" s="7"/>
      <c r="F889" s="7"/>
    </row>
    <row r="890" spans="3:6" ht="12.75" customHeight="1" x14ac:dyDescent="0.2">
      <c r="C890" s="7"/>
      <c r="F890" s="7"/>
    </row>
    <row r="891" spans="3:6" ht="12.75" customHeight="1" x14ac:dyDescent="0.2">
      <c r="C891" s="7"/>
      <c r="F891" s="7"/>
    </row>
    <row r="892" spans="3:6" ht="12.75" customHeight="1" x14ac:dyDescent="0.2">
      <c r="C892" s="7"/>
      <c r="F892" s="7"/>
    </row>
    <row r="893" spans="3:6" ht="12.75" customHeight="1" x14ac:dyDescent="0.2">
      <c r="C893" s="7"/>
      <c r="F893" s="7"/>
    </row>
    <row r="894" spans="3:6" ht="12.75" customHeight="1" x14ac:dyDescent="0.2">
      <c r="C894" s="7"/>
      <c r="F894" s="7"/>
    </row>
    <row r="895" spans="3:6" ht="12.75" customHeight="1" x14ac:dyDescent="0.2">
      <c r="C895" s="7"/>
      <c r="F895" s="7"/>
    </row>
    <row r="896" spans="3:6" ht="12.75" customHeight="1" x14ac:dyDescent="0.2">
      <c r="C896" s="7"/>
      <c r="F896" s="7"/>
    </row>
    <row r="897" spans="3:6" ht="12.75" customHeight="1" x14ac:dyDescent="0.2">
      <c r="C897" s="7"/>
      <c r="F897" s="7"/>
    </row>
    <row r="898" spans="3:6" ht="12.75" customHeight="1" x14ac:dyDescent="0.2">
      <c r="C898" s="7"/>
      <c r="F898" s="7"/>
    </row>
    <row r="899" spans="3:6" ht="12.75" customHeight="1" x14ac:dyDescent="0.2">
      <c r="C899" s="7"/>
      <c r="F899" s="7"/>
    </row>
    <row r="900" spans="3:6" ht="12.75" customHeight="1" x14ac:dyDescent="0.2">
      <c r="C900" s="7"/>
      <c r="F900" s="7"/>
    </row>
    <row r="901" spans="3:6" ht="12.75" customHeight="1" x14ac:dyDescent="0.2">
      <c r="C901" s="7"/>
      <c r="F901" s="7"/>
    </row>
    <row r="902" spans="3:6" ht="12.75" customHeight="1" x14ac:dyDescent="0.2">
      <c r="C902" s="7"/>
      <c r="F902" s="7"/>
    </row>
    <row r="903" spans="3:6" ht="12.75" customHeight="1" x14ac:dyDescent="0.2">
      <c r="C903" s="7"/>
      <c r="F903" s="7"/>
    </row>
    <row r="904" spans="3:6" ht="12.75" customHeight="1" x14ac:dyDescent="0.2">
      <c r="C904" s="7"/>
      <c r="F904" s="7"/>
    </row>
    <row r="905" spans="3:6" ht="12.75" customHeight="1" x14ac:dyDescent="0.2">
      <c r="C905" s="7"/>
      <c r="F905" s="7"/>
    </row>
    <row r="906" spans="3:6" ht="12.75" customHeight="1" x14ac:dyDescent="0.2">
      <c r="C906" s="7"/>
      <c r="F906" s="7"/>
    </row>
    <row r="907" spans="3:6" ht="12.75" customHeight="1" x14ac:dyDescent="0.2">
      <c r="C907" s="7"/>
      <c r="F907" s="7"/>
    </row>
    <row r="908" spans="3:6" ht="12.75" customHeight="1" x14ac:dyDescent="0.2">
      <c r="C908" s="7"/>
      <c r="F908" s="7"/>
    </row>
    <row r="909" spans="3:6" ht="12.75" customHeight="1" x14ac:dyDescent="0.2">
      <c r="C909" s="7"/>
      <c r="F909" s="7"/>
    </row>
    <row r="910" spans="3:6" ht="12.75" customHeight="1" x14ac:dyDescent="0.2">
      <c r="C910" s="7"/>
      <c r="F910" s="7"/>
    </row>
    <row r="911" spans="3:6" ht="12.75" customHeight="1" x14ac:dyDescent="0.2">
      <c r="C911" s="7"/>
      <c r="F911" s="7"/>
    </row>
    <row r="912" spans="3:6" ht="12.75" customHeight="1" x14ac:dyDescent="0.2">
      <c r="C912" s="7"/>
      <c r="F912" s="7"/>
    </row>
    <row r="913" spans="3:6" ht="12.75" customHeight="1" x14ac:dyDescent="0.2">
      <c r="C913" s="7"/>
      <c r="F913" s="7"/>
    </row>
    <row r="914" spans="3:6" ht="12.75" customHeight="1" x14ac:dyDescent="0.2">
      <c r="C914" s="7"/>
      <c r="F914" s="7"/>
    </row>
    <row r="915" spans="3:6" ht="12.75" customHeight="1" x14ac:dyDescent="0.2">
      <c r="C915" s="7"/>
      <c r="F915" s="7"/>
    </row>
    <row r="916" spans="3:6" ht="12.75" customHeight="1" x14ac:dyDescent="0.2">
      <c r="C916" s="7"/>
      <c r="F916" s="7"/>
    </row>
    <row r="917" spans="3:6" ht="12.75" customHeight="1" x14ac:dyDescent="0.2">
      <c r="C917" s="7"/>
      <c r="F917" s="7"/>
    </row>
    <row r="918" spans="3:6" ht="12.75" customHeight="1" x14ac:dyDescent="0.2">
      <c r="C918" s="7"/>
      <c r="F918" s="7"/>
    </row>
    <row r="919" spans="3:6" ht="12.75" customHeight="1" x14ac:dyDescent="0.2">
      <c r="C919" s="7"/>
      <c r="F919" s="7"/>
    </row>
    <row r="920" spans="3:6" ht="12.75" customHeight="1" x14ac:dyDescent="0.2">
      <c r="C920" s="7"/>
      <c r="F920" s="7"/>
    </row>
    <row r="921" spans="3:6" ht="12.75" customHeight="1" x14ac:dyDescent="0.2">
      <c r="C921" s="7"/>
      <c r="F921" s="7"/>
    </row>
    <row r="922" spans="3:6" ht="12.75" customHeight="1" x14ac:dyDescent="0.2">
      <c r="C922" s="7"/>
      <c r="F922" s="7"/>
    </row>
    <row r="923" spans="3:6" ht="12.75" customHeight="1" x14ac:dyDescent="0.2">
      <c r="C923" s="7"/>
      <c r="F923" s="7"/>
    </row>
    <row r="924" spans="3:6" ht="12.75" customHeight="1" x14ac:dyDescent="0.2">
      <c r="C924" s="7"/>
      <c r="F924" s="7"/>
    </row>
    <row r="925" spans="3:6" ht="12.75" customHeight="1" x14ac:dyDescent="0.2">
      <c r="C925" s="7"/>
      <c r="F925" s="7"/>
    </row>
    <row r="926" spans="3:6" ht="12.75" customHeight="1" x14ac:dyDescent="0.2">
      <c r="C926" s="7"/>
      <c r="F926" s="7"/>
    </row>
    <row r="927" spans="3:6" ht="12.75" customHeight="1" x14ac:dyDescent="0.2">
      <c r="C927" s="7"/>
      <c r="F927" s="7"/>
    </row>
    <row r="928" spans="3:6" ht="12.75" customHeight="1" x14ac:dyDescent="0.2">
      <c r="C928" s="7"/>
      <c r="F928" s="7"/>
    </row>
    <row r="929" spans="3:6" ht="12.75" customHeight="1" x14ac:dyDescent="0.2">
      <c r="C929" s="7"/>
      <c r="F929" s="7"/>
    </row>
    <row r="930" spans="3:6" ht="12.75" customHeight="1" x14ac:dyDescent="0.2">
      <c r="C930" s="7"/>
      <c r="F930" s="7"/>
    </row>
    <row r="931" spans="3:6" ht="12.75" customHeight="1" x14ac:dyDescent="0.2">
      <c r="C931" s="7"/>
      <c r="F931" s="7"/>
    </row>
    <row r="932" spans="3:6" ht="12.75" customHeight="1" x14ac:dyDescent="0.2">
      <c r="C932" s="7"/>
      <c r="F932" s="7"/>
    </row>
    <row r="933" spans="3:6" ht="12.75" customHeight="1" x14ac:dyDescent="0.2">
      <c r="C933" s="7"/>
      <c r="F933" s="7"/>
    </row>
    <row r="934" spans="3:6" ht="12.75" customHeight="1" x14ac:dyDescent="0.2">
      <c r="C934" s="7"/>
      <c r="F934" s="7"/>
    </row>
    <row r="935" spans="3:6" ht="12.75" customHeight="1" x14ac:dyDescent="0.2">
      <c r="C935" s="7"/>
      <c r="F935" s="7"/>
    </row>
    <row r="936" spans="3:6" ht="12.75" customHeight="1" x14ac:dyDescent="0.2">
      <c r="C936" s="7"/>
      <c r="F936" s="7"/>
    </row>
    <row r="937" spans="3:6" ht="12.75" customHeight="1" x14ac:dyDescent="0.2">
      <c r="C937" s="7"/>
      <c r="F937" s="7"/>
    </row>
    <row r="938" spans="3:6" ht="12.75" customHeight="1" x14ac:dyDescent="0.2">
      <c r="C938" s="7"/>
      <c r="F938" s="7"/>
    </row>
    <row r="939" spans="3:6" ht="12.75" customHeight="1" x14ac:dyDescent="0.2">
      <c r="C939" s="7"/>
      <c r="F939" s="7"/>
    </row>
    <row r="940" spans="3:6" ht="12.75" customHeight="1" x14ac:dyDescent="0.2">
      <c r="C940" s="7"/>
      <c r="F940" s="7"/>
    </row>
    <row r="941" spans="3:6" ht="12.75" customHeight="1" x14ac:dyDescent="0.2">
      <c r="C941" s="7"/>
      <c r="F941" s="7"/>
    </row>
    <row r="942" spans="3:6" ht="12.75" customHeight="1" x14ac:dyDescent="0.2">
      <c r="C942" s="7"/>
      <c r="F942" s="7"/>
    </row>
    <row r="943" spans="3:6" ht="12.75" customHeight="1" x14ac:dyDescent="0.2">
      <c r="C943" s="7"/>
      <c r="F943" s="7"/>
    </row>
    <row r="944" spans="3:6" ht="12.75" customHeight="1" x14ac:dyDescent="0.2">
      <c r="C944" s="7"/>
      <c r="F944" s="7"/>
    </row>
    <row r="945" spans="3:12" ht="12.75" customHeight="1" x14ac:dyDescent="0.2">
      <c r="C945" s="7"/>
      <c r="F945" s="7"/>
    </row>
    <row r="946" spans="3:12" ht="12.75" customHeight="1" x14ac:dyDescent="0.2">
      <c r="C946" s="7"/>
      <c r="F946" s="7"/>
    </row>
    <row r="947" spans="3:12" ht="12.75" customHeight="1" x14ac:dyDescent="0.2">
      <c r="C947" s="7"/>
      <c r="F947" s="7"/>
    </row>
    <row r="948" spans="3:12" ht="12.75" customHeight="1" x14ac:dyDescent="0.2">
      <c r="C948" s="7"/>
      <c r="F948" s="7"/>
      <c r="J948" s="8"/>
      <c r="L948" s="8"/>
    </row>
    <row r="949" spans="3:12" ht="12.75" customHeight="1" x14ac:dyDescent="0.2">
      <c r="C949" s="7"/>
      <c r="F949" s="7"/>
    </row>
    <row r="950" spans="3:12" ht="12.75" customHeight="1" x14ac:dyDescent="0.2">
      <c r="C950" s="7"/>
      <c r="F950" s="7"/>
    </row>
    <row r="951" spans="3:12" ht="12.75" customHeight="1" x14ac:dyDescent="0.2">
      <c r="C951" s="7"/>
      <c r="F951" s="7"/>
    </row>
    <row r="952" spans="3:12" ht="12.75" customHeight="1" x14ac:dyDescent="0.2">
      <c r="C952" s="7"/>
      <c r="F952" s="7"/>
    </row>
    <row r="953" spans="3:12" ht="12.75" customHeight="1" x14ac:dyDescent="0.2">
      <c r="C953" s="7"/>
      <c r="F953" s="7"/>
    </row>
    <row r="954" spans="3:12" ht="12.75" customHeight="1" x14ac:dyDescent="0.2">
      <c r="C954" s="7"/>
      <c r="F954" s="7"/>
    </row>
    <row r="955" spans="3:12" ht="12.75" customHeight="1" x14ac:dyDescent="0.2">
      <c r="C955" s="7"/>
      <c r="F955" s="7"/>
    </row>
    <row r="956" spans="3:12" ht="12.75" customHeight="1" x14ac:dyDescent="0.2">
      <c r="C956" s="7"/>
      <c r="F956" s="7"/>
    </row>
    <row r="957" spans="3:12" ht="12.75" customHeight="1" x14ac:dyDescent="0.2">
      <c r="C957" s="7"/>
      <c r="F957" s="7"/>
    </row>
    <row r="958" spans="3:12" ht="12.75" customHeight="1" x14ac:dyDescent="0.2">
      <c r="C958" s="7"/>
      <c r="F958" s="7"/>
    </row>
    <row r="959" spans="3:12" ht="12.75" customHeight="1" x14ac:dyDescent="0.2">
      <c r="C959" s="7"/>
      <c r="F959" s="7"/>
    </row>
    <row r="960" spans="3:12" ht="12.75" customHeight="1" x14ac:dyDescent="0.2">
      <c r="C960" s="7"/>
      <c r="F960" s="7"/>
    </row>
    <row r="961" spans="3:6" ht="12.75" customHeight="1" x14ac:dyDescent="0.2">
      <c r="C961" s="7"/>
      <c r="F961" s="7"/>
    </row>
    <row r="962" spans="3:6" ht="12.75" customHeight="1" x14ac:dyDescent="0.2">
      <c r="C962" s="7"/>
      <c r="F962" s="7"/>
    </row>
    <row r="963" spans="3:6" ht="12.75" customHeight="1" x14ac:dyDescent="0.2">
      <c r="C963" s="7"/>
      <c r="F963" s="7"/>
    </row>
    <row r="964" spans="3:6" ht="12.75" customHeight="1" x14ac:dyDescent="0.2">
      <c r="C964" s="7"/>
      <c r="F964" s="7"/>
    </row>
    <row r="965" spans="3:6" ht="12.75" customHeight="1" x14ac:dyDescent="0.2">
      <c r="C965" s="7"/>
      <c r="F965" s="7"/>
    </row>
    <row r="966" spans="3:6" ht="12.75" customHeight="1" x14ac:dyDescent="0.2">
      <c r="C966" s="7"/>
      <c r="F966" s="7"/>
    </row>
    <row r="967" spans="3:6" ht="12.75" customHeight="1" x14ac:dyDescent="0.2">
      <c r="C967" s="7"/>
      <c r="F967" s="7"/>
    </row>
    <row r="968" spans="3:6" ht="12.75" customHeight="1" x14ac:dyDescent="0.2">
      <c r="C968" s="7"/>
      <c r="F968" s="7"/>
    </row>
    <row r="969" spans="3:6" ht="12.75" customHeight="1" x14ac:dyDescent="0.2">
      <c r="C969" s="7"/>
      <c r="F969" s="7"/>
    </row>
    <row r="970" spans="3:6" ht="12.75" customHeight="1" x14ac:dyDescent="0.2">
      <c r="C970" s="7"/>
      <c r="F970" s="7"/>
    </row>
    <row r="971" spans="3:6" ht="12.75" customHeight="1" x14ac:dyDescent="0.2">
      <c r="C971" s="7"/>
      <c r="F971" s="7"/>
    </row>
    <row r="972" spans="3:6" ht="12.75" customHeight="1" x14ac:dyDescent="0.2">
      <c r="C972" s="7"/>
      <c r="F972" s="7"/>
    </row>
    <row r="973" spans="3:6" ht="12.75" customHeight="1" x14ac:dyDescent="0.2">
      <c r="C973" s="7"/>
      <c r="F973" s="7"/>
    </row>
    <row r="974" spans="3:6" ht="12.75" customHeight="1" x14ac:dyDescent="0.2">
      <c r="C974" s="7"/>
      <c r="F974" s="7"/>
    </row>
    <row r="975" spans="3:6" ht="12.75" customHeight="1" x14ac:dyDescent="0.2">
      <c r="C975" s="7"/>
      <c r="F975" s="7"/>
    </row>
    <row r="976" spans="3:6" ht="12.75" customHeight="1" x14ac:dyDescent="0.2">
      <c r="C976" s="7"/>
      <c r="F976" s="7"/>
    </row>
    <row r="977" spans="3:6" ht="12.75" customHeight="1" x14ac:dyDescent="0.2">
      <c r="C977" s="7"/>
      <c r="F977" s="7"/>
    </row>
    <row r="978" spans="3:6" ht="12.75" customHeight="1" x14ac:dyDescent="0.2">
      <c r="C978" s="7"/>
      <c r="F978" s="7"/>
    </row>
    <row r="979" spans="3:6" ht="12.75" customHeight="1" x14ac:dyDescent="0.2">
      <c r="C979" s="7"/>
      <c r="F979" s="7"/>
    </row>
    <row r="980" spans="3:6" ht="12.75" customHeight="1" x14ac:dyDescent="0.2">
      <c r="C980" s="7"/>
      <c r="F980" s="7"/>
    </row>
    <row r="981" spans="3:6" ht="12.75" customHeight="1" x14ac:dyDescent="0.2">
      <c r="C981" s="7"/>
      <c r="F981" s="7"/>
    </row>
    <row r="982" spans="3:6" ht="12.75" customHeight="1" x14ac:dyDescent="0.2">
      <c r="C982" s="7"/>
      <c r="F982" s="7"/>
    </row>
    <row r="983" spans="3:6" ht="12.75" customHeight="1" x14ac:dyDescent="0.2">
      <c r="C983" s="7"/>
      <c r="F983" s="7"/>
    </row>
    <row r="984" spans="3:6" ht="12.75" customHeight="1" x14ac:dyDescent="0.2">
      <c r="C984" s="7"/>
      <c r="F984" s="7"/>
    </row>
    <row r="985" spans="3:6" ht="12.75" customHeight="1" x14ac:dyDescent="0.2">
      <c r="C985" s="7"/>
      <c r="F985" s="7"/>
    </row>
    <row r="986" spans="3:6" ht="12.75" customHeight="1" x14ac:dyDescent="0.2">
      <c r="C986" s="7"/>
      <c r="F986" s="7"/>
    </row>
    <row r="987" spans="3:6" ht="12.75" customHeight="1" x14ac:dyDescent="0.2">
      <c r="C987" s="7"/>
      <c r="F987" s="7"/>
    </row>
    <row r="988" spans="3:6" ht="12.75" customHeight="1" x14ac:dyDescent="0.2">
      <c r="C988" s="7"/>
      <c r="F988" s="7"/>
    </row>
    <row r="989" spans="3:6" ht="12.75" customHeight="1" x14ac:dyDescent="0.2">
      <c r="C989" s="7"/>
      <c r="F989" s="7"/>
    </row>
    <row r="990" spans="3:6" ht="12.75" customHeight="1" x14ac:dyDescent="0.2">
      <c r="C990" s="7"/>
      <c r="F990" s="7"/>
    </row>
    <row r="991" spans="3:6" ht="12.75" customHeight="1" x14ac:dyDescent="0.2">
      <c r="C991" s="7"/>
      <c r="F991" s="7"/>
    </row>
    <row r="992" spans="3:6" ht="12.75" customHeight="1" x14ac:dyDescent="0.2">
      <c r="C992" s="7"/>
      <c r="F992" s="7"/>
    </row>
    <row r="993" spans="3:6" ht="12.75" customHeight="1" x14ac:dyDescent="0.2">
      <c r="C993" s="7"/>
      <c r="F993" s="7"/>
    </row>
    <row r="994" spans="3:6" ht="12.75" customHeight="1" x14ac:dyDescent="0.2">
      <c r="C994" s="7"/>
      <c r="F994" s="7"/>
    </row>
    <row r="995" spans="3:6" ht="12.75" customHeight="1" x14ac:dyDescent="0.2">
      <c r="C995" s="7"/>
      <c r="F995" s="7"/>
    </row>
    <row r="996" spans="3:6" ht="12.75" customHeight="1" x14ac:dyDescent="0.2">
      <c r="C996" s="7"/>
      <c r="F996" s="7"/>
    </row>
    <row r="997" spans="3:6" ht="12.75" customHeight="1" x14ac:dyDescent="0.2">
      <c r="C997" s="7"/>
      <c r="F997" s="7"/>
    </row>
    <row r="998" spans="3:6" ht="15" customHeight="1" x14ac:dyDescent="0.2">
      <c r="C998" s="7"/>
      <c r="F998" s="7"/>
    </row>
    <row r="999" spans="3:6" ht="15" customHeight="1" x14ac:dyDescent="0.2">
      <c r="C999" s="7"/>
      <c r="F999" s="7"/>
    </row>
    <row r="1000" spans="3:6" ht="15" customHeight="1" x14ac:dyDescent="0.2">
      <c r="C1000" s="7"/>
      <c r="F1000" s="7"/>
    </row>
    <row r="1001" spans="3:6" ht="15" customHeight="1" x14ac:dyDescent="0.2">
      <c r="C1001" s="7"/>
      <c r="F1001" s="7"/>
    </row>
    <row r="1002" spans="3:6" ht="15" customHeight="1" x14ac:dyDescent="0.2">
      <c r="C1002" s="7"/>
      <c r="F1002" s="7"/>
    </row>
    <row r="1003" spans="3:6" ht="15" customHeight="1" x14ac:dyDescent="0.2">
      <c r="C1003" s="7"/>
      <c r="F1003" s="7"/>
    </row>
    <row r="1004" spans="3:6" ht="15" customHeight="1" x14ac:dyDescent="0.2">
      <c r="C1004" s="7"/>
      <c r="F1004" s="7"/>
    </row>
    <row r="1005" spans="3:6" ht="15" customHeight="1" x14ac:dyDescent="0.2">
      <c r="C1005" s="7"/>
      <c r="F1005" s="7"/>
    </row>
    <row r="1006" spans="3:6" ht="15" customHeight="1" x14ac:dyDescent="0.2">
      <c r="C1006" s="7"/>
      <c r="F1006" s="7"/>
    </row>
    <row r="1007" spans="3:6" ht="15" customHeight="1" x14ac:dyDescent="0.2">
      <c r="C1007" s="7"/>
      <c r="F1007" s="7"/>
    </row>
    <row r="1008" spans="3:6" ht="15" customHeight="1" x14ac:dyDescent="0.2">
      <c r="C1008" s="7"/>
      <c r="F1008" s="7"/>
    </row>
    <row r="1009" spans="3:6" ht="15" customHeight="1" x14ac:dyDescent="0.2">
      <c r="C1009" s="7"/>
      <c r="F1009" s="7"/>
    </row>
    <row r="1010" spans="3:6" ht="15" customHeight="1" x14ac:dyDescent="0.2">
      <c r="C1010" s="7"/>
      <c r="F1010" s="7"/>
    </row>
    <row r="1011" spans="3:6" ht="15" customHeight="1" x14ac:dyDescent="0.2">
      <c r="C1011" s="7"/>
      <c r="F1011" s="7"/>
    </row>
    <row r="1012" spans="3:6" ht="15" customHeight="1" x14ac:dyDescent="0.2">
      <c r="C1012" s="7"/>
      <c r="F1012" s="7"/>
    </row>
    <row r="1013" spans="3:6" ht="15" customHeight="1" x14ac:dyDescent="0.2">
      <c r="C1013" s="7"/>
      <c r="F1013" s="7"/>
    </row>
    <row r="1014" spans="3:6" ht="15" customHeight="1" x14ac:dyDescent="0.2">
      <c r="C1014" s="7"/>
      <c r="F1014" s="7"/>
    </row>
    <row r="1015" spans="3:6" ht="15" customHeight="1" x14ac:dyDescent="0.2">
      <c r="C1015" s="7"/>
      <c r="F1015" s="7"/>
    </row>
    <row r="1016" spans="3:6" ht="15" customHeight="1" x14ac:dyDescent="0.2">
      <c r="C1016" s="7"/>
      <c r="F1016" s="7"/>
    </row>
    <row r="1017" spans="3:6" ht="15" customHeight="1" x14ac:dyDescent="0.2">
      <c r="C1017" s="7"/>
      <c r="F1017" s="7"/>
    </row>
    <row r="1018" spans="3:6" ht="15" customHeight="1" x14ac:dyDescent="0.2">
      <c r="C1018" s="7"/>
      <c r="F1018" s="7"/>
    </row>
    <row r="1019" spans="3:6" ht="15" customHeight="1" x14ac:dyDescent="0.2">
      <c r="C1019" s="7"/>
      <c r="F1019" s="7"/>
    </row>
    <row r="1020" spans="3:6" ht="15" customHeight="1" x14ac:dyDescent="0.2">
      <c r="C1020" s="7"/>
      <c r="F1020" s="7"/>
    </row>
    <row r="1021" spans="3:6" ht="15" customHeight="1" x14ac:dyDescent="0.2">
      <c r="C1021" s="7"/>
      <c r="F1021" s="7"/>
    </row>
    <row r="1022" spans="3:6" ht="15" customHeight="1" x14ac:dyDescent="0.2">
      <c r="C1022" s="7"/>
      <c r="F1022" s="7"/>
    </row>
    <row r="1023" spans="3:6" ht="15" customHeight="1" x14ac:dyDescent="0.2">
      <c r="C1023" s="7"/>
      <c r="F1023" s="7"/>
    </row>
    <row r="1024" spans="3:6" ht="15" customHeight="1" x14ac:dyDescent="0.2">
      <c r="C1024" s="7"/>
      <c r="F1024" s="7"/>
    </row>
    <row r="1025" spans="3:6" ht="15" customHeight="1" x14ac:dyDescent="0.2">
      <c r="C1025" s="7"/>
      <c r="F1025" s="7"/>
    </row>
    <row r="1026" spans="3:6" ht="15" customHeight="1" x14ac:dyDescent="0.2">
      <c r="C1026" s="7"/>
      <c r="F1026" s="7"/>
    </row>
    <row r="1027" spans="3:6" ht="15" customHeight="1" x14ac:dyDescent="0.2">
      <c r="C1027" s="7"/>
      <c r="F1027" s="7"/>
    </row>
    <row r="1028" spans="3:6" ht="15" customHeight="1" x14ac:dyDescent="0.2">
      <c r="C1028" s="7"/>
      <c r="F1028" s="7"/>
    </row>
    <row r="1029" spans="3:6" ht="15" customHeight="1" x14ac:dyDescent="0.2">
      <c r="C1029" s="7"/>
      <c r="F1029" s="7"/>
    </row>
    <row r="1030" spans="3:6" ht="15" customHeight="1" x14ac:dyDescent="0.2">
      <c r="C1030" s="7"/>
      <c r="F1030" s="7"/>
    </row>
    <row r="1031" spans="3:6" ht="15" customHeight="1" x14ac:dyDescent="0.2">
      <c r="C1031" s="7"/>
      <c r="F1031" s="7"/>
    </row>
    <row r="1032" spans="3:6" ht="15" customHeight="1" x14ac:dyDescent="0.2">
      <c r="C1032" s="7"/>
      <c r="F1032" s="7"/>
    </row>
    <row r="1033" spans="3:6" ht="15" customHeight="1" x14ac:dyDescent="0.2">
      <c r="C1033" s="7"/>
      <c r="F1033" s="7"/>
    </row>
    <row r="1034" spans="3:6" ht="15" customHeight="1" x14ac:dyDescent="0.2">
      <c r="C1034" s="7"/>
      <c r="F1034" s="7"/>
    </row>
    <row r="1035" spans="3:6" ht="15" customHeight="1" x14ac:dyDescent="0.2">
      <c r="C1035" s="7"/>
      <c r="F1035" s="7"/>
    </row>
    <row r="1036" spans="3:6" ht="15" customHeight="1" x14ac:dyDescent="0.2">
      <c r="C1036" s="7"/>
      <c r="F1036" s="7"/>
    </row>
    <row r="1037" spans="3:6" ht="15" customHeight="1" x14ac:dyDescent="0.2">
      <c r="C1037" s="7"/>
      <c r="F1037" s="7"/>
    </row>
    <row r="1038" spans="3:6" ht="15" customHeight="1" x14ac:dyDescent="0.2">
      <c r="C1038" s="7"/>
      <c r="F1038" s="7"/>
    </row>
    <row r="1039" spans="3:6" ht="15" customHeight="1" x14ac:dyDescent="0.2">
      <c r="C1039" s="7"/>
      <c r="F1039" s="7"/>
    </row>
    <row r="1040" spans="3:6" ht="15" customHeight="1" x14ac:dyDescent="0.2">
      <c r="C1040" s="7"/>
      <c r="F1040" s="7"/>
    </row>
    <row r="1041" spans="3:6" ht="15" customHeight="1" x14ac:dyDescent="0.2">
      <c r="C1041" s="7"/>
      <c r="F1041" s="7"/>
    </row>
    <row r="1042" spans="3:6" ht="15" customHeight="1" x14ac:dyDescent="0.2">
      <c r="C1042" s="7"/>
      <c r="F1042" s="7"/>
    </row>
    <row r="1043" spans="3:6" ht="15" customHeight="1" x14ac:dyDescent="0.2">
      <c r="C1043" s="7"/>
      <c r="F1043" s="7"/>
    </row>
    <row r="1044" spans="3:6" ht="15" customHeight="1" x14ac:dyDescent="0.2">
      <c r="C1044" s="7"/>
      <c r="F1044" s="7"/>
    </row>
    <row r="1045" spans="3:6" ht="15" customHeight="1" x14ac:dyDescent="0.2">
      <c r="C1045" s="7"/>
      <c r="F1045" s="7"/>
    </row>
    <row r="1046" spans="3:6" ht="15" customHeight="1" x14ac:dyDescent="0.2">
      <c r="C1046" s="7"/>
      <c r="F1046" s="7"/>
    </row>
    <row r="1047" spans="3:6" ht="15" customHeight="1" x14ac:dyDescent="0.2">
      <c r="C1047" s="7"/>
      <c r="F1047" s="7"/>
    </row>
    <row r="1048" spans="3:6" ht="15" customHeight="1" x14ac:dyDescent="0.2">
      <c r="C1048" s="7"/>
      <c r="F1048" s="7"/>
    </row>
    <row r="1049" spans="3:6" ht="15" customHeight="1" x14ac:dyDescent="0.2">
      <c r="C1049" s="7"/>
      <c r="F1049" s="7"/>
    </row>
    <row r="1050" spans="3:6" ht="15" customHeight="1" x14ac:dyDescent="0.2">
      <c r="C1050" s="7"/>
      <c r="F1050" s="7"/>
    </row>
    <row r="1051" spans="3:6" ht="15" customHeight="1" x14ac:dyDescent="0.2">
      <c r="C1051" s="7"/>
      <c r="F1051" s="7"/>
    </row>
    <row r="1052" spans="3:6" ht="15" customHeight="1" x14ac:dyDescent="0.2">
      <c r="C1052" s="7"/>
      <c r="F1052" s="7"/>
    </row>
    <row r="1053" spans="3:6" ht="15" customHeight="1" x14ac:dyDescent="0.2">
      <c r="C1053" s="7"/>
      <c r="F1053" s="7"/>
    </row>
    <row r="1054" spans="3:6" ht="15" customHeight="1" x14ac:dyDescent="0.2">
      <c r="C1054" s="7"/>
      <c r="F1054" s="7"/>
    </row>
    <row r="1055" spans="3:6" ht="15" customHeight="1" x14ac:dyDescent="0.2">
      <c r="C1055" s="7"/>
      <c r="F1055" s="7"/>
    </row>
    <row r="1056" spans="3:6" ht="15" customHeight="1" x14ac:dyDescent="0.2">
      <c r="C1056" s="7"/>
      <c r="F1056" s="7"/>
    </row>
    <row r="1057" spans="3:6" ht="15" customHeight="1" x14ac:dyDescent="0.2">
      <c r="C1057" s="7"/>
      <c r="F1057" s="7"/>
    </row>
    <row r="1058" spans="3:6" ht="15" customHeight="1" x14ac:dyDescent="0.2">
      <c r="C1058" s="7"/>
      <c r="F1058" s="7"/>
    </row>
    <row r="1059" spans="3:6" ht="15" customHeight="1" x14ac:dyDescent="0.2">
      <c r="C1059" s="7"/>
      <c r="F1059" s="7"/>
    </row>
    <row r="1060" spans="3:6" ht="15" customHeight="1" x14ac:dyDescent="0.2">
      <c r="C1060" s="7"/>
      <c r="F1060" s="7"/>
    </row>
    <row r="1061" spans="3:6" ht="15" customHeight="1" x14ac:dyDescent="0.2">
      <c r="C1061" s="7"/>
      <c r="F1061" s="7"/>
    </row>
    <row r="1062" spans="3:6" ht="15" customHeight="1" x14ac:dyDescent="0.2">
      <c r="C1062" s="7"/>
      <c r="F1062" s="7"/>
    </row>
    <row r="1063" spans="3:6" ht="15" customHeight="1" x14ac:dyDescent="0.2">
      <c r="C1063" s="7"/>
      <c r="F1063" s="7"/>
    </row>
    <row r="1064" spans="3:6" ht="15" customHeight="1" x14ac:dyDescent="0.2">
      <c r="C1064" s="7"/>
      <c r="F1064" s="7"/>
    </row>
    <row r="1065" spans="3:6" ht="15" customHeight="1" x14ac:dyDescent="0.2">
      <c r="C1065" s="7"/>
      <c r="F1065" s="7"/>
    </row>
    <row r="1066" spans="3:6" ht="15" customHeight="1" x14ac:dyDescent="0.2">
      <c r="C1066" s="7"/>
      <c r="F1066" s="7"/>
    </row>
    <row r="1067" spans="3:6" ht="15" customHeight="1" x14ac:dyDescent="0.2">
      <c r="C1067" s="7"/>
      <c r="F1067" s="7"/>
    </row>
    <row r="1068" spans="3:6" ht="15" customHeight="1" x14ac:dyDescent="0.2">
      <c r="C1068" s="7"/>
      <c r="F1068" s="7"/>
    </row>
    <row r="1069" spans="3:6" ht="15" customHeight="1" x14ac:dyDescent="0.2">
      <c r="C1069" s="7"/>
      <c r="F1069" s="7"/>
    </row>
    <row r="1070" spans="3:6" ht="15" customHeight="1" x14ac:dyDescent="0.2">
      <c r="C1070" s="7"/>
      <c r="F1070" s="7"/>
    </row>
    <row r="1071" spans="3:6" ht="15" customHeight="1" x14ac:dyDescent="0.2">
      <c r="C1071" s="7"/>
      <c r="F1071" s="7"/>
    </row>
    <row r="1072" spans="3:6" ht="15" customHeight="1" x14ac:dyDescent="0.2">
      <c r="C1072" s="7"/>
      <c r="F1072" s="7"/>
    </row>
    <row r="1073" spans="3:6" ht="15" customHeight="1" x14ac:dyDescent="0.2">
      <c r="C1073" s="7"/>
      <c r="F1073" s="7"/>
    </row>
    <row r="1074" spans="3:6" ht="15" customHeight="1" x14ac:dyDescent="0.2">
      <c r="C1074" s="7"/>
      <c r="F1074" s="7"/>
    </row>
    <row r="1075" spans="3:6" ht="15" customHeight="1" x14ac:dyDescent="0.2">
      <c r="C1075" s="7"/>
      <c r="F1075" s="7"/>
    </row>
    <row r="1076" spans="3:6" ht="15" customHeight="1" x14ac:dyDescent="0.2">
      <c r="C1076" s="7"/>
      <c r="F1076" s="7"/>
    </row>
    <row r="1077" spans="3:6" ht="15" customHeight="1" x14ac:dyDescent="0.2">
      <c r="C1077" s="7"/>
      <c r="F1077" s="7"/>
    </row>
    <row r="1078" spans="3:6" ht="15" customHeight="1" x14ac:dyDescent="0.2">
      <c r="C1078" s="7"/>
      <c r="F1078" s="7"/>
    </row>
    <row r="1079" spans="3:6" ht="15" customHeight="1" x14ac:dyDescent="0.2">
      <c r="C1079" s="7"/>
      <c r="F1079" s="7"/>
    </row>
    <row r="1080" spans="3:6" ht="15" customHeight="1" x14ac:dyDescent="0.2">
      <c r="C1080" s="7"/>
      <c r="F1080" s="7"/>
    </row>
    <row r="1081" spans="3:6" ht="15" customHeight="1" x14ac:dyDescent="0.2">
      <c r="C1081" s="7"/>
      <c r="F1081" s="7"/>
    </row>
    <row r="1082" spans="3:6" ht="15" customHeight="1" x14ac:dyDescent="0.2">
      <c r="C1082" s="7"/>
      <c r="F1082" s="7"/>
    </row>
    <row r="1083" spans="3:6" ht="15" customHeight="1" x14ac:dyDescent="0.2">
      <c r="C1083" s="7"/>
      <c r="F1083" s="7"/>
    </row>
    <row r="1084" spans="3:6" ht="15" customHeight="1" x14ac:dyDescent="0.2">
      <c r="C1084" s="7"/>
      <c r="F1084" s="7"/>
    </row>
    <row r="1085" spans="3:6" ht="15" customHeight="1" x14ac:dyDescent="0.2">
      <c r="C1085" s="7"/>
      <c r="F1085" s="7"/>
    </row>
    <row r="1086" spans="3:6" ht="15" customHeight="1" x14ac:dyDescent="0.2">
      <c r="C1086" s="7"/>
      <c r="F1086" s="7"/>
    </row>
    <row r="1087" spans="3:6" ht="15" customHeight="1" x14ac:dyDescent="0.2">
      <c r="C1087" s="7"/>
      <c r="F1087" s="7"/>
    </row>
    <row r="1088" spans="3:6" ht="15" customHeight="1" x14ac:dyDescent="0.2">
      <c r="C1088" s="7"/>
      <c r="F1088" s="7"/>
    </row>
    <row r="1089" spans="3:6" ht="15" customHeight="1" x14ac:dyDescent="0.2">
      <c r="C1089" s="7"/>
      <c r="F1089" s="7"/>
    </row>
    <row r="1090" spans="3:6" ht="15" customHeight="1" x14ac:dyDescent="0.2">
      <c r="C1090" s="7"/>
      <c r="F1090" s="7"/>
    </row>
    <row r="1091" spans="3:6" ht="15" customHeight="1" x14ac:dyDescent="0.2">
      <c r="C1091" s="7"/>
      <c r="F1091" s="7"/>
    </row>
    <row r="1092" spans="3:6" ht="15" customHeight="1" x14ac:dyDescent="0.2">
      <c r="C1092" s="7"/>
      <c r="F1092" s="7"/>
    </row>
    <row r="1093" spans="3:6" ht="15" customHeight="1" x14ac:dyDescent="0.2">
      <c r="C1093" s="7"/>
      <c r="F1093" s="7"/>
    </row>
    <row r="1094" spans="3:6" ht="15" customHeight="1" x14ac:dyDescent="0.2">
      <c r="C1094" s="7"/>
      <c r="F1094" s="7"/>
    </row>
    <row r="1095" spans="3:6" ht="15" customHeight="1" x14ac:dyDescent="0.2">
      <c r="C1095" s="7"/>
      <c r="F1095" s="7"/>
    </row>
    <row r="1096" spans="3:6" ht="15" customHeight="1" x14ac:dyDescent="0.2">
      <c r="C1096" s="7"/>
      <c r="F1096" s="7"/>
    </row>
    <row r="1097" spans="3:6" ht="15" customHeight="1" x14ac:dyDescent="0.2">
      <c r="C1097" s="7"/>
      <c r="F1097" s="7"/>
    </row>
    <row r="1098" spans="3:6" ht="15" customHeight="1" x14ac:dyDescent="0.2">
      <c r="C1098" s="7"/>
      <c r="F1098" s="7"/>
    </row>
    <row r="1099" spans="3:6" ht="15" customHeight="1" x14ac:dyDescent="0.2">
      <c r="C1099" s="7"/>
      <c r="F1099" s="7"/>
    </row>
    <row r="1100" spans="3:6" ht="15" customHeight="1" x14ac:dyDescent="0.2">
      <c r="C1100" s="7"/>
      <c r="F1100" s="7"/>
    </row>
    <row r="1101" spans="3:6" ht="15" customHeight="1" x14ac:dyDescent="0.2">
      <c r="C1101" s="7"/>
      <c r="F1101" s="7"/>
    </row>
    <row r="1102" spans="3:6" ht="15" customHeight="1" x14ac:dyDescent="0.2">
      <c r="C1102" s="7"/>
      <c r="F1102" s="7"/>
    </row>
    <row r="1103" spans="3:6" ht="15" customHeight="1" x14ac:dyDescent="0.2">
      <c r="C1103" s="7"/>
      <c r="F1103" s="7"/>
    </row>
    <row r="1104" spans="3:6" ht="15" customHeight="1" x14ac:dyDescent="0.2">
      <c r="C1104" s="7"/>
      <c r="F1104" s="7"/>
    </row>
    <row r="1105" spans="3:6" ht="15" customHeight="1" x14ac:dyDescent="0.2">
      <c r="C1105" s="7"/>
      <c r="F1105" s="7"/>
    </row>
    <row r="1106" spans="3:6" ht="15" customHeight="1" x14ac:dyDescent="0.2">
      <c r="C1106" s="7"/>
      <c r="F1106" s="7"/>
    </row>
    <row r="1107" spans="3:6" ht="15" customHeight="1" x14ac:dyDescent="0.2">
      <c r="C1107" s="7"/>
      <c r="F1107" s="7"/>
    </row>
    <row r="1108" spans="3:6" ht="15" customHeight="1" x14ac:dyDescent="0.2">
      <c r="C1108" s="7"/>
      <c r="F1108" s="7"/>
    </row>
    <row r="1109" spans="3:6" ht="15" customHeight="1" x14ac:dyDescent="0.2">
      <c r="C1109" s="7"/>
      <c r="F1109" s="7"/>
    </row>
    <row r="1110" spans="3:6" ht="15" customHeight="1" x14ac:dyDescent="0.2">
      <c r="C1110" s="7"/>
      <c r="F1110" s="7"/>
    </row>
    <row r="1111" spans="3:6" ht="15" customHeight="1" x14ac:dyDescent="0.2">
      <c r="C1111" s="7"/>
      <c r="F1111" s="7"/>
    </row>
    <row r="1112" spans="3:6" ht="15" customHeight="1" x14ac:dyDescent="0.2">
      <c r="C1112" s="7"/>
      <c r="F1112" s="7"/>
    </row>
    <row r="1113" spans="3:6" ht="15" customHeight="1" x14ac:dyDescent="0.2">
      <c r="C1113" s="7"/>
      <c r="F1113" s="7"/>
    </row>
    <row r="1114" spans="3:6" ht="15" customHeight="1" x14ac:dyDescent="0.2">
      <c r="C1114" s="7"/>
      <c r="F1114" s="7"/>
    </row>
    <row r="1115" spans="3:6" ht="15" customHeight="1" x14ac:dyDescent="0.2">
      <c r="C1115" s="7"/>
      <c r="F1115" s="7"/>
    </row>
    <row r="1116" spans="3:6" ht="15" customHeight="1" x14ac:dyDescent="0.2">
      <c r="C1116" s="7"/>
      <c r="F1116" s="7"/>
    </row>
    <row r="1117" spans="3:6" ht="15" customHeight="1" x14ac:dyDescent="0.2">
      <c r="C1117" s="7"/>
      <c r="F1117" s="7"/>
    </row>
    <row r="1118" spans="3:6" ht="15" customHeight="1" x14ac:dyDescent="0.2">
      <c r="C1118" s="7"/>
      <c r="F1118" s="7"/>
    </row>
    <row r="1119" spans="3:6" ht="15" customHeight="1" x14ac:dyDescent="0.2">
      <c r="C1119" s="7"/>
      <c r="F1119" s="7"/>
    </row>
    <row r="1120" spans="3:6" ht="15" customHeight="1" x14ac:dyDescent="0.2">
      <c r="C1120" s="7"/>
      <c r="F1120" s="7"/>
    </row>
    <row r="1121" spans="3:6" ht="15" customHeight="1" x14ac:dyDescent="0.2">
      <c r="C1121" s="7"/>
      <c r="F1121" s="7"/>
    </row>
    <row r="1122" spans="3:6" ht="15" customHeight="1" x14ac:dyDescent="0.2">
      <c r="C1122" s="7"/>
      <c r="F1122" s="7"/>
    </row>
    <row r="1123" spans="3:6" ht="15" customHeight="1" x14ac:dyDescent="0.2">
      <c r="C1123" s="7"/>
      <c r="F1123" s="7"/>
    </row>
    <row r="1124" spans="3:6" ht="15" customHeight="1" x14ac:dyDescent="0.2">
      <c r="C1124" s="7"/>
      <c r="F1124" s="7"/>
    </row>
    <row r="1125" spans="3:6" ht="15" customHeight="1" x14ac:dyDescent="0.2">
      <c r="C1125" s="7"/>
      <c r="F1125" s="7"/>
    </row>
    <row r="1126" spans="3:6" ht="15" customHeight="1" x14ac:dyDescent="0.2">
      <c r="C1126" s="7"/>
      <c r="F1126" s="7"/>
    </row>
    <row r="1127" spans="3:6" ht="15" customHeight="1" x14ac:dyDescent="0.2">
      <c r="C1127" s="7"/>
      <c r="F1127" s="7"/>
    </row>
    <row r="1128" spans="3:6" ht="15" customHeight="1" x14ac:dyDescent="0.2">
      <c r="C1128" s="7"/>
      <c r="F1128" s="7"/>
    </row>
    <row r="1129" spans="3:6" ht="15" customHeight="1" x14ac:dyDescent="0.2">
      <c r="C1129" s="7"/>
      <c r="F1129" s="7"/>
    </row>
    <row r="1130" spans="3:6" ht="15" customHeight="1" x14ac:dyDescent="0.2">
      <c r="C1130" s="7"/>
      <c r="F1130" s="7"/>
    </row>
    <row r="1131" spans="3:6" ht="15" customHeight="1" x14ac:dyDescent="0.2">
      <c r="C1131" s="7"/>
      <c r="F1131" s="7"/>
    </row>
    <row r="1132" spans="3:6" ht="15" customHeight="1" x14ac:dyDescent="0.2">
      <c r="C1132" s="7"/>
      <c r="F1132" s="7"/>
    </row>
    <row r="1133" spans="3:6" ht="15" customHeight="1" x14ac:dyDescent="0.2">
      <c r="C1133" s="7"/>
      <c r="F1133" s="7"/>
    </row>
    <row r="1134" spans="3:6" ht="15" customHeight="1" x14ac:dyDescent="0.2">
      <c r="C1134" s="7"/>
      <c r="F1134" s="7"/>
    </row>
    <row r="1135" spans="3:6" ht="15" customHeight="1" x14ac:dyDescent="0.2">
      <c r="C1135" s="7"/>
      <c r="F1135" s="7"/>
    </row>
    <row r="1136" spans="3:6" ht="15" customHeight="1" x14ac:dyDescent="0.2">
      <c r="C1136" s="7"/>
      <c r="F1136" s="7"/>
    </row>
    <row r="1137" spans="3:6" ht="15" customHeight="1" x14ac:dyDescent="0.2">
      <c r="C1137" s="7"/>
      <c r="F1137" s="7"/>
    </row>
    <row r="1138" spans="3:6" ht="15" customHeight="1" x14ac:dyDescent="0.2">
      <c r="C1138" s="7"/>
      <c r="F1138" s="7"/>
    </row>
    <row r="1139" spans="3:6" ht="15" customHeight="1" x14ac:dyDescent="0.2">
      <c r="C1139" s="7"/>
      <c r="F1139" s="7"/>
    </row>
    <row r="1140" spans="3:6" ht="15" customHeight="1" x14ac:dyDescent="0.2">
      <c r="C1140" s="7"/>
      <c r="F1140" s="7"/>
    </row>
    <row r="1141" spans="3:6" ht="15" customHeight="1" x14ac:dyDescent="0.2">
      <c r="C1141" s="7"/>
      <c r="F1141" s="7"/>
    </row>
    <row r="1142" spans="3:6" ht="15" customHeight="1" x14ac:dyDescent="0.2">
      <c r="C1142" s="7"/>
      <c r="F1142" s="7"/>
    </row>
    <row r="1143" spans="3:6" ht="15" customHeight="1" x14ac:dyDescent="0.2">
      <c r="C1143" s="7"/>
      <c r="F1143" s="7"/>
    </row>
    <row r="1144" spans="3:6" ht="15" customHeight="1" x14ac:dyDescent="0.2">
      <c r="C1144" s="7"/>
      <c r="F1144" s="7"/>
    </row>
    <row r="1145" spans="3:6" ht="15" customHeight="1" x14ac:dyDescent="0.2">
      <c r="C1145" s="7"/>
      <c r="F1145" s="7"/>
    </row>
    <row r="1146" spans="3:6" ht="15" customHeight="1" x14ac:dyDescent="0.2">
      <c r="C1146" s="7"/>
      <c r="F1146" s="7"/>
    </row>
    <row r="1147" spans="3:6" ht="15" customHeight="1" x14ac:dyDescent="0.2">
      <c r="C1147" s="7"/>
      <c r="F1147" s="7"/>
    </row>
    <row r="1148" spans="3:6" ht="15" customHeight="1" x14ac:dyDescent="0.2">
      <c r="C1148" s="7"/>
      <c r="F1148" s="7"/>
    </row>
    <row r="1149" spans="3:6" ht="15" customHeight="1" x14ac:dyDescent="0.2">
      <c r="C1149" s="7"/>
      <c r="F1149" s="7"/>
    </row>
    <row r="1150" spans="3:6" ht="15" customHeight="1" x14ac:dyDescent="0.2">
      <c r="C1150" s="7"/>
      <c r="F1150" s="7"/>
    </row>
    <row r="1151" spans="3:6" ht="15" customHeight="1" x14ac:dyDescent="0.2">
      <c r="C1151" s="7"/>
      <c r="F1151" s="7"/>
    </row>
    <row r="1152" spans="3:6" ht="15" customHeight="1" x14ac:dyDescent="0.2">
      <c r="C1152" s="7"/>
      <c r="F1152" s="7"/>
    </row>
    <row r="1153" spans="3:6" ht="15" customHeight="1" x14ac:dyDescent="0.2">
      <c r="C1153" s="7"/>
      <c r="F1153" s="7"/>
    </row>
    <row r="1154" spans="3:6" ht="15" customHeight="1" x14ac:dyDescent="0.2">
      <c r="C1154" s="7"/>
      <c r="F1154" s="7"/>
    </row>
    <row r="1155" spans="3:6" ht="15" customHeight="1" x14ac:dyDescent="0.2">
      <c r="C1155" s="7"/>
      <c r="F1155" s="7"/>
    </row>
    <row r="1156" spans="3:6" ht="15" customHeight="1" x14ac:dyDescent="0.2">
      <c r="C1156" s="7"/>
      <c r="F1156" s="7"/>
    </row>
    <row r="1157" spans="3:6" ht="15" customHeight="1" x14ac:dyDescent="0.2">
      <c r="C1157" s="7"/>
      <c r="F1157" s="7"/>
    </row>
    <row r="1158" spans="3:6" ht="15" customHeight="1" x14ac:dyDescent="0.2">
      <c r="C1158" s="7"/>
      <c r="F1158" s="7"/>
    </row>
    <row r="1159" spans="3:6" ht="15" customHeight="1" x14ac:dyDescent="0.2">
      <c r="C1159" s="7"/>
      <c r="F1159" s="7"/>
    </row>
    <row r="1160" spans="3:6" ht="15" customHeight="1" x14ac:dyDescent="0.2">
      <c r="C1160" s="7"/>
      <c r="F1160" s="7"/>
    </row>
    <row r="1161" spans="3:6" ht="15" customHeight="1" x14ac:dyDescent="0.2">
      <c r="C1161" s="7"/>
      <c r="F1161" s="7"/>
    </row>
    <row r="1162" spans="3:6" ht="15" customHeight="1" x14ac:dyDescent="0.2">
      <c r="C1162" s="7"/>
      <c r="F1162" s="7"/>
    </row>
    <row r="1163" spans="3:6" ht="15" customHeight="1" x14ac:dyDescent="0.2">
      <c r="C1163" s="7"/>
      <c r="F1163" s="7"/>
    </row>
    <row r="1164" spans="3:6" ht="15" customHeight="1" x14ac:dyDescent="0.2">
      <c r="C1164" s="7"/>
      <c r="F1164" s="7"/>
    </row>
    <row r="1165" spans="3:6" ht="15" customHeight="1" x14ac:dyDescent="0.2">
      <c r="C1165" s="7"/>
      <c r="F1165" s="7"/>
    </row>
    <row r="1166" spans="3:6" ht="15" customHeight="1" x14ac:dyDescent="0.2">
      <c r="C1166" s="7"/>
      <c r="F1166" s="7"/>
    </row>
    <row r="1167" spans="3:6" ht="15" customHeight="1" x14ac:dyDescent="0.2">
      <c r="C1167" s="7"/>
      <c r="F1167" s="7"/>
    </row>
    <row r="1168" spans="3:6" ht="15" customHeight="1" x14ac:dyDescent="0.2">
      <c r="C1168" s="7"/>
      <c r="F1168" s="7"/>
    </row>
    <row r="1169" spans="3:6" ht="15" customHeight="1" x14ac:dyDescent="0.2">
      <c r="C1169" s="7"/>
      <c r="F1169" s="7"/>
    </row>
    <row r="1170" spans="3:6" ht="15" customHeight="1" x14ac:dyDescent="0.2">
      <c r="C1170" s="7"/>
      <c r="F1170" s="7"/>
    </row>
    <row r="1171" spans="3:6" ht="15" customHeight="1" x14ac:dyDescent="0.2">
      <c r="C1171" s="7"/>
      <c r="F1171" s="7"/>
    </row>
    <row r="1172" spans="3:6" ht="15" customHeight="1" x14ac:dyDescent="0.2">
      <c r="C1172" s="7"/>
      <c r="F1172" s="7"/>
    </row>
    <row r="1173" spans="3:6" ht="15" customHeight="1" x14ac:dyDescent="0.2">
      <c r="C1173" s="7"/>
      <c r="F1173" s="7"/>
    </row>
    <row r="1174" spans="3:6" ht="15" customHeight="1" x14ac:dyDescent="0.2">
      <c r="C1174" s="7"/>
      <c r="F1174" s="7"/>
    </row>
    <row r="1175" spans="3:6" ht="15" customHeight="1" x14ac:dyDescent="0.2">
      <c r="C1175" s="7"/>
      <c r="F1175" s="7"/>
    </row>
    <row r="1176" spans="3:6" ht="15" customHeight="1" x14ac:dyDescent="0.2">
      <c r="C1176" s="7"/>
      <c r="F1176" s="7"/>
    </row>
    <row r="1177" spans="3:6" ht="15" customHeight="1" x14ac:dyDescent="0.2">
      <c r="C1177" s="7"/>
      <c r="F1177" s="7"/>
    </row>
    <row r="1178" spans="3:6" ht="15" customHeight="1" x14ac:dyDescent="0.2">
      <c r="C1178" s="7"/>
      <c r="F1178" s="7"/>
    </row>
    <row r="1179" spans="3:6" ht="15" customHeight="1" x14ac:dyDescent="0.2">
      <c r="C1179" s="7"/>
      <c r="F1179" s="7"/>
    </row>
    <row r="1180" spans="3:6" ht="15" customHeight="1" x14ac:dyDescent="0.2">
      <c r="C1180" s="7"/>
      <c r="F1180" s="7"/>
    </row>
    <row r="1181" spans="3:6" ht="15" customHeight="1" x14ac:dyDescent="0.2">
      <c r="C1181" s="7"/>
      <c r="F1181" s="7"/>
    </row>
    <row r="1182" spans="3:6" ht="15" customHeight="1" x14ac:dyDescent="0.2">
      <c r="C1182" s="7"/>
      <c r="F1182" s="7"/>
    </row>
    <row r="1183" spans="3:6" ht="15" customHeight="1" x14ac:dyDescent="0.2">
      <c r="C1183" s="7"/>
      <c r="F1183" s="7"/>
    </row>
    <row r="1184" spans="3:6" ht="15" customHeight="1" x14ac:dyDescent="0.2">
      <c r="C1184" s="7"/>
      <c r="F1184" s="7"/>
    </row>
    <row r="1185" spans="3:6" ht="15" customHeight="1" x14ac:dyDescent="0.2">
      <c r="C1185" s="7"/>
      <c r="F1185" s="7"/>
    </row>
    <row r="1186" spans="3:6" ht="15" customHeight="1" x14ac:dyDescent="0.2">
      <c r="C1186" s="7"/>
      <c r="F1186" s="7"/>
    </row>
    <row r="1187" spans="3:6" ht="15" customHeight="1" x14ac:dyDescent="0.2">
      <c r="C1187" s="7"/>
      <c r="F1187" s="7"/>
    </row>
    <row r="1188" spans="3:6" ht="15" customHeight="1" x14ac:dyDescent="0.2">
      <c r="C1188" s="7"/>
      <c r="F1188" s="7"/>
    </row>
    <row r="1189" spans="3:6" ht="15" customHeight="1" x14ac:dyDescent="0.2">
      <c r="C1189" s="7"/>
      <c r="F1189" s="7"/>
    </row>
    <row r="1190" spans="3:6" ht="15" customHeight="1" x14ac:dyDescent="0.2">
      <c r="C1190" s="7"/>
      <c r="F1190" s="7"/>
    </row>
    <row r="1191" spans="3:6" ht="15" customHeight="1" x14ac:dyDescent="0.2">
      <c r="C1191" s="7"/>
      <c r="F1191" s="7"/>
    </row>
    <row r="1192" spans="3:6" ht="15" customHeight="1" x14ac:dyDescent="0.2">
      <c r="C1192" s="7"/>
      <c r="F1192" s="7"/>
    </row>
    <row r="1193" spans="3:6" ht="15" customHeight="1" x14ac:dyDescent="0.2">
      <c r="C1193" s="7"/>
      <c r="F1193" s="7"/>
    </row>
    <row r="1194" spans="3:6" ht="15" customHeight="1" x14ac:dyDescent="0.2">
      <c r="C1194" s="7"/>
      <c r="F1194" s="7"/>
    </row>
    <row r="1195" spans="3:6" ht="15" customHeight="1" x14ac:dyDescent="0.2">
      <c r="C1195" s="7"/>
      <c r="F1195" s="7"/>
    </row>
    <row r="1196" spans="3:6" ht="15" customHeight="1" x14ac:dyDescent="0.2">
      <c r="C1196" s="7"/>
      <c r="F1196" s="7"/>
    </row>
    <row r="1197" spans="3:6" ht="15" customHeight="1" x14ac:dyDescent="0.2">
      <c r="C1197" s="7"/>
      <c r="F1197" s="7"/>
    </row>
    <row r="1198" spans="3:6" ht="15" customHeight="1" x14ac:dyDescent="0.2">
      <c r="C1198" s="7"/>
      <c r="F1198" s="7"/>
    </row>
    <row r="1199" spans="3:6" ht="15" customHeight="1" x14ac:dyDescent="0.2">
      <c r="C1199" s="7"/>
      <c r="F1199" s="7"/>
    </row>
    <row r="1200" spans="3:6" ht="15" customHeight="1" x14ac:dyDescent="0.2">
      <c r="C1200" s="7"/>
      <c r="F1200" s="7"/>
    </row>
    <row r="1201" spans="3:6" ht="15" customHeight="1" x14ac:dyDescent="0.2">
      <c r="C1201" s="7"/>
      <c r="F1201" s="7"/>
    </row>
    <row r="1202" spans="3:6" ht="15" customHeight="1" x14ac:dyDescent="0.2">
      <c r="C1202" s="7"/>
      <c r="F1202" s="7"/>
    </row>
    <row r="1203" spans="3:6" ht="15" customHeight="1" x14ac:dyDescent="0.2">
      <c r="C1203" s="7"/>
      <c r="F1203" s="7"/>
    </row>
    <row r="1204" spans="3:6" ht="15" customHeight="1" x14ac:dyDescent="0.2">
      <c r="C1204" s="7"/>
      <c r="F1204" s="7"/>
    </row>
    <row r="1205" spans="3:6" ht="15" customHeight="1" x14ac:dyDescent="0.2">
      <c r="C1205" s="7"/>
      <c r="F1205" s="7"/>
    </row>
    <row r="1206" spans="3:6" ht="15" customHeight="1" x14ac:dyDescent="0.2">
      <c r="C1206" s="7"/>
      <c r="F1206" s="7"/>
    </row>
    <row r="1207" spans="3:6" ht="15" customHeight="1" x14ac:dyDescent="0.2">
      <c r="C1207" s="7"/>
      <c r="F1207" s="7"/>
    </row>
    <row r="1208" spans="3:6" ht="15" customHeight="1" x14ac:dyDescent="0.2">
      <c r="C1208" s="7"/>
      <c r="F1208" s="7"/>
    </row>
    <row r="1209" spans="3:6" ht="15" customHeight="1" x14ac:dyDescent="0.2">
      <c r="C1209" s="7"/>
      <c r="F1209" s="7"/>
    </row>
    <row r="1210" spans="3:6" ht="15" customHeight="1" x14ac:dyDescent="0.2">
      <c r="C1210" s="7"/>
      <c r="F1210" s="7"/>
    </row>
    <row r="1211" spans="3:6" ht="15" customHeight="1" x14ac:dyDescent="0.2">
      <c r="C1211" s="7"/>
      <c r="F1211" s="7"/>
    </row>
    <row r="1212" spans="3:6" ht="15" customHeight="1" x14ac:dyDescent="0.2">
      <c r="C1212" s="7"/>
      <c r="F1212" s="7"/>
    </row>
    <row r="1213" spans="3:6" ht="15" customHeight="1" x14ac:dyDescent="0.2">
      <c r="C1213" s="7"/>
      <c r="F1213" s="7"/>
    </row>
    <row r="1214" spans="3:6" ht="15" customHeight="1" x14ac:dyDescent="0.2">
      <c r="C1214" s="7"/>
      <c r="F1214" s="7"/>
    </row>
    <row r="1215" spans="3:6" ht="15" customHeight="1" x14ac:dyDescent="0.2">
      <c r="C1215" s="7"/>
      <c r="F1215" s="7"/>
    </row>
    <row r="1216" spans="3:6" ht="15" customHeight="1" x14ac:dyDescent="0.2">
      <c r="C1216" s="7"/>
      <c r="F1216" s="7"/>
    </row>
    <row r="1217" spans="3:6" ht="15" customHeight="1" x14ac:dyDescent="0.2">
      <c r="C1217" s="7"/>
      <c r="F1217" s="7"/>
    </row>
    <row r="1218" spans="3:6" ht="15" customHeight="1" x14ac:dyDescent="0.2">
      <c r="C1218" s="7"/>
      <c r="F1218" s="7"/>
    </row>
    <row r="1219" spans="3:6" ht="15" customHeight="1" x14ac:dyDescent="0.2">
      <c r="C1219" s="7"/>
      <c r="F1219" s="7"/>
    </row>
    <row r="1220" spans="3:6" ht="15" customHeight="1" x14ac:dyDescent="0.2">
      <c r="C1220" s="7"/>
      <c r="F1220" s="7"/>
    </row>
    <row r="1221" spans="3:6" ht="15" customHeight="1" x14ac:dyDescent="0.2">
      <c r="C1221" s="7"/>
      <c r="F1221" s="7"/>
    </row>
    <row r="1222" spans="3:6" ht="15" customHeight="1" x14ac:dyDescent="0.2">
      <c r="C1222" s="7"/>
      <c r="F1222" s="7"/>
    </row>
    <row r="1223" spans="3:6" ht="15" customHeight="1" x14ac:dyDescent="0.2">
      <c r="C1223" s="7"/>
      <c r="F1223" s="7"/>
    </row>
    <row r="1224" spans="3:6" ht="15" customHeight="1" x14ac:dyDescent="0.2">
      <c r="C1224" s="7"/>
      <c r="F1224" s="7"/>
    </row>
    <row r="1225" spans="3:6" ht="15" customHeight="1" x14ac:dyDescent="0.2">
      <c r="C1225" s="7"/>
      <c r="F1225" s="7"/>
    </row>
    <row r="1226" spans="3:6" ht="15" customHeight="1" x14ac:dyDescent="0.2">
      <c r="C1226" s="7"/>
      <c r="F1226" s="7"/>
    </row>
    <row r="1227" spans="3:6" ht="15" customHeight="1" x14ac:dyDescent="0.2">
      <c r="C1227" s="7"/>
      <c r="F1227" s="7"/>
    </row>
    <row r="1228" spans="3:6" ht="15" customHeight="1" x14ac:dyDescent="0.2">
      <c r="C1228" s="7"/>
      <c r="F1228" s="7"/>
    </row>
    <row r="1229" spans="3:6" ht="15" customHeight="1" x14ac:dyDescent="0.2">
      <c r="C1229" s="7"/>
      <c r="F1229" s="7"/>
    </row>
    <row r="1230" spans="3:6" ht="15" customHeight="1" x14ac:dyDescent="0.2">
      <c r="C1230" s="7"/>
      <c r="F1230" s="7"/>
    </row>
    <row r="1231" spans="3:6" ht="15" customHeight="1" x14ac:dyDescent="0.2">
      <c r="C1231" s="7"/>
      <c r="F1231" s="7"/>
    </row>
    <row r="1232" spans="3:6" ht="15" customHeight="1" x14ac:dyDescent="0.2">
      <c r="C1232" s="7"/>
      <c r="F1232" s="7"/>
    </row>
    <row r="1233" spans="3:6" ht="15" customHeight="1" x14ac:dyDescent="0.2">
      <c r="C1233" s="7"/>
      <c r="F1233" s="7"/>
    </row>
    <row r="1234" spans="3:6" ht="15" customHeight="1" x14ac:dyDescent="0.2">
      <c r="C1234" s="7"/>
      <c r="F1234" s="7"/>
    </row>
    <row r="1235" spans="3:6" ht="15" customHeight="1" x14ac:dyDescent="0.2">
      <c r="C1235" s="7"/>
      <c r="F1235" s="7"/>
    </row>
    <row r="1236" spans="3:6" ht="15" customHeight="1" x14ac:dyDescent="0.2">
      <c r="C1236" s="7"/>
      <c r="F1236" s="7"/>
    </row>
    <row r="1237" spans="3:6" ht="15" customHeight="1" x14ac:dyDescent="0.2">
      <c r="C1237" s="7"/>
      <c r="F1237" s="7"/>
    </row>
    <row r="1238" spans="3:6" ht="15" customHeight="1" x14ac:dyDescent="0.2">
      <c r="C1238" s="7"/>
      <c r="F1238" s="7"/>
    </row>
    <row r="1239" spans="3:6" ht="15" customHeight="1" x14ac:dyDescent="0.2">
      <c r="C1239" s="7"/>
      <c r="F1239" s="7"/>
    </row>
    <row r="1240" spans="3:6" ht="15" customHeight="1" x14ac:dyDescent="0.2">
      <c r="C1240" s="7"/>
      <c r="F1240" s="7"/>
    </row>
    <row r="1241" spans="3:6" ht="15" customHeight="1" x14ac:dyDescent="0.2">
      <c r="C1241" s="7"/>
      <c r="F1241" s="7"/>
    </row>
    <row r="1242" spans="3:6" ht="15" customHeight="1" x14ac:dyDescent="0.2">
      <c r="C1242" s="7"/>
      <c r="F1242" s="7"/>
    </row>
    <row r="1243" spans="3:6" ht="15" customHeight="1" x14ac:dyDescent="0.2">
      <c r="C1243" s="7"/>
      <c r="F1243" s="7"/>
    </row>
    <row r="1244" spans="3:6" ht="15" customHeight="1" x14ac:dyDescent="0.2">
      <c r="C1244" s="7"/>
      <c r="F1244" s="7"/>
    </row>
    <row r="1245" spans="3:6" ht="15" customHeight="1" x14ac:dyDescent="0.2">
      <c r="C1245" s="7"/>
      <c r="F1245" s="7"/>
    </row>
    <row r="1246" spans="3:6" ht="15" customHeight="1" x14ac:dyDescent="0.2">
      <c r="C1246" s="7"/>
      <c r="F1246" s="7"/>
    </row>
    <row r="1247" spans="3:6" ht="15" customHeight="1" x14ac:dyDescent="0.2">
      <c r="C1247" s="7"/>
      <c r="F1247" s="7"/>
    </row>
    <row r="1248" spans="3:6" ht="15" customHeight="1" x14ac:dyDescent="0.2">
      <c r="C1248" s="7"/>
      <c r="F1248" s="7"/>
    </row>
    <row r="1249" spans="3:6" ht="15" customHeight="1" x14ac:dyDescent="0.2">
      <c r="C1249" s="7"/>
      <c r="F1249" s="7"/>
    </row>
    <row r="1250" spans="3:6" ht="15" customHeight="1" x14ac:dyDescent="0.2">
      <c r="C1250" s="7"/>
      <c r="F1250" s="7"/>
    </row>
    <row r="1251" spans="3:6" ht="15" customHeight="1" x14ac:dyDescent="0.2">
      <c r="C1251" s="7"/>
      <c r="F1251" s="7"/>
    </row>
    <row r="1252" spans="3:6" ht="15" customHeight="1" x14ac:dyDescent="0.2">
      <c r="C1252" s="7"/>
      <c r="F1252" s="7"/>
    </row>
    <row r="1253" spans="3:6" ht="15" customHeight="1" x14ac:dyDescent="0.2">
      <c r="C1253" s="7"/>
      <c r="F1253" s="7"/>
    </row>
    <row r="1254" spans="3:6" ht="15" customHeight="1" x14ac:dyDescent="0.2">
      <c r="C1254" s="7"/>
      <c r="F1254" s="7"/>
    </row>
    <row r="1255" spans="3:6" ht="15" customHeight="1" x14ac:dyDescent="0.2">
      <c r="C1255" s="7"/>
      <c r="F1255" s="7"/>
    </row>
    <row r="1256" spans="3:6" ht="15" customHeight="1" x14ac:dyDescent="0.2">
      <c r="C1256" s="7"/>
      <c r="F1256" s="7"/>
    </row>
    <row r="1257" spans="3:6" ht="15" customHeight="1" x14ac:dyDescent="0.2">
      <c r="C1257" s="7"/>
      <c r="F1257" s="7"/>
    </row>
    <row r="1258" spans="3:6" ht="15" customHeight="1" x14ac:dyDescent="0.2">
      <c r="C1258" s="7"/>
      <c r="F1258" s="7"/>
    </row>
    <row r="1259" spans="3:6" ht="15" customHeight="1" x14ac:dyDescent="0.2">
      <c r="C1259" s="7"/>
      <c r="F1259" s="7"/>
    </row>
    <row r="1260" spans="3:6" ht="15" customHeight="1" x14ac:dyDescent="0.2">
      <c r="C1260" s="7"/>
      <c r="F1260" s="7"/>
    </row>
    <row r="1261" spans="3:6" ht="15" customHeight="1" x14ac:dyDescent="0.2">
      <c r="C1261" s="7"/>
      <c r="F1261" s="7"/>
    </row>
    <row r="1262" spans="3:6" ht="15" customHeight="1" x14ac:dyDescent="0.2">
      <c r="C1262" s="7"/>
      <c r="F1262" s="7"/>
    </row>
    <row r="1263" spans="3:6" ht="15" customHeight="1" x14ac:dyDescent="0.2">
      <c r="C1263" s="7"/>
      <c r="F1263" s="7"/>
    </row>
    <row r="1264" spans="3:6" ht="15" customHeight="1" x14ac:dyDescent="0.2">
      <c r="C1264" s="7"/>
      <c r="F1264" s="7"/>
    </row>
    <row r="1265" spans="3:6" ht="15" customHeight="1" x14ac:dyDescent="0.2">
      <c r="C1265" s="7"/>
      <c r="F1265" s="7"/>
    </row>
    <row r="1266" spans="3:6" ht="15" customHeight="1" x14ac:dyDescent="0.2">
      <c r="C1266" s="7"/>
      <c r="F1266" s="7"/>
    </row>
    <row r="1267" spans="3:6" ht="15" customHeight="1" x14ac:dyDescent="0.2">
      <c r="C1267" s="7"/>
      <c r="F1267" s="7"/>
    </row>
    <row r="1268" spans="3:6" ht="15" customHeight="1" x14ac:dyDescent="0.2">
      <c r="C1268" s="7"/>
      <c r="F1268" s="7"/>
    </row>
    <row r="1269" spans="3:6" ht="15" customHeight="1" x14ac:dyDescent="0.2">
      <c r="C1269" s="7"/>
      <c r="F1269" s="7"/>
    </row>
    <row r="1270" spans="3:6" ht="15" customHeight="1" x14ac:dyDescent="0.2">
      <c r="C1270" s="7"/>
      <c r="F1270" s="7"/>
    </row>
    <row r="1271" spans="3:6" ht="15" customHeight="1" x14ac:dyDescent="0.2">
      <c r="C1271" s="7"/>
      <c r="F1271" s="7"/>
    </row>
    <row r="1272" spans="3:6" ht="15" customHeight="1" x14ac:dyDescent="0.2">
      <c r="C1272" s="7"/>
      <c r="F1272" s="7"/>
    </row>
    <row r="1273" spans="3:6" ht="15" customHeight="1" x14ac:dyDescent="0.2">
      <c r="C1273" s="7"/>
      <c r="F1273" s="7"/>
    </row>
    <row r="1274" spans="3:6" ht="15" customHeight="1" x14ac:dyDescent="0.2">
      <c r="C1274" s="7"/>
      <c r="F1274" s="7"/>
    </row>
    <row r="1275" spans="3:6" ht="15" customHeight="1" x14ac:dyDescent="0.2">
      <c r="C1275" s="7"/>
      <c r="F1275" s="7"/>
    </row>
    <row r="1276" spans="3:6" ht="15" customHeight="1" x14ac:dyDescent="0.2">
      <c r="C1276" s="7"/>
      <c r="F1276" s="7"/>
    </row>
    <row r="1277" spans="3:6" ht="15" customHeight="1" x14ac:dyDescent="0.2">
      <c r="C1277" s="7"/>
      <c r="F1277" s="7"/>
    </row>
    <row r="1278" spans="3:6" ht="15" customHeight="1" x14ac:dyDescent="0.2">
      <c r="C1278" s="7"/>
      <c r="F1278" s="7"/>
    </row>
    <row r="1279" spans="3:6" ht="15" customHeight="1" x14ac:dyDescent="0.2">
      <c r="C1279" s="7"/>
      <c r="F1279" s="7"/>
    </row>
    <row r="1280" spans="3:6" ht="15" customHeight="1" x14ac:dyDescent="0.2">
      <c r="C1280" s="7"/>
      <c r="F1280" s="7"/>
    </row>
    <row r="1281" spans="3:6" ht="15" customHeight="1" x14ac:dyDescent="0.2">
      <c r="C1281" s="7"/>
      <c r="F1281" s="7"/>
    </row>
    <row r="1282" spans="3:6" ht="15" customHeight="1" x14ac:dyDescent="0.2">
      <c r="C1282" s="7"/>
      <c r="F1282" s="7"/>
    </row>
    <row r="1283" spans="3:6" ht="15" customHeight="1" x14ac:dyDescent="0.2">
      <c r="C1283" s="7"/>
      <c r="F1283" s="7"/>
    </row>
    <row r="1284" spans="3:6" ht="15" customHeight="1" x14ac:dyDescent="0.2">
      <c r="C1284" s="7"/>
      <c r="F1284" s="7"/>
    </row>
    <row r="1285" spans="3:6" ht="15" customHeight="1" x14ac:dyDescent="0.2">
      <c r="C1285" s="7"/>
      <c r="F1285" s="7"/>
    </row>
    <row r="1286" spans="3:6" ht="15" customHeight="1" x14ac:dyDescent="0.2">
      <c r="C1286" s="7"/>
      <c r="F1286" s="7"/>
    </row>
    <row r="1287" spans="3:6" ht="15" customHeight="1" x14ac:dyDescent="0.2">
      <c r="C1287" s="7"/>
      <c r="F1287" s="7"/>
    </row>
    <row r="1288" spans="3:6" ht="15" customHeight="1" x14ac:dyDescent="0.2">
      <c r="C1288" s="7"/>
      <c r="F1288" s="7"/>
    </row>
    <row r="1289" spans="3:6" ht="15" customHeight="1" x14ac:dyDescent="0.2">
      <c r="C1289" s="7"/>
      <c r="F1289" s="7"/>
    </row>
    <row r="1290" spans="3:6" ht="15" customHeight="1" x14ac:dyDescent="0.2">
      <c r="C1290" s="7"/>
      <c r="F1290" s="7"/>
    </row>
    <row r="1291" spans="3:6" ht="15" customHeight="1" x14ac:dyDescent="0.2">
      <c r="C1291" s="7"/>
      <c r="F1291" s="7"/>
    </row>
    <row r="1292" spans="3:6" ht="15" customHeight="1" x14ac:dyDescent="0.2">
      <c r="C1292" s="7"/>
      <c r="F1292" s="7"/>
    </row>
    <row r="1293" spans="3:6" ht="15" customHeight="1" x14ac:dyDescent="0.2">
      <c r="C1293" s="7"/>
      <c r="F1293" s="7"/>
    </row>
    <row r="1294" spans="3:6" ht="15" customHeight="1" x14ac:dyDescent="0.2">
      <c r="C1294" s="7"/>
      <c r="F1294" s="7"/>
    </row>
    <row r="1295" spans="3:6" ht="15" customHeight="1" x14ac:dyDescent="0.2">
      <c r="C1295" s="7"/>
      <c r="F1295" s="7"/>
    </row>
    <row r="1296" spans="3:6" ht="15" customHeight="1" x14ac:dyDescent="0.2">
      <c r="C1296" s="7"/>
      <c r="F1296" s="7"/>
    </row>
    <row r="1297" spans="3:6" ht="15" customHeight="1" x14ac:dyDescent="0.2">
      <c r="C1297" s="7"/>
      <c r="F1297" s="7"/>
    </row>
    <row r="1298" spans="3:6" ht="15" customHeight="1" x14ac:dyDescent="0.2">
      <c r="C1298" s="7"/>
      <c r="F1298" s="7"/>
    </row>
    <row r="1299" spans="3:6" ht="15" customHeight="1" x14ac:dyDescent="0.2">
      <c r="C1299" s="7"/>
      <c r="F1299" s="7"/>
    </row>
    <row r="1300" spans="3:6" ht="15" customHeight="1" x14ac:dyDescent="0.2">
      <c r="C1300" s="7"/>
      <c r="F1300" s="7"/>
    </row>
    <row r="1301" spans="3:6" ht="15" customHeight="1" x14ac:dyDescent="0.2">
      <c r="C1301" s="7"/>
      <c r="F1301" s="7"/>
    </row>
    <row r="1302" spans="3:6" ht="15" customHeight="1" x14ac:dyDescent="0.2">
      <c r="C1302" s="7"/>
      <c r="F1302" s="7"/>
    </row>
    <row r="1303" spans="3:6" ht="15" customHeight="1" x14ac:dyDescent="0.2">
      <c r="C1303" s="7"/>
      <c r="F1303" s="7"/>
    </row>
    <row r="1304" spans="3:6" ht="15" customHeight="1" x14ac:dyDescent="0.2">
      <c r="C1304" s="7"/>
      <c r="F1304" s="7"/>
    </row>
    <row r="1305" spans="3:6" ht="15" customHeight="1" x14ac:dyDescent="0.2">
      <c r="C1305" s="7"/>
      <c r="F1305" s="7"/>
    </row>
    <row r="1306" spans="3:6" ht="15" customHeight="1" x14ac:dyDescent="0.2">
      <c r="C1306" s="7"/>
      <c r="F1306" s="7"/>
    </row>
    <row r="1307" spans="3:6" ht="15" customHeight="1" x14ac:dyDescent="0.2">
      <c r="C1307" s="7"/>
      <c r="F1307" s="7"/>
    </row>
    <row r="1308" spans="3:6" ht="15" customHeight="1" x14ac:dyDescent="0.2">
      <c r="C1308" s="7"/>
      <c r="F1308" s="7"/>
    </row>
    <row r="1309" spans="3:6" ht="15" customHeight="1" x14ac:dyDescent="0.2">
      <c r="C1309" s="7"/>
      <c r="F1309" s="7"/>
    </row>
    <row r="1310" spans="3:6" ht="15" customHeight="1" x14ac:dyDescent="0.2">
      <c r="C1310" s="7"/>
      <c r="F1310" s="7"/>
    </row>
    <row r="1311" spans="3:6" ht="15" customHeight="1" x14ac:dyDescent="0.2">
      <c r="C1311" s="7"/>
      <c r="F1311" s="7"/>
    </row>
    <row r="1312" spans="3:6" ht="15" customHeight="1" x14ac:dyDescent="0.2">
      <c r="C1312" s="7"/>
      <c r="F1312" s="7"/>
    </row>
    <row r="1313" spans="3:6" ht="15" customHeight="1" x14ac:dyDescent="0.2">
      <c r="C1313" s="7"/>
      <c r="F1313" s="7"/>
    </row>
    <row r="1314" spans="3:6" ht="15" customHeight="1" x14ac:dyDescent="0.2">
      <c r="C1314" s="7"/>
      <c r="F1314" s="7"/>
    </row>
    <row r="1315" spans="3:6" ht="15" customHeight="1" x14ac:dyDescent="0.2">
      <c r="C1315" s="7"/>
      <c r="F1315" s="7"/>
    </row>
    <row r="1316" spans="3:6" ht="15" customHeight="1" x14ac:dyDescent="0.2">
      <c r="C1316" s="7"/>
      <c r="F1316" s="7"/>
    </row>
    <row r="1317" spans="3:6" ht="15" customHeight="1" x14ac:dyDescent="0.2">
      <c r="C1317" s="7"/>
      <c r="F1317" s="7"/>
    </row>
    <row r="1318" spans="3:6" ht="15" customHeight="1" x14ac:dyDescent="0.2">
      <c r="C1318" s="7"/>
      <c r="F1318" s="7"/>
    </row>
    <row r="1319" spans="3:6" ht="15" customHeight="1" x14ac:dyDescent="0.2">
      <c r="C1319" s="7"/>
      <c r="F1319" s="7"/>
    </row>
    <row r="1320" spans="3:6" ht="15" customHeight="1" x14ac:dyDescent="0.2">
      <c r="C1320" s="7"/>
      <c r="F1320" s="7"/>
    </row>
    <row r="1321" spans="3:6" ht="15" customHeight="1" x14ac:dyDescent="0.2">
      <c r="C1321" s="7"/>
      <c r="F1321" s="7"/>
    </row>
    <row r="1322" spans="3:6" ht="15" customHeight="1" x14ac:dyDescent="0.2">
      <c r="C1322" s="7"/>
      <c r="F1322" s="7"/>
    </row>
    <row r="1323" spans="3:6" ht="15" customHeight="1" x14ac:dyDescent="0.2">
      <c r="C1323" s="7"/>
      <c r="F1323" s="7"/>
    </row>
    <row r="1324" spans="3:6" ht="15" customHeight="1" x14ac:dyDescent="0.2">
      <c r="C1324" s="7"/>
      <c r="F1324" s="7"/>
    </row>
    <row r="1325" spans="3:6" ht="15" customHeight="1" x14ac:dyDescent="0.2">
      <c r="C1325" s="7"/>
      <c r="F1325" s="7"/>
    </row>
    <row r="1326" spans="3:6" ht="15" customHeight="1" x14ac:dyDescent="0.2">
      <c r="C1326" s="7"/>
      <c r="F1326" s="7"/>
    </row>
    <row r="1327" spans="3:6" ht="15" customHeight="1" x14ac:dyDescent="0.2">
      <c r="C1327" s="7"/>
      <c r="F1327" s="7"/>
    </row>
    <row r="1328" spans="3:6" ht="15" customHeight="1" x14ac:dyDescent="0.2">
      <c r="C1328" s="7"/>
      <c r="F1328" s="7"/>
    </row>
    <row r="1329" spans="3:6" ht="15" customHeight="1" x14ac:dyDescent="0.2">
      <c r="C1329" s="7"/>
      <c r="F1329" s="7"/>
    </row>
    <row r="1330" spans="3:6" ht="15" customHeight="1" x14ac:dyDescent="0.2">
      <c r="C1330" s="7"/>
      <c r="F1330" s="7"/>
    </row>
    <row r="1331" spans="3:6" ht="15" customHeight="1" x14ac:dyDescent="0.2">
      <c r="C1331" s="7"/>
      <c r="F1331" s="7"/>
    </row>
    <row r="1332" spans="3:6" ht="15" customHeight="1" x14ac:dyDescent="0.2">
      <c r="C1332" s="7"/>
      <c r="F1332" s="7"/>
    </row>
    <row r="1333" spans="3:6" ht="15" customHeight="1" x14ac:dyDescent="0.2">
      <c r="C1333" s="7"/>
      <c r="F1333" s="7"/>
    </row>
    <row r="1334" spans="3:6" ht="15" customHeight="1" x14ac:dyDescent="0.2">
      <c r="C1334" s="7"/>
      <c r="F1334" s="7"/>
    </row>
    <row r="1335" spans="3:6" ht="15" customHeight="1" x14ac:dyDescent="0.2">
      <c r="C1335" s="7"/>
      <c r="F1335" s="7"/>
    </row>
    <row r="1336" spans="3:6" ht="15" customHeight="1" x14ac:dyDescent="0.2">
      <c r="C1336" s="7"/>
      <c r="F1336" s="7"/>
    </row>
    <row r="1337" spans="3:6" ht="15" customHeight="1" x14ac:dyDescent="0.2">
      <c r="C1337" s="7"/>
      <c r="F1337" s="7"/>
    </row>
    <row r="1338" spans="3:6" ht="15" customHeight="1" x14ac:dyDescent="0.2">
      <c r="C1338" s="7"/>
      <c r="F1338" s="7"/>
    </row>
    <row r="1339" spans="3:6" ht="15" customHeight="1" x14ac:dyDescent="0.2">
      <c r="C1339" s="7"/>
      <c r="F1339" s="7"/>
    </row>
    <row r="1340" spans="3:6" ht="15" customHeight="1" x14ac:dyDescent="0.2">
      <c r="C1340" s="7"/>
      <c r="F1340" s="7"/>
    </row>
    <row r="1341" spans="3:6" ht="15" customHeight="1" x14ac:dyDescent="0.2">
      <c r="C1341" s="7"/>
      <c r="F1341" s="7"/>
    </row>
    <row r="1342" spans="3:6" ht="15" customHeight="1" x14ac:dyDescent="0.2">
      <c r="C1342" s="7"/>
      <c r="F1342" s="7"/>
    </row>
    <row r="1343" spans="3:6" ht="15" customHeight="1" x14ac:dyDescent="0.2">
      <c r="C1343" s="7"/>
      <c r="F1343" s="7"/>
    </row>
    <row r="1344" spans="3:6" ht="15" customHeight="1" x14ac:dyDescent="0.2">
      <c r="C1344" s="7"/>
      <c r="F1344" s="7"/>
    </row>
    <row r="1345" spans="3:6" ht="15" customHeight="1" x14ac:dyDescent="0.2">
      <c r="C1345" s="7"/>
      <c r="F1345" s="7"/>
    </row>
    <row r="1346" spans="3:6" ht="15" customHeight="1" x14ac:dyDescent="0.2">
      <c r="C1346" s="7"/>
      <c r="F1346" s="7"/>
    </row>
    <row r="1347" spans="3:6" ht="15" customHeight="1" x14ac:dyDescent="0.2">
      <c r="C1347" s="7"/>
      <c r="F1347" s="7"/>
    </row>
    <row r="1348" spans="3:6" ht="15" customHeight="1" x14ac:dyDescent="0.2">
      <c r="C1348" s="7"/>
      <c r="F1348" s="7"/>
    </row>
    <row r="1349" spans="3:6" ht="15" customHeight="1" x14ac:dyDescent="0.2">
      <c r="C1349" s="7"/>
      <c r="F1349" s="7"/>
    </row>
    <row r="1350" spans="3:6" ht="15" customHeight="1" x14ac:dyDescent="0.2">
      <c r="C1350" s="7"/>
      <c r="F1350" s="7"/>
    </row>
    <row r="1351" spans="3:6" ht="15" customHeight="1" x14ac:dyDescent="0.2">
      <c r="C1351" s="7"/>
      <c r="F1351" s="7"/>
    </row>
    <row r="1352" spans="3:6" ht="15" customHeight="1" x14ac:dyDescent="0.2">
      <c r="C1352" s="7"/>
      <c r="F1352" s="7"/>
    </row>
    <row r="1353" spans="3:6" ht="15" customHeight="1" x14ac:dyDescent="0.2">
      <c r="C1353" s="7"/>
      <c r="F1353" s="7"/>
    </row>
    <row r="1354" spans="3:6" ht="15" customHeight="1" x14ac:dyDescent="0.2">
      <c r="C1354" s="7"/>
      <c r="F1354" s="7"/>
    </row>
    <row r="1355" spans="3:6" ht="15" customHeight="1" x14ac:dyDescent="0.2">
      <c r="C1355" s="7"/>
      <c r="F1355" s="7"/>
    </row>
    <row r="1356" spans="3:6" ht="15" customHeight="1" x14ac:dyDescent="0.2">
      <c r="C1356" s="7"/>
      <c r="F1356" s="7"/>
    </row>
    <row r="1357" spans="3:6" ht="15" customHeight="1" x14ac:dyDescent="0.2">
      <c r="C1357" s="7"/>
      <c r="F1357" s="7"/>
    </row>
    <row r="1358" spans="3:6" ht="15" customHeight="1" x14ac:dyDescent="0.2">
      <c r="C1358" s="7"/>
      <c r="F1358" s="7"/>
    </row>
    <row r="1359" spans="3:6" ht="15" customHeight="1" x14ac:dyDescent="0.2">
      <c r="C1359" s="7"/>
      <c r="F1359" s="7"/>
    </row>
    <row r="1360" spans="3:6" ht="15" customHeight="1" x14ac:dyDescent="0.2">
      <c r="C1360" s="7"/>
      <c r="F1360" s="7"/>
    </row>
    <row r="1361" spans="3:6" ht="15" customHeight="1" x14ac:dyDescent="0.2">
      <c r="C1361" s="7"/>
      <c r="F1361" s="7"/>
    </row>
    <row r="1362" spans="3:6" ht="15" customHeight="1" x14ac:dyDescent="0.2">
      <c r="C1362" s="7"/>
      <c r="F1362" s="7"/>
    </row>
    <row r="1363" spans="3:6" ht="15" customHeight="1" x14ac:dyDescent="0.2">
      <c r="C1363" s="7"/>
      <c r="F1363" s="7"/>
    </row>
    <row r="1364" spans="3:6" ht="15" customHeight="1" x14ac:dyDescent="0.2">
      <c r="C1364" s="7"/>
      <c r="F1364" s="7"/>
    </row>
    <row r="1365" spans="3:6" ht="15" customHeight="1" x14ac:dyDescent="0.2">
      <c r="C1365" s="7"/>
      <c r="F1365" s="7"/>
    </row>
    <row r="1366" spans="3:6" ht="15" customHeight="1" x14ac:dyDescent="0.2">
      <c r="C1366" s="7"/>
      <c r="F1366" s="7"/>
    </row>
    <row r="1367" spans="3:6" ht="15" customHeight="1" x14ac:dyDescent="0.2">
      <c r="C1367" s="7"/>
      <c r="F1367" s="7"/>
    </row>
    <row r="1368" spans="3:6" ht="15" customHeight="1" x14ac:dyDescent="0.2">
      <c r="C1368" s="7"/>
      <c r="F1368" s="7"/>
    </row>
    <row r="1369" spans="3:6" ht="15" customHeight="1" x14ac:dyDescent="0.2">
      <c r="C1369" s="7"/>
      <c r="F1369" s="7"/>
    </row>
    <row r="1370" spans="3:6" ht="15" customHeight="1" x14ac:dyDescent="0.2">
      <c r="C1370" s="7"/>
      <c r="F1370" s="7"/>
    </row>
    <row r="1371" spans="3:6" ht="15" customHeight="1" x14ac:dyDescent="0.2">
      <c r="C1371" s="7"/>
      <c r="F1371" s="7"/>
    </row>
    <row r="1372" spans="3:6" ht="15" customHeight="1" x14ac:dyDescent="0.2">
      <c r="C1372" s="7"/>
      <c r="F1372" s="7"/>
    </row>
    <row r="1373" spans="3:6" ht="15" customHeight="1" x14ac:dyDescent="0.2">
      <c r="C1373" s="7"/>
      <c r="F1373" s="7"/>
    </row>
    <row r="1374" spans="3:6" ht="15" customHeight="1" x14ac:dyDescent="0.2">
      <c r="C1374" s="7"/>
      <c r="F1374" s="7"/>
    </row>
    <row r="1375" spans="3:6" ht="15" customHeight="1" x14ac:dyDescent="0.2">
      <c r="C1375" s="7"/>
      <c r="F1375" s="7"/>
    </row>
    <row r="1376" spans="3:6" ht="15" customHeight="1" x14ac:dyDescent="0.2">
      <c r="C1376" s="7"/>
      <c r="F1376" s="7"/>
    </row>
    <row r="1377" spans="3:6" ht="15" customHeight="1" x14ac:dyDescent="0.2">
      <c r="C1377" s="7"/>
      <c r="F1377" s="7"/>
    </row>
    <row r="1378" spans="3:6" ht="15" customHeight="1" x14ac:dyDescent="0.2">
      <c r="C1378" s="7"/>
      <c r="F1378" s="7"/>
    </row>
    <row r="1379" spans="3:6" ht="15" customHeight="1" x14ac:dyDescent="0.2">
      <c r="C1379" s="7"/>
      <c r="F1379" s="7"/>
    </row>
    <row r="1380" spans="3:6" ht="15" customHeight="1" x14ac:dyDescent="0.2">
      <c r="C1380" s="7"/>
      <c r="F1380" s="7"/>
    </row>
    <row r="1381" spans="3:6" ht="15" customHeight="1" x14ac:dyDescent="0.2">
      <c r="C1381" s="7"/>
      <c r="F1381" s="7"/>
    </row>
    <row r="1382" spans="3:6" ht="15" customHeight="1" x14ac:dyDescent="0.2">
      <c r="C1382" s="7"/>
      <c r="F1382" s="7"/>
    </row>
    <row r="1383" spans="3:6" ht="15" customHeight="1" x14ac:dyDescent="0.2">
      <c r="C1383" s="7"/>
      <c r="F1383" s="7"/>
    </row>
    <row r="1384" spans="3:6" ht="15" customHeight="1" x14ac:dyDescent="0.2">
      <c r="C1384" s="7"/>
      <c r="F1384" s="7"/>
    </row>
    <row r="1385" spans="3:6" ht="15" customHeight="1" x14ac:dyDescent="0.2">
      <c r="C1385" s="7"/>
      <c r="F1385" s="7"/>
    </row>
    <row r="1386" spans="3:6" ht="15" customHeight="1" x14ac:dyDescent="0.2">
      <c r="C1386" s="7"/>
      <c r="F1386" s="7"/>
    </row>
    <row r="1387" spans="3:6" ht="15" customHeight="1" x14ac:dyDescent="0.2">
      <c r="C1387" s="7"/>
      <c r="F1387" s="7"/>
    </row>
    <row r="1388" spans="3:6" ht="15" customHeight="1" x14ac:dyDescent="0.2">
      <c r="C1388" s="7"/>
      <c r="F1388" s="7"/>
    </row>
    <row r="1389" spans="3:6" ht="15" customHeight="1" x14ac:dyDescent="0.2">
      <c r="C1389" s="7"/>
      <c r="F1389" s="7"/>
    </row>
    <row r="1390" spans="3:6" ht="15" customHeight="1" x14ac:dyDescent="0.2">
      <c r="C1390" s="7"/>
      <c r="F1390" s="7"/>
    </row>
    <row r="1391" spans="3:6" ht="15" customHeight="1" x14ac:dyDescent="0.2">
      <c r="C1391" s="7"/>
      <c r="F1391" s="7"/>
    </row>
    <row r="1392" spans="3:6" ht="15" customHeight="1" x14ac:dyDescent="0.2">
      <c r="C1392" s="7"/>
      <c r="F1392" s="7"/>
    </row>
    <row r="1393" spans="3:6" ht="15" customHeight="1" x14ac:dyDescent="0.2">
      <c r="C1393" s="7"/>
      <c r="F1393" s="7"/>
    </row>
    <row r="1394" spans="3:6" ht="15" customHeight="1" x14ac:dyDescent="0.2">
      <c r="C1394" s="7"/>
      <c r="F1394" s="7"/>
    </row>
    <row r="1395" spans="3:6" ht="15" customHeight="1" x14ac:dyDescent="0.2">
      <c r="C1395" s="7"/>
      <c r="F1395" s="7"/>
    </row>
    <row r="1396" spans="3:6" ht="15" customHeight="1" x14ac:dyDescent="0.2">
      <c r="C1396" s="7"/>
      <c r="F1396" s="7"/>
    </row>
    <row r="1397" spans="3:6" ht="15" customHeight="1" x14ac:dyDescent="0.2">
      <c r="C1397" s="7"/>
      <c r="F1397" s="7"/>
    </row>
    <row r="1398" spans="3:6" ht="15" customHeight="1" x14ac:dyDescent="0.2">
      <c r="C1398" s="7"/>
      <c r="F1398" s="7"/>
    </row>
    <row r="1399" spans="3:6" ht="15" customHeight="1" x14ac:dyDescent="0.2">
      <c r="C1399" s="7"/>
      <c r="F1399" s="7"/>
    </row>
    <row r="1400" spans="3:6" ht="15" customHeight="1" x14ac:dyDescent="0.2">
      <c r="C1400" s="7"/>
      <c r="F1400" s="7"/>
    </row>
    <row r="1401" spans="3:6" ht="15" customHeight="1" x14ac:dyDescent="0.2">
      <c r="C1401" s="7"/>
      <c r="F1401" s="7"/>
    </row>
    <row r="1402" spans="3:6" ht="15" customHeight="1" x14ac:dyDescent="0.2">
      <c r="C1402" s="7"/>
      <c r="F1402" s="7"/>
    </row>
    <row r="1403" spans="3:6" ht="15" customHeight="1" x14ac:dyDescent="0.2">
      <c r="C1403" s="7"/>
      <c r="F1403" s="7"/>
    </row>
    <row r="1404" spans="3:6" ht="15" customHeight="1" x14ac:dyDescent="0.2">
      <c r="C1404" s="7"/>
      <c r="F1404" s="7"/>
    </row>
    <row r="1405" spans="3:6" ht="15" customHeight="1" x14ac:dyDescent="0.2">
      <c r="C1405" s="7"/>
      <c r="F1405" s="7"/>
    </row>
    <row r="1406" spans="3:6" ht="15" customHeight="1" x14ac:dyDescent="0.2">
      <c r="C1406" s="7"/>
      <c r="F1406" s="7"/>
    </row>
    <row r="1407" spans="3:6" ht="15" customHeight="1" x14ac:dyDescent="0.2">
      <c r="C1407" s="7"/>
      <c r="F1407" s="7"/>
    </row>
    <row r="1408" spans="3:6" ht="15" customHeight="1" x14ac:dyDescent="0.2">
      <c r="C1408" s="7"/>
      <c r="F1408" s="7"/>
    </row>
    <row r="1409" spans="3:6" ht="15" customHeight="1" x14ac:dyDescent="0.2">
      <c r="C1409" s="7"/>
      <c r="F1409" s="7"/>
    </row>
    <row r="1410" spans="3:6" ht="15" customHeight="1" x14ac:dyDescent="0.2">
      <c r="C1410" s="7"/>
      <c r="F1410" s="7"/>
    </row>
    <row r="1411" spans="3:6" ht="15" customHeight="1" x14ac:dyDescent="0.2">
      <c r="C1411" s="7"/>
      <c r="F1411" s="7"/>
    </row>
    <row r="1412" spans="3:6" ht="15" customHeight="1" x14ac:dyDescent="0.2">
      <c r="C1412" s="7"/>
      <c r="F1412" s="7"/>
    </row>
    <row r="1413" spans="3:6" ht="15" customHeight="1" x14ac:dyDescent="0.2">
      <c r="C1413" s="7"/>
      <c r="F1413" s="7"/>
    </row>
    <row r="1414" spans="3:6" ht="15" customHeight="1" x14ac:dyDescent="0.2">
      <c r="C1414" s="7"/>
      <c r="F1414" s="7"/>
    </row>
    <row r="1415" spans="3:6" ht="15" customHeight="1" x14ac:dyDescent="0.2">
      <c r="C1415" s="7"/>
      <c r="F1415" s="7"/>
    </row>
    <row r="1416" spans="3:6" ht="15" customHeight="1" x14ac:dyDescent="0.2">
      <c r="C1416" s="7"/>
      <c r="F1416" s="7"/>
    </row>
    <row r="1417" spans="3:6" ht="15" customHeight="1" x14ac:dyDescent="0.2">
      <c r="C1417" s="7"/>
      <c r="F1417" s="7"/>
    </row>
    <row r="1418" spans="3:6" ht="15" customHeight="1" x14ac:dyDescent="0.2">
      <c r="C1418" s="7"/>
      <c r="F1418" s="7"/>
    </row>
    <row r="1419" spans="3:6" ht="15" customHeight="1" x14ac:dyDescent="0.2">
      <c r="C1419" s="7"/>
      <c r="F1419" s="7"/>
    </row>
    <row r="1420" spans="3:6" ht="15" customHeight="1" x14ac:dyDescent="0.2">
      <c r="C1420" s="7"/>
      <c r="F1420" s="7"/>
    </row>
    <row r="1421" spans="3:6" ht="15" customHeight="1" x14ac:dyDescent="0.2">
      <c r="C1421" s="7"/>
      <c r="F1421" s="7"/>
    </row>
    <row r="1422" spans="3:6" ht="15" customHeight="1" x14ac:dyDescent="0.2">
      <c r="C1422" s="7"/>
      <c r="F1422" s="7"/>
    </row>
    <row r="1423" spans="3:6" ht="15" customHeight="1" x14ac:dyDescent="0.2">
      <c r="C1423" s="7"/>
      <c r="F1423" s="7"/>
    </row>
    <row r="1424" spans="3:6" ht="15" customHeight="1" x14ac:dyDescent="0.2">
      <c r="C1424" s="7"/>
      <c r="F1424" s="7"/>
    </row>
    <row r="1425" spans="3:6" ht="15" customHeight="1" x14ac:dyDescent="0.2">
      <c r="C1425" s="7"/>
      <c r="F1425" s="7"/>
    </row>
    <row r="1426" spans="3:6" ht="15" customHeight="1" x14ac:dyDescent="0.2">
      <c r="C1426" s="7"/>
      <c r="F1426" s="7"/>
    </row>
    <row r="1427" spans="3:6" ht="15" customHeight="1" x14ac:dyDescent="0.2">
      <c r="C1427" s="7"/>
      <c r="F1427" s="7"/>
    </row>
    <row r="1428" spans="3:6" ht="15" customHeight="1" x14ac:dyDescent="0.2">
      <c r="C1428" s="7"/>
      <c r="F1428" s="7"/>
    </row>
    <row r="1429" spans="3:6" ht="15" customHeight="1" x14ac:dyDescent="0.2">
      <c r="C1429" s="7"/>
      <c r="F1429" s="7"/>
    </row>
    <row r="1430" spans="3:6" ht="15" customHeight="1" x14ac:dyDescent="0.2">
      <c r="C1430" s="7"/>
      <c r="F1430" s="7"/>
    </row>
    <row r="1431" spans="3:6" ht="15" customHeight="1" x14ac:dyDescent="0.2">
      <c r="C1431" s="7"/>
      <c r="F1431" s="7"/>
    </row>
    <row r="1432" spans="3:6" ht="15" customHeight="1" x14ac:dyDescent="0.2">
      <c r="C1432" s="7"/>
      <c r="F1432" s="7"/>
    </row>
    <row r="1433" spans="3:6" ht="15" customHeight="1" x14ac:dyDescent="0.2">
      <c r="C1433" s="7"/>
      <c r="F1433" s="7"/>
    </row>
    <row r="1434" spans="3:6" ht="15" customHeight="1" x14ac:dyDescent="0.2">
      <c r="C1434" s="7"/>
      <c r="F1434" s="7"/>
    </row>
    <row r="1435" spans="3:6" ht="15" customHeight="1" x14ac:dyDescent="0.2">
      <c r="C1435" s="7"/>
      <c r="F1435" s="7"/>
    </row>
    <row r="1436" spans="3:6" ht="15" customHeight="1" x14ac:dyDescent="0.2">
      <c r="C1436" s="7"/>
      <c r="F1436" s="7"/>
    </row>
    <row r="1437" spans="3:6" ht="15" customHeight="1" x14ac:dyDescent="0.2">
      <c r="C1437" s="7"/>
      <c r="F1437" s="7"/>
    </row>
    <row r="1438" spans="3:6" ht="15" customHeight="1" x14ac:dyDescent="0.2">
      <c r="C1438" s="7"/>
      <c r="F1438" s="7"/>
    </row>
    <row r="1439" spans="3:6" ht="15" customHeight="1" x14ac:dyDescent="0.2">
      <c r="C1439" s="7"/>
      <c r="F1439" s="7"/>
    </row>
    <row r="1440" spans="3:6" ht="15" customHeight="1" x14ac:dyDescent="0.2">
      <c r="C1440" s="7"/>
      <c r="F1440" s="7"/>
    </row>
    <row r="1441" spans="3:6" ht="15" customHeight="1" x14ac:dyDescent="0.2">
      <c r="C1441" s="7"/>
      <c r="F1441" s="7"/>
    </row>
    <row r="1442" spans="3:6" ht="15" customHeight="1" x14ac:dyDescent="0.2">
      <c r="C1442" s="7"/>
      <c r="F1442" s="7"/>
    </row>
    <row r="1443" spans="3:6" ht="15" customHeight="1" x14ac:dyDescent="0.2">
      <c r="C1443" s="7"/>
      <c r="F1443" s="7"/>
    </row>
    <row r="1444" spans="3:6" ht="15" customHeight="1" x14ac:dyDescent="0.2">
      <c r="C1444" s="7"/>
      <c r="F1444" s="7"/>
    </row>
    <row r="1445" spans="3:6" ht="15" customHeight="1" x14ac:dyDescent="0.2">
      <c r="C1445" s="7"/>
      <c r="F1445" s="7"/>
    </row>
    <row r="1446" spans="3:6" ht="15" customHeight="1" x14ac:dyDescent="0.2">
      <c r="C1446" s="7"/>
      <c r="F1446" s="7"/>
    </row>
    <row r="1447" spans="3:6" ht="15" customHeight="1" x14ac:dyDescent="0.2">
      <c r="C1447" s="7"/>
      <c r="F1447" s="7"/>
    </row>
    <row r="1448" spans="3:6" ht="15" customHeight="1" x14ac:dyDescent="0.2">
      <c r="C1448" s="7"/>
      <c r="F1448" s="7"/>
    </row>
    <row r="1449" spans="3:6" ht="15" customHeight="1" x14ac:dyDescent="0.2">
      <c r="C1449" s="7"/>
      <c r="F1449" s="7"/>
    </row>
    <row r="1450" spans="3:6" ht="15" customHeight="1" x14ac:dyDescent="0.2">
      <c r="C1450" s="7"/>
      <c r="F1450" s="7"/>
    </row>
    <row r="1451" spans="3:6" ht="15" customHeight="1" x14ac:dyDescent="0.2">
      <c r="C1451" s="7"/>
      <c r="F1451" s="7"/>
    </row>
    <row r="1452" spans="3:6" ht="15" customHeight="1" x14ac:dyDescent="0.2">
      <c r="C1452" s="7"/>
      <c r="F1452" s="7"/>
    </row>
    <row r="1453" spans="3:6" ht="15" customHeight="1" x14ac:dyDescent="0.2">
      <c r="C1453" s="7"/>
      <c r="F1453" s="7"/>
    </row>
    <row r="1454" spans="3:6" ht="15" customHeight="1" x14ac:dyDescent="0.2">
      <c r="C1454" s="7"/>
      <c r="F1454" s="7"/>
    </row>
    <row r="1455" spans="3:6" ht="15" customHeight="1" x14ac:dyDescent="0.2">
      <c r="C1455" s="7"/>
      <c r="F1455" s="7"/>
    </row>
    <row r="1456" spans="3:6" ht="15" customHeight="1" x14ac:dyDescent="0.2">
      <c r="C1456" s="7"/>
      <c r="F1456" s="7"/>
    </row>
    <row r="1457" spans="3:6" ht="15" customHeight="1" x14ac:dyDescent="0.2">
      <c r="C1457" s="7"/>
      <c r="F1457" s="7"/>
    </row>
    <row r="1458" spans="3:6" ht="15" customHeight="1" x14ac:dyDescent="0.2">
      <c r="C1458" s="7"/>
      <c r="F1458" s="7"/>
    </row>
    <row r="1459" spans="3:6" ht="15" customHeight="1" x14ac:dyDescent="0.2">
      <c r="C1459" s="7"/>
      <c r="F1459" s="7"/>
    </row>
    <row r="1460" spans="3:6" ht="15" customHeight="1" x14ac:dyDescent="0.2">
      <c r="C1460" s="7"/>
      <c r="F1460" s="7"/>
    </row>
    <row r="1461" spans="3:6" ht="15" customHeight="1" x14ac:dyDescent="0.2">
      <c r="C1461" s="7"/>
      <c r="F1461" s="7"/>
    </row>
    <row r="1462" spans="3:6" ht="15" customHeight="1" x14ac:dyDescent="0.2">
      <c r="C1462" s="7"/>
      <c r="F1462" s="7"/>
    </row>
    <row r="1463" spans="3:6" ht="15" customHeight="1" x14ac:dyDescent="0.2">
      <c r="C1463" s="7"/>
      <c r="F1463" s="7"/>
    </row>
    <row r="1464" spans="3:6" ht="15" customHeight="1" x14ac:dyDescent="0.2">
      <c r="C1464" s="7"/>
      <c r="F1464" s="7"/>
    </row>
    <row r="1465" spans="3:6" ht="15" customHeight="1" x14ac:dyDescent="0.2">
      <c r="C1465" s="7"/>
      <c r="F1465" s="7"/>
    </row>
    <row r="1466" spans="3:6" ht="15" customHeight="1" x14ac:dyDescent="0.2">
      <c r="C1466" s="7"/>
      <c r="F1466" s="7"/>
    </row>
    <row r="1467" spans="3:6" ht="15" customHeight="1" x14ac:dyDescent="0.2">
      <c r="C1467" s="7"/>
      <c r="F1467" s="7"/>
    </row>
    <row r="1468" spans="3:6" ht="15" customHeight="1" x14ac:dyDescent="0.2">
      <c r="C1468" s="7"/>
      <c r="F1468" s="7"/>
    </row>
    <row r="1469" spans="3:6" ht="15" customHeight="1" x14ac:dyDescent="0.2">
      <c r="C1469" s="7"/>
      <c r="F1469" s="7"/>
    </row>
    <row r="1470" spans="3:6" ht="15" customHeight="1" x14ac:dyDescent="0.2">
      <c r="C1470" s="7"/>
      <c r="F1470" s="7"/>
    </row>
    <row r="1471" spans="3:6" ht="15" customHeight="1" x14ac:dyDescent="0.2">
      <c r="C1471" s="7"/>
      <c r="F1471" s="7"/>
    </row>
    <row r="1472" spans="3:6" ht="15" customHeight="1" x14ac:dyDescent="0.2">
      <c r="C1472" s="7"/>
      <c r="F1472" s="7"/>
    </row>
    <row r="1473" spans="3:6" ht="15" customHeight="1" x14ac:dyDescent="0.2">
      <c r="C1473" s="7"/>
      <c r="F1473" s="7"/>
    </row>
    <row r="1474" spans="3:6" ht="15" customHeight="1" x14ac:dyDescent="0.2">
      <c r="C1474" s="7"/>
      <c r="F1474" s="7"/>
    </row>
    <row r="1475" spans="3:6" ht="15" customHeight="1" x14ac:dyDescent="0.2">
      <c r="C1475" s="7"/>
      <c r="F1475" s="7"/>
    </row>
    <row r="1476" spans="3:6" ht="15" customHeight="1" x14ac:dyDescent="0.2">
      <c r="C1476" s="7"/>
      <c r="F1476" s="7"/>
    </row>
    <row r="1477" spans="3:6" ht="15" customHeight="1" x14ac:dyDescent="0.2">
      <c r="C1477" s="7"/>
      <c r="F1477" s="7"/>
    </row>
    <row r="1478" spans="3:6" ht="15" customHeight="1" x14ac:dyDescent="0.2">
      <c r="C1478" s="7"/>
      <c r="F1478" s="7"/>
    </row>
    <row r="1479" spans="3:6" ht="15" customHeight="1" x14ac:dyDescent="0.2">
      <c r="C1479" s="7"/>
      <c r="F1479" s="7"/>
    </row>
    <row r="1480" spans="3:6" ht="15" customHeight="1" x14ac:dyDescent="0.2">
      <c r="C1480" s="7"/>
      <c r="F1480" s="7"/>
    </row>
    <row r="1481" spans="3:6" ht="15" customHeight="1" x14ac:dyDescent="0.2">
      <c r="C1481" s="7"/>
      <c r="F1481" s="7"/>
    </row>
    <row r="1482" spans="3:6" ht="15" customHeight="1" x14ac:dyDescent="0.2">
      <c r="C1482" s="7"/>
      <c r="F1482" s="7"/>
    </row>
    <row r="1483" spans="3:6" ht="15" customHeight="1" x14ac:dyDescent="0.2">
      <c r="C1483" s="7"/>
      <c r="F1483" s="7"/>
    </row>
    <row r="1484" spans="3:6" ht="15" customHeight="1" x14ac:dyDescent="0.2">
      <c r="C1484" s="7"/>
      <c r="F1484" s="7"/>
    </row>
    <row r="1485" spans="3:6" ht="15" customHeight="1" x14ac:dyDescent="0.2">
      <c r="C1485" s="7"/>
      <c r="F1485" s="7"/>
    </row>
    <row r="1486" spans="3:6" ht="15" customHeight="1" x14ac:dyDescent="0.2">
      <c r="C1486" s="7"/>
      <c r="F1486" s="7"/>
    </row>
    <row r="1487" spans="3:6" ht="15" customHeight="1" x14ac:dyDescent="0.2">
      <c r="C1487" s="7"/>
      <c r="F1487" s="7"/>
    </row>
    <row r="1488" spans="3:6" ht="15" customHeight="1" x14ac:dyDescent="0.2">
      <c r="C1488" s="7"/>
      <c r="F1488" s="7"/>
    </row>
    <row r="1489" spans="3:6" ht="15" customHeight="1" x14ac:dyDescent="0.2">
      <c r="C1489" s="7"/>
      <c r="F1489" s="7"/>
    </row>
    <row r="1490" spans="3:6" ht="15" customHeight="1" x14ac:dyDescent="0.2">
      <c r="C1490" s="7"/>
      <c r="F1490" s="7"/>
    </row>
    <row r="1491" spans="3:6" ht="15" customHeight="1" x14ac:dyDescent="0.2">
      <c r="C1491" s="7"/>
      <c r="F1491" s="7"/>
    </row>
    <row r="1492" spans="3:6" ht="15" customHeight="1" x14ac:dyDescent="0.2">
      <c r="C1492" s="7"/>
      <c r="F1492" s="7"/>
    </row>
    <row r="1493" spans="3:6" ht="15" customHeight="1" x14ac:dyDescent="0.2">
      <c r="C1493" s="7"/>
      <c r="F1493" s="7"/>
    </row>
    <row r="1494" spans="3:6" ht="15" customHeight="1" x14ac:dyDescent="0.2">
      <c r="C1494" s="7"/>
      <c r="F1494" s="7"/>
    </row>
    <row r="1495" spans="3:6" ht="15" customHeight="1" x14ac:dyDescent="0.2">
      <c r="C1495" s="7"/>
      <c r="F1495" s="7"/>
    </row>
    <row r="1496" spans="3:6" ht="15" customHeight="1" x14ac:dyDescent="0.2">
      <c r="C1496" s="7"/>
      <c r="F1496" s="7"/>
    </row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08"/>
  <sheetViews>
    <sheetView tabSelected="1" workbookViewId="0">
      <selection activeCell="N21" sqref="N21"/>
    </sheetView>
  </sheetViews>
  <sheetFormatPr defaultColWidth="12.5703125" defaultRowHeight="15" customHeight="1" x14ac:dyDescent="0.2"/>
  <cols>
    <col min="1" max="26" width="11.42578125" customWidth="1"/>
  </cols>
  <sheetData>
    <row r="1" spans="1:13" ht="12.75" customHeight="1" x14ac:dyDescent="0.2">
      <c r="A1" s="1" t="s">
        <v>74</v>
      </c>
    </row>
    <row r="2" spans="1:13" ht="12.75" customHeight="1" x14ac:dyDescent="0.2"/>
    <row r="3" spans="1:13" ht="12.75" customHeight="1" x14ac:dyDescent="0.2">
      <c r="A3" s="1" t="s">
        <v>97</v>
      </c>
      <c r="B3" t="str">
        <f>'Premium summary'!B3</f>
        <v>GG Specialty Insurance Company</v>
      </c>
    </row>
    <row r="4" spans="1:13" ht="12.75" customHeight="1" x14ac:dyDescent="0.2">
      <c r="A4" s="1" t="s">
        <v>29</v>
      </c>
      <c r="B4" t="str">
        <f>'Premium summary'!B4</f>
        <v>Energy QS</v>
      </c>
    </row>
    <row r="5" spans="1:13" ht="12.75" customHeight="1" x14ac:dyDescent="0.2">
      <c r="A5" s="1" t="s">
        <v>30</v>
      </c>
      <c r="B5" s="5">
        <f>'Premium summary'!B5</f>
        <v>45748</v>
      </c>
    </row>
    <row r="6" spans="1:13" ht="12.75" customHeight="1" x14ac:dyDescent="0.2">
      <c r="A6" s="1" t="s">
        <v>41</v>
      </c>
      <c r="B6" s="5">
        <f>'Rate change'!B6</f>
        <v>45626</v>
      </c>
    </row>
    <row r="7" spans="1:13" ht="12.75" customHeight="1" x14ac:dyDescent="0.2">
      <c r="A7" s="1" t="s">
        <v>51</v>
      </c>
      <c r="B7" s="1" t="s">
        <v>52</v>
      </c>
    </row>
    <row r="8" spans="1:13" ht="12.75" customHeight="1" x14ac:dyDescent="0.2"/>
    <row r="9" spans="1:13" ht="12.75" customHeight="1" x14ac:dyDescent="0.2">
      <c r="A9" s="1" t="s">
        <v>6329</v>
      </c>
    </row>
    <row r="10" spans="1:13" ht="12.75" customHeight="1" x14ac:dyDescent="0.2"/>
    <row r="11" spans="1:13" ht="12.75" customHeight="1" x14ac:dyDescent="0.2">
      <c r="A11" s="1" t="s">
        <v>53</v>
      </c>
    </row>
    <row r="12" spans="1:13" ht="12.75" customHeight="1" x14ac:dyDescent="0.2">
      <c r="A12" s="1" t="s">
        <v>6330</v>
      </c>
    </row>
    <row r="13" spans="1:13" ht="12.75" customHeight="1" x14ac:dyDescent="0.2"/>
    <row r="14" spans="1:13" ht="12.75" customHeight="1" x14ac:dyDescent="0.2">
      <c r="A14" s="1" t="s">
        <v>88</v>
      </c>
    </row>
    <row r="15" spans="1:13" ht="12.75" customHeight="1" x14ac:dyDescent="0.2">
      <c r="A15" s="1" t="s">
        <v>77</v>
      </c>
      <c r="B15" s="1" t="s">
        <v>89</v>
      </c>
      <c r="C15" s="1">
        <v>12</v>
      </c>
      <c r="D15" s="1">
        <f t="shared" ref="D15:I15" si="0">C15+12</f>
        <v>24</v>
      </c>
      <c r="E15" s="1">
        <f t="shared" si="0"/>
        <v>36</v>
      </c>
      <c r="F15" s="1">
        <f t="shared" si="0"/>
        <v>48</v>
      </c>
      <c r="G15" s="1">
        <f t="shared" si="0"/>
        <v>60</v>
      </c>
      <c r="H15" s="1">
        <f t="shared" si="0"/>
        <v>72</v>
      </c>
      <c r="I15" s="1">
        <f t="shared" si="0"/>
        <v>84</v>
      </c>
      <c r="J15" s="1">
        <f t="shared" ref="J15" si="1">I15+12</f>
        <v>96</v>
      </c>
      <c r="K15" s="1">
        <f t="shared" ref="K15" si="2">J15+12</f>
        <v>108</v>
      </c>
      <c r="L15" s="1">
        <f t="shared" ref="L15" si="3">K15+12</f>
        <v>120</v>
      </c>
      <c r="M15" s="1">
        <f t="shared" ref="M15" si="4">L15+12</f>
        <v>132</v>
      </c>
    </row>
    <row r="16" spans="1:13" ht="12.75" customHeight="1" x14ac:dyDescent="0.2">
      <c r="A16" s="1">
        <v>2014</v>
      </c>
      <c r="B16" s="12">
        <f>B32</f>
        <v>11660200</v>
      </c>
      <c r="C16" s="9">
        <f>C32+C48</f>
        <v>2977278.1</v>
      </c>
      <c r="D16" s="9">
        <f t="shared" ref="D16:M16" si="5">D32+D48</f>
        <v>18341216</v>
      </c>
      <c r="E16" s="9">
        <f t="shared" si="5"/>
        <v>21882730</v>
      </c>
      <c r="F16" s="9">
        <f t="shared" si="5"/>
        <v>22608879</v>
      </c>
      <c r="G16" s="9">
        <f t="shared" si="5"/>
        <v>22647241</v>
      </c>
      <c r="H16" s="9">
        <f t="shared" si="5"/>
        <v>22656846</v>
      </c>
      <c r="I16" s="9">
        <f t="shared" si="5"/>
        <v>22785361</v>
      </c>
      <c r="J16" s="9">
        <f t="shared" si="5"/>
        <v>22905307</v>
      </c>
      <c r="K16" s="9">
        <f t="shared" si="5"/>
        <v>22928039</v>
      </c>
      <c r="L16" s="9">
        <f t="shared" si="5"/>
        <v>22933666</v>
      </c>
      <c r="M16" s="9">
        <f t="shared" si="5"/>
        <v>22937800</v>
      </c>
    </row>
    <row r="17" spans="1:15" ht="12.75" customHeight="1" x14ac:dyDescent="0.2">
      <c r="A17" s="1">
        <f t="shared" ref="A17" si="6">A16+1</f>
        <v>2015</v>
      </c>
      <c r="B17" s="12">
        <f t="shared" ref="B17:B26" si="7">B33</f>
        <v>26518600.049999997</v>
      </c>
      <c r="C17" s="9">
        <f t="shared" ref="C17:M17" si="8">C33+C49</f>
        <v>5150628.0999999996</v>
      </c>
      <c r="D17" s="9">
        <f t="shared" si="8"/>
        <v>12451707</v>
      </c>
      <c r="E17" s="9">
        <f t="shared" si="8"/>
        <v>15235419</v>
      </c>
      <c r="F17" s="9">
        <f t="shared" si="8"/>
        <v>15616094</v>
      </c>
      <c r="G17" s="9">
        <f t="shared" si="8"/>
        <v>16633796</v>
      </c>
      <c r="H17" s="9">
        <f t="shared" si="8"/>
        <v>16985081</v>
      </c>
      <c r="I17" s="9">
        <f t="shared" si="8"/>
        <v>19388087</v>
      </c>
      <c r="J17" s="9">
        <f t="shared" si="8"/>
        <v>19581588</v>
      </c>
      <c r="K17" s="9">
        <f t="shared" si="8"/>
        <v>19662627</v>
      </c>
      <c r="L17" s="9">
        <f t="shared" si="8"/>
        <v>19668052</v>
      </c>
      <c r="M17" s="9">
        <f t="shared" si="8"/>
        <v>0</v>
      </c>
    </row>
    <row r="18" spans="1:15" ht="12.75" customHeight="1" x14ac:dyDescent="0.2">
      <c r="A18" s="1">
        <f>A17+1</f>
        <v>2016</v>
      </c>
      <c r="B18" s="12">
        <f t="shared" si="7"/>
        <v>35172529.200000003</v>
      </c>
      <c r="C18" s="9">
        <f t="shared" ref="C18:M18" si="9">C34+C50</f>
        <v>7167060.9000000004</v>
      </c>
      <c r="D18" s="9">
        <f t="shared" si="9"/>
        <v>28243851</v>
      </c>
      <c r="E18" s="9">
        <f t="shared" si="9"/>
        <v>38129918</v>
      </c>
      <c r="F18" s="9">
        <f t="shared" si="9"/>
        <v>41675155</v>
      </c>
      <c r="G18" s="9">
        <f t="shared" si="9"/>
        <v>43355723</v>
      </c>
      <c r="H18" s="9">
        <f t="shared" si="9"/>
        <v>44069032</v>
      </c>
      <c r="I18" s="9">
        <f t="shared" si="9"/>
        <v>44106375</v>
      </c>
      <c r="J18" s="9">
        <f t="shared" si="9"/>
        <v>44111432</v>
      </c>
      <c r="K18" s="9">
        <f t="shared" si="9"/>
        <v>44111748</v>
      </c>
      <c r="L18" s="9">
        <f t="shared" si="9"/>
        <v>0</v>
      </c>
      <c r="M18" s="9">
        <f t="shared" si="9"/>
        <v>0</v>
      </c>
    </row>
    <row r="19" spans="1:15" ht="12.75" customHeight="1" x14ac:dyDescent="0.2">
      <c r="A19" s="1">
        <f>A18+1</f>
        <v>2017</v>
      </c>
      <c r="B19" s="12">
        <f t="shared" si="7"/>
        <v>42677754</v>
      </c>
      <c r="C19" s="9">
        <f t="shared" ref="C19:M19" si="10">C35+C51</f>
        <v>6550215</v>
      </c>
      <c r="D19" s="9">
        <f t="shared" si="10"/>
        <v>20027920</v>
      </c>
      <c r="E19" s="9">
        <f t="shared" si="10"/>
        <v>26834375</v>
      </c>
      <c r="F19" s="9">
        <f t="shared" si="10"/>
        <v>29267924</v>
      </c>
      <c r="G19" s="9">
        <f t="shared" si="10"/>
        <v>30300771</v>
      </c>
      <c r="H19" s="9">
        <f t="shared" si="10"/>
        <v>31172570</v>
      </c>
      <c r="I19" s="9">
        <f t="shared" si="10"/>
        <v>31356250</v>
      </c>
      <c r="J19" s="9">
        <f t="shared" si="10"/>
        <v>31371696</v>
      </c>
      <c r="K19" s="9">
        <f t="shared" si="10"/>
        <v>0</v>
      </c>
      <c r="L19" s="9">
        <f t="shared" si="10"/>
        <v>0</v>
      </c>
      <c r="M19" s="9">
        <f t="shared" si="10"/>
        <v>0</v>
      </c>
    </row>
    <row r="20" spans="1:15" ht="12.75" customHeight="1" x14ac:dyDescent="0.2">
      <c r="A20" s="1">
        <f>A19+1</f>
        <v>2018</v>
      </c>
      <c r="B20" s="12">
        <f t="shared" si="7"/>
        <v>44948639</v>
      </c>
      <c r="C20" s="9">
        <f t="shared" ref="C20:M20" si="11">C36+C52</f>
        <v>13225155.199999999</v>
      </c>
      <c r="D20" s="9">
        <f t="shared" si="11"/>
        <v>24506305</v>
      </c>
      <c r="E20" s="9">
        <f t="shared" si="11"/>
        <v>31264908</v>
      </c>
      <c r="F20" s="9">
        <f t="shared" si="11"/>
        <v>31579501</v>
      </c>
      <c r="G20" s="9">
        <f t="shared" si="11"/>
        <v>32758857</v>
      </c>
      <c r="H20" s="9">
        <f t="shared" si="11"/>
        <v>32961891</v>
      </c>
      <c r="I20" s="9">
        <f t="shared" si="11"/>
        <v>36004820</v>
      </c>
      <c r="J20" s="9">
        <f t="shared" si="11"/>
        <v>0</v>
      </c>
      <c r="K20" s="9">
        <f t="shared" si="11"/>
        <v>0</v>
      </c>
      <c r="L20" s="9">
        <f t="shared" si="11"/>
        <v>0</v>
      </c>
      <c r="M20" s="9">
        <f t="shared" si="11"/>
        <v>0</v>
      </c>
    </row>
    <row r="21" spans="1:15" ht="12.75" customHeight="1" x14ac:dyDescent="0.2">
      <c r="A21" s="1">
        <f>A20+1</f>
        <v>2019</v>
      </c>
      <c r="B21" s="12">
        <f t="shared" si="7"/>
        <v>52020456</v>
      </c>
      <c r="C21" s="9">
        <f t="shared" ref="C21:M21" si="12">C37+C53</f>
        <v>10310486.199999999</v>
      </c>
      <c r="D21" s="9">
        <f t="shared" si="12"/>
        <v>25216963</v>
      </c>
      <c r="E21" s="9">
        <f t="shared" si="12"/>
        <v>49518616</v>
      </c>
      <c r="F21" s="9">
        <f t="shared" si="12"/>
        <v>51320704</v>
      </c>
      <c r="G21" s="9">
        <f t="shared" si="12"/>
        <v>52545638</v>
      </c>
      <c r="H21" s="9">
        <f t="shared" si="12"/>
        <v>53303232</v>
      </c>
      <c r="I21" s="9">
        <f t="shared" si="12"/>
        <v>0</v>
      </c>
      <c r="J21" s="9">
        <f t="shared" si="12"/>
        <v>0</v>
      </c>
      <c r="K21" s="9">
        <f t="shared" si="12"/>
        <v>0</v>
      </c>
      <c r="L21" s="9">
        <f t="shared" si="12"/>
        <v>0</v>
      </c>
      <c r="M21" s="9">
        <f t="shared" si="12"/>
        <v>0</v>
      </c>
    </row>
    <row r="22" spans="1:15" ht="12.75" customHeight="1" x14ac:dyDescent="0.2">
      <c r="A22" s="1">
        <f>A21+1</f>
        <v>2020</v>
      </c>
      <c r="B22" s="12">
        <f t="shared" si="7"/>
        <v>57346947</v>
      </c>
      <c r="C22" s="9">
        <f t="shared" ref="C22:M22" si="13">C38+C54</f>
        <v>8438856.9000000004</v>
      </c>
      <c r="D22" s="9">
        <f t="shared" si="13"/>
        <v>18576307</v>
      </c>
      <c r="E22" s="9">
        <f t="shared" si="13"/>
        <v>24035367</v>
      </c>
      <c r="F22" s="9">
        <f t="shared" si="13"/>
        <v>25961481.559999999</v>
      </c>
      <c r="G22" s="9">
        <f t="shared" si="13"/>
        <v>26135043</v>
      </c>
      <c r="H22" s="9">
        <f t="shared" si="13"/>
        <v>0</v>
      </c>
      <c r="I22" s="9">
        <f t="shared" si="13"/>
        <v>0</v>
      </c>
      <c r="J22" s="9">
        <f t="shared" si="13"/>
        <v>0</v>
      </c>
      <c r="K22" s="9">
        <f t="shared" si="13"/>
        <v>0</v>
      </c>
      <c r="L22" s="9">
        <f t="shared" si="13"/>
        <v>0</v>
      </c>
      <c r="M22" s="9">
        <f t="shared" si="13"/>
        <v>0</v>
      </c>
    </row>
    <row r="23" spans="1:15" ht="12.75" customHeight="1" x14ac:dyDescent="0.2">
      <c r="A23" s="1">
        <f t="shared" ref="A23:A25" si="14">A22+1</f>
        <v>2021</v>
      </c>
      <c r="B23" s="12">
        <f t="shared" si="7"/>
        <v>61880642</v>
      </c>
      <c r="C23" s="9">
        <f t="shared" ref="C23:M23" si="15">C39+C55</f>
        <v>4995927.5999999996</v>
      </c>
      <c r="D23" s="9">
        <f t="shared" si="15"/>
        <v>17514418</v>
      </c>
      <c r="E23" s="9">
        <f t="shared" si="15"/>
        <v>23253458.699999999</v>
      </c>
      <c r="F23" s="9">
        <f t="shared" si="15"/>
        <v>28609883</v>
      </c>
      <c r="G23" s="9">
        <f t="shared" si="15"/>
        <v>0</v>
      </c>
      <c r="H23" s="9">
        <f t="shared" si="15"/>
        <v>0</v>
      </c>
      <c r="I23" s="9">
        <f t="shared" si="15"/>
        <v>0</v>
      </c>
      <c r="J23" s="9">
        <f t="shared" si="15"/>
        <v>0</v>
      </c>
      <c r="K23" s="9">
        <f t="shared" si="15"/>
        <v>0</v>
      </c>
      <c r="L23" s="9">
        <f t="shared" si="15"/>
        <v>0</v>
      </c>
      <c r="M23" s="9">
        <f t="shared" si="15"/>
        <v>0</v>
      </c>
    </row>
    <row r="24" spans="1:15" ht="12.75" customHeight="1" x14ac:dyDescent="0.2">
      <c r="A24" s="1">
        <f t="shared" si="14"/>
        <v>2022</v>
      </c>
      <c r="B24" s="12">
        <f t="shared" si="7"/>
        <v>68718551</v>
      </c>
      <c r="C24" s="9">
        <f t="shared" ref="C24:M24" si="16">C40+C56</f>
        <v>11215969.300000001</v>
      </c>
      <c r="D24" s="9">
        <f t="shared" si="16"/>
        <v>36134222.299999997</v>
      </c>
      <c r="E24" s="9">
        <f t="shared" si="16"/>
        <v>40712041</v>
      </c>
      <c r="F24" s="9">
        <f t="shared" si="16"/>
        <v>0</v>
      </c>
      <c r="G24" s="9">
        <f t="shared" si="16"/>
        <v>0</v>
      </c>
      <c r="H24" s="9">
        <f t="shared" si="16"/>
        <v>0</v>
      </c>
      <c r="I24" s="9">
        <f t="shared" si="16"/>
        <v>0</v>
      </c>
      <c r="J24" s="9">
        <f t="shared" si="16"/>
        <v>0</v>
      </c>
      <c r="K24" s="9">
        <f t="shared" si="16"/>
        <v>0</v>
      </c>
      <c r="L24" s="9">
        <f t="shared" si="16"/>
        <v>0</v>
      </c>
      <c r="M24" s="9">
        <f t="shared" si="16"/>
        <v>0</v>
      </c>
    </row>
    <row r="25" spans="1:15" ht="12.75" customHeight="1" x14ac:dyDescent="0.2">
      <c r="A25" s="1">
        <f t="shared" si="14"/>
        <v>2023</v>
      </c>
      <c r="B25" s="12">
        <f t="shared" si="7"/>
        <v>74237910</v>
      </c>
      <c r="C25" s="9">
        <f t="shared" ref="C25:M25" si="17">C41+C57</f>
        <v>17691485.899999999</v>
      </c>
      <c r="D25" s="9">
        <f t="shared" si="17"/>
        <v>33986020</v>
      </c>
      <c r="E25" s="9">
        <f t="shared" si="17"/>
        <v>0</v>
      </c>
      <c r="F25" s="9">
        <f t="shared" si="17"/>
        <v>0</v>
      </c>
      <c r="G25" s="9">
        <f t="shared" si="17"/>
        <v>0</v>
      </c>
      <c r="H25" s="9">
        <f t="shared" si="17"/>
        <v>0</v>
      </c>
      <c r="I25" s="9">
        <f t="shared" si="17"/>
        <v>0</v>
      </c>
      <c r="J25" s="9">
        <f t="shared" si="17"/>
        <v>0</v>
      </c>
      <c r="K25" s="9">
        <f t="shared" si="17"/>
        <v>0</v>
      </c>
      <c r="L25" s="9">
        <f t="shared" si="17"/>
        <v>0</v>
      </c>
      <c r="M25" s="9">
        <f t="shared" si="17"/>
        <v>0</v>
      </c>
    </row>
    <row r="26" spans="1:15" ht="12.75" customHeight="1" x14ac:dyDescent="0.2">
      <c r="A26" s="1">
        <f>A25+1</f>
        <v>2024</v>
      </c>
      <c r="B26" s="12">
        <f t="shared" si="7"/>
        <v>74715057</v>
      </c>
      <c r="C26" s="9">
        <f t="shared" ref="C26:M26" si="18">C42+C58</f>
        <v>8423744.3000000007</v>
      </c>
      <c r="D26" s="9">
        <f t="shared" si="18"/>
        <v>0</v>
      </c>
      <c r="E26" s="9">
        <f t="shared" si="18"/>
        <v>0</v>
      </c>
      <c r="F26" s="9">
        <f t="shared" si="18"/>
        <v>0</v>
      </c>
      <c r="G26" s="9">
        <f t="shared" si="18"/>
        <v>0</v>
      </c>
      <c r="H26" s="9">
        <f t="shared" si="18"/>
        <v>0</v>
      </c>
      <c r="I26" s="9">
        <f t="shared" si="18"/>
        <v>0</v>
      </c>
      <c r="J26" s="9">
        <f t="shared" si="18"/>
        <v>0</v>
      </c>
      <c r="K26" s="9">
        <f t="shared" si="18"/>
        <v>0</v>
      </c>
      <c r="L26" s="9">
        <f t="shared" si="18"/>
        <v>0</v>
      </c>
      <c r="M26" s="9">
        <f t="shared" si="18"/>
        <v>0</v>
      </c>
    </row>
    <row r="27" spans="1:15" ht="12.75" customHeight="1" x14ac:dyDescent="0.2">
      <c r="A27" s="1"/>
    </row>
    <row r="28" spans="1:15" ht="12.75" customHeight="1" x14ac:dyDescent="0.2">
      <c r="A28" s="1"/>
    </row>
    <row r="29" spans="1:15" ht="12.75" customHeight="1" x14ac:dyDescent="0.2"/>
    <row r="30" spans="1:15" ht="12.75" customHeight="1" x14ac:dyDescent="0.2">
      <c r="A30" s="1" t="s">
        <v>83</v>
      </c>
      <c r="K30" s="16"/>
    </row>
    <row r="31" spans="1:15" ht="12.75" customHeight="1" x14ac:dyDescent="0.2">
      <c r="A31" s="1" t="s">
        <v>77</v>
      </c>
      <c r="B31" s="1" t="s">
        <v>89</v>
      </c>
      <c r="C31" s="1">
        <v>12</v>
      </c>
      <c r="D31" s="1">
        <f t="shared" ref="D31:I31" si="19">C31+12</f>
        <v>24</v>
      </c>
      <c r="E31" s="1">
        <f t="shared" si="19"/>
        <v>36</v>
      </c>
      <c r="F31" s="1">
        <f t="shared" si="19"/>
        <v>48</v>
      </c>
      <c r="G31" s="1">
        <f t="shared" si="19"/>
        <v>60</v>
      </c>
      <c r="H31" s="1">
        <f t="shared" si="19"/>
        <v>72</v>
      </c>
      <c r="I31" s="1">
        <f t="shared" si="19"/>
        <v>84</v>
      </c>
      <c r="J31" s="1">
        <f t="shared" ref="J31" si="20">I31+12</f>
        <v>96</v>
      </c>
      <c r="K31" s="1">
        <f t="shared" ref="K31" si="21">J31+12</f>
        <v>108</v>
      </c>
      <c r="L31" s="1">
        <f t="shared" ref="L31" si="22">K31+12</f>
        <v>120</v>
      </c>
      <c r="M31" s="1">
        <f t="shared" ref="M31" si="23">L31+12</f>
        <v>132</v>
      </c>
    </row>
    <row r="32" spans="1:15" ht="12.75" customHeight="1" x14ac:dyDescent="0.2">
      <c r="A32" s="1">
        <v>2014</v>
      </c>
      <c r="B32" s="9">
        <f>'Premium summary'!D17</f>
        <v>11660200</v>
      </c>
      <c r="C32" s="9">
        <v>2375451</v>
      </c>
      <c r="D32" s="9">
        <v>14969534</v>
      </c>
      <c r="E32" s="9">
        <v>17675935</v>
      </c>
      <c r="F32" s="9">
        <v>18385496</v>
      </c>
      <c r="G32" s="9">
        <v>18411928</v>
      </c>
      <c r="H32" s="9">
        <v>18419198</v>
      </c>
      <c r="I32" s="9">
        <v>18534582</v>
      </c>
      <c r="J32" s="9">
        <v>18629548</v>
      </c>
      <c r="K32" s="9">
        <v>18647561</v>
      </c>
      <c r="L32" s="9">
        <v>18652001</v>
      </c>
      <c r="M32" s="9">
        <v>18655263</v>
      </c>
      <c r="O32" s="16"/>
    </row>
    <row r="33" spans="1:19" ht="12.75" customHeight="1" x14ac:dyDescent="0.2">
      <c r="A33" s="1">
        <f t="shared" ref="A33:A42" si="24">A32+1</f>
        <v>2015</v>
      </c>
      <c r="B33" s="9">
        <f>'Premium summary'!D18</f>
        <v>26518600.049999997</v>
      </c>
      <c r="C33" s="9">
        <v>4330782</v>
      </c>
      <c r="D33" s="9">
        <v>10409825</v>
      </c>
      <c r="E33" s="9">
        <v>12672128</v>
      </c>
      <c r="F33" s="9">
        <v>12986017</v>
      </c>
      <c r="G33" s="9">
        <v>13771728</v>
      </c>
      <c r="H33" s="9">
        <v>14113025</v>
      </c>
      <c r="I33" s="9">
        <v>16105885</v>
      </c>
      <c r="J33" s="9">
        <v>16197680</v>
      </c>
      <c r="K33" s="9">
        <v>16243221</v>
      </c>
      <c r="L33" s="9">
        <v>16247822</v>
      </c>
      <c r="M33" s="9"/>
      <c r="O33" s="16"/>
    </row>
    <row r="34" spans="1:19" ht="12.75" customHeight="1" x14ac:dyDescent="0.2">
      <c r="A34" s="1">
        <f t="shared" si="24"/>
        <v>2016</v>
      </c>
      <c r="B34" s="9">
        <f>'Premium summary'!D19</f>
        <v>35172529.200000003</v>
      </c>
      <c r="C34" s="9">
        <v>5839090</v>
      </c>
      <c r="D34" s="9">
        <v>23276469</v>
      </c>
      <c r="E34" s="9">
        <v>31410224</v>
      </c>
      <c r="F34" s="9">
        <v>34481617</v>
      </c>
      <c r="G34" s="9">
        <v>35921551</v>
      </c>
      <c r="H34" s="9">
        <v>36527768</v>
      </c>
      <c r="I34" s="9">
        <v>36560825</v>
      </c>
      <c r="J34" s="9">
        <v>36564111</v>
      </c>
      <c r="K34" s="9">
        <v>36563235</v>
      </c>
      <c r="L34" s="9"/>
      <c r="M34" s="9"/>
      <c r="O34" s="16"/>
    </row>
    <row r="35" spans="1:19" ht="12.75" customHeight="1" x14ac:dyDescent="0.2">
      <c r="A35" s="1">
        <f t="shared" si="24"/>
        <v>2017</v>
      </c>
      <c r="B35" s="9">
        <f>'Premium summary'!D20</f>
        <v>42677754</v>
      </c>
      <c r="C35" s="9">
        <v>5499582</v>
      </c>
      <c r="D35" s="9">
        <v>16543096</v>
      </c>
      <c r="E35" s="9">
        <v>22236994</v>
      </c>
      <c r="F35" s="9">
        <v>24290896</v>
      </c>
      <c r="G35" s="9">
        <v>25125806</v>
      </c>
      <c r="H35" s="9">
        <v>25831694</v>
      </c>
      <c r="I35" s="9">
        <v>25993101</v>
      </c>
      <c r="J35" s="9">
        <v>26005794</v>
      </c>
      <c r="K35" s="9"/>
      <c r="L35" s="9"/>
      <c r="M35" s="9"/>
      <c r="O35" s="16"/>
    </row>
    <row r="36" spans="1:19" ht="12.75" customHeight="1" x14ac:dyDescent="0.2">
      <c r="A36" s="1">
        <f t="shared" si="24"/>
        <v>2018</v>
      </c>
      <c r="B36" s="9">
        <f>'Premium summary'!D21</f>
        <v>44948639</v>
      </c>
      <c r="C36" s="9">
        <v>11090518</v>
      </c>
      <c r="D36" s="9">
        <v>20298144</v>
      </c>
      <c r="E36" s="9">
        <v>25710806</v>
      </c>
      <c r="F36" s="9">
        <v>25973427</v>
      </c>
      <c r="G36" s="9">
        <v>26943520</v>
      </c>
      <c r="H36" s="9">
        <v>27111127</v>
      </c>
      <c r="I36" s="9">
        <v>30028421</v>
      </c>
      <c r="J36" s="9"/>
      <c r="K36" s="9"/>
      <c r="L36" s="9"/>
      <c r="M36" s="9"/>
      <c r="O36" s="16"/>
    </row>
    <row r="37" spans="1:19" ht="12.75" customHeight="1" x14ac:dyDescent="0.2">
      <c r="A37" s="1">
        <f t="shared" si="24"/>
        <v>2019</v>
      </c>
      <c r="B37" s="9">
        <f>'Premium summary'!D22</f>
        <v>52020456</v>
      </c>
      <c r="C37" s="9">
        <v>8739302</v>
      </c>
      <c r="D37" s="9">
        <v>21000985</v>
      </c>
      <c r="E37" s="9">
        <v>41417478</v>
      </c>
      <c r="F37" s="9">
        <v>42734989</v>
      </c>
      <c r="G37" s="9">
        <v>43645588</v>
      </c>
      <c r="H37" s="9">
        <v>44158304</v>
      </c>
      <c r="I37" s="9"/>
      <c r="J37" s="9"/>
      <c r="K37" s="9"/>
      <c r="L37" s="9"/>
      <c r="M37" s="9"/>
      <c r="O37" s="16"/>
    </row>
    <row r="38" spans="1:19" ht="12.75" customHeight="1" x14ac:dyDescent="0.2">
      <c r="A38" s="1">
        <f t="shared" si="24"/>
        <v>2020</v>
      </c>
      <c r="B38" s="9">
        <f>'Premium summary'!D23</f>
        <v>57346947</v>
      </c>
      <c r="C38" s="9">
        <v>6686039</v>
      </c>
      <c r="D38" s="9">
        <v>15153144</v>
      </c>
      <c r="E38" s="9">
        <v>19778017</v>
      </c>
      <c r="F38" s="9">
        <v>21367855.559999999</v>
      </c>
      <c r="G38" s="9">
        <v>21473814</v>
      </c>
      <c r="H38" s="9"/>
      <c r="I38" s="9"/>
      <c r="J38" s="9"/>
      <c r="K38" s="9"/>
      <c r="L38" s="9"/>
      <c r="M38" s="9"/>
      <c r="O38" s="16"/>
    </row>
    <row r="39" spans="1:19" ht="12.75" customHeight="1" x14ac:dyDescent="0.2">
      <c r="A39" s="1">
        <f t="shared" si="24"/>
        <v>2021</v>
      </c>
      <c r="B39" s="9">
        <f>'Premium summary'!D24</f>
        <v>61880642</v>
      </c>
      <c r="C39" s="9">
        <v>4223732</v>
      </c>
      <c r="D39" s="9">
        <v>14734493</v>
      </c>
      <c r="E39" s="9">
        <v>19771703.699999999</v>
      </c>
      <c r="F39" s="9">
        <v>23845039</v>
      </c>
      <c r="G39" s="9"/>
      <c r="H39" s="9"/>
      <c r="I39" s="9"/>
      <c r="J39" s="9"/>
      <c r="K39" s="9"/>
      <c r="L39" s="9"/>
      <c r="M39" s="9"/>
      <c r="O39" s="16"/>
    </row>
    <row r="40" spans="1:19" ht="12.75" customHeight="1" x14ac:dyDescent="0.2">
      <c r="A40" s="1">
        <f t="shared" si="24"/>
        <v>2022</v>
      </c>
      <c r="B40" s="9">
        <f>'Premium summary'!D25</f>
        <v>68718551</v>
      </c>
      <c r="C40" s="9">
        <v>9610437</v>
      </c>
      <c r="D40" s="9">
        <v>31019277.300000001</v>
      </c>
      <c r="E40" s="9">
        <v>34180582</v>
      </c>
      <c r="F40" s="9"/>
      <c r="G40" s="9"/>
      <c r="H40" s="9"/>
      <c r="I40" s="9"/>
      <c r="J40" s="9"/>
      <c r="K40" s="9"/>
      <c r="L40" s="9"/>
      <c r="M40" s="9"/>
      <c r="O40" s="16"/>
      <c r="R40" s="16"/>
    </row>
    <row r="41" spans="1:19" ht="12.75" customHeight="1" x14ac:dyDescent="0.2">
      <c r="A41" s="1">
        <f t="shared" si="24"/>
        <v>2023</v>
      </c>
      <c r="B41" s="9">
        <f>'Premium summary'!D26</f>
        <v>74237910</v>
      </c>
      <c r="C41" s="9">
        <v>14932750</v>
      </c>
      <c r="D41" s="9">
        <v>28550546</v>
      </c>
      <c r="E41" s="9"/>
      <c r="F41" s="9"/>
      <c r="G41" s="9"/>
      <c r="H41" s="9"/>
      <c r="I41" s="9"/>
      <c r="J41" s="9"/>
      <c r="K41" s="9"/>
      <c r="L41" s="9"/>
      <c r="M41" s="9"/>
      <c r="P41" s="16"/>
      <c r="S41" s="17"/>
    </row>
    <row r="42" spans="1:19" ht="12.75" customHeight="1" x14ac:dyDescent="0.2">
      <c r="A42" s="1">
        <f t="shared" si="24"/>
        <v>2024</v>
      </c>
      <c r="B42" s="9">
        <f>'Premium summary'!D27</f>
        <v>74715057</v>
      </c>
      <c r="C42" s="9">
        <v>7106452</v>
      </c>
      <c r="D42" s="9"/>
      <c r="E42" s="9"/>
      <c r="F42" s="9"/>
      <c r="G42" s="9"/>
      <c r="H42" s="9"/>
      <c r="I42" s="9"/>
      <c r="J42" s="9"/>
      <c r="K42" s="9"/>
      <c r="L42" s="9"/>
      <c r="M42" s="9"/>
      <c r="P42" s="17"/>
    </row>
    <row r="43" spans="1:19" ht="12.75" customHeight="1" x14ac:dyDescent="0.2">
      <c r="A43" s="1"/>
    </row>
    <row r="44" spans="1:19" ht="12.75" customHeight="1" x14ac:dyDescent="0.2">
      <c r="A44" s="1"/>
    </row>
    <row r="45" spans="1:19" ht="12.75" customHeight="1" x14ac:dyDescent="0.2"/>
    <row r="46" spans="1:19" ht="12.75" customHeight="1" x14ac:dyDescent="0.2">
      <c r="A46" s="1" t="s">
        <v>90</v>
      </c>
    </row>
    <row r="47" spans="1:19" ht="12.75" customHeight="1" x14ac:dyDescent="0.2">
      <c r="A47" s="1" t="s">
        <v>77</v>
      </c>
      <c r="B47" s="1" t="s">
        <v>89</v>
      </c>
      <c r="C47" s="1">
        <v>12</v>
      </c>
      <c r="D47" s="1">
        <f t="shared" ref="D47:I47" si="25">C47+12</f>
        <v>24</v>
      </c>
      <c r="E47" s="1">
        <f t="shared" si="25"/>
        <v>36</v>
      </c>
      <c r="F47" s="1">
        <f t="shared" si="25"/>
        <v>48</v>
      </c>
      <c r="G47" s="1">
        <f t="shared" si="25"/>
        <v>60</v>
      </c>
      <c r="H47" s="1">
        <f t="shared" si="25"/>
        <v>72</v>
      </c>
      <c r="I47" s="1">
        <f t="shared" si="25"/>
        <v>84</v>
      </c>
      <c r="J47" s="1">
        <f t="shared" ref="J47" si="26">I47+12</f>
        <v>96</v>
      </c>
      <c r="K47" s="1">
        <f t="shared" ref="K47" si="27">J47+12</f>
        <v>108</v>
      </c>
      <c r="L47" s="1">
        <f t="shared" ref="L47" si="28">K47+12</f>
        <v>120</v>
      </c>
      <c r="M47" s="1">
        <f t="shared" ref="M47" si="29">L47+12</f>
        <v>132</v>
      </c>
      <c r="R47" s="16"/>
    </row>
    <row r="48" spans="1:19" ht="12.75" customHeight="1" x14ac:dyDescent="0.2">
      <c r="A48" s="1">
        <v>2014</v>
      </c>
      <c r="B48" s="10">
        <f>B32</f>
        <v>11660200</v>
      </c>
      <c r="C48" s="9">
        <v>601827.1</v>
      </c>
      <c r="D48" s="9">
        <v>3371682</v>
      </c>
      <c r="E48" s="9">
        <v>4206795</v>
      </c>
      <c r="F48" s="9">
        <v>4223383</v>
      </c>
      <c r="G48" s="9">
        <v>4235313</v>
      </c>
      <c r="H48" s="9">
        <v>4237648</v>
      </c>
      <c r="I48" s="9">
        <v>4250779</v>
      </c>
      <c r="J48" s="9">
        <v>4275759</v>
      </c>
      <c r="K48" s="9">
        <v>4280478</v>
      </c>
      <c r="L48" s="9">
        <v>4281665</v>
      </c>
      <c r="M48" s="9">
        <v>4282537</v>
      </c>
      <c r="O48" s="16"/>
      <c r="R48" s="16"/>
    </row>
    <row r="49" spans="1:20" ht="12.75" customHeight="1" x14ac:dyDescent="0.2">
      <c r="A49" s="1">
        <f t="shared" ref="A49:A58" si="30">A48+1</f>
        <v>2015</v>
      </c>
      <c r="B49" s="10">
        <f t="shared" ref="B49:B58" si="31">B33</f>
        <v>26518600.049999997</v>
      </c>
      <c r="C49" s="9">
        <v>819846.1</v>
      </c>
      <c r="D49" s="9">
        <v>2041882</v>
      </c>
      <c r="E49" s="9">
        <v>2563291</v>
      </c>
      <c r="F49" s="9">
        <v>2630077</v>
      </c>
      <c r="G49" s="9">
        <v>2862068</v>
      </c>
      <c r="H49" s="9">
        <v>2872056</v>
      </c>
      <c r="I49" s="9">
        <v>3282202</v>
      </c>
      <c r="J49" s="9">
        <v>3383908</v>
      </c>
      <c r="K49" s="9">
        <v>3419406</v>
      </c>
      <c r="L49" s="9">
        <v>3420230</v>
      </c>
      <c r="M49" s="9"/>
      <c r="O49" s="16"/>
      <c r="R49" s="16"/>
    </row>
    <row r="50" spans="1:20" ht="12.75" customHeight="1" x14ac:dyDescent="0.2">
      <c r="A50" s="1">
        <f t="shared" si="30"/>
        <v>2016</v>
      </c>
      <c r="B50" s="10">
        <f t="shared" si="31"/>
        <v>35172529.200000003</v>
      </c>
      <c r="C50" s="9">
        <v>1327970.8999999999</v>
      </c>
      <c r="D50" s="9">
        <v>4967382</v>
      </c>
      <c r="E50" s="9">
        <v>6719694</v>
      </c>
      <c r="F50" s="9">
        <v>7193538</v>
      </c>
      <c r="G50" s="9">
        <v>7434172</v>
      </c>
      <c r="H50" s="9">
        <v>7541264</v>
      </c>
      <c r="I50" s="9">
        <v>7545550</v>
      </c>
      <c r="J50" s="9">
        <v>7547321</v>
      </c>
      <c r="K50" s="9">
        <v>7548513</v>
      </c>
      <c r="L50" s="9"/>
      <c r="M50" s="9"/>
      <c r="O50" s="16"/>
      <c r="R50" s="16"/>
    </row>
    <row r="51" spans="1:20" ht="12.75" customHeight="1" x14ac:dyDescent="0.2">
      <c r="A51" s="1">
        <f t="shared" si="30"/>
        <v>2017</v>
      </c>
      <c r="B51" s="10">
        <f t="shared" si="31"/>
        <v>42677754</v>
      </c>
      <c r="C51" s="9">
        <v>1050633</v>
      </c>
      <c r="D51" s="9">
        <v>3484824</v>
      </c>
      <c r="E51" s="9">
        <v>4597381</v>
      </c>
      <c r="F51" s="9">
        <v>4977028</v>
      </c>
      <c r="G51" s="9">
        <v>5174965</v>
      </c>
      <c r="H51" s="9">
        <v>5340876</v>
      </c>
      <c r="I51" s="9">
        <v>5363149</v>
      </c>
      <c r="J51" s="9">
        <v>5365902</v>
      </c>
      <c r="K51" s="9"/>
      <c r="L51" s="9"/>
      <c r="M51" s="9"/>
      <c r="O51" s="16"/>
      <c r="R51" s="16"/>
    </row>
    <row r="52" spans="1:20" ht="12.75" customHeight="1" x14ac:dyDescent="0.2">
      <c r="A52" s="1">
        <f t="shared" si="30"/>
        <v>2018</v>
      </c>
      <c r="B52" s="10">
        <f t="shared" si="31"/>
        <v>44948639</v>
      </c>
      <c r="C52" s="9">
        <v>2134637.2000000002</v>
      </c>
      <c r="D52" s="9">
        <v>4208161</v>
      </c>
      <c r="E52" s="9">
        <v>5554102</v>
      </c>
      <c r="F52" s="9">
        <v>5606074</v>
      </c>
      <c r="G52" s="9">
        <v>5815337</v>
      </c>
      <c r="H52" s="9">
        <v>5850764</v>
      </c>
      <c r="I52" s="9">
        <v>5976399</v>
      </c>
      <c r="J52" s="9"/>
      <c r="K52" s="9"/>
      <c r="L52" s="9"/>
      <c r="M52" s="9"/>
      <c r="O52" s="16"/>
      <c r="R52" s="16"/>
    </row>
    <row r="53" spans="1:20" ht="12.75" customHeight="1" x14ac:dyDescent="0.2">
      <c r="A53" s="1">
        <f t="shared" si="30"/>
        <v>2019</v>
      </c>
      <c r="B53" s="10">
        <f t="shared" si="31"/>
        <v>52020456</v>
      </c>
      <c r="C53" s="9">
        <v>1571184.2</v>
      </c>
      <c r="D53" s="9">
        <v>4215978</v>
      </c>
      <c r="E53" s="9">
        <v>8101138</v>
      </c>
      <c r="F53" s="9">
        <v>8585715</v>
      </c>
      <c r="G53" s="9">
        <v>8900050</v>
      </c>
      <c r="H53" s="9">
        <v>9144928</v>
      </c>
      <c r="I53" s="9"/>
      <c r="J53" s="9"/>
      <c r="K53" s="9"/>
      <c r="L53" s="9"/>
      <c r="M53" s="9"/>
      <c r="O53" s="16"/>
      <c r="R53" s="16"/>
    </row>
    <row r="54" spans="1:20" ht="12.75" customHeight="1" x14ac:dyDescent="0.2">
      <c r="A54" s="1">
        <f t="shared" si="30"/>
        <v>2020</v>
      </c>
      <c r="B54" s="10">
        <f t="shared" si="31"/>
        <v>57346947</v>
      </c>
      <c r="C54" s="9">
        <v>1752817.9</v>
      </c>
      <c r="D54" s="9">
        <v>3423163</v>
      </c>
      <c r="E54" s="9">
        <v>4257350</v>
      </c>
      <c r="F54" s="9">
        <v>4593626</v>
      </c>
      <c r="G54" s="9">
        <v>4661229</v>
      </c>
      <c r="H54" s="9"/>
      <c r="I54" s="9"/>
      <c r="J54" s="9"/>
      <c r="K54" s="9"/>
      <c r="L54" s="9"/>
      <c r="M54" s="9"/>
      <c r="O54" s="16"/>
      <c r="R54" s="16"/>
    </row>
    <row r="55" spans="1:20" ht="12.75" customHeight="1" x14ac:dyDescent="0.2">
      <c r="A55" s="1">
        <f t="shared" si="30"/>
        <v>2021</v>
      </c>
      <c r="B55" s="10">
        <f t="shared" si="31"/>
        <v>61880642</v>
      </c>
      <c r="C55" s="9">
        <v>772195.6</v>
      </c>
      <c r="D55" s="9">
        <v>2779925</v>
      </c>
      <c r="E55" s="9">
        <v>3481755</v>
      </c>
      <c r="F55" s="9">
        <v>4764844</v>
      </c>
      <c r="G55" s="9"/>
      <c r="H55" s="9"/>
      <c r="I55" s="9"/>
      <c r="J55" s="9"/>
      <c r="K55" s="9"/>
      <c r="L55" s="9"/>
      <c r="M55" s="9"/>
      <c r="O55" s="16"/>
      <c r="R55" s="16"/>
    </row>
    <row r="56" spans="1:20" ht="12.75" customHeight="1" x14ac:dyDescent="0.2">
      <c r="A56" s="1">
        <f t="shared" si="30"/>
        <v>2022</v>
      </c>
      <c r="B56" s="10">
        <f t="shared" si="31"/>
        <v>68718551</v>
      </c>
      <c r="C56" s="9">
        <v>1605532.3</v>
      </c>
      <c r="D56" s="9">
        <v>5114945</v>
      </c>
      <c r="E56" s="9">
        <v>6531459</v>
      </c>
      <c r="F56" s="9"/>
      <c r="G56" s="9"/>
      <c r="H56" s="9"/>
      <c r="I56" s="9"/>
      <c r="J56" s="9"/>
      <c r="K56" s="9"/>
      <c r="L56" s="9"/>
      <c r="M56" s="9"/>
      <c r="O56" s="16"/>
      <c r="R56" s="16"/>
    </row>
    <row r="57" spans="1:20" ht="12.75" customHeight="1" x14ac:dyDescent="0.2">
      <c r="A57" s="1">
        <f t="shared" si="30"/>
        <v>2023</v>
      </c>
      <c r="B57" s="10">
        <f t="shared" si="31"/>
        <v>74237910</v>
      </c>
      <c r="C57" s="9">
        <v>2758735.9</v>
      </c>
      <c r="D57" s="9">
        <v>5435474</v>
      </c>
      <c r="E57" s="9"/>
      <c r="F57" s="9"/>
      <c r="G57" s="9"/>
      <c r="H57" s="9"/>
      <c r="I57" s="9"/>
      <c r="J57" s="9"/>
      <c r="K57" s="9"/>
      <c r="L57" s="9"/>
      <c r="M57" s="9"/>
      <c r="P57" s="16"/>
      <c r="T57" s="16"/>
    </row>
    <row r="58" spans="1:20" ht="12.75" customHeight="1" x14ac:dyDescent="0.2">
      <c r="A58" s="1">
        <f t="shared" si="30"/>
        <v>2024</v>
      </c>
      <c r="B58" s="10">
        <f t="shared" si="31"/>
        <v>74715057</v>
      </c>
      <c r="C58" s="9">
        <v>1317292.3</v>
      </c>
      <c r="D58" s="9"/>
      <c r="E58" s="9"/>
      <c r="F58" s="9"/>
      <c r="G58" s="9"/>
      <c r="H58" s="9"/>
      <c r="I58" s="9"/>
      <c r="J58" s="9"/>
      <c r="K58" s="9"/>
      <c r="L58" s="9"/>
      <c r="M58" s="9"/>
      <c r="P58" s="17"/>
      <c r="T58" s="17"/>
    </row>
    <row r="59" spans="1:20" ht="12.75" customHeight="1" x14ac:dyDescent="0.2"/>
    <row r="60" spans="1:20" ht="12.75" customHeight="1" x14ac:dyDescent="0.2"/>
    <row r="61" spans="1:20" ht="12.75" customHeight="1" x14ac:dyDescent="0.2"/>
    <row r="62" spans="1:20" ht="12.75" customHeight="1" x14ac:dyDescent="0.2"/>
    <row r="63" spans="1:20" ht="12.75" customHeight="1" x14ac:dyDescent="0.2"/>
    <row r="64" spans="1:20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</vt:lpstr>
      <vt:lpstr>Premium summary</vt:lpstr>
      <vt:lpstr>Rate change</vt:lpstr>
      <vt:lpstr>Exposure listing</vt:lpstr>
      <vt:lpstr>Exposure summary</vt:lpstr>
      <vt:lpstr>Claim listing</vt:lpstr>
      <vt:lpstr>Loss triangles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TSZ Chai Fung</cp:lastModifiedBy>
  <dcterms:created xsi:type="dcterms:W3CDTF">2025-10-29T08:51:50Z</dcterms:created>
  <dcterms:modified xsi:type="dcterms:W3CDTF">2026-03-12T19:36:57Z</dcterms:modified>
</cp:coreProperties>
</file>